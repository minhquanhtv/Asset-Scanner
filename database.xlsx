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hinh cho 3 phong" sheetId="1" r:id="rId1"/>
    <sheet name="TSCD_XUAN" sheetId="2" state="hidden" r:id="rId2"/>
    <sheet name="CCDC_XUAN" sheetId="3" state="hidden" r:id="rId3"/>
    <sheet name="CCDC" sheetId="4" r:id="rId4"/>
    <sheet name="Sheet1" sheetId="5" state="hidden" r:id="rId5"/>
    <sheet name="Main-sau thanh ly" sheetId="6" r:id="rId6"/>
    <sheet name="Sheet1 (2)" sheetId="7" state="hidden" r:id="rId7"/>
    <sheet name="Tai san thanh ly den 31.12.2020" sheetId="8" state="hidden" r:id="rId8"/>
    <sheet name="TS them den 31.12.2020" sheetId="9" r:id="rId9"/>
    <sheet name="TS Thêm đến 31.12.2021" sheetId="10" r:id="rId10"/>
    <sheet name="TS Đã thanh lý 2021 vs 2020" sheetId="11" r:id="rId11"/>
    <sheet name="TS Co them 20032023" sheetId="12" r:id="rId12"/>
    <sheet name="DS Chuyen CChi" sheetId="13" r:id="rId13"/>
    <sheet name="TS Co them den 31122023" sheetId="14" r:id="rId14"/>
  </sheets>
  <definedNames>
    <definedName name="_xlnm._FilterDatabase" localSheetId="3" hidden="1">CCDC!$A$7:$U$656</definedName>
    <definedName name="_xlnm._FilterDatabase" localSheetId="2" hidden="1">CCDC_XUAN!$A$7:$X$696</definedName>
    <definedName name="_xlnm._FilterDatabase" localSheetId="0" hidden="1">'Chinh cho 3 phong'!$A$6:$P$1161</definedName>
    <definedName name="_xlnm._FilterDatabase" localSheetId="5" hidden="1">'Main-sau thanh ly'!$A$6:$N$1076</definedName>
    <definedName name="_xlnm._FilterDatabase" localSheetId="6" hidden="1">'Sheet1 (2)'!$A$6:$M$1138</definedName>
  </definedNames>
  <calcPr calcId="145621"/>
</workbook>
</file>

<file path=xl/calcChain.xml><?xml version="1.0" encoding="utf-8"?>
<calcChain xmlns="http://schemas.openxmlformats.org/spreadsheetml/2006/main">
  <c r="K13" i="12" l="1"/>
  <c r="K12" i="12"/>
  <c r="K11" i="12"/>
  <c r="K10" i="12"/>
  <c r="K9" i="12"/>
  <c r="K8" i="12"/>
  <c r="K7" i="12"/>
  <c r="K6" i="12"/>
  <c r="S641" i="4"/>
  <c r="S640" i="4"/>
  <c r="S639" i="4"/>
  <c r="S638" i="4"/>
  <c r="S637" i="4"/>
  <c r="S636" i="4"/>
  <c r="S635" i="4"/>
  <c r="S634" i="4"/>
  <c r="S633" i="4"/>
  <c r="S632" i="4"/>
  <c r="S631" i="4"/>
  <c r="S630" i="4"/>
  <c r="S629" i="4"/>
  <c r="S628" i="4"/>
  <c r="S627" i="4"/>
  <c r="S626" i="4"/>
  <c r="S567" i="4"/>
  <c r="S565" i="4"/>
  <c r="S561" i="4"/>
  <c r="S560" i="4"/>
  <c r="S559" i="4"/>
  <c r="S558" i="4"/>
  <c r="S557" i="4"/>
  <c r="S556" i="4"/>
  <c r="S555" i="4"/>
  <c r="S554" i="4"/>
  <c r="S553" i="4"/>
  <c r="S552" i="4"/>
  <c r="S551" i="4"/>
  <c r="S550" i="4"/>
  <c r="S549" i="4"/>
  <c r="S548" i="4"/>
  <c r="S547" i="4"/>
  <c r="S546" i="4"/>
  <c r="S545" i="4"/>
  <c r="S544" i="4"/>
  <c r="S543" i="4"/>
  <c r="S485" i="4"/>
  <c r="S415" i="4"/>
  <c r="S412" i="4"/>
  <c r="S397" i="4"/>
  <c r="S396" i="4"/>
  <c r="S395" i="4"/>
  <c r="S394" i="4"/>
  <c r="S377" i="4"/>
  <c r="S368" i="4"/>
  <c r="S356" i="4"/>
  <c r="S352" i="4"/>
  <c r="S350" i="4"/>
  <c r="S332" i="4"/>
  <c r="S331" i="4"/>
  <c r="S330" i="4"/>
  <c r="S329" i="4"/>
  <c r="S328" i="4"/>
  <c r="S327" i="4"/>
  <c r="S324" i="4"/>
  <c r="S319" i="4"/>
  <c r="S311" i="4"/>
  <c r="S306" i="4"/>
  <c r="S298" i="4"/>
  <c r="S297" i="4"/>
  <c r="S296" i="4"/>
  <c r="S295" i="4"/>
  <c r="S294" i="4"/>
  <c r="S293" i="4"/>
  <c r="S264" i="4"/>
  <c r="S252" i="4"/>
  <c r="S242" i="4"/>
  <c r="S240" i="4"/>
  <c r="S176" i="4"/>
  <c r="S174" i="4"/>
  <c r="S173" i="4"/>
  <c r="S170" i="4"/>
  <c r="S167" i="4"/>
  <c r="S165" i="4"/>
  <c r="S163" i="4"/>
  <c r="S159" i="4"/>
  <c r="S151" i="4"/>
  <c r="S123" i="4"/>
  <c r="S120" i="4"/>
  <c r="S117" i="4"/>
  <c r="S116" i="4"/>
  <c r="S112" i="4"/>
  <c r="S100" i="4"/>
  <c r="S99" i="4"/>
  <c r="S98" i="4"/>
  <c r="S96" i="4"/>
  <c r="S95" i="4"/>
  <c r="S93" i="4"/>
  <c r="S92" i="4"/>
  <c r="S81" i="4"/>
  <c r="S71" i="4"/>
  <c r="S70" i="4"/>
  <c r="S69" i="4"/>
  <c r="S67" i="4"/>
  <c r="S16" i="4"/>
  <c r="M1155" i="1"/>
  <c r="M1154" i="1"/>
  <c r="M1153" i="1"/>
  <c r="M1151" i="1"/>
  <c r="M1144" i="1"/>
  <c r="M1105" i="1"/>
  <c r="M1104" i="1"/>
  <c r="M1067" i="1"/>
  <c r="M1058" i="1"/>
  <c r="M1057" i="1"/>
  <c r="M1053" i="1"/>
  <c r="M1052" i="1"/>
  <c r="M1051" i="1"/>
  <c r="M1050" i="1"/>
  <c r="M1041" i="1"/>
  <c r="M1040" i="1"/>
  <c r="M1017" i="1"/>
  <c r="M1012" i="1"/>
  <c r="M1007" i="1"/>
  <c r="M1006" i="1"/>
  <c r="M1005" i="1"/>
  <c r="M1004" i="1"/>
  <c r="M1003" i="1"/>
  <c r="M1002" i="1"/>
  <c r="M1001" i="1"/>
  <c r="M1000" i="1"/>
  <c r="M971" i="1"/>
  <c r="M944" i="1"/>
  <c r="M943" i="1"/>
  <c r="M942" i="1"/>
  <c r="M941" i="1"/>
  <c r="M940" i="1"/>
  <c r="M939" i="1"/>
  <c r="M938" i="1"/>
  <c r="M831" i="1"/>
  <c r="M816" i="1"/>
  <c r="M659" i="1"/>
  <c r="M658" i="1"/>
  <c r="M657" i="1"/>
  <c r="M602" i="1"/>
  <c r="M601" i="1"/>
  <c r="M600" i="1"/>
  <c r="M566" i="1"/>
  <c r="M558" i="1"/>
  <c r="M556" i="1"/>
  <c r="M525" i="1"/>
  <c r="M524" i="1"/>
  <c r="M523" i="1"/>
  <c r="M522" i="1"/>
  <c r="M521" i="1"/>
  <c r="M504" i="1"/>
  <c r="M503" i="1"/>
  <c r="M500" i="1"/>
  <c r="M490" i="1"/>
  <c r="M489" i="1"/>
  <c r="M488" i="1"/>
  <c r="M487" i="1"/>
  <c r="M486" i="1"/>
  <c r="M481" i="1"/>
  <c r="M434" i="1"/>
  <c r="M431" i="1"/>
  <c r="M430" i="1"/>
  <c r="M427" i="1"/>
  <c r="M426" i="1"/>
  <c r="M397" i="1"/>
  <c r="M395" i="1"/>
  <c r="M391" i="1"/>
  <c r="M390" i="1"/>
  <c r="M389" i="1"/>
  <c r="M388" i="1"/>
  <c r="M387" i="1"/>
  <c r="M386" i="1"/>
  <c r="M385" i="1"/>
  <c r="M380" i="1"/>
  <c r="M379" i="1"/>
  <c r="M341" i="1"/>
  <c r="M307" i="1"/>
  <c r="M306" i="1"/>
  <c r="M305" i="1"/>
  <c r="M170" i="1"/>
  <c r="M136" i="1"/>
  <c r="M106" i="1"/>
  <c r="M102" i="1"/>
  <c r="M99" i="1"/>
  <c r="M90" i="1"/>
  <c r="M76" i="1"/>
  <c r="A1" i="5"/>
  <c r="O1068" i="1"/>
  <c r="O987" i="1"/>
  <c r="O983" i="1"/>
  <c r="O979" i="1"/>
  <c r="O975" i="1"/>
  <c r="O877" i="1"/>
  <c r="O830" i="1"/>
  <c r="O790" i="1"/>
  <c r="O667" i="1"/>
  <c r="O561" i="1"/>
  <c r="O557" i="1"/>
  <c r="O553" i="1"/>
  <c r="O549" i="1"/>
  <c r="O545" i="1"/>
  <c r="O537" i="1"/>
  <c r="O529" i="1"/>
  <c r="O454" i="1"/>
  <c r="O401" i="1"/>
  <c r="O301" i="1"/>
  <c r="O173" i="1"/>
  <c r="O169" i="1"/>
  <c r="O161" i="1"/>
  <c r="O156" i="1"/>
  <c r="O538" i="1"/>
  <c r="O174" i="1"/>
  <c r="O157" i="1"/>
  <c r="O1047" i="1"/>
  <c r="O986" i="1"/>
  <c r="O982" i="1"/>
  <c r="O978" i="1"/>
  <c r="O974" i="1"/>
  <c r="O951" i="1"/>
  <c r="O876" i="1"/>
  <c r="O829" i="1"/>
  <c r="O678" i="1"/>
  <c r="O663" i="1"/>
  <c r="O560" i="1"/>
  <c r="O552" i="1"/>
  <c r="O548" i="1"/>
  <c r="O540" i="1"/>
  <c r="O532" i="1"/>
  <c r="O528" i="1"/>
  <c r="O520" i="1"/>
  <c r="O304" i="1"/>
  <c r="O176" i="1"/>
  <c r="O172" i="1"/>
  <c r="O168" i="1"/>
  <c r="O160" i="1"/>
  <c r="O155" i="1"/>
  <c r="O402" i="1"/>
  <c r="O302" i="1"/>
  <c r="O162" i="1"/>
  <c r="O1063" i="1"/>
  <c r="O1046" i="1"/>
  <c r="O1014" i="1"/>
  <c r="O985" i="1"/>
  <c r="O981" i="1"/>
  <c r="O977" i="1"/>
  <c r="O973" i="1"/>
  <c r="O950" i="1"/>
  <c r="O879" i="1"/>
  <c r="O857" i="1"/>
  <c r="O828" i="1"/>
  <c r="O669" i="1"/>
  <c r="O662" i="1"/>
  <c r="O649" i="1"/>
  <c r="O594" i="1"/>
  <c r="O559" i="1"/>
  <c r="O555" i="1"/>
  <c r="O551" i="1"/>
  <c r="O547" i="1"/>
  <c r="O539" i="1"/>
  <c r="O531" i="1"/>
  <c r="O527" i="1"/>
  <c r="O519" i="1"/>
  <c r="O404" i="1"/>
  <c r="O382" i="1"/>
  <c r="O303" i="1"/>
  <c r="O175" i="1"/>
  <c r="O171" i="1"/>
  <c r="O165" i="1"/>
  <c r="O159" i="1"/>
  <c r="O153" i="1"/>
  <c r="O554" i="1"/>
  <c r="O550" i="1"/>
  <c r="O546" i="1"/>
  <c r="O530" i="1"/>
  <c r="O526" i="1"/>
  <c r="O137" i="1"/>
  <c r="O984" i="1"/>
  <c r="O980" i="1"/>
  <c r="O976" i="1"/>
  <c r="O972" i="1"/>
  <c r="O878" i="1"/>
  <c r="O668" i="1"/>
</calcChain>
</file>

<file path=xl/sharedStrings.xml><?xml version="1.0" encoding="utf-8"?>
<sst xmlns="http://schemas.openxmlformats.org/spreadsheetml/2006/main" count="36591" uniqueCount="5444">
  <si>
    <t xml:space="preserve">   Đài Truyền Hình TPHCM</t>
  </si>
  <si>
    <t xml:space="preserve">     Trung Tâm Phát hình</t>
  </si>
  <si>
    <t>BIÊN BẢN BÀN GIAO QUẢN LÝ TÀI SẢN</t>
  </si>
  <si>
    <t>STT</t>
  </si>
  <si>
    <t>Số chứng từ</t>
  </si>
  <si>
    <t>Ngày chứng từ</t>
  </si>
  <si>
    <t>Số hiệu cũ</t>
  </si>
  <si>
    <t>Số hiệu</t>
  </si>
  <si>
    <t>Tên tài sản</t>
  </si>
  <si>
    <t>Nước SX</t>
  </si>
  <si>
    <t>ĐVT</t>
  </si>
  <si>
    <t>SL</t>
  </si>
  <si>
    <t>Giá trị</t>
  </si>
  <si>
    <t>Phòng</t>
  </si>
  <si>
    <t>Người QL</t>
  </si>
  <si>
    <t>Vị trí</t>
  </si>
  <si>
    <t>04DA/2009</t>
  </si>
  <si>
    <t>3010101052001</t>
  </si>
  <si>
    <t>Bộ Prompter Control và Tele-prompter</t>
  </si>
  <si>
    <t>Bộ</t>
  </si>
  <si>
    <t>KT</t>
  </si>
  <si>
    <t>TL</t>
  </si>
  <si>
    <t>Củ Chi</t>
  </si>
  <si>
    <t>1.1</t>
  </si>
  <si>
    <t>3010101052001001</t>
  </si>
  <si>
    <t>Máy vi tính, Rackmount Kit:Intel PD 925 (3.0/800/2x2MB), 256 MB PC2-5300 (DDR2-667),  80GB SATA 3.0Gb/s, Integrated Broadcom NetXtreme Gigabit Ethernet NIC, Free DOS software, FDD 1.44MB., Model:DC5700, No:SGH7040B7R</t>
  </si>
  <si>
    <t>1.2</t>
  </si>
  <si>
    <t>3010101052001002</t>
  </si>
  <si>
    <t>Màn hình 17", No:CNN7022TQR</t>
  </si>
  <si>
    <t>1.3</t>
  </si>
  <si>
    <t>3010101052001003</t>
  </si>
  <si>
    <t>15" TFT Flat screen On-Camera monitor inclusive Integral Cue Light &amp; external, Standard Hood with glass &amp; light shield, 'Light weight Adjustable Mounting plate MT/RED, PCI Promptcard with Newsroom interface Winplus &amp; Opto Desk Top Hand Control PCI/WIN/HCI.</t>
  </si>
  <si>
    <t>77/2009</t>
  </si>
  <si>
    <t>3010101064002</t>
  </si>
  <si>
    <t>Server Capture Digital Future theo định dạng DV và MPEG-2 , Model:i-Capture, No:0787</t>
  </si>
  <si>
    <t>Việt Nam</t>
  </si>
  <si>
    <t>PH</t>
  </si>
  <si>
    <t>Lam</t>
  </si>
  <si>
    <t>Máy VP trong lầu 1 PH mới</t>
  </si>
  <si>
    <t>3.1</t>
  </si>
  <si>
    <t>3010101064002001</t>
  </si>
  <si>
    <t>Màn hình vi tính LCD Viewsonic 17", Model:VA1916W, No:RN7094300049</t>
  </si>
  <si>
    <t>15/2011</t>
  </si>
  <si>
    <t>3010101077001</t>
  </si>
  <si>
    <t>Hệ thống chạy chữ Autoscript, Model:TFT15-ELP, No:15E2101005</t>
  </si>
  <si>
    <t>Anh</t>
  </si>
  <si>
    <t>4.1</t>
  </si>
  <si>
    <t>3010101077001001</t>
  </si>
  <si>
    <t>Máy vi tính chạy chữ Việt Đông</t>
  </si>
  <si>
    <t>4.2</t>
  </si>
  <si>
    <t>3010101077001002</t>
  </si>
  <si>
    <t>Màn hình LCD 17" HP, Model:LE1711, No:3Xuân00113W5</t>
  </si>
  <si>
    <t>03 DA/2011</t>
  </si>
  <si>
    <t>3010101086001</t>
  </si>
  <si>
    <t>Máy chủ quản lý dữ liệu File server -Media File Directory server, MediaLibrary File Directory Server, consists of redundant pair of servers, heartbeat interconnect cables, documentation, software. For use with MediaLibrary 24000e or MediaLibrary ML1G (1 bộ gồm 02 cái), Model:TLA-5001-00, No:BZDR72550962, BZDR72652478</t>
  </si>
  <si>
    <t>Mỹ</t>
  </si>
  <si>
    <t>Khanh</t>
  </si>
  <si>
    <t>BZDR72652478 (PM.mới)
Webserver cũ BZDR72550962 (PM.cũ)</t>
  </si>
  <si>
    <t>3010101087001</t>
  </si>
  <si>
    <t>Máy tính điều khiển tủ: PCS Server</t>
  </si>
  <si>
    <t>PM.CŨ
Sony Petasite</t>
  </si>
  <si>
    <t>6.1</t>
  </si>
  <si>
    <t>3010101087001001</t>
  </si>
  <si>
    <t>Máy tính điều khiển tủ: PCS Server'. CPU Quad Core Xeon 5420 (2.50GHz). 'Memory: 2 GB Memory Kit. 'FDD: 1 x FDD, HP 2x 146GB SAS 10K 2.5 DP HDD, 'Optical Drive: 1 x DVD-ROM, 'Keyboard and Mouse. 'Redundant P/S: 1 Redundant Power Supply và phần mềm , Model:DL 360G5, No:SGH848XNAT</t>
  </si>
  <si>
    <t>6.2</t>
  </si>
  <si>
    <t>3010101087001002</t>
  </si>
  <si>
    <t>17" LCD Monitor, Model:L1710, No:3Xuân8294VN6</t>
  </si>
  <si>
    <t>3010101088001</t>
  </si>
  <si>
    <t>Server hardware for database</t>
  </si>
  <si>
    <t>PM.MỚI SQL.BK</t>
  </si>
  <si>
    <t>7.1</t>
  </si>
  <si>
    <t>3010101088001001</t>
  </si>
  <si>
    <t>Monitor LCD 19", Model:L1910, No:CNC820PW49</t>
  </si>
  <si>
    <t>7.2</t>
  </si>
  <si>
    <t>3010101088001002</t>
  </si>
  <si>
    <t>Server hardware for Database: Quad Core Xeon 5420 (2.50GHz), RAM 2GB, 2 x HP 146GB 10K SAS 2.5 DP HDD; HP Slim 8X/24X DVD-ROM Drive, FDDKeyboard and Mouse, Model:DL360G5, No:GH848XNAS</t>
  </si>
  <si>
    <t>3010101088002</t>
  </si>
  <si>
    <t>PM.Mới SQL.Main</t>
  </si>
  <si>
    <t>8.1</t>
  </si>
  <si>
    <t>3010101088002001</t>
  </si>
  <si>
    <t>Monitor LCD 19", Model:L1910, No:CNC820PWBM</t>
  </si>
  <si>
    <t>8.2</t>
  </si>
  <si>
    <t>3010101088002002</t>
  </si>
  <si>
    <t>Server hardware for Database: Quad Core Xeon 5420 (2.50GHz), RAM 2GB, 2 x HP 146GB 10K SAS 2.5 DP HDD; HP Slim 8X/24X DVD-ROM Drive, FDDKeyboard and Mouse, Model:DL360G5, No:GH848XNAV</t>
  </si>
  <si>
    <t>3010101089001</t>
  </si>
  <si>
    <t xml:space="preserve">Hệ thống phần cứng </t>
  </si>
  <si>
    <t>Auto9B HTV9 Bkup, PM.cũ Rack 3</t>
  </si>
  <si>
    <t>9.1</t>
  </si>
  <si>
    <t>3010101089001001</t>
  </si>
  <si>
    <t>PC hardware for Automation: Xeon 5450 3.00 12M/1333 QC, NVIDIA Quadro FX3700 512MB PCIe GraphicsHP 4GB (2x2GB) DDR2-667 ECC FBD RAM; HP 250GB SATA 3Gb/s . NXuân 7200 1st HDD; HP USB Standard Keyboard; HP USB Optical Scroll  Mouse,  HP 16X DVD+-RW SuperMulti SATA 1st Drive; Floppy Disk Drive, Model:XW8600, No:SGH85101P2</t>
  </si>
  <si>
    <t>9.2</t>
  </si>
  <si>
    <t>3010101089001002</t>
  </si>
  <si>
    <t>19" LCD monitor, Model:L-1910, No:CNC820PW40</t>
  </si>
  <si>
    <t>3010101089002</t>
  </si>
  <si>
    <t>PM.Mới</t>
  </si>
  <si>
    <t>10.1</t>
  </si>
  <si>
    <t>3010101089002001</t>
  </si>
  <si>
    <t>PC hardware for Automation: Xeon 5450 3.00 12M/1333 QC, NVIDIA Quadro FX3700 512MB PCIe GraphicsHP 4GB (2x2GB) DDR2-667 ECC FBD RAM; HP 250GB SATA 3Gb/s . NXuân 7200 1st HDD; HP USB Standard Keyboard; HP USB Optical Scroll  Mouse,  HP 16X DVD+-RW SuperMulti SATA 1st Drive; Floppy Disk Drive, Model:XW8600, No:SGH85101P1</t>
  </si>
  <si>
    <t>10.2</t>
  </si>
  <si>
    <t>3010101089002002</t>
  </si>
  <si>
    <t>19" LCD monitor, Model:L-1910, No:CNC820PWBL</t>
  </si>
  <si>
    <t>3010101089003</t>
  </si>
  <si>
    <t>Kho Lầu 2</t>
  </si>
  <si>
    <t>11.1</t>
  </si>
  <si>
    <t>3010101089003001</t>
  </si>
  <si>
    <t>PC hardware for Automation: Xeon 5450 3.00 12M/1333 QC, NVIDIA Quadro FX3700 512MB PCIe GraphicsHP 4GB (2x2GB) DDR2-667 ECC FBD RAM; HP 250GB SATA 3Gb/s . NXuân 7200 1st HDD; HP USB Standard Keyboard; HP USB Optical Scroll  Mouse,  HP 16X DVD+-RW SuperMulti SATA 1st Drive; Floppy Disk Drive, Model:XW8600, No:SGH85101P5</t>
  </si>
  <si>
    <t>11.2</t>
  </si>
  <si>
    <t>3010101089003002</t>
  </si>
  <si>
    <t>19" LCD monitor, Model:L-1910, No:CNC820PW43</t>
  </si>
  <si>
    <t>3010101089005</t>
  </si>
  <si>
    <t>PM.mới</t>
  </si>
  <si>
    <t>12.1</t>
  </si>
  <si>
    <t>3010101089005001</t>
  </si>
  <si>
    <t>PC hardware for Automation: Xeon 5450 3.00 12M/1333 QC, NVIDIA Quadro FX3700 512MB PCIe GraphicsHP 4GB (2x2GB) DDR2-667 ECC FBD RAM; HP 250GB SATA 3Gb/s . NXuân 7200 1st HDD; HP USB Standard Keyboard; HP USB Optical Scroll  Mouse,  HP 16X DVD+-RW SuperMulti SATA 1st Drive; Floppy Disk Drive, Model:XW8600, No:SGH85101P3</t>
  </si>
  <si>
    <t>3010101089006</t>
  </si>
  <si>
    <t>13.1</t>
  </si>
  <si>
    <t>3010101089006001</t>
  </si>
  <si>
    <t>PC hardware for Automation: Xeon 5450 3.00 12M/1333 QC, NVIDIA Quadro FX3700 512MB PCIe GraphicsHP 4GB (2x2GB) DDR2-667 ECC FBD RAM; HP 250GB SATA 3Gb/s . NXuân 7200 1st HDD; HP USB Standard Keyboard; HP USB Optical Scroll  Mouse,  HP 16X DVD+-RW SuperMulti SATA 1st Drive; Floppy Disk Drive, Model:XW8600, No:SGH85101P6</t>
  </si>
  <si>
    <t>3010101089008</t>
  </si>
  <si>
    <t>ingest 1, Kho Lầu 1</t>
  </si>
  <si>
    <t>14.1</t>
  </si>
  <si>
    <t>3010101089008001</t>
  </si>
  <si>
    <t>PC hardware for AutomationPentium Dual Core E2200 2.2GHz/ G33 Express Chipset/(2* 512MB)=1GB DDR2 800Mhz SDRAM/ 160GB SATA/ DVD R/W+/ No FDD, Win Vista Biz License Preloaded with Win XP Professional, mouse and keyboard, Model:DX2710, No:SGH90307TC</t>
  </si>
  <si>
    <t>3010101089014</t>
  </si>
  <si>
    <t>Alarm K79, phía sau máy VP1</t>
  </si>
  <si>
    <t>15.1</t>
  </si>
  <si>
    <t>3010101089014001</t>
  </si>
  <si>
    <t>PC hardware for AutomationPentium Dual Core E2200 2.2GHz/ G33 Express Chipset/(2* 512MB)=1GB DDR2 800Mhz SDRAM/ 160GB SATA/ DVD R/W+/ No FDD, Win Vista Biz License Preloaded with Win XP Professional, mouse and keyboard, Model:DX2710, No:SGH9040CY7</t>
  </si>
  <si>
    <t>15.2</t>
  </si>
  <si>
    <t>3010101089014002</t>
  </si>
  <si>
    <t>17" LCD monitor, Model:L1710, No:3Xuân8294VMX</t>
  </si>
  <si>
    <t>3010101090006</t>
  </si>
  <si>
    <t>PC hardware for Traffic management</t>
  </si>
  <si>
    <t>upload 1, Phòng PH</t>
  </si>
  <si>
    <t>16.1</t>
  </si>
  <si>
    <t>3010101090006001</t>
  </si>
  <si>
    <t>PC hardware for Traffic managementPentium Dual Core E2200 2.2GHz/ G33 Express Chipset/ (2*512MB) =1GB DDR2 800Mhz SDRAM/ 160GB SATA/ DVD R/W+/ No FDD, Win Vista Biz License Preloaded with Win XP Professional, mouse and keyboard, Model:DX2710, No:SGH90307S4</t>
  </si>
  <si>
    <t>16.2</t>
  </si>
  <si>
    <t>3010101090006002</t>
  </si>
  <si>
    <t>17" LCD monitor, Model:L1710, No:3Xuân8294VMQ</t>
  </si>
  <si>
    <t>3010101090007</t>
  </si>
  <si>
    <t>Hải</t>
  </si>
  <si>
    <t>17.1</t>
  </si>
  <si>
    <t>3010101090007001</t>
  </si>
  <si>
    <t>PC hardware for Traffic managementPentium Dual Core E2200 2.2GHz/ G33 Express Chipset/ (2*512MB) =1GB DDR2 800Mhz SDRAM/ 160GB SATA/ DVD R/W+/ No FDD, Win Vista Biz License Preloaded with Win XP Professional, mouse and keyboard, Model:DX2710, No:SGH9040CXJ</t>
  </si>
  <si>
    <t>17.2</t>
  </si>
  <si>
    <t>3010101090007002</t>
  </si>
  <si>
    <t>17" LCD monitor, Model:L1710, No:3Xuân8294VN5</t>
  </si>
  <si>
    <t>3010101090008</t>
  </si>
  <si>
    <t>18.1</t>
  </si>
  <si>
    <t>3010101090008001</t>
  </si>
  <si>
    <t>PC hardware for Traffic managementPentium Dual Core E2200 2.2GHz/ G33 Express Chipset/ (2*512MB) =1GB DDR2 800Mhz SDRAM/ 160GB SATA/ DVD R/W+/ No FDD, Win Vista Biz License Preloaded with Win XP Professional, mouse and keyboard, Model:DX2710, No:SGH040CXM</t>
  </si>
  <si>
    <t>18.2</t>
  </si>
  <si>
    <t>3010101090008002</t>
  </si>
  <si>
    <t>17" LCD monitor, Model:L1710, No:3Xuân8294VN1</t>
  </si>
  <si>
    <t>3010101091001</t>
  </si>
  <si>
    <t>Hệ thống phần mềm quản lý dịch chuyển tư liệu. Headquarter scheduler Robotics control. Data pump driver 50MB/sec. Type based policy manager. Sq database driver. Quad-Core Intel Xeon processors: E5430:2.66 GHz, 1333 MHz FSB,80W. 2 GB PC2-5300 FDB (DDR2-667) 2x1GB.  2x 500GB 7.2 K HP SATA HDD PC1142SR 4 GB PCI1142SR 4GB PCI E HBA, Gigabit network adapter - Window XP Professional, No:SGH848XNAX</t>
  </si>
  <si>
    <t>Hệ thống</t>
  </si>
  <si>
    <t>PM.cũ
Datapump-2</t>
  </si>
  <si>
    <t>3010101092001</t>
  </si>
  <si>
    <t>Phần cứng máy tính cho hệ thống phần mềm traffic và automation</t>
  </si>
  <si>
    <t>Kho Lầu 1</t>
  </si>
  <si>
    <t>20.1</t>
  </si>
  <si>
    <t>3010101092001001</t>
  </si>
  <si>
    <t>"PC hardware for browsing system , Pentium Dual Core E2200 2.2GHz/ G33 Express Chipset/(2* 512MB)=1GB DDR2 800Mhz SDRAM/ 160GB SATA/ DVD R/W+/ No FDD, Win Vista Biz License Preloaded with Win XP Professional, mouse and keyboard", Model:DX2710, No:SGH90307TF</t>
  </si>
  <si>
    <t>20.2</t>
  </si>
  <si>
    <t>3010101092001002</t>
  </si>
  <si>
    <t>17" LCD monitor, Model:L1710, No:3Xuân8294VN2</t>
  </si>
  <si>
    <t>3010101092002</t>
  </si>
  <si>
    <t>Thảo</t>
  </si>
  <si>
    <t>Ingest 3
trái capture</t>
  </si>
  <si>
    <t>21.1</t>
  </si>
  <si>
    <t>3010101092002001</t>
  </si>
  <si>
    <t>"PC hardware for browsing system , Pentium Dual Core E2200 2.2GHz/ G33 Express Chipset/(2* 512MB)=1GB DDR2 800Mhz SDRAM/ 160GB SATA/ DVD R/W+/ No FDD, Win Vista Biz License Preloaded with Win XP Professional, mouse and keyboard", Model:DX2710, No:SGH90307SC</t>
  </si>
  <si>
    <t>21.2</t>
  </si>
  <si>
    <t>3010101092002002</t>
  </si>
  <si>
    <t>17" LCD monitor, Model:L1710, No:3Xuân8294VN8</t>
  </si>
  <si>
    <t>3010101092003</t>
  </si>
  <si>
    <t>kho l2</t>
  </si>
  <si>
    <t>22.1</t>
  </si>
  <si>
    <t>3010101092003001</t>
  </si>
  <si>
    <t>PC hardware for browsing system , Pentium Dual Core E2200 2.2GHz/ G33 Express Chipset/(2* 512MB)=1GB DDR2 800Mhz SDRAM/ 160GB SATA/ DVD R/W+/ No FDD, Win Vista Biz License Preloaded with Win XP Professional, mouse and keyboard, Model:DX2710, No:SGH9040CWO</t>
  </si>
  <si>
    <t>3010101092004</t>
  </si>
  <si>
    <t>23.1</t>
  </si>
  <si>
    <t>3010101092004001</t>
  </si>
  <si>
    <t>PC hardware for browsing system , Pentium Dual Core E2200 2.2GHz/ G33 Express Chipset/(2* 512MB)=1GB DDR2 800Mhz SDRAM/ 160GB SATA/ DVD R/W+/ No FDD, Win Vista Biz License Preloaded with Win XP Professional, mouse and keyboard, Model:DX2710, No:SGH9040CY9</t>
  </si>
  <si>
    <t>23.2</t>
  </si>
  <si>
    <t>3010101092004002</t>
  </si>
  <si>
    <t>17" LCD monitor, Model:L1710, No:3Xuân8294VGP</t>
  </si>
  <si>
    <t>3010101092005</t>
  </si>
  <si>
    <t>upload1 máy ngoài L1</t>
  </si>
  <si>
    <t>24.1</t>
  </si>
  <si>
    <t>3010101092005001</t>
  </si>
  <si>
    <t>PC hardware for browsing system , Pentium Dual Core E2200 2.2GHz/ G33 Express Chipset/(2* 512MB)=1GB DDR2 800Mhz SDRAM/ 160GB SATA/ DVD R/W+/ No FDD, Win Vista Biz License Preloaded with Win XP Professional, mouse and keyboard, Model:DX2710, No:SGH9040CT8</t>
  </si>
  <si>
    <t>24.2</t>
  </si>
  <si>
    <t>3010101092005002</t>
  </si>
  <si>
    <t>17" LCD monitor, Model:L1710, No:3Xuân8294VHK</t>
  </si>
  <si>
    <t>03/2012</t>
  </si>
  <si>
    <t>3010101096001</t>
  </si>
  <si>
    <t>Máy capture file Digital Future, Model:i-capture, No:0706</t>
  </si>
  <si>
    <t>Máy xác nhận
 file</t>
  </si>
  <si>
    <t>25.1</t>
  </si>
  <si>
    <t>3010101096001001</t>
  </si>
  <si>
    <t>Màn hình LCD 19" Samsung, Model:S19A10N, No:MQ3SHYTB902219M</t>
  </si>
  <si>
    <t>3010101096002</t>
  </si>
  <si>
    <t>Máy capture file Digital Future, Model:i-capture, No:0707</t>
  </si>
  <si>
    <t>MCR</t>
  </si>
  <si>
    <t>Tâm</t>
  </si>
  <si>
    <t>Delay1SD</t>
  </si>
  <si>
    <t>26.1</t>
  </si>
  <si>
    <t>3010101096002001</t>
  </si>
  <si>
    <t>Màn hình LCD 19" Samsung, Model:S19A10N, No:MQ3SHYTB902104W</t>
  </si>
  <si>
    <t>26/2013</t>
  </si>
  <si>
    <t>3010101096003</t>
  </si>
  <si>
    <t>Máy capture file Digital Future, Model:i-capture, No:0714</t>
  </si>
  <si>
    <t>HTV1 MAIN</t>
  </si>
  <si>
    <t>27.1</t>
  </si>
  <si>
    <t>3010101096003001</t>
  </si>
  <si>
    <t>Màn hình vi tính LG 19", Model:E1942CA, No:301INXJ02874</t>
  </si>
  <si>
    <t>39/2013</t>
  </si>
  <si>
    <t>3010101096004</t>
  </si>
  <si>
    <t>Máy capture file Digital Future ((loại 2 kênh)), Model:i-capture, No:0711</t>
  </si>
  <si>
    <t>Delay2SD</t>
  </si>
  <si>
    <t>28.1</t>
  </si>
  <si>
    <t>3010101096004001</t>
  </si>
  <si>
    <t>Màn hình LCD Asus , Model:VS248, No:C7LMTJ004738</t>
  </si>
  <si>
    <t>F1-màn hình máy Đạo diễn, giống serial nhưng khác model ???</t>
  </si>
  <si>
    <t>3010101096005</t>
  </si>
  <si>
    <t>Máy capture file Digital Future ((loại 2 kênh)), Model:i-capture, No:0712</t>
  </si>
  <si>
    <t>Xuân</t>
  </si>
  <si>
    <t>29.1</t>
  </si>
  <si>
    <t>3010101096005001</t>
  </si>
  <si>
    <t>Màn hình LCD Asus , Model:VS248, No:C7LMTJ005923</t>
  </si>
  <si>
    <t>THANH</t>
  </si>
  <si>
    <t>F1: hư, để dưới tủ bàn đạo diễn F1</t>
  </si>
  <si>
    <t>3010101096006</t>
  </si>
  <si>
    <t>Máy capture file Digital Future ((loại 2 kênh)), Model:i-capture, No:0713</t>
  </si>
  <si>
    <t>Capture 2</t>
  </si>
  <si>
    <t>30.1</t>
  </si>
  <si>
    <t>3010101096006001</t>
  </si>
  <si>
    <t>Màn hình LCD Asus , Model:VS248, No:C8LMTF052435</t>
  </si>
  <si>
    <t>0011GTTS/AR/DV09/2016</t>
  </si>
  <si>
    <t>3010101096007</t>
  </si>
  <si>
    <t>Máy capture file Digital Future (Máy ghi file HD cho vệ tinh), Model:i-capture, No:15824C01</t>
  </si>
  <si>
    <t>Capture PD3</t>
  </si>
  <si>
    <t>31.1</t>
  </si>
  <si>
    <t>3010101096007001</t>
  </si>
  <si>
    <t>Màn hình Asus LCD, Model:VS229, No:F6LMQS000639</t>
  </si>
  <si>
    <t>Trung Quốc</t>
  </si>
  <si>
    <t>Cái</t>
  </si>
  <si>
    <t>3010101096008</t>
  </si>
  <si>
    <t>Máy capture file Digital Future (Máy ghi file HD cho vệ tinh), Model:i-capture, No:15824C02</t>
  </si>
  <si>
    <t>Delay2HD</t>
  </si>
  <si>
    <t>32.1</t>
  </si>
  <si>
    <t>3010101096008001</t>
  </si>
  <si>
    <t>Màn hình Asus LCD, Model:VS229, No:F6LMQS000720</t>
  </si>
  <si>
    <t>3010101096009</t>
  </si>
  <si>
    <t>Máy capture file Digital Future (Máy ghi file HD cho vệ tinh), Model:i-capture, No:15824C03</t>
  </si>
  <si>
    <t>Capture 4</t>
  </si>
  <si>
    <t>33.1</t>
  </si>
  <si>
    <t>3010101096009001</t>
  </si>
  <si>
    <t>Màn hình Asus LCD, Model:VS229, No:F6LMQS000723</t>
  </si>
  <si>
    <t>3010101096010</t>
  </si>
  <si>
    <t>Máy capture file Digital Future (Máy ghi file HD cho vệ tinh), Model:i-capture, No:15824C04</t>
  </si>
  <si>
    <t>Capture 5</t>
  </si>
  <si>
    <t>34.1</t>
  </si>
  <si>
    <t>3010101096010001</t>
  </si>
  <si>
    <t>Màn hình Asus LCD, Model:VS229, No:EBLMQS003615</t>
  </si>
  <si>
    <t>3010101096011</t>
  </si>
  <si>
    <t>Máy capture file Digital Future (Máy ghi file HD cho vệ tinh), Model:i-capture, No:15824C05</t>
  </si>
  <si>
    <t>Capture 3</t>
  </si>
  <si>
    <t>35.1</t>
  </si>
  <si>
    <t>3010101096011001</t>
  </si>
  <si>
    <t>Màn hình Asus LCD, Model:VS229, No:EBLMQS004036</t>
  </si>
  <si>
    <t>27/2013</t>
  </si>
  <si>
    <t>3010101107004</t>
  </si>
  <si>
    <t>Máy tính duyệt file Digital Future, Model:i-Check, No:40030</t>
  </si>
  <si>
    <t>36.1</t>
  </si>
  <si>
    <t>3010101107004001</t>
  </si>
  <si>
    <t>Màn hình vi tính Samsung 19", Model:S19B150B, No:MQJ3HYCD300445A</t>
  </si>
  <si>
    <t>bàn HA quản lý CPU, a Việt giữ màn hình</t>
  </si>
  <si>
    <t>23/2012</t>
  </si>
  <si>
    <t>3010101111001</t>
  </si>
  <si>
    <t>Máy vi tính Apple có chức năng dựng , Model:Mac Pro, No:YM13901XEUH</t>
  </si>
  <si>
    <t>NQ</t>
  </si>
  <si>
    <t>phòng Hoàng Long</t>
  </si>
  <si>
    <t>37.1</t>
  </si>
  <si>
    <t>3010101111001001</t>
  </si>
  <si>
    <t>Màn hình Apple LED Cinema Display, Model:Mac Pro, No:W82031X66JL</t>
  </si>
  <si>
    <t>37.2</t>
  </si>
  <si>
    <t>3010101111001002</t>
  </si>
  <si>
    <t>Màn hình Apple LED Cinema Display, Model:Mac Pro, No:W82031WH6JL</t>
  </si>
  <si>
    <t>3010101111002</t>
  </si>
  <si>
    <t>Máy vi tính Apple có chức năng dựng , Model:Mac Pro, No:YM13901YEUH</t>
  </si>
  <si>
    <t>PGD</t>
  </si>
  <si>
    <t>HAN</t>
  </si>
  <si>
    <t>P.htkt, bàn sạc pin</t>
  </si>
  <si>
    <t>38.1</t>
  </si>
  <si>
    <t>3010101111002001</t>
  </si>
  <si>
    <t>Màn hình Apple LED Cinema Display, Model:Mac Pro, No:W814938U6JL</t>
  </si>
  <si>
    <t>38.2</t>
  </si>
  <si>
    <t>3010101111002002</t>
  </si>
  <si>
    <t>Màn hình Apple LED Cinema Display, Model:Mac Pro, No:W82031WC6JL</t>
  </si>
  <si>
    <t>có giấy bàn giao a An, FILE HAN-A An man hinh Apple 20-1-2017</t>
  </si>
  <si>
    <t>28/2012</t>
  </si>
  <si>
    <t>3010101112001</t>
  </si>
  <si>
    <t>Phần cứng máy chủ HP, Model:DL160 G6, No:SGH147XACB</t>
  </si>
  <si>
    <t>Singapore</t>
  </si>
  <si>
    <t>R 2-6
Boss PC New</t>
  </si>
  <si>
    <t>3010101112002</t>
  </si>
  <si>
    <t>Phần cứng máy chủ HP ((Server quản lý đồ họa Kernel Controller/WASP3D)), Model:DL160 G6, No:CN7238090P</t>
  </si>
  <si>
    <t>40.1</t>
  </si>
  <si>
    <t>3010101112002001</t>
  </si>
  <si>
    <t>Màn hình LCD HP, Model:LE2002X, No:CNC1400LX9</t>
  </si>
  <si>
    <t>31/2012</t>
  </si>
  <si>
    <t>3010101113001</t>
  </si>
  <si>
    <t>Hệ thống server lưu trữ, Model:i-Storage, No:0033</t>
  </si>
  <si>
    <t>Storage HTV4</t>
  </si>
  <si>
    <t>42/2012</t>
  </si>
  <si>
    <t>3010101115001</t>
  </si>
  <si>
    <t>Máy tính Worsktation HP (Hệ thống đồ họa: nguồn HP Z800 850W, MS Windows 7 Professional 64,CPU Intel Xeon X56723.20 12MB/1333 4C. CPU1. RAM: HP4GB (4x1GB)DDR3-1333ECC 1-CPU. Graphic card : ATI Radeon HD 6970 2GB PCIe . HDD: HP 320GB SATA 7200, 1st. HP USB standard keyboard. HP USB Optical Sccroll Mouse. HP 16X DVD+/-RW Super Multi SATA, 1stODD. HP Air Cooling Solution), Model:Z800, No:SGH213T2N2</t>
  </si>
  <si>
    <t>42.1</t>
  </si>
  <si>
    <t>3010101115001001</t>
  </si>
  <si>
    <t>Màn hình 24" Asus full HD, Model:VH242H, No:A3LMTF128425</t>
  </si>
  <si>
    <t>Màn hình bàn Thanh</t>
  </si>
  <si>
    <t>3010101115003</t>
  </si>
  <si>
    <t>Máy tính Worsktation HP ((Hệ thống thiết bị tạo đồ họa Drone Designer/ WASP3D)), Model:Z800, No:SGH247Q65S</t>
  </si>
  <si>
    <t>bàn cHA - Drone Designer</t>
  </si>
  <si>
    <t>43.1</t>
  </si>
  <si>
    <t>3010101115003001</t>
  </si>
  <si>
    <t>Màn hình LCD Asus , Model:VS248, No:C1LMQS122455</t>
  </si>
  <si>
    <t>3010101116001</t>
  </si>
  <si>
    <t>Máy tính Worsktation HP (Hệ thống điều khiển: nguồn HP Z200 320W, Graphics cardATI Fire Pro V4800 1GB. HDD: HP 250GB SATA 7200, 1st. HP USB standard keyboard. HP USB Optical Sccroll Mouse. OS MS Windows 7 Profestional 64 bit có bản quyền . HP 16X DVD+ RW Super Multi SATA 1st Drive. CPU Intel Xeon X3430 2.40 8MB+B70/1333QC. Windows 7 OS WW Recovery Media RAM HP 2GB (2x1GB)DDR3-1333 nECC), Model:Z210, No:SGH213T2N1</t>
  </si>
  <si>
    <t>44.1</t>
  </si>
  <si>
    <t>3010101116001001</t>
  </si>
  <si>
    <t>Màn hình 20" HP LED, Model:X20, No:CNC0380TW3</t>
  </si>
  <si>
    <t>3010101119001</t>
  </si>
  <si>
    <t>Server Ross (cài phần mềm điều khiển), Model:MC1-DB-SRV, No:50116655001</t>
  </si>
  <si>
    <t>Canada</t>
  </si>
  <si>
    <t xml:space="preserve">Kho </t>
  </si>
  <si>
    <t>3010101119002</t>
  </si>
  <si>
    <t>Server Ross (cài phần mềm điều khiển), Model:MC1-DB-SRV, No:50116655002</t>
  </si>
  <si>
    <t>3010101120001</t>
  </si>
  <si>
    <t>Máy CG Tương Lai Số , Model:i-logo, No:75017</t>
  </si>
  <si>
    <t>Capture 1</t>
  </si>
  <si>
    <t>47.1</t>
  </si>
  <si>
    <t>3010101120001001</t>
  </si>
  <si>
    <t>Màn hình Vi tính LG 19", Model:E1942CA, No:301INQU04564</t>
  </si>
  <si>
    <t>3010101120002</t>
  </si>
  <si>
    <t>Máy CG Tương Lai Số , Model:i-logo, No:75018</t>
  </si>
  <si>
    <t>CG HTV2</t>
  </si>
  <si>
    <t>48.1</t>
  </si>
  <si>
    <t>3010101120002001</t>
  </si>
  <si>
    <t>Màn hình Vi tính LG 19", Model:E1942CA, No:301INTX02865</t>
  </si>
  <si>
    <t>3010101120003</t>
  </si>
  <si>
    <t>Máy CG Tương Lai Số , Model:i-logo, No:75019</t>
  </si>
  <si>
    <t>CG HTV2 cũ (kho)</t>
  </si>
  <si>
    <t>49.1</t>
  </si>
  <si>
    <t>3010101120003001</t>
  </si>
  <si>
    <t>Màn hình Vi tính LG 19", Model:E1942CA, No:301INRC02878</t>
  </si>
  <si>
    <t>3010101121001</t>
  </si>
  <si>
    <t>Máy DDR Tương Lai Số, Model:i-DDR-C2, No:71016</t>
  </si>
  <si>
    <t>HTV1 Backup cũ (Kho)</t>
  </si>
  <si>
    <t>3010101121001001</t>
  </si>
  <si>
    <t>Màn hình vi tính LG 19", Model:E1942CA, No:301INEW02868</t>
  </si>
  <si>
    <t>3010101122001</t>
  </si>
  <si>
    <t>Server phát sóng HD Digital Future, Model:i-box HD, No:0125</t>
  </si>
  <si>
    <t>DDR 3</t>
  </si>
  <si>
    <t>51.1</t>
  </si>
  <si>
    <t>3010101122001001</t>
  </si>
  <si>
    <t>Màn hình vi tính Viewsonic 19", Model:VA1931WMA-LED, No:SA 0120951556</t>
  </si>
  <si>
    <t>3010101122002</t>
  </si>
  <si>
    <t>Server phát sóng HD Digital Future, Model:i-box HD, No:0126</t>
  </si>
  <si>
    <t>52.1</t>
  </si>
  <si>
    <t>3010101122002001</t>
  </si>
  <si>
    <t>Màn hình vi tính Viewsonic 19", Model:VA1931WMA-LED, No:SA 0120951582</t>
  </si>
  <si>
    <t>3010101123001</t>
  </si>
  <si>
    <t>Thiết bị cấy logo/chữ HD Digital Future , Model:i_Logo HD, No:75020</t>
  </si>
  <si>
    <t>CG DP k9</t>
  </si>
  <si>
    <t>53.1</t>
  </si>
  <si>
    <t>3010101123001001</t>
  </si>
  <si>
    <t>Màn hình vi tính Samsung 19", Model:S19B150B, No:MQJ3HYCCC00743A</t>
  </si>
  <si>
    <t>3010101123002</t>
  </si>
  <si>
    <t>Thiết bị cấy logo/chữ HD Digital Future , Model:i_Logo HD, No:75021</t>
  </si>
  <si>
    <t>Pmáy MCR-A viet</t>
  </si>
  <si>
    <t>54.1</t>
  </si>
  <si>
    <t>3010101123002001</t>
  </si>
  <si>
    <t>Màn hình vi tính Samsung 19", Model:S19B150B, No:MQJ3HYCCC01201N</t>
  </si>
  <si>
    <t>28/2013</t>
  </si>
  <si>
    <t>3010101124001</t>
  </si>
  <si>
    <t>Máy chủ HP ((Phần cứng cho Datapump)), Model:DL360 G7, No:CN724700NK</t>
  </si>
  <si>
    <t>Pump3 - Pmáy cũ</t>
  </si>
  <si>
    <t>3010101125001</t>
  </si>
  <si>
    <t>ContentServer Harmonic ((with 16x2TB drives and 4x10GbE optical ethernet ports and 4 SFP+ LC Transceivers) kèm bộ ContentDirectors 1000(with 16x2TB drives and 4x10GbE optical ethernet ports and 4 SFP+ LC Transceivers), kèm bộ ContentDirectors 1000), Model:CSS-3000, No:12311530RN01474</t>
  </si>
  <si>
    <t>R 6 - Mediagrid</t>
  </si>
  <si>
    <t>56.1</t>
  </si>
  <si>
    <t>3010101125001001</t>
  </si>
  <si>
    <t>ContentDirectors 1000 Omneon, Model:CLD-1000D, No:CL69VS07V1</t>
  </si>
  <si>
    <t>56.2</t>
  </si>
  <si>
    <t>3010101125001002</t>
  </si>
  <si>
    <t>ContentDirectors 1000 Omneon, Model:CLD-1000D, No:CL69WBZ6V1</t>
  </si>
  <si>
    <t>3010101126001</t>
  </si>
  <si>
    <t>MediaGrid-3000 Contentstore Harmonic ((with 16x2TB Drives providing 32TB Raw Disk Space)), Model:CSJ-3160, No:12381532RN017448</t>
  </si>
  <si>
    <t>3010101127001</t>
  </si>
  <si>
    <t>MediaGrid ContentBridge Omneon ((with 2x1GbE Ethernet Ports)), Model:CLB-1000B, No:12501441RN07041</t>
  </si>
  <si>
    <t>3010101128001</t>
  </si>
  <si>
    <t>Systemmanager Omneon ((kèm LCD Samsung)), Model:Dell NSM-R210, No:SM5JS32MS1</t>
  </si>
  <si>
    <t>Mexico</t>
  </si>
  <si>
    <t>59.1</t>
  </si>
  <si>
    <t>3010101128001001</t>
  </si>
  <si>
    <t>LCD Display Samsung, Model:RKP117ei, No:S122390812162-1112N032</t>
  </si>
  <si>
    <t>34/2013</t>
  </si>
  <si>
    <t>3010101129001</t>
  </si>
  <si>
    <t>Máy tính workstation HP ((Hệ thống ảo)), Model:Z820, No:SGH310PJ80</t>
  </si>
  <si>
    <t>60.1</t>
  </si>
  <si>
    <t>3010101129001001</t>
  </si>
  <si>
    <t>Màn hình LCD HP, Model:ZR2440W, No:CN43030NWP</t>
  </si>
  <si>
    <t>60.2</t>
  </si>
  <si>
    <t>3010101129001002</t>
  </si>
  <si>
    <t>Bộ làm trễ âm thanh Hotronic, Model:AU51D, No:51243</t>
  </si>
  <si>
    <t>60.3</t>
  </si>
  <si>
    <t>3010101129001003</t>
  </si>
  <si>
    <t>Bộ làm trễ âm thanh Hotronic, Model:AU51D, No:51244</t>
  </si>
  <si>
    <t>QUAN</t>
  </si>
  <si>
    <t>A1 delay loa sau bàn Đạo diễn</t>
  </si>
  <si>
    <t>3010101140001</t>
  </si>
  <si>
    <t>Server Digital Future ((phát sóng)), Model:i-Box, No:0121</t>
  </si>
  <si>
    <t>HTV4 Main</t>
  </si>
  <si>
    <t>61.1</t>
  </si>
  <si>
    <t>3010101140001001</t>
  </si>
  <si>
    <t>Màn hình LCD Viewsonic 19'' , Model:VA1931WMA_LED, No:SA0121642629</t>
  </si>
  <si>
    <t>61.2</t>
  </si>
  <si>
    <t>3010101140001002</t>
  </si>
  <si>
    <t>Bộ lưu trữ Digital Future, Model:i-Storage, No:0035</t>
  </si>
  <si>
    <t>61.3</t>
  </si>
  <si>
    <t>3010101140001003</t>
  </si>
  <si>
    <t>Màn hình LCD Viewsonic 19'' , Model:VA1931WMA_LED, No:SA0121640357</t>
  </si>
  <si>
    <t>3010101140002</t>
  </si>
  <si>
    <t>Server Digital Future ((phát sóng)), Model:i-Box, No:0122</t>
  </si>
  <si>
    <t>HTV1 Backup</t>
  </si>
  <si>
    <t>62.1</t>
  </si>
  <si>
    <t>3010101140002001</t>
  </si>
  <si>
    <t>Màn hình LCD Viewsonic 19'' , Model:VA1931WMA_LED, No:SA0121640273</t>
  </si>
  <si>
    <t>62.2</t>
  </si>
  <si>
    <t>3010101140002002</t>
  </si>
  <si>
    <t>Bộ lưu trữ Digital Future, Model:i-Storage, No:0036</t>
  </si>
  <si>
    <t>62.3</t>
  </si>
  <si>
    <t>3010101140002003</t>
  </si>
  <si>
    <t>Màn hình LCD Viewsonic 19'' , Model:VA1931WMA_LED, No:SA0120953160</t>
  </si>
  <si>
    <t>3010101140003</t>
  </si>
  <si>
    <t>Server Digital Future ((phát sóng)), Model:i-Box, No:0123</t>
  </si>
  <si>
    <t>HTVTT Main cũ (Kho)</t>
  </si>
  <si>
    <t>63.1</t>
  </si>
  <si>
    <t>3010101140003001</t>
  </si>
  <si>
    <t>Màn hình LCD Viewsonic 19'' , Model:VA1931WMA_LED, No:SA0121640432</t>
  </si>
  <si>
    <t>3010101140004</t>
  </si>
  <si>
    <t>Server Digital Future ((phát sóng)), Model:i-Box, No:0124</t>
  </si>
  <si>
    <t>HTVTT Backup</t>
  </si>
  <si>
    <t>64.1</t>
  </si>
  <si>
    <t>3010101140004001</t>
  </si>
  <si>
    <t>Màn hình LCD Viewsonic 19'' , Model:VA1931WMA_LED, No:SA0121640369</t>
  </si>
  <si>
    <t>0003GTTS/AR/DV09/2014</t>
  </si>
  <si>
    <t>30101011480001</t>
  </si>
  <si>
    <t>3010101148001</t>
  </si>
  <si>
    <t>Máy chủ HP (quản trị cơ sở dữ liệu hệ thống phát sóng Etere), Model:DL380P Gen8, No:SGH33845EM</t>
  </si>
  <si>
    <t>SQL node 1 R5-7</t>
  </si>
  <si>
    <t>0007GTTS/AR/DV09/2016</t>
  </si>
  <si>
    <t>3010101148002</t>
  </si>
  <si>
    <t>Máy chủ HP (cho quản trị cơ sở dữ liệu hệ thống phát sóng Etere), Model:DL380P Gen8, No:SGH441XBTD</t>
  </si>
  <si>
    <t>SQL node 2  R5-6</t>
  </si>
  <si>
    <t>0001DA/2014-GTTS/AS/DV09/2014</t>
  </si>
  <si>
    <t>3010101156001</t>
  </si>
  <si>
    <t>Thiết bị điều khiển hệ thống iNews- HP, Model:HP Compaq Elite 8300., No:SGH399S1QW</t>
  </si>
  <si>
    <t>máy Hàn</t>
  </si>
  <si>
    <t>67.1</t>
  </si>
  <si>
    <t>3010101156001001</t>
  </si>
  <si>
    <t>Monitor LCD 17" LE1711, Model:HP-LE1711, No:CNC327Q7V7</t>
  </si>
  <si>
    <t>A1 màn hình máy Inews</t>
  </si>
  <si>
    <t>3010101156002</t>
  </si>
  <si>
    <t>Thiết bị điều khiển hệ thống iNews- HP, Model:HP Compaq Elite 8300., No:SGH399S1QV</t>
  </si>
  <si>
    <t>F1-R1 Linux chép file</t>
  </si>
  <si>
    <t>68.1</t>
  </si>
  <si>
    <t>3010101156002001</t>
  </si>
  <si>
    <t>Monitor LCD 17" LE1711, Model:HP-LE1711, No:CNC327Q7VP</t>
  </si>
  <si>
    <t>A-màn hình máy Inews (Airspeed)</t>
  </si>
  <si>
    <t>3010101156003</t>
  </si>
  <si>
    <t>Thiết bị điều khiển hệ thống iNews- HP, Model:HP Compaq Elite 8300., No:SGH399S1QX</t>
  </si>
  <si>
    <t>A2 PROMPTER</t>
  </si>
  <si>
    <t>69.1</t>
  </si>
  <si>
    <t>3010101156003001</t>
  </si>
  <si>
    <t>Monitor LCD 17" LE1711, Model:HP-LE1711, No:CNC327Q81P</t>
  </si>
  <si>
    <t xml:space="preserve">HƯ, PHÒNG ĐÈN A1 </t>
  </si>
  <si>
    <t>3010101157003</t>
  </si>
  <si>
    <t>Hệ thống chạy chữ (Autoscript) bao gồm:Thiết bị xuất hình và  Bộ điều khiển chạy chữ (Theo chi tiết), Model:Xbox Ultra WinPlus, No:24130640</t>
  </si>
  <si>
    <t>A1-R1: chia prompter</t>
  </si>
  <si>
    <t>70.1</t>
  </si>
  <si>
    <t>3010101157001001</t>
  </si>
  <si>
    <t>Bộ điều khiển chạy chữ: WinPlus HC-1, No:6260</t>
  </si>
  <si>
    <t>A1 Bàn MC</t>
  </si>
  <si>
    <t>70.2</t>
  </si>
  <si>
    <t>3010101157001002</t>
  </si>
  <si>
    <t>Màn hình 17", khung chứa màn hình, No:C8358</t>
  </si>
  <si>
    <t>A1 màn hình prompter trên CAM 4</t>
  </si>
  <si>
    <t>70.3</t>
  </si>
  <si>
    <t>3010101157001003</t>
  </si>
  <si>
    <t>Màn hình 17", khung chứa màn hình, No:17LH160090</t>
  </si>
  <si>
    <t>A1 màn hình prompter trên CAM 2</t>
  </si>
  <si>
    <t>70.4</t>
  </si>
  <si>
    <t>3010101157001004</t>
  </si>
  <si>
    <t>Màn hình 17", khung chứa màn hình, No:C8360</t>
  </si>
  <si>
    <t>F1 PROMPTER CAM 2</t>
  </si>
  <si>
    <t>70.5</t>
  </si>
  <si>
    <t>3010101157001005</t>
  </si>
  <si>
    <t>Màn hình 17", khung chứa màn hình, No:C8359</t>
  </si>
  <si>
    <t>A2 PHÒNG KHO</t>
  </si>
  <si>
    <t>70.6</t>
  </si>
  <si>
    <t>3010101157001006</t>
  </si>
  <si>
    <t>Máy tính điều khiển xách tay-HP, Model:PROB00K440GO, No:2CE32105B7</t>
  </si>
  <si>
    <t>Phòng làm việc tủ hồ sơ trên a Hàn</t>
  </si>
  <si>
    <t>70.7</t>
  </si>
  <si>
    <t>3010101157001007</t>
  </si>
  <si>
    <t xml:space="preserve">Phần mềm WinPlus </t>
  </si>
  <si>
    <t>Phần Mềm</t>
  </si>
  <si>
    <t>soft</t>
  </si>
  <si>
    <t>3010101158002</t>
  </si>
  <si>
    <t>Bộ tạo chữ gồm máy server- phần mềm Stingserver,  máy điều khiển - phần mềm StingClient.  (Theo chi tiết)</t>
  </si>
  <si>
    <t>A1-R1 Sting Server</t>
  </si>
  <si>
    <t>71.1</t>
  </si>
  <si>
    <t>3010101158001001</t>
  </si>
  <si>
    <t>Phần cứng thiết kế đồ họa: Z620 Workstation Intel Xeon E5-1650 3.20Ghz 12MB 1600 6C; 4GB DDR3-1600 (2x2GB) 1CPU RAM; NVIDIA Quadro 4000 2GB Graphics; 1TB 7200 RPM SATA HDD; 16X SuperMulti DVDRW SATA; Windows 7 Pro Edition 64bit; bàn phím, chuột, Model:HP-Z620, No:SGH341TSL1</t>
  </si>
  <si>
    <t>71.2</t>
  </si>
  <si>
    <t>3010101158001002</t>
  </si>
  <si>
    <t>23" monitor LCD full HD 2311F, Model:HP2311F, No:CNT22650G8</t>
  </si>
  <si>
    <t>Màn hình gửi TTDK bàn Thanh</t>
  </si>
  <si>
    <t>71.3</t>
  </si>
  <si>
    <t>3010101158001003</t>
  </si>
  <si>
    <t>Phần cứng điều khiển: Z220 workstation Intel Xeon E3-1245v2 3.4GHz 8MB 4C; 4GB DDR3-1600 ECC (2x2GB) RAM; NVIDIA Quadro 600 1GB Graphics; 500GB 7200 RPM SATA 6G HDD; Windows 7 Pro 64bit, Model:HP-Z220, No:SGH322TXZ6</t>
  </si>
  <si>
    <t>A1-R1 Wasp client</t>
  </si>
  <si>
    <t>71.4</t>
  </si>
  <si>
    <t>3010101158001004</t>
  </si>
  <si>
    <t>20" monitor LCD LV-2011, Model:HP-LV2011, No:CNC308PW59</t>
  </si>
  <si>
    <t>3010101159001</t>
  </si>
  <si>
    <t>Bộ phát hình bằng file chuẩn HD (DDR) (Tương lai số), Model:i-DDR HD, No:100913C03</t>
  </si>
  <si>
    <t>F1-R1 DDR1</t>
  </si>
  <si>
    <t>72.1</t>
  </si>
  <si>
    <t>3010101159001001</t>
  </si>
  <si>
    <t>Kèm màn hình Azus, bàn phím, chuột, Model:VS197, No:D5LMTF145956</t>
  </si>
  <si>
    <t>A1 Màn hình phía sau videowall 20g</t>
  </si>
  <si>
    <t>3010101159002</t>
  </si>
  <si>
    <t>Bộ phát hình bằng file chuẩn HD (DDR) (Tương lai số), Model:i-DDR HD, No:100913C01</t>
  </si>
  <si>
    <t>A1-R1 DDR2</t>
  </si>
  <si>
    <t>73.1</t>
  </si>
  <si>
    <t>3010101159002001</t>
  </si>
  <si>
    <t>Kèm màn hình Azus, bàn phím, chuột, Model:VS197, No:D5LMTF145689</t>
  </si>
  <si>
    <t>A1 màn hình Đạo diễn</t>
  </si>
  <si>
    <t>3010101160001</t>
  </si>
  <si>
    <t>Bộ ghi hình bằng file chuẩn HD (DDR)(Tương lai số), Model:i-DDR HD, No:100913C02</t>
  </si>
  <si>
    <t>A1-R1 DDR3</t>
  </si>
  <si>
    <t>74.1</t>
  </si>
  <si>
    <t>3010101160001001</t>
  </si>
  <si>
    <t>Kèm màn hình Azus, bàn phím, chuột, Model:VS197, No:D5LMTF145901</t>
  </si>
  <si>
    <t>A1-R3 màn hình videotek</t>
  </si>
  <si>
    <t>0002GTTS/AR/DV09/2016</t>
  </si>
  <si>
    <t>3010101174001</t>
  </si>
  <si>
    <t>Máy chủ HP (phát sóng 2RU kèm bộ lưu trữ 8TB - không MH (Intel Xeon E5-2643 FIO Kit, RAM 32GB (4x8GB) DDR3, System HDD 2x300 6G SAS, Gigabit Ethernet 4 port, DVD ROM, 2 nguồn cấp 460W, Windows server 2012 Standard 32/64 bit, bản quyền - MediaStorage: 5x2TB SATA, Smart Raid controller)), Model:Proliant DL380p Gen8, No:SGH451XCPY</t>
  </si>
  <si>
    <t>MTX1 -Pmáy</t>
  </si>
  <si>
    <t>75.1</t>
  </si>
  <si>
    <t>3010101174001001</t>
  </si>
  <si>
    <t>Phần cứng Matrox xử lý vào ra hỗ trợ đã định dạng và breakout box cable cho các kênh playout (Card), Model:DSXLE3/04/500*, No:A518888</t>
  </si>
  <si>
    <t>Chiếc</t>
  </si>
  <si>
    <t>75.2</t>
  </si>
  <si>
    <t>3010101174001002</t>
  </si>
  <si>
    <t>Phần mềm Etere Automation, MAM, Model:ETINSTD</t>
  </si>
  <si>
    <t>Ý</t>
  </si>
  <si>
    <t>3010101174002</t>
  </si>
  <si>
    <t>Máy chủ HP (phát sóng 2RU kèm bộ lưu trữ 8TB - không MH (Intel Xeon E5-2643 FIO Kit, RAM 32GB (4x8GB) DDR3, System HDD 2x300 6G SAS, Gigabit Ethernet 4 port, DVD ROM, 2 nguồn cấp 460W, Windows server 2012 Standard 32/64 bit, bản quyền - MediaStorage: 5x2TB SATA, Smart Raid controller)), Model:Proliant DL380p Gen8, No:SGH451XCR1</t>
  </si>
  <si>
    <t>MTX2-Pmáy</t>
  </si>
  <si>
    <t>76.1</t>
  </si>
  <si>
    <t>3010101174002001</t>
  </si>
  <si>
    <t>Phần cứng Matrox xử lý vào ra hỗ trợ đã định dạng và breakout box cable cho các kênh playout (Card), Model:DSXLE3/04/500*, No:A518886</t>
  </si>
  <si>
    <t>76.2</t>
  </si>
  <si>
    <t>3010101174002002</t>
  </si>
  <si>
    <t>3010101174003</t>
  </si>
  <si>
    <t>Máy chủ HP (phát sóng 2RU kèm bộ lưu trữ 8TB - không MH (Intel Xeon E5-2643 FIO Kit, RAM 32GB (4x8GB) DDR3, System HDD 2x300 6G SAS, Gigabit Ethernet 4 port, DVD ROM, 2 nguồn cấp 460W, Windows server 2012 Standard 32/64 bit, bản quyền - MediaStorage: 5x2TB SATA, Smart Raid controller)), Model:Proliant DL380p Gen8, No:SGH451XCR0</t>
  </si>
  <si>
    <t>MTX3 -PH</t>
  </si>
  <si>
    <t>77.1</t>
  </si>
  <si>
    <t>3010101174003001</t>
  </si>
  <si>
    <t>Phần cứng Matrox xử lý vào ra hỗ trợ đã định dạng và breakout box cable cho các kênh playout (Card), Model:DSXLE3/04/500*, No:A516397</t>
  </si>
  <si>
    <t>77.2</t>
  </si>
  <si>
    <t>3010101174003002</t>
  </si>
  <si>
    <t>3010101175001</t>
  </si>
  <si>
    <t>Máy chủ HP (quản lý media - không MH (Intel Xeon E5-2640v2SDHS FIO Kit, RAM 16GB (2x8GB) DDR3, System HDD 2x300 6G SAS, Media Drive: 2x1TB, Gigabit Ethernet 4 port, DVD ROM, 2 nguồn cấp 460W, Windows server 2012 Standard 64 bit)), Model:Proliant DL360p Gen8, No:SGH451XCPR</t>
  </si>
  <si>
    <t>Mediamanager new</t>
  </si>
  <si>
    <t>3010101175002</t>
  </si>
  <si>
    <t>Máy chủ HP (quản lý media - không MH (Intel Xeon E5-2640v2SDHS FIO Kit, RAM 16GB (2x8GB) DDR3, System HDD 2x300 6G SAS, Media Drive: 2x1TB, Gigabit Ethernet 4 port, DVD ROM, 2 nguồn cấp 460W, Windows server 2012 Standard 64 bit)), Model:Proliant DL360p Gen8, No:SGH451XCPS</t>
  </si>
  <si>
    <t>Webserver new</t>
  </si>
  <si>
    <t>3010101176001</t>
  </si>
  <si>
    <t>Máy lưu trữ HP (Hệ thống lưu trữ SAN cho hệ thống Cluster 5,4TB), Model:MSA 2040, No:2S6436C038</t>
  </si>
  <si>
    <t>Bộ SAN SQL.</t>
  </si>
  <si>
    <t>0003DA/2016/GTTS/AS/DV09/2016</t>
  </si>
  <si>
    <t>3010101178001</t>
  </si>
  <si>
    <t>Máy chủ Media Manager và Automation - HP (không có màn hình), Model:ProLiant DL360 Gen9, No:SGH547XF9A</t>
  </si>
  <si>
    <t>Trans02   R4-1</t>
  </si>
  <si>
    <t>3010101178002</t>
  </si>
  <si>
    <t>Máy chủ Media Manager và Automation - HP (không có màn hình), Model:ProLiant DL360 Gen9, No:SGH547XF91</t>
  </si>
  <si>
    <t>Pumpnew3  R5-3</t>
  </si>
  <si>
    <t>3010101178003</t>
  </si>
  <si>
    <t>Máy chủ Media Manager và Automation - HP (không có màn hình), Model:ProLiant DL360 Gen9, No:SGH547XF94</t>
  </si>
  <si>
    <t>Trans03  R3-2</t>
  </si>
  <si>
    <t>3010101178004</t>
  </si>
  <si>
    <t>Máy chủ Media Manager và Automation - HP (không có màn hình), Model:ProLiant DL360 Gen9, No:SGH547XF92</t>
  </si>
  <si>
    <t>Pumpnew1  R5-2</t>
  </si>
  <si>
    <t>3010101178005</t>
  </si>
  <si>
    <t>Máy chủ Media Manager và Automation - HP, Model:ProLiant DL360 Gen9, No:SGH547XF9L</t>
  </si>
  <si>
    <t>AutoBK7  R4-5</t>
  </si>
  <si>
    <t>3010101178006</t>
  </si>
  <si>
    <t>Máy chủ Media Manager và Automation - HP, Model:ProLiant DL360 Gen9, No:SGH547XF9J</t>
  </si>
  <si>
    <t>AutoM9  R4-7</t>
  </si>
  <si>
    <t>3010101179001</t>
  </si>
  <si>
    <t>Máy trạm quản lý lập lịch, giám sát lịch phát hình + màn hình 21,5" LCD - HP, Model:Z230, No:SGH546P7G8</t>
  </si>
  <si>
    <t>Editor9 / Editor9</t>
  </si>
  <si>
    <t>87.1</t>
  </si>
  <si>
    <t>3010101179001001</t>
  </si>
  <si>
    <t>Màn hình 21,5" LCD - HP, Model:HP-Z22i, No:CNC5380BRQ</t>
  </si>
  <si>
    <t>3010101179002</t>
  </si>
  <si>
    <t>Máy trạm quản lý lập lịch, giám sát lịch phát hình + màn hình 21,5" LCD - HP, Model:Z230, No:SGH546P7GL</t>
  </si>
  <si>
    <t>PM.Mới Rack3/ DDR3</t>
  </si>
  <si>
    <t>88.1</t>
  </si>
  <si>
    <t>3010101179002001</t>
  </si>
  <si>
    <t>Màn hình 21,5" LCD - HP, Model:HP-Z22i, No:CNC5380BKT</t>
  </si>
  <si>
    <t>3010101179003</t>
  </si>
  <si>
    <t>Máy trạm quản lý lập lịch, giám sát lịch phát hình + màn hình 21,5" LCD - HP, Model:Z230, No:SGH546P7GN</t>
  </si>
  <si>
    <t>MCR.camera/ VP2</t>
  </si>
  <si>
    <t>89.1</t>
  </si>
  <si>
    <t>3010101179003001</t>
  </si>
  <si>
    <t>Màn hình 21,5" LCD - HP, Model:HP-Z22i, No:CNC5380BR1</t>
  </si>
  <si>
    <t>3010101179004</t>
  </si>
  <si>
    <t>Máy trạm quản lý lập lịch, giám sát lịch phát hình + màn hình 21,5" LCD - HP, Model:Z230, No:SGH546P7G7</t>
  </si>
  <si>
    <t>Kho Lầu 2/ PVW 2</t>
  </si>
  <si>
    <t>90.1</t>
  </si>
  <si>
    <t>3010101179004001</t>
  </si>
  <si>
    <t>Màn hình 21,5" LCD - HP, Model:HP-Z22i, No:CNC5380BRG</t>
  </si>
  <si>
    <t>3010101179005</t>
  </si>
  <si>
    <t>Máy trạm quản lý lập lịch, giám sát lịch phát hình + màn hình 21,5" LCD - HP, Model:Z230, No:SGH546P7GQ</t>
  </si>
  <si>
    <t>INEW/ editor 7</t>
  </si>
  <si>
    <t>91.1</t>
  </si>
  <si>
    <t>3010101179005001</t>
  </si>
  <si>
    <t>Màn hình 21,5" LCD - HP, Model:HP-Z22i, No:CNC5380BRM</t>
  </si>
  <si>
    <t>3010101180001</t>
  </si>
  <si>
    <t>Máy tính HP (Kèm Giấy phép kết nối cho máy trạm), Model:EliteDesk 800G1SFF, No:SGH546P7FY</t>
  </si>
  <si>
    <t>Mastere FBNC</t>
  </si>
  <si>
    <t>92.1</t>
  </si>
  <si>
    <t>3010101180001001</t>
  </si>
  <si>
    <t>Màn hình HP, Model:Pro DisplayP222Va, No:6CM5422NTX</t>
  </si>
  <si>
    <t>3010101180002</t>
  </si>
  <si>
    <t>Máy tính HP (Kèm Giấy phép kết nối cho máy trạm), Model:EliteDesk 800G1SFF, No:SGH546P7GO</t>
  </si>
  <si>
    <t>PVW.4/ MCR (R9)</t>
  </si>
  <si>
    <t>93.1</t>
  </si>
  <si>
    <t>3010101180002001</t>
  </si>
  <si>
    <t>Màn hình HP, Model:Pro DisplayP222Va, No:6CM5422M64</t>
  </si>
  <si>
    <t>3010101180003</t>
  </si>
  <si>
    <t>Máy tính HP (Kèm Giấy phép kết nối cho máy trạm), Model:EliteDesk 800G1SFF, No:SGH546P7FJ</t>
  </si>
  <si>
    <t>Kho Lầu 1/ VP.3</t>
  </si>
  <si>
    <t>94.1</t>
  </si>
  <si>
    <t>3010101180003001</t>
  </si>
  <si>
    <t>Màn hình HP, Model:Pro DisplayP222Va, No:6CM5422NTK</t>
  </si>
  <si>
    <t>3010101180004</t>
  </si>
  <si>
    <t>Máy tính HP (Kèm Giấy phép kết nối cho máy trạm), Model:EliteDesk 800G1SFF, No:SGH546P7FM</t>
  </si>
  <si>
    <t>Kho Lầu 1/ MCR (R4)</t>
  </si>
  <si>
    <t>95.1</t>
  </si>
  <si>
    <t>3010101180004001</t>
  </si>
  <si>
    <t>Màn hình HP, Model:Pro DisplayP222Va, No:6CM5422M63</t>
  </si>
  <si>
    <t>3010101180005</t>
  </si>
  <si>
    <t>Máy tính HP (Kèm Giấy phép kết nối cho máy trạm), Model:EliteDesk 800G1SFF, No:SGH546P7FS</t>
  </si>
  <si>
    <t>Duy</t>
  </si>
  <si>
    <t>Editor.Bkup/ Alarm</t>
  </si>
  <si>
    <t>96.1</t>
  </si>
  <si>
    <t>3010101180005001</t>
  </si>
  <si>
    <t>Màn hình HP, Model:Pro DisplayP222Va, No:6CM5422MDY</t>
  </si>
  <si>
    <t>3010101180006</t>
  </si>
  <si>
    <t>Máy tính HP (Kèm Giấy phép kết nối cho máy trạm), Model:EliteDesk 800G1SFF, No:SGH546P7G5</t>
  </si>
  <si>
    <t>Alarm 6KV/ Camera</t>
  </si>
  <si>
    <t>97.1</t>
  </si>
  <si>
    <t>3010101180006001</t>
  </si>
  <si>
    <t>Màn hình HP, Model:Pro DisplayP222Va, No:6CM5422NTH</t>
  </si>
  <si>
    <t>3010101180007</t>
  </si>
  <si>
    <t>Máy tính HP (Kèm Giấy phép kết nối cho máy trạm), Model:EliteDesk 800G1SFF, No:SGH546P7G4</t>
  </si>
  <si>
    <t>HTVC.new/ CG7</t>
  </si>
  <si>
    <t>98.1</t>
  </si>
  <si>
    <t>3010101180007001</t>
  </si>
  <si>
    <t>Màn hình HP, Model:Pro DisplayP222Va, No:6CM5422NTP</t>
  </si>
  <si>
    <t>3010101180008</t>
  </si>
  <si>
    <t>Máy tính HP (Kèm Giấy phép kết nối cho máy trạm), Model:EliteDesk 800G1SFF, No:SGH546P7FT</t>
  </si>
  <si>
    <t>upload.BCT/ Auto.BK7</t>
  </si>
  <si>
    <t>99.1</t>
  </si>
  <si>
    <t>3010101180008001</t>
  </si>
  <si>
    <t>Màn hình HP, Model:Pro DisplayP222Va, No:6CM5422MHY</t>
  </si>
  <si>
    <t>3010101180009</t>
  </si>
  <si>
    <t>Máy tính HP (Kèm Giấy phép kết nối cho máy trạm), Model:EliteDesk 800G1SFF, No:SGH546P7FK</t>
  </si>
  <si>
    <t>Upload.2/ Auto.Main 9</t>
  </si>
  <si>
    <t>100.1</t>
  </si>
  <si>
    <t>3010101180009001</t>
  </si>
  <si>
    <t>Màn hình HP, Model:Pro DisplayP222Va, No:6CM5422MDZ</t>
  </si>
  <si>
    <t>3010101180010</t>
  </si>
  <si>
    <t>Máy tính HP (Kèm Giấy phép kết nối cho máy trạm), Model:EliteDesk 800G1SFF, No:SGH546P7G1</t>
  </si>
  <si>
    <t>Kho PH mới (L1)</t>
  </si>
  <si>
    <t>101.1</t>
  </si>
  <si>
    <t>3010101180010001</t>
  </si>
  <si>
    <t>Màn hình HP, Model:Pro DisplayP222Va, No:6CM5422MDK</t>
  </si>
  <si>
    <t>3010101180011</t>
  </si>
  <si>
    <t>Máy tính HP (Kèm Giấy phép kết nối cho máy trạm), Model:EliteDesk 800G1SFF, No:SGH546P7FP</t>
  </si>
  <si>
    <t>VP 3 mới, bàn capture (L1)</t>
  </si>
  <si>
    <t>102.1</t>
  </si>
  <si>
    <t>3010101180011001</t>
  </si>
  <si>
    <t>Màn hình HP, Model:Pro DisplayP222Va, No:6CM5422MDV</t>
  </si>
  <si>
    <t>3010101180012</t>
  </si>
  <si>
    <t>Máy tính HP (Kèm Giấy phép kết nối cho máy trạm), Model:EliteDesk 800G1SFF, No:SGH546P7FX</t>
  </si>
  <si>
    <t>VP mới, bàn ngoài (L1)</t>
  </si>
  <si>
    <t>103.1</t>
  </si>
  <si>
    <t>3010101180012001</t>
  </si>
  <si>
    <t>Màn hình HP, Model:Pro DisplayP222Va, No:6CM5422MHT</t>
  </si>
  <si>
    <t>3010101180013</t>
  </si>
  <si>
    <t>Máy tính HP (Kèm Giấy phép kết nối cho máy trạm), Model:EliteDesk 800G1SFF, No:SGH546P7FG</t>
  </si>
  <si>
    <t>104.1</t>
  </si>
  <si>
    <t>3010101180013001</t>
  </si>
  <si>
    <t>Màn hình HP, Model:Pro DisplayP222Va, No:6CM5422MDX</t>
  </si>
  <si>
    <t>3010101180014</t>
  </si>
  <si>
    <t>Máy tính HP (Kèm Giấy phép kết nối cho máy trạm), Model:EliteDesk 800G1SFF, No:SGH546P7FL</t>
  </si>
  <si>
    <t>105.1</t>
  </si>
  <si>
    <t>3010101180014001</t>
  </si>
  <si>
    <t>Màn hình HP, Model:Pro DisplayP222Va, No:6CM5422M5S</t>
  </si>
  <si>
    <t>3010101180015</t>
  </si>
  <si>
    <t>Máy tính HP (Kèm Giấy phép kết nối cho máy trạm), Model:EliteDesk 800G1SFF, No:SGH546P7FV</t>
  </si>
  <si>
    <t>Kho PH L1, ngoài thùng
OS: Ubuntu</t>
  </si>
  <si>
    <t>106.1</t>
  </si>
  <si>
    <t>3010101180015001</t>
  </si>
  <si>
    <t>Màn hình HP, Model:Pro DisplayP222Va, No:6CM5422NTW</t>
  </si>
  <si>
    <t>3010101180016</t>
  </si>
  <si>
    <t>Máy tính HP (Kèm Giấy phép kết nối cho máy trạm), Model:EliteDesk 800G1SFF, No:SGH546P7G3</t>
  </si>
  <si>
    <t>Teamview, bàn ngoài</t>
  </si>
  <si>
    <t>107.1</t>
  </si>
  <si>
    <t>3010101180016001</t>
  </si>
  <si>
    <t>Màn hình HP, Model:Pro DisplayP222Va, No:6CM5422MHV</t>
  </si>
  <si>
    <t>3010101180017</t>
  </si>
  <si>
    <t>Máy tính HP (Kèm Giấy phép kết nối cho máy trạm), Model:EliteDesk 800G1SFF, No:SGH546P7FW</t>
  </si>
  <si>
    <t>Preview 3, 
PM mới, capture CT</t>
  </si>
  <si>
    <t>108.1</t>
  </si>
  <si>
    <t>3010101180017001</t>
  </si>
  <si>
    <t>Màn hình HP, Model:Pro DisplayP222Va, No:6CM5422M67</t>
  </si>
  <si>
    <t>3010101180018</t>
  </si>
  <si>
    <t>Máy tính HP (Kèm Giấy phép kết nối cho máy trạm), Model:EliteDesk 800G1SFF, No:SGH546P7FD</t>
  </si>
  <si>
    <t>Preview 1, 
PM mới, capture CT</t>
  </si>
  <si>
    <t>109.1</t>
  </si>
  <si>
    <t>3010101180018001</t>
  </si>
  <si>
    <t>Màn hình HP, Model:Pro DisplayP222Va, No:6CM5422MDT</t>
  </si>
  <si>
    <t>3010101180019</t>
  </si>
  <si>
    <t>Máy tính HP (Kèm Giấy phép kết nối cho máy trạm), Model:EliteDesk 800G1SFF, No:SGH546P7G2</t>
  </si>
  <si>
    <t>Kho PH mới
 (trên TeamView)</t>
  </si>
  <si>
    <t>110.1</t>
  </si>
  <si>
    <t>3010101180019001</t>
  </si>
  <si>
    <t>Màn hình HP, Model:Pro DisplayP222Va, No:6CM5422MDQ</t>
  </si>
  <si>
    <t>3010101180020</t>
  </si>
  <si>
    <t>Máy tính HP (Kèm Giấy phép kết nối cho máy trạm), Model:EliteDesk 800G1SFF, No:SGH546P7FH</t>
  </si>
  <si>
    <t>Capture: upload2</t>
  </si>
  <si>
    <t>111.1</t>
  </si>
  <si>
    <t>3010101180020001</t>
  </si>
  <si>
    <t>Màn hình HP, Model:Pro DisplayP222Va, No:6CM5422MHW</t>
  </si>
  <si>
    <t>3010101180021</t>
  </si>
  <si>
    <t>Máy tính HP, Model:EliteDesk 800G1SFF, No:SGH546P7FZ</t>
  </si>
  <si>
    <t>Preview 1 (Bàn Capture), lầu 1</t>
  </si>
  <si>
    <t>112.1</t>
  </si>
  <si>
    <t>3010101180021001</t>
  </si>
  <si>
    <t>Màn hình HP, Model:Pro Display P222Va, No:6CM5422NTJ</t>
  </si>
  <si>
    <t>3010101180022</t>
  </si>
  <si>
    <t>Máy tính HP, Model:EliteDesk 800G1SFF, No:SGH546P7FN</t>
  </si>
  <si>
    <t>Cài DP cho Ingest (Để kế TeamView)</t>
  </si>
  <si>
    <t>113.1</t>
  </si>
  <si>
    <t>3010101180022001</t>
  </si>
  <si>
    <t>Màn hình HP, Model:Pro Display P222Va, No:6CM5422NTZ</t>
  </si>
  <si>
    <t>3010101180023</t>
  </si>
  <si>
    <t>Máy tính HP, Model:EliteDesk 800G1SFF, No:SGH546P7FR</t>
  </si>
  <si>
    <t>Miranda K9 (Bàn K9), lầu 1</t>
  </si>
  <si>
    <t>114.1</t>
  </si>
  <si>
    <t>3010101180023001</t>
  </si>
  <si>
    <t>Màn hình HP, Model:Pro Display P222Va, No:6CM5422M69</t>
  </si>
  <si>
    <t>3010101180024</t>
  </si>
  <si>
    <t>Máy tính HP, Model:EliteDesk 800G1SFF, No:SGH546P7FF</t>
  </si>
  <si>
    <t>PMáy PH mới, 
R4-9</t>
  </si>
  <si>
    <t>115.1</t>
  </si>
  <si>
    <t>3010101180024001</t>
  </si>
  <si>
    <t>Màn hình HP, Model:Pro Display P222Va, No:6CM5422M6K</t>
  </si>
  <si>
    <t>3010101180025</t>
  </si>
  <si>
    <t>Máy tính HP, Model:EliteDesk 800G1SFF, No:SGH546P7FQ</t>
  </si>
  <si>
    <t>Miranda K7 (Bàn K7), lầu 1</t>
  </si>
  <si>
    <t>116.1</t>
  </si>
  <si>
    <t>3010101180025001</t>
  </si>
  <si>
    <t>Màn hình HP, Model:Pro Display P222Va, No:6CM5422M61</t>
  </si>
  <si>
    <t>0004DA/2016GTTS/AS/DV09/2016</t>
  </si>
  <si>
    <t>3010101181001</t>
  </si>
  <si>
    <t>Máy trạm quản lý, giám sát, thiết kế giao diện Multiview  - HP, Model:Z230, No:SGH546P7GM</t>
  </si>
  <si>
    <t>Máy config x75 và các đầu thu vệ tinh</t>
  </si>
  <si>
    <t>117.1</t>
  </si>
  <si>
    <t>3010101181001001</t>
  </si>
  <si>
    <t xml:space="preserve"> Màn hình 21,5" LCD - HP, Model:Z22i, No:CNC538OBR7</t>
  </si>
  <si>
    <t>3010101181002</t>
  </si>
  <si>
    <t>Máy trạm quản lý, giám sát, thiết kế giao diện Multiview  - HP, Model:Z230, No:SGH546P7GP</t>
  </si>
  <si>
    <t>PH - Máy Editor NewDP K7</t>
  </si>
  <si>
    <t>118.1</t>
  </si>
  <si>
    <t>3010101181002001</t>
  </si>
  <si>
    <t xml:space="preserve"> Màn hình 21,5" LCD - HP, Model:Z22i, No:CNC538OBRP</t>
  </si>
  <si>
    <t>0006GTTS/AR/DV09/2019</t>
  </si>
  <si>
    <t>3010101206001</t>
  </si>
  <si>
    <t>Bộ máy tính Digital Future (Máy làm chậm tín hiệu HD, không màn hình), Model:i-Delay HD, No:110119C01</t>
  </si>
  <si>
    <t>3010101206002</t>
  </si>
  <si>
    <t>Bộ máy tính Digital Future (Máy làm chậm tín hiệu HD, không màn hình), Model:i-Delay HD, No:110119C02</t>
  </si>
  <si>
    <t>94/2008</t>
  </si>
  <si>
    <t>3010102301004</t>
  </si>
  <si>
    <t>Máy VT có tính năng cấy chữ I-Logo</t>
  </si>
  <si>
    <t>CG HTV3</t>
  </si>
  <si>
    <t>121.1</t>
  </si>
  <si>
    <t>3010102301004001</t>
  </si>
  <si>
    <t>Case: Character generator, analog composite, component, SDI I/O, phần mềm tính năng cấy chữ, Model:i-Logo, No:0705</t>
  </si>
  <si>
    <t>121.2</t>
  </si>
  <si>
    <t>3010102301004002</t>
  </si>
  <si>
    <t>Màn hình vi tính LCD 19" Viewsonic , Model:VS12085, No:R18083503351</t>
  </si>
  <si>
    <t>3010102301005</t>
  </si>
  <si>
    <t>CG HTV1</t>
  </si>
  <si>
    <t>122.1</t>
  </si>
  <si>
    <t>3010102301005001</t>
  </si>
  <si>
    <t>Case: Character generator, analog composite, component, SDI I/O, phần mềm tính năng cấy chữ, Model:i-Logo, No:0706</t>
  </si>
  <si>
    <t>122.2</t>
  </si>
  <si>
    <t>3010102301005002</t>
  </si>
  <si>
    <t>Màn hình vi tính LCD 19" Viewsonic , Model:VS12085, No:R18083503765</t>
  </si>
  <si>
    <t>3010102306005</t>
  </si>
  <si>
    <t>Video server Digital future , Model:I-Box, No:0715</t>
  </si>
  <si>
    <t>HTV3 Main cũ (kho)</t>
  </si>
  <si>
    <t>124.1</t>
  </si>
  <si>
    <t>3010102306005001</t>
  </si>
  <si>
    <t>Màn hình vi tính LCD 19" Viewsonic , Model:VS12085, No:R18083503768</t>
  </si>
  <si>
    <t>3010102306006</t>
  </si>
  <si>
    <t>Video server Digital future , Model:I-Box, No:0716</t>
  </si>
  <si>
    <t>Chí</t>
  </si>
  <si>
    <t>HTV2 Main</t>
  </si>
  <si>
    <t>125.1</t>
  </si>
  <si>
    <t>3010102306006001</t>
  </si>
  <si>
    <t>Màn hình vi tính LCD 19" Viewsonic , Model:VS12085, No:R18083503309</t>
  </si>
  <si>
    <t>24/2011</t>
  </si>
  <si>
    <t>3010102309002</t>
  </si>
  <si>
    <t>Bộ máy tạo chữ Digital Future, Model:I-Logo, No:75011</t>
  </si>
  <si>
    <t>126.1</t>
  </si>
  <si>
    <t>3010102309002001</t>
  </si>
  <si>
    <t>Màn hình LCD 18.5" Asus, Model:VH192, No:A6LMIZ029315</t>
  </si>
  <si>
    <t>44/2010</t>
  </si>
  <si>
    <t>3010102310006</t>
  </si>
  <si>
    <t>Bộ ghi phát tín hiệu số Digital Future, Model:i-Capture, No:0903</t>
  </si>
  <si>
    <t>MCR cũ Rack 5</t>
  </si>
  <si>
    <t>127.1</t>
  </si>
  <si>
    <t>3010102310006001</t>
  </si>
  <si>
    <t>Màn hình vi tính LCD 17" Asus, Model:VB172, No:89LMVD064336</t>
  </si>
  <si>
    <t>3010102310007</t>
  </si>
  <si>
    <t>Bộ ghi phát tín hiệu số Digital Future, Model:i-Capture, No:0904</t>
  </si>
  <si>
    <t>Máy view camera PT</t>
  </si>
  <si>
    <t>128.1</t>
  </si>
  <si>
    <t>3010102310007001</t>
  </si>
  <si>
    <t>Màn hình vi tính LCD 17" Asus, Model:VB172, No:89LMVD082300</t>
  </si>
  <si>
    <t>3010102338001</t>
  </si>
  <si>
    <t>Bộ máy vi tính Digital Future, Model:i-Off Air, No:0901</t>
  </si>
  <si>
    <t>Kiểm HTV1 (Phòng máy MCR)</t>
  </si>
  <si>
    <t>129.1</t>
  </si>
  <si>
    <t>3010102338001001</t>
  </si>
  <si>
    <t>Màn hình vi tính LCD 16" Asus, Model:VH162, No:9BLMTF089818</t>
  </si>
  <si>
    <t>3010102338002</t>
  </si>
  <si>
    <t>Bộ máy vi tính Digital Future, Model:i-Off Air, No:0902</t>
  </si>
  <si>
    <t>Kiểm HTV4 (Phòng máy MCR)</t>
  </si>
  <si>
    <t>130.1</t>
  </si>
  <si>
    <t>3010102338002001</t>
  </si>
  <si>
    <t>Màn hình vi tính LCD 16" Asus, Model:VH162, No:9BLMTF088870</t>
  </si>
  <si>
    <t>0021GTTS/AR/DV09/2014</t>
  </si>
  <si>
    <t>3010102339007</t>
  </si>
  <si>
    <t>Bộ máy vi tính Digital Future (Ghi file mpeg hoặc DV, lưu trữ 100 giờ video), Model:i-Capture, No:210214C01</t>
  </si>
  <si>
    <t>MCR cũ</t>
  </si>
  <si>
    <t>131.1</t>
  </si>
  <si>
    <t>3010102339007001</t>
  </si>
  <si>
    <t>Màn hình LCD Asus, Model:VS208, No:D4LMTF089992</t>
  </si>
  <si>
    <t>09/2011</t>
  </si>
  <si>
    <t>3010102343001</t>
  </si>
  <si>
    <t>Máy tính HP Pavilion quản lý hệ thống kiểm tra, giám sát hạ tầng kỹ thuật, Model:P6318L, No:CNX0120MTR</t>
  </si>
  <si>
    <t>MS</t>
  </si>
  <si>
    <t>Sương</t>
  </si>
  <si>
    <t>bàn c Sương</t>
  </si>
  <si>
    <t>132.1</t>
  </si>
  <si>
    <t>3010102343001001</t>
  </si>
  <si>
    <t>Màn hình vi tính HP LCD 23", No:CNC0220CLL</t>
  </si>
  <si>
    <t>18/2011</t>
  </si>
  <si>
    <t>3010102348005</t>
  </si>
  <si>
    <t>Máy vi tính FPT Elead , No:150211027</t>
  </si>
  <si>
    <t>Check playlist</t>
  </si>
  <si>
    <t>133.1</t>
  </si>
  <si>
    <t>3010102348005001</t>
  </si>
  <si>
    <t>Màn hình TFT LCD 18.5" Wide FPT, Model:M8WZR, No:UCWG10C0055J2513A</t>
  </si>
  <si>
    <t>3010102351001</t>
  </si>
  <si>
    <t>Máy ghi/ phát ổ cứng Digital Future, Model:i-DDR, No:71009</t>
  </si>
  <si>
    <t>Kho lầu 2 (server greenblue)</t>
  </si>
  <si>
    <t>134.1</t>
  </si>
  <si>
    <t>3010102351001001</t>
  </si>
  <si>
    <t>Màn hình LCD 18.5" Asus, Model:VH192, No:A6LMIZ029318</t>
  </si>
  <si>
    <t>3010102356001</t>
  </si>
  <si>
    <t>Additional Datamovers , Enhance throughput adding a Datapump licence with 3rd level cacheDynamically assigned by application server, Quad-Core Intel Xeon processors: E5430: 2.66 GHz, 1333 MHz FSB,80W; 2 GB PC2-5300 FDB (DDR2-667) 2x1GB, 2x 500GB 7.2 K HP SATA HDD, PC1142SR 4 GB PCI1142SR 4GB PCI E HBA , Gigabit network adapter, Window XP Professional, No:SGH848XNAW</t>
  </si>
  <si>
    <t>PM.Cũ Datapump01</t>
  </si>
  <si>
    <t>0030GTTS/AR/DV09/2014</t>
  </si>
  <si>
    <t>3010102371002</t>
  </si>
  <si>
    <t>Bộ máy tính Digital Future (ghi/phát 2 kênh), Model:i-DDR, No:131014C01</t>
  </si>
  <si>
    <t>136.1</t>
  </si>
  <si>
    <t>3010102371002001</t>
  </si>
  <si>
    <t>Màn hình LCD Asus 21.5", Model:VK228H, No:E3LMQS025266</t>
  </si>
  <si>
    <t>F1 màn hình Inews</t>
  </si>
  <si>
    <t>3010102371003</t>
  </si>
  <si>
    <t>Bộ máy tính Digital Future (ghi/phát 1 kênh), Model:i-DDR, No:131014C02</t>
  </si>
  <si>
    <t>F1-R1 DDR 2</t>
  </si>
  <si>
    <t>137.1</t>
  </si>
  <si>
    <t>3010102371003001</t>
  </si>
  <si>
    <t>Màn hình LCD Asus 21.5", Model:VK228H, No:E3LMQS025259</t>
  </si>
  <si>
    <t>pHTKT Hư, nóc tủ sắt chờ thanh lý</t>
  </si>
  <si>
    <t>chờ thanh lý</t>
  </si>
  <si>
    <t>0006GTTS/AR/DV09/2015</t>
  </si>
  <si>
    <t>3010102377007</t>
  </si>
  <si>
    <t>Bộ máy vi tính Digital Future (Máy làm chậm tín hiệu), Model:i-Delay, No:10140DL05</t>
  </si>
  <si>
    <t>DDR dự phòng
 cho 7-9</t>
  </si>
  <si>
    <t>138.1</t>
  </si>
  <si>
    <t>3010102377007001</t>
  </si>
  <si>
    <t>Màn hình LCD Asus, Model:VK228, No:E3LMQS025278</t>
  </si>
  <si>
    <t>F1- DDR3</t>
  </si>
  <si>
    <t>3010102377008</t>
  </si>
  <si>
    <t>Bộ máy vi tính Digital Future (Máy làm chậm tín hiệu), Model:i-Delay, No:10140DL02</t>
  </si>
  <si>
    <t>Delay HD1</t>
  </si>
  <si>
    <t>139.1</t>
  </si>
  <si>
    <t>3010102377008001</t>
  </si>
  <si>
    <t>Màn hình LCD Asus, Model:VK228, No:E3LMQS025267</t>
  </si>
  <si>
    <t>0022GTTS/AR/DV09/2015</t>
  </si>
  <si>
    <t>3010102384001</t>
  </si>
  <si>
    <t>Bộ máy tính HP (Bộ xuất chữ Beehive System - Sting Server, kèm MH LCD HP 23"), Model:Z620 Workstation, No:SGH444Q3J9</t>
  </si>
  <si>
    <t>F1-R1 - Sting Server</t>
  </si>
  <si>
    <t>140.1</t>
  </si>
  <si>
    <t>3010102384001001</t>
  </si>
  <si>
    <t>Màn hình LCD 23" HP, Model:23fi, No:3CM4310MK7</t>
  </si>
  <si>
    <t>Màn hình bàn Nhat Quang</t>
  </si>
  <si>
    <t>3010102385001</t>
  </si>
  <si>
    <t>Bộ máy tính HP (Bộ điều khiển - Sting Client, kèm MH LCD HP 20"), Model:Z230 Workstation, No:SGH444Q3J6</t>
  </si>
  <si>
    <t>F1-R1 Sting Client</t>
  </si>
  <si>
    <t>141.1</t>
  </si>
  <si>
    <t>3010102385001001</t>
  </si>
  <si>
    <t>Màn hình LCD 20" HP, Model:P201, No:6CM44100QT</t>
  </si>
  <si>
    <t>A1 màn hình waveform bàn  Đạo diễn</t>
  </si>
  <si>
    <t>0002GTTS/AR/DV09/2018</t>
  </si>
  <si>
    <t>3010102389001</t>
  </si>
  <si>
    <t>Máy tính HP (chuyên dụng cho thiết kế phim trường ảo - kèm Màn hình, card xuất hình), Model:Z640, No:SGH748TN45</t>
  </si>
  <si>
    <t>A2-R6 Infinity</t>
  </si>
  <si>
    <t>142.1</t>
  </si>
  <si>
    <t>3010102389001001</t>
  </si>
  <si>
    <t>Màn hình HP 24", Model:Z24n, No:CN4745028Q</t>
  </si>
  <si>
    <t>A2 MÀN HÌNH VMIX</t>
  </si>
  <si>
    <t>142.2</t>
  </si>
  <si>
    <t>3010102389001002</t>
  </si>
  <si>
    <t>Card xuất hình AJA, Model:Corvid 88-T, No:U04756</t>
  </si>
  <si>
    <t>A2-R6 Infinity, trong máy</t>
  </si>
  <si>
    <t>3010102389002</t>
  </si>
  <si>
    <t>Máy tính HP (chuyên dụng cho thiết kế phim trường ảo - kèm Màn hình, card xuất hình), Model:Z640, No:SGH748TN46</t>
  </si>
  <si>
    <t>143.1</t>
  </si>
  <si>
    <t>3010102389002001</t>
  </si>
  <si>
    <t>Màn hình HP 24", Model:Z24n, No:CN4745028V</t>
  </si>
  <si>
    <t>143.2</t>
  </si>
  <si>
    <t>3010102389002002</t>
  </si>
  <si>
    <t>Card xuất hình AJA, Model:Corvid 88-T, No:U04758</t>
  </si>
  <si>
    <t>0003DA/2019/GTTS/AS/DV09/2019</t>
  </si>
  <si>
    <t>3010102396001</t>
  </si>
  <si>
    <t>Thiết bị tạo giao diện đồ họa tích hợp MAM- Windows 7 Professional 64bit - Intel Xeon E5-1603 v4 2.8Ghz, 10MB Cache, 2133MHz Memory, 4-Core CPU - Main Memory: HP 16GB(2x8GB)DDR4-2400 Registered RAM- HP 128GB SSD for HP Workstations - Z440/Z420 Rackmount Kit - NVIDIA Quadro P2000 Graphics Board - HP 9.5mm Slim DVD-ROM- HP USB Scroll Mouse + USB Standard Keyboard - HP, Model:Z440, No:CZC7477GLC</t>
  </si>
  <si>
    <t>Czech Republic</t>
  </si>
  <si>
    <t>A1: Graphic1 Viz</t>
  </si>
  <si>
    <t>144.1</t>
  </si>
  <si>
    <t>3010102396001001</t>
  </si>
  <si>
    <t>Màn hình giám sát , Model:Elite Display E243, No:CNK8230LQC</t>
  </si>
  <si>
    <t>F1 màn hình DDR1</t>
  </si>
  <si>
    <t>3010102397001</t>
  </si>
  <si>
    <t>Máy trạm dùng giám sát dịch vụ đồ họa phim trường ảo tích hợp hệ thống MAM - Vizrt/HP, Model:Z440, No:CZC7477GKM</t>
  </si>
  <si>
    <t>A1: Pilot Client</t>
  </si>
  <si>
    <t>145.1</t>
  </si>
  <si>
    <t>3010102397001001</t>
  </si>
  <si>
    <t>Màn hình giám sát , Model:Elite Display E243, No:CNK8230K7H</t>
  </si>
  <si>
    <t>A1: màn hình Viz Enginne</t>
  </si>
  <si>
    <t>146.1</t>
  </si>
  <si>
    <t>3010102398001</t>
  </si>
  <si>
    <t>Máy chủ cài đặt phần mềm hiện chữ tích hợp hệ thống MAM - HP, Model:Z440, No:CZC8057XHR</t>
  </si>
  <si>
    <t>A1: Trio Engine</t>
  </si>
  <si>
    <t>146.2</t>
  </si>
  <si>
    <t>3010102398001001</t>
  </si>
  <si>
    <t>Màn hình giám sát - HP, Model:Elite Display E243, No:CNK8230LQT</t>
  </si>
  <si>
    <t>A2 control</t>
  </si>
  <si>
    <t>146.3</t>
  </si>
  <si>
    <t>3010102398001002</t>
  </si>
  <si>
    <t>Màn hình giám sát - HP, Model:Elite Display E243, No:CNK8230LQY</t>
  </si>
  <si>
    <t>A1: màn hình Biên tập</t>
  </si>
  <si>
    <t>3010103056002</t>
  </si>
  <si>
    <t>Notebook Dell XPS , Model:XPS L501X, No:G3RTSN1</t>
  </si>
  <si>
    <t>Hoàng Long</t>
  </si>
  <si>
    <t>anh Hoàng Long</t>
  </si>
  <si>
    <t>03DA/2009</t>
  </si>
  <si>
    <t>3010104186001</t>
  </si>
  <si>
    <t>Màn hình kiểm tra LCD 15" chấp nhận tín hiệu SDI, Model:LMD-152, No:2001457</t>
  </si>
  <si>
    <t>Nhật</t>
  </si>
  <si>
    <t>PĐ</t>
  </si>
  <si>
    <t>3010104186002</t>
  </si>
  <si>
    <t>Màn hình kiểm tra LCD 15" chấp nhận tín hiệu SDI, Model:LMD-152, No:2001373</t>
  </si>
  <si>
    <t>3010104204001</t>
  </si>
  <si>
    <t>Màn hình touch-screen Ross 22" (điều khiển switch), Model:MC1-TS, No:C12L136622</t>
  </si>
  <si>
    <t>3010104204002</t>
  </si>
  <si>
    <t>Màn hình touch-screen Ross 22" (điều khiển switch), Model:MC1-TS, No:F12L127225</t>
  </si>
  <si>
    <t>3010106023001</t>
  </si>
  <si>
    <t>Máy chủ transcode - HP, Model:ProLiant DL360p Gen9, No:SGH547XF96</t>
  </si>
  <si>
    <t>Trans01  R3-2</t>
  </si>
  <si>
    <t>3010106023002</t>
  </si>
  <si>
    <t>Máy chủ transcode - HP, Model:ProLiant DL360p Gen9, No:SGH547XF9H</t>
  </si>
  <si>
    <t>MMnew2   R4-3</t>
  </si>
  <si>
    <t>3010106023003</t>
  </si>
  <si>
    <t>Máy chủ transcode - HP, Model:ProLiant DL360p Gen9, No:SGH547XF9M</t>
  </si>
  <si>
    <t>AutoM7   R3-7</t>
  </si>
  <si>
    <t>3010106023004</t>
  </si>
  <si>
    <t>Máy chủ transcode - HP, Model:ProLiant DL360p Gen9, No:SGH547XF9K</t>
  </si>
  <si>
    <t>Autobk9  R3-5</t>
  </si>
  <si>
    <t>3010106024001</t>
  </si>
  <si>
    <t>Máy chủ datamover - HP, Model:ProLiant DL360p Gen9, No:SGH547XF93</t>
  </si>
  <si>
    <t>Pumpnew1  R5-3</t>
  </si>
  <si>
    <t>3010106024002</t>
  </si>
  <si>
    <t>Máy chủ datamover - HP, Model:ProLiant DL360p Gen9, No:SGH547XF9N</t>
  </si>
  <si>
    <t>MMnew1   R3-4</t>
  </si>
  <si>
    <t>3010106024003</t>
  </si>
  <si>
    <t>Máy chủ datamover - HP, Model:ProLiant DL360p Gen9, No:SGH547XF98</t>
  </si>
  <si>
    <t>QC server  R4-3</t>
  </si>
  <si>
    <t>0001DA/2019/GTTS/AS/DV09/2019</t>
  </si>
  <si>
    <t>3010106030001</t>
  </si>
  <si>
    <t>Hệ thống ảo hóa nén hình/tiếng cho 8 kênh truyền hình với cấu hình dự phòng 1+1 (Encoding solution for 8 Channels) (Configuration: 1+1)- Encoder ELC-X2 HD AVC 420  -Harmonic, Model:ELC-X2, No:BQW981700435</t>
  </si>
  <si>
    <t>Nam</t>
  </si>
  <si>
    <t>MCR HD</t>
  </si>
  <si>
    <t>3010106030002</t>
  </si>
  <si>
    <t>Hệ thống ảo hóa nén hình/tiếng cho 8 kênh truyền hình với cấu hình dự phòng 1+1 (Encoding solution for 8 Channels) (Configuration: 1+1)- Encoder ELC-X2 HD AVC 420  -Harmonic, Model:ELC-X2, No:BQW983500617</t>
  </si>
  <si>
    <t>3010106031001</t>
  </si>
  <si>
    <t>Hệ thống quản lý mạng-Network system managerCustomer Intel Server 3F-A configuration for NMX 7.5 and aboveSingle license - NMX Digital Service Manager Enterprise Software -Harmonic , Model:NMX-HWP-3F-A, No:BQWS81691342</t>
  </si>
  <si>
    <t>3010106032001</t>
  </si>
  <si>
    <t>Hardware giải mã hình ảnh VBOX Broadcast + Intel Xeon E5-1650v4 6-Core Processor6 cores  -XI-MACHINES, Model:VENTUZ, No:V-BOXG3-3148</t>
  </si>
  <si>
    <t>A1: Wall Ventuz PT A</t>
  </si>
  <si>
    <t>3010106036001</t>
  </si>
  <si>
    <t>Thiết bị phần cứng cho các giao tiếp mở rộng - HP  (CPU: 2 x Intel Xeon E5-2620v4 8-Core (2.1GHz/8core/20MB/85W)- 2 x 16GB (1x16GB) Single Rank x4 DDR4-2400 CAS-17-17-17 Registered Memory Kit - 4 x 300GB 6G SAS 10K 2.5in SC ENT HDD - Microsoft Windows Server 2012 R2 Standard - USB DONGLE), Model:ProLiant DL360Gen9, No:CZJ808009K</t>
  </si>
  <si>
    <t>A1: Pilot Server</t>
  </si>
  <si>
    <t>3010106037001</t>
  </si>
  <si>
    <t>Phần cứng tích hợp điều khiển cho các giao tiếp mở rộng - CPU: 2 x Intel Xeon E5-2620v4 8-Core (2.1GHz/8core/20MB/85W) - 2 x 16GB (1x16GB) Single Rank x4 DDR4-2400 CAS-17-17-17 Registered Memory Kit - 4 x 300GB 6G SAS 10K 2.5in SC ENT HDD - Microsoft Windows Server 2012 R2 Standard - HP, Model:ProLiant DL360Gen9, No:CZJ808009F</t>
  </si>
  <si>
    <t>A1: Graptic Hub</t>
  </si>
  <si>
    <t>3010106038001</t>
  </si>
  <si>
    <t>Máy chủ dùng cài phần mềm đồ họa phim trường ảo tích hợp hệ thống MAM -HP, Model:Z440, No:CZC8057XHJ</t>
  </si>
  <si>
    <t>A1: Engine 1</t>
  </si>
  <si>
    <t>3010106038002</t>
  </si>
  <si>
    <t>Máy chủ dùng cài phần mềm đồ họa phim trường ảo tích hợp hệ thống MAM -HP, Model:Z440, No:CZC8057XHQ</t>
  </si>
  <si>
    <t>A1: Engine 2</t>
  </si>
  <si>
    <t>3010106039001</t>
  </si>
  <si>
    <t>Máy tính điều khiển phần mềm hiện chữ tích hợp hệ thống MAM-HP, Model:Z440, No:CZC8087JW9</t>
  </si>
  <si>
    <t>A1: Trio Client</t>
  </si>
  <si>
    <t>01DA/2009</t>
  </si>
  <si>
    <t>3010202003001</t>
  </si>
  <si>
    <t>Switch mạng Lan 10/100/1000 24 cổng giao tiếp</t>
  </si>
  <si>
    <t>pHTKT dang xai</t>
  </si>
  <si>
    <t>3010202012001</t>
  </si>
  <si>
    <t>Switch quang - FC Switch, Model:Brocade 300, No:ALT0648D02F</t>
  </si>
  <si>
    <t>R2-9 cho tủ</t>
  </si>
  <si>
    <t>3010202013001</t>
  </si>
  <si>
    <t>Main/Backup redundancy switch (GPI), Model:ET0558</t>
  </si>
  <si>
    <t>R4-2 PM PH mới</t>
  </si>
  <si>
    <t>3010202032001</t>
  </si>
  <si>
    <t>16 Ports KVM with monitor, keyboard and mouseATEN, Model:CL5716M, No:AAG2195AA0002</t>
  </si>
  <si>
    <t>Đài Loan</t>
  </si>
  <si>
    <t>rack phát hình,
 phòng máy mới</t>
  </si>
  <si>
    <t>3010202032002</t>
  </si>
  <si>
    <t>16 Ports KVM with monitor, keyboard and mouseATEN, Model:CL5716M, No:AAG2195AA0001</t>
  </si>
  <si>
    <t>3010202036004</t>
  </si>
  <si>
    <t>Swich mạng Cisco, Model:WS-C2960X-24TS-LL, No:FCW2146A2ZN</t>
  </si>
  <si>
    <t>3010202038001</t>
  </si>
  <si>
    <t>Các Switch mạng cho truyền dữ liệu và cho quản lý điều khiển thiết bị-Switch core-Cisco, Model:WS-C3850-24T-E, No:FCW2243FOWW</t>
  </si>
  <si>
    <t>3010202038002</t>
  </si>
  <si>
    <t>Các Switch mạng cho truyền dữ liệu và cho quản lý điều khiển thiết bị-Switch core-Cisco, Model:WS-C3850-24T-E, No:FCW2243FOXK</t>
  </si>
  <si>
    <t>3010203005001</t>
  </si>
  <si>
    <t>Router Ross 16x16 3G SDI, Model:NK-3G16, No:24953</t>
  </si>
  <si>
    <t>Úc</t>
  </si>
  <si>
    <t>Phòng máy cũ R9-2</t>
  </si>
  <si>
    <t>176.1</t>
  </si>
  <si>
    <t>3010203005001001</t>
  </si>
  <si>
    <t>Remote control Ross, Model:AL01, No:50115121005</t>
  </si>
  <si>
    <t>3010203005002</t>
  </si>
  <si>
    <t>Router Ross 16x16 3G SDI, Model:NK-3G16, No:24948</t>
  </si>
  <si>
    <t>Kho PH lầu 2
 (trong thùng nhỏ)</t>
  </si>
  <si>
    <t>177.1</t>
  </si>
  <si>
    <t>3010203005002001</t>
  </si>
  <si>
    <t>Remote control Ross, Model:AL01, No:50115121015</t>
  </si>
  <si>
    <t>3010203005003</t>
  </si>
  <si>
    <t>Router Ross 16x16 3G SDI, Model:NK-3G16, No:50116827008</t>
  </si>
  <si>
    <t>Phòng máy cũ R9-8</t>
  </si>
  <si>
    <t>178.1</t>
  </si>
  <si>
    <t>3010203005003001</t>
  </si>
  <si>
    <t>Remote control Ross, Model:RCP-NKM, No:29047</t>
  </si>
  <si>
    <t>178.2</t>
  </si>
  <si>
    <t>3010203005003002</t>
  </si>
  <si>
    <t>Network config device Ross, Model:NK-IPS, No:50118281001</t>
  </si>
  <si>
    <t>3010203006001</t>
  </si>
  <si>
    <t>Hệ thống router và điều khiển</t>
  </si>
  <si>
    <t>179.1</t>
  </si>
  <si>
    <t>3010203006001001</t>
  </si>
  <si>
    <t>Bộ chuyển mạch 4x2 HD/SD-SDI For-A, Model:DRS-42HS, No:12570084</t>
  </si>
  <si>
    <t>179.2</t>
  </si>
  <si>
    <t>3010203006001003</t>
  </si>
  <si>
    <t>Thiết bị điều khiển HP, Model:Pro 3340, No:SGH310PJ7Z</t>
  </si>
  <si>
    <t>179.3</t>
  </si>
  <si>
    <t>3010203006001004</t>
  </si>
  <si>
    <t>Màn hình LCD HP, Model:LV1911, No:6CM3061C81</t>
  </si>
  <si>
    <t>3010203007001</t>
  </si>
  <si>
    <t>Router 32x32 Harris, Model:P32X32SRIE, No:LHTI0532403001</t>
  </si>
  <si>
    <t>Router Vệ tinh</t>
  </si>
  <si>
    <t>3010205005001</t>
  </si>
  <si>
    <t>RS422 - Ethernet adaptor, Model:NPORT5630-16, No:TZHD01004002</t>
  </si>
  <si>
    <t>R 7-3 PM cũ</t>
  </si>
  <si>
    <t>3010205005002</t>
  </si>
  <si>
    <t>RS422 - Ethernet adaptor, Model:NPORT5630-16, No:ZTHF01121382</t>
  </si>
  <si>
    <t>R 7-4 PM mới R5.1</t>
  </si>
  <si>
    <t>3010205005004</t>
  </si>
  <si>
    <t>RS422 - Ethernet adaptor, Model:NPORT5630-16, No:TZHF01121439</t>
  </si>
  <si>
    <t>R 4-1 PM PH mới</t>
  </si>
  <si>
    <t>3010205005005</t>
  </si>
  <si>
    <t>RS422 - Ethernet adaptor, Model:NPORT5630-16, No:TZHJ01033615</t>
  </si>
  <si>
    <t>R 6-6 PM cũ</t>
  </si>
  <si>
    <t>3010208006001</t>
  </si>
  <si>
    <t>Thiết bị chuyển mạch số 16x16, Model:P16x16SI, No:LHTI0436896001</t>
  </si>
  <si>
    <t>MCR Control</t>
  </si>
  <si>
    <t>58/2010</t>
  </si>
  <si>
    <t>3010208016001</t>
  </si>
  <si>
    <t>Intercom System Data video 8 way intercom system, Model:ITC-100, No:00240918</t>
  </si>
  <si>
    <t>3010208019001</t>
  </si>
  <si>
    <t>VPN Generator (Zyxel Zywall UTM with ZyWALL Turbo Card with iCard Silver Anti-Virus+IDP - expansion module), Model:ZyWALLUSG300, No:S080Z42000960</t>
  </si>
  <si>
    <t>R 7-4 PM cũ phía sau</t>
  </si>
  <si>
    <t>0010GTTS/AR/DV09/2018</t>
  </si>
  <si>
    <t>3010208026001</t>
  </si>
  <si>
    <t>Máy phát hình Digital Future , Model:i-DDR, No:281217C01</t>
  </si>
  <si>
    <t>Phúc</t>
  </si>
  <si>
    <t>DDR dự phòng
 cho 7</t>
  </si>
  <si>
    <t>3010208026002</t>
  </si>
  <si>
    <t>Máy phát hình Digital Future , Model:i-DDR, No:281217C02</t>
  </si>
  <si>
    <t>DDR9</t>
  </si>
  <si>
    <t>95/2008</t>
  </si>
  <si>
    <t>3010302002001</t>
  </si>
  <si>
    <t>Thiết bị lưu trữ NAS Ciprico, Model:DiMeda 1712, No:CIP116180</t>
  </si>
  <si>
    <t>HD archive PM cũ R3-3</t>
  </si>
  <si>
    <t>3010302011001</t>
  </si>
  <si>
    <t xml:space="preserve">Tủ băng từ </t>
  </si>
  <si>
    <t>Tủ</t>
  </si>
  <si>
    <t>Petasite PM cũ</t>
  </si>
  <si>
    <t>191.1</t>
  </si>
  <si>
    <t>3010302011001001</t>
  </si>
  <si>
    <t>Basic Console with 4 drives (216 slots) bao gồm: CSM-200B, 8 ports hub for internal use within Petasite, PSC control software, Model:CSM-200B, No:10200309</t>
  </si>
  <si>
    <t>191.2</t>
  </si>
  <si>
    <t>3010302011001002</t>
  </si>
  <si>
    <t>LTO drive attachment kit with:LTO Labels- 25 labels x 7 sheetCleaning Tape Labels- 25 labels x 1 sheet, Model:CSMA-AIL2F, No:1050154</t>
  </si>
  <si>
    <t>191.3</t>
  </si>
  <si>
    <t>3010302011001003</t>
  </si>
  <si>
    <t>LTO drive attachment kit with:LTO Labels- 25 labels x 7 sheetCleaning Tape Labels- 25 labels x 1 sheet, Model:CSMA-AIL2F, No:1050157</t>
  </si>
  <si>
    <t>191.4</t>
  </si>
  <si>
    <t>3010302011001004</t>
  </si>
  <si>
    <t>LTO drive attachment kit with:LTO Labels- 25 labels x 7 sheetCleaning Tape Labels- 25 labels x 1 sheet, Model:CSMA-AIL2F, No:1050153</t>
  </si>
  <si>
    <t>191.5</t>
  </si>
  <si>
    <t>3010302011001005</t>
  </si>
  <si>
    <t>Redundant Library Power Supply, Model:CSMA-PSL, No:1020042</t>
  </si>
  <si>
    <t>191.6</t>
  </si>
  <si>
    <t>3010302011001006</t>
  </si>
  <si>
    <t>Redundant Drive Power Supply, Model:CSMA-PSD, No:1020047</t>
  </si>
  <si>
    <t>191.7</t>
  </si>
  <si>
    <t>3010302011001007</t>
  </si>
  <si>
    <t>Redundant Drive Interface , Model:CSMA-DIF, No:1020038</t>
  </si>
  <si>
    <t>3010302017001</t>
  </si>
  <si>
    <t>Thư viện lưu trữ chương trình phát sóng LTO6Spectra Logic, Model:T950, No:1517414</t>
  </si>
  <si>
    <t>PM mới</t>
  </si>
  <si>
    <t>192.1</t>
  </si>
  <si>
    <t>3010302017001001</t>
  </si>
  <si>
    <t>LTO-6 Fibre Channel, Full-Height, Drive/Sled, EDBA, T950, Model:90949442, No:Y61068007164</t>
  </si>
  <si>
    <t>192.2</t>
  </si>
  <si>
    <t>3010302017001002</t>
  </si>
  <si>
    <t>LTO-6 Fibre Channel, Full-Height, Drive/Sled, EDBA, T950, Model:90949442, No:Y61068007343</t>
  </si>
  <si>
    <t>192.3</t>
  </si>
  <si>
    <t>3010302017001003</t>
  </si>
  <si>
    <t>LTO-6 Fibre Channel, Full-Height, Drive/Sled, EDBA, T950, Model:90949442, No:Y61068007031</t>
  </si>
  <si>
    <t>0012GTTS/AR/DV09/2014</t>
  </si>
  <si>
    <t>3010401035017</t>
  </si>
  <si>
    <t>Máy in HP laserjet 5200n , Model:HP 5200N, No:CNRXT15508</t>
  </si>
  <si>
    <t>GD</t>
  </si>
  <si>
    <t>Sếp Lâm</t>
  </si>
  <si>
    <t>Phòng anh Lâm</t>
  </si>
  <si>
    <t>18DA99</t>
  </si>
  <si>
    <t>18E54DA99</t>
  </si>
  <si>
    <t>3010502006001</t>
  </si>
  <si>
    <t xml:space="preserve">Rắc đặt thiết bị </t>
  </si>
  <si>
    <t>194.1</t>
  </si>
  <si>
    <t>3010502006001001</t>
  </si>
  <si>
    <t>Control and monitor rack W/AC power</t>
  </si>
  <si>
    <t>3010502063001</t>
  </si>
  <si>
    <t>Phần mở rộng tủ lưu trữ (Tủ Sony), Model:CSM-200C, No:1020071</t>
  </si>
  <si>
    <t xml:space="preserve">PM cũ
</t>
  </si>
  <si>
    <t>38/2012</t>
  </si>
  <si>
    <t>3010508043001</t>
  </si>
  <si>
    <t>UPS Itys Socomec công suất 6Kva, Model:ITY-TW060B, No:4I12500471</t>
  </si>
  <si>
    <t>Test1</t>
  </si>
  <si>
    <t>Quân (08/04 07:46)</t>
  </si>
  <si>
    <t>A1: UPS 6KW sát tường, trước dãy rack</t>
  </si>
  <si>
    <t>3010508043002</t>
  </si>
  <si>
    <t>UPS Itys Socomec công suất 6Kva, Model:ITY-TW060B, No:4I12500472</t>
  </si>
  <si>
    <t>F1: UPS 6KW sát tường, kế CB điện</t>
  </si>
  <si>
    <t>150</t>
  </si>
  <si>
    <t>EM09S766</t>
  </si>
  <si>
    <t>3010599042001</t>
  </si>
  <si>
    <t>Switch cáp quang Catalyst 3750 24+4 SFP, Model:WSC3750G24TS-S, No:CAT0718R02U</t>
  </si>
  <si>
    <t>Kho PH mới L1</t>
  </si>
  <si>
    <t>3020302005001</t>
  </si>
  <si>
    <t>Hệ thống camera IP cho khu vực kỹ thuật</t>
  </si>
  <si>
    <t>A2</t>
  </si>
  <si>
    <t>199.1</t>
  </si>
  <si>
    <t>3020302005001001</t>
  </si>
  <si>
    <t>Camera IP ACTi bán cầu hồng ngoại ngày đêm loại trong nhà, Model:ACM-3511, No:ACM3511-10E-X-00638</t>
  </si>
  <si>
    <t>199.2</t>
  </si>
  <si>
    <t>3020302005001002</t>
  </si>
  <si>
    <t>Camera IP ACTi bán cầu hồng ngoại ngày đêm loại trong nhà, Model:ACM-3511, No:ACM3511-10E-X-00639</t>
  </si>
  <si>
    <t>199.3</t>
  </si>
  <si>
    <t>3020302005001003</t>
  </si>
  <si>
    <t>Camera IP ACTi bán cầu hồng ngoại ngày đêm loại trong nhà, Model:ACM-3511, No:ACM3511-10E-X-00598</t>
  </si>
  <si>
    <t>A2 CONTROL</t>
  </si>
  <si>
    <t>199.4</t>
  </si>
  <si>
    <t>3020302005001004</t>
  </si>
  <si>
    <t>Camera IP ACTi bán cầu hồng ngoại ngày đêm loại trong nhà, Model:ACM-3511, No:ACM3511-10E-X-00602</t>
  </si>
  <si>
    <t>199.5</t>
  </si>
  <si>
    <t>3020302005001005</t>
  </si>
  <si>
    <t>Camera IP ACTi bán cầu hồng ngoại ngày đêm loại trong nhà, Model:ACM-3511, No:ACM3511-10E-X-00632</t>
  </si>
  <si>
    <t>199.6</t>
  </si>
  <si>
    <t>3020302005001006</t>
  </si>
  <si>
    <t>Camera IP ACTi bán cầu hồng ngoại ngày đêm loại trong nhà, Model:ACM-3511, No:ACM3511-10E-X-00633</t>
  </si>
  <si>
    <t>199.7</t>
  </si>
  <si>
    <t>3020302005001007</t>
  </si>
  <si>
    <t>Máy tính giám sát và ghi hình HP Pavilion, Model:Pavilion P6318L, No:CNXC09040Y</t>
  </si>
  <si>
    <t>Việt</t>
  </si>
  <si>
    <t>có biên bản a Việt ký nhận, ví trí MCR. Xuân bàn giao</t>
  </si>
  <si>
    <t>199.8</t>
  </si>
  <si>
    <t>3020302005001008</t>
  </si>
  <si>
    <t>Màn hình vi tính HP LCD 23", No:CNC0220CNB</t>
  </si>
  <si>
    <t>bàn c Sương, Xuân đã làm biên bản bàn giao</t>
  </si>
  <si>
    <t>199.9</t>
  </si>
  <si>
    <t>3020302005001009</t>
  </si>
  <si>
    <t>Máy tính giám sát HP Pavilion, Model:Pavilion P6318L, No:CNXC090MV6</t>
  </si>
  <si>
    <t>199.10</t>
  </si>
  <si>
    <t>3020302005001010</t>
  </si>
  <si>
    <t>Màn hình vi tính HP LCD 23", No:CNC0220CLG</t>
  </si>
  <si>
    <t>302030502008006</t>
  </si>
  <si>
    <t>Bảng điều khiển 10 nút nhấn 1RU, Model:ICS-102T, No:801156</t>
  </si>
  <si>
    <t>302030502008010</t>
  </si>
  <si>
    <t>Bảng điều khiển 10 nút nhấn 1RU, Model:ICS-102T, No:801161</t>
  </si>
  <si>
    <t>302030502010001</t>
  </si>
  <si>
    <t>Bảng điều khiển 12 nút nhấn, Model:ICS-2003T, No:779388</t>
  </si>
  <si>
    <t>KHO LAU 2</t>
  </si>
  <si>
    <t>302030502028001</t>
  </si>
  <si>
    <t>Hệ thống tủ kiểm soát ra vào bằng thẻ từ</t>
  </si>
  <si>
    <t>203.1</t>
  </si>
  <si>
    <t>302030502028001001</t>
  </si>
  <si>
    <t>Đầu đọc thẻ từ HID, Model:5365</t>
  </si>
  <si>
    <t>06DA/2013</t>
  </si>
  <si>
    <t>302030502042001</t>
  </si>
  <si>
    <t>Bộ điều khiển XY 16x16, Model:6028100X, No:5302175</t>
  </si>
  <si>
    <t>A_RACK 1</t>
  </si>
  <si>
    <t>302030502043001</t>
  </si>
  <si>
    <t>Bộ điều khiển 16x1, Model:6028100, No:5302180</t>
  </si>
  <si>
    <t>A1 Remote router Đạo diễn</t>
  </si>
  <si>
    <t>302030502043002</t>
  </si>
  <si>
    <t>Bộ điều khiển 16x1, Model:6028100, No:5302174</t>
  </si>
  <si>
    <t>302030502044001</t>
  </si>
  <si>
    <t>Bàn điều khiển đèn LED (SMARTFADE), Model:Smartfade 2496, No:346005779</t>
  </si>
  <si>
    <t>A1 bàn dimmer to</t>
  </si>
  <si>
    <t>302030502045001</t>
  </si>
  <si>
    <t>Bàn điều khiển đèn lạnh (SMARTFADE), Model:Smartfade 2496, No:346005783</t>
  </si>
  <si>
    <t>F1 bàn dimmer đèn</t>
  </si>
  <si>
    <t>302030502057001</t>
  </si>
  <si>
    <t>Bàn điều khiển master control, điều khiển chuyển mạch kết hợp đồ họa channel branding   - Miranda					, Model:iMC-Panel-100, No:211103R85759002</t>
  </si>
  <si>
    <t>Lầu 1 - K9</t>
  </si>
  <si>
    <t>302030502057002</t>
  </si>
  <si>
    <t>Bàn điều khiển master control, điều khiển chuyển mạch kết hợp đồ họa channel branding   - Miranda					, Model:iMC-Panel-100, No:211103R85672002</t>
  </si>
  <si>
    <t>Lầu 1 - K7</t>
  </si>
  <si>
    <t>302030502058001</t>
  </si>
  <si>
    <t>Bộ xử lý điều khiển router kết nối khung và bàn điều khiển cấu hình dự phòng (main +backup) -  Miranda, Model:NV9000, No:211080R83638007; 211080R83638008</t>
  </si>
  <si>
    <t>302030502059001</t>
  </si>
  <si>
    <t>Bảng điều khiển từ xa loại XY/multi-destination panel, có màn hình LCD hiển thị -  Miranda, Model:NV9601, No:211092R86656005</t>
  </si>
  <si>
    <t>302030502059002</t>
  </si>
  <si>
    <t>Bảng điều khiển từ xa loại XY/multi-destination panel, có màn hình LCD hiển thị -  Miranda, Model:NV9601, No:211092R86656008</t>
  </si>
  <si>
    <t>302030502060001</t>
  </si>
  <si>
    <t>Bảng điều khiển từ xa loại 2 RU Dense button multi-function panel -  Miranda, Model:NV9607, No:211070R84609002</t>
  </si>
  <si>
    <t>302030502060002</t>
  </si>
  <si>
    <t>Bảng điều khiển từ xa loại 2 RU Dense button multi-function panel -  Miranda, Model:NV9607, No:211070R84609003</t>
  </si>
  <si>
    <t>302030502060003</t>
  </si>
  <si>
    <t>Bảng điều khiển từ xa loại 2 RU Dense button multi-function panel -  Miranda, Model:NV9607, No:211070R79453001</t>
  </si>
  <si>
    <t>302030502060004</t>
  </si>
  <si>
    <t>Bảng điều khiển từ xa loại 2 RU Dense button multi-function panel -  Miranda, Model:NV9607, No:211070R77968001</t>
  </si>
  <si>
    <t>302030502061001</t>
  </si>
  <si>
    <t>Bảng điều khiển từ xa loại 1 RU Dense button multi-function panel -  Miranda, Model:NV9606, No:211069R81581015</t>
  </si>
  <si>
    <t>302030502061002</t>
  </si>
  <si>
    <t>Bảng điều khiển từ xa loại 1 RU Dense button multi-function panel -  Miranda, Model:NV9606, No:211069R81581010</t>
  </si>
  <si>
    <t>Cường</t>
  </si>
  <si>
    <t>MCR-HD CR</t>
  </si>
  <si>
    <t>302030502061003</t>
  </si>
  <si>
    <t>Bảng điều khiển từ xa loại 1 RU Dense button multi-function panel -  Miranda, Model:NV9606, No:211069R81581006</t>
  </si>
  <si>
    <t>302030502061004</t>
  </si>
  <si>
    <t>Bảng điều khiển từ xa loại 1 RU Dense button multi-function panel -  Miranda, Model:NV9606, No:211069R84612006</t>
  </si>
  <si>
    <t>302030502061005</t>
  </si>
  <si>
    <t>Bảng điều khiển từ xa loại 1 RU Dense button multi-function panel -  Miranda, Model:NV9606, No:211069R81581003</t>
  </si>
  <si>
    <t>302030502061006</t>
  </si>
  <si>
    <t>Bảng điều khiển từ xa loại 1 RU Dense button multi-function panel -  Miranda, Model:NV9606, No:211069R84612002</t>
  </si>
  <si>
    <t>302030502061007</t>
  </si>
  <si>
    <t>Bảng điều khiển từ xa loại 1 RU Dense button multi-function panel -  Miranda, Model:NV9606, No:211069R84306002</t>
  </si>
  <si>
    <t>302030502061008</t>
  </si>
  <si>
    <t>Bảng điều khiển từ xa loại 1 RU Dense button multi-function panel -  Miranda, Model:NV9606, No:211069R81581004</t>
  </si>
  <si>
    <t>302030502061009</t>
  </si>
  <si>
    <t>Bảng điều khiển từ xa loại 1 RU Dense button multi-function panel -  Miranda, Model:NV9606, No:211069R81581016</t>
  </si>
  <si>
    <t>302030502062001</t>
  </si>
  <si>
    <t>Phần cứng giám sát, điều khiển hoạt động của các thiết bị trong hệ thống Master Control(bao gồm phần mềm)  (Control Base Edition software with Enterprise Grade Application Server) -  Miranda, Model:IC-BASE-EDITION-ENT, No:088399R85124001</t>
  </si>
  <si>
    <t>302030502065001</t>
  </si>
  <si>
    <t>Bảng điều khiển Grass Valley - Remote control panel, Model:NV9606, No:211069R115173002</t>
  </si>
  <si>
    <t>Trường</t>
  </si>
  <si>
    <t>Control MCR</t>
  </si>
  <si>
    <t>70/2012</t>
  </si>
  <si>
    <t>302030503003001</t>
  </si>
  <si>
    <t>Đầu Ghi Hình Kỹ Thuật Số Supermicro, Model:CSE-822, No:C82200B32M20131</t>
  </si>
  <si>
    <t>229.1</t>
  </si>
  <si>
    <t>302030503003001001</t>
  </si>
  <si>
    <t>PHẦN MỀM GHI HÌNH QUẢN L Ý CAMERA ACTi 32 KÊNH, Model:NVR v2.3 Enterprise</t>
  </si>
  <si>
    <t>3020999002001</t>
  </si>
  <si>
    <t>Bộ 42 nút bấm LED Snell cho bàn phím điều khiển Snell - Remote 16x16 cho Router Snell, Model:7028100RCSB, No:S711190</t>
  </si>
  <si>
    <t xml:space="preserve">F1 bàn biên tập </t>
  </si>
  <si>
    <t>3020999002002</t>
  </si>
  <si>
    <t>Bộ 42 nút bấm LED Snell cho bàn phím điều khiển Snell - Remote 16x16 cho Router Snell, Model:7028100RCSB, No:S711191</t>
  </si>
  <si>
    <t>A1 ROUTER CHINH DEN</t>
  </si>
  <si>
    <t>18D44DA99</t>
  </si>
  <si>
    <t>302099901028001</t>
  </si>
  <si>
    <t xml:space="preserve">Bộ kiểm thính audio </t>
  </si>
  <si>
    <t>232.1</t>
  </si>
  <si>
    <t>302099901028001001</t>
  </si>
  <si>
    <t>Bộ khuếch đại âm thanh (Audio power amplifier amcron), Model:Amcron</t>
  </si>
  <si>
    <t>232.2</t>
  </si>
  <si>
    <t>302099901028001002</t>
  </si>
  <si>
    <t>Speaker system, Model:SM225B</t>
  </si>
  <si>
    <t>232.3</t>
  </si>
  <si>
    <t>302099901028001003</t>
  </si>
  <si>
    <t>Speaker system, Model:NS-10MM</t>
  </si>
  <si>
    <t>302099901188001</t>
  </si>
  <si>
    <t>Audio mixer 24 đường vào-Soundcraft, Model:GB8, No:RW5695SM151571</t>
  </si>
  <si>
    <t>KIỂM 4/23</t>
  </si>
  <si>
    <t>302099901189001</t>
  </si>
  <si>
    <t>Bộ giao tiếp âm thanh Clearcom (2 kênh cho phim trường, kèm micro Clearcom GM18), Model:MS-702, No:39TC0975</t>
  </si>
  <si>
    <t>F1 Intercom Matrix Plus</t>
  </si>
  <si>
    <t>234.1</t>
  </si>
  <si>
    <t>302099901189001001</t>
  </si>
  <si>
    <t>Bộ giao tiếp âm thanh Clearcom đeo lưng cho phim trường (kèm tai nghe có micro 1 bên), Model:RS-701, No:38TC0095</t>
  </si>
  <si>
    <t>cam 2 F1</t>
  </si>
  <si>
    <t>234.2</t>
  </si>
  <si>
    <t>302099901189001002</t>
  </si>
  <si>
    <t>Bộ giao tiếp âm thanh Clearcom đeo lưng cho phim trường (kèm tai nghe có micro 1 bên), Model:RS-701, No:38TC0096</t>
  </si>
  <si>
    <t>F1 tủ bàn Đạo diễn</t>
  </si>
  <si>
    <t>234.3</t>
  </si>
  <si>
    <t>302099901189001003</t>
  </si>
  <si>
    <t>Bộ giao tiếp âm thanh Clearcom đeo lưng cho phim trường (kèm tai nghe có micro 1 bên), Model:RS-701, No:38TC0097</t>
  </si>
  <si>
    <t>234.4</t>
  </si>
  <si>
    <t>302099901189001004</t>
  </si>
  <si>
    <t>Bộ giao tiếp âm thanh Clearcom đeo lưng cho phim trường (kèm tai nghe có micro 1 bên), Model:RS-701, No:38TC0098</t>
  </si>
  <si>
    <t>F1 cam 3</t>
  </si>
  <si>
    <t>02Da04</t>
  </si>
  <si>
    <t>020603-Da04</t>
  </si>
  <si>
    <t>302099902165001</t>
  </si>
  <si>
    <t>Thiết bị tổng quát trung tâm DPS-575AV Frame Synchronizer, Model:DPS-575AV, No:3H575A0019-9920</t>
  </si>
  <si>
    <t>Đang lưu tại phòng</t>
  </si>
  <si>
    <t>06Da99</t>
  </si>
  <si>
    <t>0621Da99</t>
  </si>
  <si>
    <t>302099902185001</t>
  </si>
  <si>
    <t>Digital router, Model:DVS-V1616</t>
  </si>
  <si>
    <t>02DA00</t>
  </si>
  <si>
    <t>020138DA00</t>
  </si>
  <si>
    <t>302099902271001</t>
  </si>
  <si>
    <t>Leitch Master Clock Driver ( bộ điều khiển xung clock chính) , Model:CSD - 5300, No:980242</t>
  </si>
  <si>
    <t>MCR cũ, đồng hồ cho 3 pt, Chí Quang bàn giao trả lại a Lam</t>
  </si>
  <si>
    <t>020141DA00</t>
  </si>
  <si>
    <t>302099902274001</t>
  </si>
  <si>
    <t>Tektronix Component Digital Master Sync Generator ( bộ tạo xung tín hiệu đồng bộ chính số thành phần ), Model:SPG - 422, No:B023587</t>
  </si>
  <si>
    <t>MCR-HD (phòng máy)</t>
  </si>
  <si>
    <t>020112DA00</t>
  </si>
  <si>
    <t>302099902275001</t>
  </si>
  <si>
    <t>SDI Signal Generator (Include Option SPG - 4220 PT 02 (bộ tạo xung đồng hồ chuẩn ) , Model:SPG - 422/02</t>
  </si>
  <si>
    <t>đã bàn giao cho QLKT bộ tùy chọn (302099902276001)</t>
  </si>
  <si>
    <t>13Da01</t>
  </si>
  <si>
    <t>13C21,23-Da01</t>
  </si>
  <si>
    <t>302099902289001</t>
  </si>
  <si>
    <t xml:space="preserve">Bổ sung cho máy CSD-5300 </t>
  </si>
  <si>
    <t>240.1</t>
  </si>
  <si>
    <t>302099902289001001</t>
  </si>
  <si>
    <t xml:space="preserve"> *Máy thu GPS-5300 cho điều khiển đồng hồ mẹ GPS-5300 (GPS-5300 Receiver for CSD-5300 Master clock Driver)</t>
  </si>
  <si>
    <t>240.2</t>
  </si>
  <si>
    <t>302099902289001002</t>
  </si>
  <si>
    <t xml:space="preserve"> *Card giao diện cho CDS-5300 RI (Reference Interface for use with CSD-5300)</t>
  </si>
  <si>
    <t>154-157</t>
  </si>
  <si>
    <t>AF07B011</t>
  </si>
  <si>
    <t>302099902325001</t>
  </si>
  <si>
    <t>Bộ khuếch đại phân chia tín hiệu tiếng khung FR-884, ASD-880, nguồn 884PS</t>
  </si>
  <si>
    <t>Rack 1-1  chia đồng hồ
 PH mới</t>
  </si>
  <si>
    <t>253</t>
  </si>
  <si>
    <t>KK01T041</t>
  </si>
  <si>
    <t>302099902340001</t>
  </si>
  <si>
    <t>TBC- DPS-575, letch, Model:DPS 575, No:LHTI0226713005</t>
  </si>
  <si>
    <t>23/2007</t>
  </si>
  <si>
    <t>302099902469001</t>
  </si>
  <si>
    <t>Bộ tạo chữ Leitch Inca Studio Inscriber , No:VA1912-060894530</t>
  </si>
  <si>
    <t>28/2007</t>
  </si>
  <si>
    <t>302099902485001</t>
  </si>
  <si>
    <t>Hệ thống truyền dẫn tín hiệu sử dụng tín hiệu Quang (Serial Didital Fiber Optic Link)</t>
  </si>
  <si>
    <t>Hàn giữ frame. Card Lam bàn giao Công Thắng (có giấy lưu hồ sơ) PTA</t>
  </si>
  <si>
    <t>244.1</t>
  </si>
  <si>
    <t>302099902485001001</t>
  </si>
  <si>
    <t>Bộ truyền dẫn tín hiệu bằng quang SDI- Serial digital fiber optic link-Tx, Model:DVT-3211PC/412102-106</t>
  </si>
  <si>
    <t>nt</t>
  </si>
  <si>
    <t>244.2</t>
  </si>
  <si>
    <t>302099902485001002</t>
  </si>
  <si>
    <t>Bộ nhận tín hiệu quang SDI., Model:DVR-3210/409102-05-06-07-08</t>
  </si>
  <si>
    <t>88</t>
  </si>
  <si>
    <t>302099902525001</t>
  </si>
  <si>
    <t>Bàn Mixer âm thanh Mackie, Model:1642 VLZ Pro, No:DN 40909</t>
  </si>
  <si>
    <t>Malaysia</t>
  </si>
  <si>
    <t>A1 Mixer dự phòng</t>
  </si>
  <si>
    <t>28/2011</t>
  </si>
  <si>
    <t>302099902557006</t>
  </si>
  <si>
    <t>Khung chứa bộ thu tín hiệu cáp quang IRT, Model:FRU1034, No:1011190</t>
  </si>
  <si>
    <t>HTVC - Rack 25</t>
  </si>
  <si>
    <t>302099902558005</t>
  </si>
  <si>
    <t>Khung chứa bộ phát tín hiệu cáp quang IRT, Model:FRU1034, No:1011191</t>
  </si>
  <si>
    <t>HTVC - Rack 15</t>
  </si>
  <si>
    <t>13/2009</t>
  </si>
  <si>
    <t>302099902599001</t>
  </si>
  <si>
    <t>Bàn chuyển tín hiệu hình Thomson Grassvalley: cộng thêm 2 chroma keyer, Model:Kayak-DD1, No:GV061778</t>
  </si>
  <si>
    <t>248.1</t>
  </si>
  <si>
    <t>302099902599001001</t>
  </si>
  <si>
    <t>Bàn chuyển tín hiệu hình Thomson Grassvalley: cộng thêm 4 kênh ghi hình bằng ram, Model:Kayak-DD1, No:GV061737</t>
  </si>
  <si>
    <t>302099902603001</t>
  </si>
  <si>
    <t>Thiết bị tạo xung đồng bộ và tín hiệu test, Model:VSG-204D, No:100800140</t>
  </si>
  <si>
    <t>F1-R2 genlock backup</t>
  </si>
  <si>
    <t>302099902604002</t>
  </si>
  <si>
    <t xml:space="preserve">Hệ thống phân chia và xử lý tín hiệu </t>
  </si>
  <si>
    <t>250.1</t>
  </si>
  <si>
    <t>302099902604002001</t>
  </si>
  <si>
    <t>Khung để bo mạch có nguồn dự phòng dùng để phân chia tín hiệu số, Model:FR6802+QXF, No:LHTI 0428966063</t>
  </si>
  <si>
    <t>250.2</t>
  </si>
  <si>
    <t>302099902604002002</t>
  </si>
  <si>
    <t xml:space="preserve">Bo phân chia tín hiệu EQ dùng để phân chia tín hiệu xng đồng bộ </t>
  </si>
  <si>
    <t>250.3</t>
  </si>
  <si>
    <t>302099902604002003</t>
  </si>
  <si>
    <t>Bo phân chia tín hiệu số , chấp nhận tín hiệu SMPTE 259M &amp;344, 143-540Mb/s</t>
  </si>
  <si>
    <t>250.4</t>
  </si>
  <si>
    <t>302099902604002004</t>
  </si>
  <si>
    <t>250.5</t>
  </si>
  <si>
    <t>302099902604002005</t>
  </si>
  <si>
    <t>250.6</t>
  </si>
  <si>
    <t>302099902604002006</t>
  </si>
  <si>
    <t>250.7</t>
  </si>
  <si>
    <t>302099902604002007</t>
  </si>
  <si>
    <t>250.8</t>
  </si>
  <si>
    <t>302099902604002008</t>
  </si>
  <si>
    <t>250.9</t>
  </si>
  <si>
    <t>302099902604002009</t>
  </si>
  <si>
    <t>250.10</t>
  </si>
  <si>
    <t>302099902604002010</t>
  </si>
  <si>
    <t>250.11</t>
  </si>
  <si>
    <t>302099902604002011</t>
  </si>
  <si>
    <t>250.12</t>
  </si>
  <si>
    <t>302099902604002012</t>
  </si>
  <si>
    <t>17/2009</t>
  </si>
  <si>
    <t>302099902611001</t>
  </si>
  <si>
    <t>Sync generator Tektronix, Model:SPG300, No:B011030</t>
  </si>
  <si>
    <t xml:space="preserve">A1 KTPT </t>
  </si>
  <si>
    <t>302099902613001</t>
  </si>
  <si>
    <t>Hệ thống tạo xung đồng bộ gồm 2 bộ tạo xung đồng bộ và một bộ tư động chuyển đổi tín hiệu cho 2 thiết bị tạo xung đồng bộ , Model:MTG-3901-SYS-1P, No:LHT10257583001- LHT10259227001</t>
  </si>
  <si>
    <t>MCR cũ - F2 KTPT</t>
  </si>
  <si>
    <t>302099902617001</t>
  </si>
  <si>
    <t xml:space="preserve">Hệ thống đồng bộ tín hiệu số </t>
  </si>
  <si>
    <t>253.1</t>
  </si>
  <si>
    <t>302099902617001001</t>
  </si>
  <si>
    <t>Khung để bo mạch có nguồn dự phòng dùng cho các đồng bộ tín hiệu hình số , Model:FR6802+, No:07LHT100681B</t>
  </si>
  <si>
    <t>253.2</t>
  </si>
  <si>
    <t>302099902617001002</t>
  </si>
  <si>
    <t>Bộ tạo tín hiệu chuẩn 525/625lines4:2:2@270Mb/s4:3, cho phép chọn 32 tín hiệu chuẩn có khung gắn kèm theo, Model:VTG-6801-1-D, No:LGYT0032006914</t>
  </si>
  <si>
    <t>302099902618001</t>
  </si>
  <si>
    <t>Bộ đồng bộ tín hiệu đa năng 1RU. Chấp nhận các tín hiệu hình Coposite, component, Y/C, SDI; tín hiệu tiếng : Analog, AES/EBU, SDI embedded, Model:X75-DPS-575VA, No:LHT10257487003</t>
  </si>
  <si>
    <t>MCR-HD phòng máy Logo TT</t>
  </si>
  <si>
    <t>302099902618002</t>
  </si>
  <si>
    <t>Bộ đồng bộ tín hiệu đa năng 1RU. Chấp nhận các tín hiệu hình Coposite, component, Y/C, SDI; tín hiệu tiếng : Analog, AES/EBU, SDI embedded, Model:X75-DPS-575VA, No:LHT10257487024</t>
  </si>
  <si>
    <t>302099902619002</t>
  </si>
  <si>
    <t>Bộ chuyển đổi qua lại (Bi directional AD/DA) tín hiệu hình tiếng tương tự và tín hiệu số , Model:Multibridge, No:93311</t>
  </si>
  <si>
    <t>302099902619005</t>
  </si>
  <si>
    <t>Bộ chuyển đổi qua lại (Bi directional AD/DA) tín hiệu hình tiếng tương tự và tín hiệu số , Model:Multibridge, No:90618</t>
  </si>
  <si>
    <t>302099902619006</t>
  </si>
  <si>
    <t>Bộ chuyển đổi qua lại (Bi directional AD/DA) tín hiệu hình tiếng tương tự và tín hiệu số , Model:Multibridge, No:93306</t>
  </si>
  <si>
    <t>302099902621001</t>
  </si>
  <si>
    <t xml:space="preserve">Bảng cắm tín hiệu tiếng 2x32 lỗ </t>
  </si>
  <si>
    <t>MCR CŨ</t>
  </si>
  <si>
    <t>75/2009</t>
  </si>
  <si>
    <t>302099902650001</t>
  </si>
  <si>
    <t>Video Frame Harris Sync/Converter, 16:9 , Model:X75SD</t>
  </si>
  <si>
    <t>Đại</t>
  </si>
  <si>
    <t>302099902650002</t>
  </si>
  <si>
    <t>24/2010</t>
  </si>
  <si>
    <t>302099902666001</t>
  </si>
  <si>
    <t>Bộ chuyển mạch số 16x16 Leitch, Model:P16X16SIE, No:LHTI0463076002</t>
  </si>
  <si>
    <t>262.1</t>
  </si>
  <si>
    <t>302099902666001001</t>
  </si>
  <si>
    <t>Bộ điều khiển 16x1 Leitch cho Bộ chuyển mạch số 16x16 Leitch, Model:RCP-16X1P, No:LHTI0470933003</t>
  </si>
  <si>
    <t>đề nghị thanh lý</t>
  </si>
  <si>
    <t>262.2</t>
  </si>
  <si>
    <t>302099902666001002</t>
  </si>
  <si>
    <t>Bộ điều khiển 16x1 Leitch cho Bộ chuyển mạch số 16x16 Leitch, Model:RCP-16X1P, No:LHTI0470935004</t>
  </si>
  <si>
    <t>262.3</t>
  </si>
  <si>
    <t>302099902666001003</t>
  </si>
  <si>
    <t>Bộ điều khiển 16x1 Leitch cho Bộ chuyển mạch số 16x16 Leitch, Model:RCP-16X1P, No:LHTI0470933005</t>
  </si>
  <si>
    <t>262.4</t>
  </si>
  <si>
    <t>302099902666001004</t>
  </si>
  <si>
    <t>Bộ điều khiển 16x1 Leitch cho Bộ chuyển mạch số 16x16 Leitch, Model:RCP-16X1P, No:LHTI0470935010</t>
  </si>
  <si>
    <t>302099902670001</t>
  </si>
  <si>
    <t>AD converter Canopus, Model:ADVC1000, No:110185</t>
  </si>
  <si>
    <t>P.Control MCR HD</t>
  </si>
  <si>
    <t>302099902687001</t>
  </si>
  <si>
    <t>Thiết bị chuyển mạch Linksys, Model:SRW2024, No:RIE40K601678</t>
  </si>
  <si>
    <t>F1 RACK 1</t>
  </si>
  <si>
    <t>302099902687002</t>
  </si>
  <si>
    <t>Thiết bị chuyển mạch Linksys, Model:SRW2024, No:RIE40K601704</t>
  </si>
  <si>
    <t>302099902701001</t>
  </si>
  <si>
    <t xml:space="preserve">Bộ khuếch đại phân chia tín hiệu </t>
  </si>
  <si>
    <t>T.Long</t>
  </si>
  <si>
    <t xml:space="preserve">Kho PH lầu 2
 </t>
  </si>
  <si>
    <t>266.1</t>
  </si>
  <si>
    <t>302099902701001001</t>
  </si>
  <si>
    <t>20 card chassis w/basic controller, 1RU, Model:DENSITE</t>
  </si>
  <si>
    <t>302099902701002</t>
  </si>
  <si>
    <t>267.1</t>
  </si>
  <si>
    <t>302099902701002001</t>
  </si>
  <si>
    <t>302099902705001</t>
  </si>
  <si>
    <t>Bộ phân chia xung đồng bộ</t>
  </si>
  <si>
    <t>268.1</t>
  </si>
  <si>
    <t>302099902705001001</t>
  </si>
  <si>
    <t>20-card chassis w/basic controller, 1 PSU (AC) - chuyển đổi xung đồng bộ số cho bộ Master Control, Model:DENSITe 2</t>
  </si>
  <si>
    <t>302099902707001</t>
  </si>
  <si>
    <t>Bộ xử lý tín hiệu số Harris , Model:X50, No:LHTI2111159309</t>
  </si>
  <si>
    <t>302099902707002</t>
  </si>
  <si>
    <t>Bộ xử lý tín hiệu số Harris , Model:X50, No:LHTI2111159325</t>
  </si>
  <si>
    <t>PM. MCR HD</t>
  </si>
  <si>
    <t>12/2012</t>
  </si>
  <si>
    <t>302099902710003</t>
  </si>
  <si>
    <t>Máy tạo chữ và logo Harris Inscriber, loại đơn kênh SD (case), Model:TitleOne XT-S, No:LAB015005</t>
  </si>
  <si>
    <t>F1-R1 CG dự phòng</t>
  </si>
  <si>
    <t>271.1</t>
  </si>
  <si>
    <t>302099902710003001</t>
  </si>
  <si>
    <t>Monitor LCD 20" Samsung, Model:B2030, No:1457HYTB200367Z</t>
  </si>
  <si>
    <t>302099902714001</t>
  </si>
  <si>
    <t>Bộ trộn âm thanh analog Soundcraft 24 đường vào , Model:GB8, No:RW5695SM151504</t>
  </si>
  <si>
    <t>302099902738001</t>
  </si>
  <si>
    <t>Frame Ross (gắn card 3RU), Model:DFR-8321-CN</t>
  </si>
  <si>
    <t>F1-R2 khung ross 2</t>
  </si>
  <si>
    <t>273.1</t>
  </si>
  <si>
    <t>302099902738001001</t>
  </si>
  <si>
    <t>Master control switch Ross , Model:MC1-MK</t>
  </si>
  <si>
    <t>Biên bản bàn giao 17/4/2014 anh Lam chỉ giao Thanh 2 card MC1 thuộc 2 khung Frame Ross, nhưng tổng số tới 4 card.</t>
  </si>
  <si>
    <t>273.2</t>
  </si>
  <si>
    <t>302099902738001002</t>
  </si>
  <si>
    <t>273.3</t>
  </si>
  <si>
    <t>302099902738001003</t>
  </si>
  <si>
    <t>Bộ xử lý tín hiệu có tính năng up/down/cross conversion (Card), Model:UDC-8625A-R2</t>
  </si>
  <si>
    <t>A2-R7 khung ross chia Cam3</t>
  </si>
  <si>
    <t>273.4</t>
  </si>
  <si>
    <t>302099902738001004</t>
  </si>
  <si>
    <t>A2-R7 khung ross chia Cam 2</t>
  </si>
  <si>
    <t>273.5</t>
  </si>
  <si>
    <t>302099902738001005</t>
  </si>
  <si>
    <t>Frame synchronizer Ross, Model:SFS-8221-R2</t>
  </si>
  <si>
    <t>F1 khung ross 2, Abk</t>
  </si>
  <si>
    <t>302099902738002</t>
  </si>
  <si>
    <t>F1 khung ross 1</t>
  </si>
  <si>
    <t>274.1</t>
  </si>
  <si>
    <t>302099902738002001</t>
  </si>
  <si>
    <t>HTKT, tủ sắt 11, Xuân giữ</t>
  </si>
  <si>
    <t>274.2</t>
  </si>
  <si>
    <t>302099902738002002</t>
  </si>
  <si>
    <t>A1 Khung Ross -Vizrt</t>
  </si>
  <si>
    <t>274.3</t>
  </si>
  <si>
    <t>302099902738002003</t>
  </si>
  <si>
    <t>F1 khung ross 1, Ext3</t>
  </si>
  <si>
    <t>274.4</t>
  </si>
  <si>
    <t>302099902738002004</t>
  </si>
  <si>
    <t>F1 khung ross 2, Ext 4</t>
  </si>
  <si>
    <t>274.5</t>
  </si>
  <si>
    <t>302099902738002005</t>
  </si>
  <si>
    <t>F1 khung ross 1, A-Inews</t>
  </si>
  <si>
    <t>302099902739001</t>
  </si>
  <si>
    <t>Thiết bị giao tiếp Ross (giữa Master control switch và Router), Model:NK-IPS NK, No:50115118003</t>
  </si>
  <si>
    <t>Phòng máy nhà F</t>
  </si>
  <si>
    <t>302099902739002</t>
  </si>
  <si>
    <t>Thiết bị giao tiếp Ross (giữa Master control switch và Router), Model:NK-IPS NK, No:50115118007</t>
  </si>
  <si>
    <t>302099902741001</t>
  </si>
  <si>
    <t>Bộ trộn hình For-A, Model:HVS-300HS, No:13121531</t>
  </si>
  <si>
    <t>A1-R3</t>
  </si>
  <si>
    <t>277.1</t>
  </si>
  <si>
    <t>302099902741001001</t>
  </si>
  <si>
    <t>Bàn điều khiển For-A, Model:HVS-30 OU, No:13131612</t>
  </si>
  <si>
    <t>A1-R4</t>
  </si>
  <si>
    <t>02DA/2013</t>
  </si>
  <si>
    <t>302099902753001</t>
  </si>
  <si>
    <t>Bộ trộn hình tín hiệu HD, Model:Kahuna, No:3MF52110665</t>
  </si>
  <si>
    <t>278.1</t>
  </si>
  <si>
    <t>302099902753001001</t>
  </si>
  <si>
    <t>Bàn điều khiển 1M/E control Panel, Model:Kahuna, No:1ME53010605</t>
  </si>
  <si>
    <t>278.2</t>
  </si>
  <si>
    <t>302099902753001002</t>
  </si>
  <si>
    <t>Bộ Aux Panel đấu nối từ xa - 1RU Remote Aux Panel, No:1AU53010600</t>
  </si>
  <si>
    <t>278.3</t>
  </si>
  <si>
    <t>302099902753001003</t>
  </si>
  <si>
    <t>Các lựa chọn cho production switcher khác: Resizer effect, Modulation, Cliptrax, Still-Clipe Store extension, No:GPR53010609</t>
  </si>
  <si>
    <t>278.4</t>
  </si>
  <si>
    <t>302099902753001004</t>
  </si>
  <si>
    <t>Màn hình Sam sung , Model:E1720, No:MPFRHYCCC02196R</t>
  </si>
  <si>
    <t>302099902779001</t>
  </si>
  <si>
    <t>Bộ chuyển mạch 17x17, Model:FGAEW-9001C, No:S53026278</t>
  </si>
  <si>
    <t>Nước khác</t>
  </si>
  <si>
    <t>A1-R3 Router</t>
  </si>
  <si>
    <t>302099902780001</t>
  </si>
  <si>
    <t>Frame có nguồn dự phòng kèm Card, Model:IQH3B-S-P, No:5302055</t>
  </si>
  <si>
    <t>A1-R2</t>
  </si>
  <si>
    <t>302099902780002</t>
  </si>
  <si>
    <t>Frame có nguồn dự phòng kèm Card, Model:IQH3B-S-P, No:5302250</t>
  </si>
  <si>
    <t>A2-R7</t>
  </si>
  <si>
    <t>302099902780003</t>
  </si>
  <si>
    <t>Frame có nguồn dự phòng kèm Card, Model:IQH3B-S-P, No:5302065</t>
  </si>
  <si>
    <t>A1 DƯỚI BÀN ĐD Inews</t>
  </si>
  <si>
    <t>302099902780004</t>
  </si>
  <si>
    <t>Frame có nguồn dự phòng kèm Card, Model:IQH3B-S-P, No:5302061</t>
  </si>
  <si>
    <t>302099902781001</t>
  </si>
  <si>
    <t>Bộ chia điều khiển Promter Autoscript</t>
  </si>
  <si>
    <t>A1-R1 chia prompter</t>
  </si>
  <si>
    <t>284.1</t>
  </si>
  <si>
    <t>302099902781001001</t>
  </si>
  <si>
    <t>PSU &amp; Smart combine Autoscript, Model:SC2, No:SC2120715</t>
  </si>
  <si>
    <t>A1-R1 prompter 5in 1out</t>
  </si>
  <si>
    <t>302099902797001</t>
  </si>
  <si>
    <t>Khung Harris (kèm 2 card DMX6800; 2 card MXA 6800+A4D; 2 card VFS 6800+D), Model:FR6822+QXFE, No:2114100657</t>
  </si>
  <si>
    <t>Kho L2</t>
  </si>
  <si>
    <t>302099902798001</t>
  </si>
  <si>
    <t>Khung  (Bộ Multiviewer chứa 2 bộ nhận tín hiệu Apantac MiniQ), Model:MiniQ-1U-FR, No:1401115004</t>
  </si>
  <si>
    <t>F1 rack2</t>
  </si>
  <si>
    <t>286.1</t>
  </si>
  <si>
    <t>302099902798001001</t>
  </si>
  <si>
    <t>Bộ nhận tín hiệu Apantac, Model:MiniQ, No:131220059</t>
  </si>
  <si>
    <t>286.2</t>
  </si>
  <si>
    <t>302099902798001002</t>
  </si>
  <si>
    <t>Bộ nhận tín hiệu Apantac, Model:MiniQ, No:131220060</t>
  </si>
  <si>
    <t>A1 sau bàn control, chia 4 ô</t>
  </si>
  <si>
    <t>0023GTTS/AR/DV09/2014</t>
  </si>
  <si>
    <t>302099902801001</t>
  </si>
  <si>
    <t>All-in-one 17" Prompter Monitor and integrated 17" On-Air Talent Monitor Autoscript, Model:EPIC17, No:EPIC 17190084</t>
  </si>
  <si>
    <t>A1-MC Prompter Cam 3</t>
  </si>
  <si>
    <t>287.1</t>
  </si>
  <si>
    <t>302099902801001001</t>
  </si>
  <si>
    <t>Six Digit Autoscript On-Air Time or Countdown. Interfaces to Studio Timecode, combined with Tally.Light function  (đồng hồ), Model:+Clock Plus+, No:EPCP 195051</t>
  </si>
  <si>
    <t>A1-Cam1 đồng hồ</t>
  </si>
  <si>
    <t>302099902801002</t>
  </si>
  <si>
    <t>All-in-one 17" Prompter Monitor and integrated 17" On-Air Talent Monitor Autoscript, Model:EPIC17, No:EPIC 17190091</t>
  </si>
  <si>
    <t>A1-MC Prompter Cam 1</t>
  </si>
  <si>
    <t>288.1</t>
  </si>
  <si>
    <t>302099902801002001</t>
  </si>
  <si>
    <t>Six Digit Autoscript On-Air Time or Countdown. Interfaces to Studio Timecode, combined with Tally.Light function , Model:+Clock Plus+, No:EPCP 195053</t>
  </si>
  <si>
    <t>Bàn Quân ( cục hiển thị đồng hồ)</t>
  </si>
  <si>
    <t>0012GTTS/AR/DV09/2016</t>
  </si>
  <si>
    <t>302099902803003</t>
  </si>
  <si>
    <t>Khung Miranda (gắn card), Model:Densite 2, No:062499-R94412008</t>
  </si>
  <si>
    <t>Rack 1 cuối PH mới</t>
  </si>
  <si>
    <t>302099902803004</t>
  </si>
  <si>
    <t>Khung Miranda (gắn card), Model:Densite 2, No:062499-R94413008</t>
  </si>
  <si>
    <t>Rack 2 kế cuối PH mới</t>
  </si>
  <si>
    <t>0024GTTS/AR/DV09/2014</t>
  </si>
  <si>
    <t>302099902804001</t>
  </si>
  <si>
    <t>Khung IRT (gắn board phát quang HD DDT4630), Model:FRU1034, No:1309033</t>
  </si>
  <si>
    <t>Quân đã bàn giao anh Việt</t>
  </si>
  <si>
    <t>302099902804002</t>
  </si>
  <si>
    <t>Khung IRT (gắn 3 board thu quang HD DDR4630), Model:FRU1034, No:1309034</t>
  </si>
  <si>
    <t>CR.MCR</t>
  </si>
  <si>
    <t>302099902805001</t>
  </si>
  <si>
    <t>Camera Control Unit-Sony, Model:HXCU-100, No:421135</t>
  </si>
  <si>
    <t>A1-R1 CAM 1</t>
  </si>
  <si>
    <t>302099902805002</t>
  </si>
  <si>
    <t>Camera Control Unit-Sony, Model:HXCU-100, No:421141</t>
  </si>
  <si>
    <t>A1-R1 CAM 2</t>
  </si>
  <si>
    <t>302099902805003</t>
  </si>
  <si>
    <t>Camera Control Unit-Sony, Model:HXCU-100, No:421133</t>
  </si>
  <si>
    <t>A1-R1 CAM 4</t>
  </si>
  <si>
    <t>302099902805004</t>
  </si>
  <si>
    <t>Camera Control Unit-Sony, Model:HXCU-100, No:421163</t>
  </si>
  <si>
    <t>A1-R1 CAM 3</t>
  </si>
  <si>
    <t>302099902806001</t>
  </si>
  <si>
    <t>Bàn điều khiển từ xa (RCP)- Sony, Model:RCP-1000, No:102134</t>
  </si>
  <si>
    <t xml:space="preserve">A1 BÀN ĐD CAM 4 </t>
  </si>
  <si>
    <t>302099902806002</t>
  </si>
  <si>
    <t>Bàn điều khiển từ xa (RCP)- Sony, Model:RCP-1000, No:102098</t>
  </si>
  <si>
    <t>A1 BÀN ĐD CAM 3</t>
  </si>
  <si>
    <t>302099902806003</t>
  </si>
  <si>
    <t>Bàn điều khiển từ xa (RCP)- Sony, Model:RCP-1000, No:102099</t>
  </si>
  <si>
    <t>A1 BÀN ĐD CAM 2</t>
  </si>
  <si>
    <t>302099902806004</t>
  </si>
  <si>
    <t>Bàn điều khiển từ xa (RCP)- Sony, Model:RCP-1000, No:102073</t>
  </si>
  <si>
    <t>A1 BÀN ĐD CAM 1</t>
  </si>
  <si>
    <t>302099902807001</t>
  </si>
  <si>
    <t>Bộ tạo tín hiệu sync-Harris , Model:VSG-4MTG, No:0713T0491</t>
  </si>
  <si>
    <t>A1-R3 backup</t>
  </si>
  <si>
    <t>302099902807002</t>
  </si>
  <si>
    <t>Bộ tạo tín hiệu sync-Harris , Model:VSG-4MTG, No:0513T0539</t>
  </si>
  <si>
    <t>A1-R3 main</t>
  </si>
  <si>
    <t>302.1</t>
  </si>
  <si>
    <t>302099902807002001</t>
  </si>
  <si>
    <t>"Bộ change over", Model:VSX-11D, No:0713T0941</t>
  </si>
  <si>
    <t>A1-R3 change over</t>
  </si>
  <si>
    <t>302099902808001</t>
  </si>
  <si>
    <t>Bộ trộn hình HD-Snell, Model:Kahuna, No:3MF53080647</t>
  </si>
  <si>
    <t>303.1</t>
  </si>
  <si>
    <t>302099902808001001</t>
  </si>
  <si>
    <t>Kèm màn hình Dell, Model:E1713SC, No:CNODM06C6418037BOLFL</t>
  </si>
  <si>
    <t>A1 hư phòng CB giữa</t>
  </si>
  <si>
    <t>303.2</t>
  </si>
  <si>
    <t>302099902808001002</t>
  </si>
  <si>
    <t>Bàn điều khiển 1M/E control Panel, Model:Kahuna, No:1ME53080611</t>
  </si>
  <si>
    <t>302099902808002</t>
  </si>
  <si>
    <t>Bộ trộn hình HD-Snell (kèm bộ điều khiển và bộ kết nối), Model:Kahuna, No:3MF 54070617</t>
  </si>
  <si>
    <t>304.1</t>
  </si>
  <si>
    <t>302099902808002001</t>
  </si>
  <si>
    <t>Bàn điều khiển Snell, Model:Kahuna, No:1FL54030711</t>
  </si>
  <si>
    <t>A1 bàn đạo diễn</t>
  </si>
  <si>
    <t>304.2</t>
  </si>
  <si>
    <t>302099902808002002</t>
  </si>
  <si>
    <t>Bộ kết nối màn hình Snell, Model:Kahuna, No:GPR54090669</t>
  </si>
  <si>
    <t>302099902809001</t>
  </si>
  <si>
    <t>Bộ tạo tín hiệu chuẩn Imagine Communications, Model:VSG-4MTG, No:0914T0019</t>
  </si>
  <si>
    <t>MCR cũ Rack8: tạo genlock</t>
  </si>
  <si>
    <t>302099902810001</t>
  </si>
  <si>
    <t>Bộ đồng bộ tín hiệu Imagine Communications, Model:X50-AV-2PS, No:LHTI2114297067</t>
  </si>
  <si>
    <t>Thái Lan</t>
  </si>
  <si>
    <t>F1-R2 X50</t>
  </si>
  <si>
    <t>302099902810002</t>
  </si>
  <si>
    <t>Bộ đồng bộ tín hiệu Imagine Communications, Model:X50-AV-2PS, No:LHTI2114297070</t>
  </si>
  <si>
    <t>302099902813001</t>
  </si>
  <si>
    <t>Bộ trộn tiếng Allen&amp;Heath, Model:Qu-24, No:491519</t>
  </si>
  <si>
    <t>Kho TTPH, hư chờ thanh lý</t>
  </si>
  <si>
    <t>302099902813004</t>
  </si>
  <si>
    <t>Bộ trộn tiếng Allen&amp;Heath, Model:Qu-24, No:QU24X-512145</t>
  </si>
  <si>
    <t>0019GTTS/AR/DV09/2015</t>
  </si>
  <si>
    <t>302099902844001</t>
  </si>
  <si>
    <t>Khung IRT (chứa module thu phát quang có nguồn dự phòng), Model:FRU4001, No:1508035</t>
  </si>
  <si>
    <t>Rack quang PM.MCRHD</t>
  </si>
  <si>
    <t>310.1</t>
  </si>
  <si>
    <t>302099902844001001</t>
  </si>
  <si>
    <t>Module phát quang HD IRT, Model:DDT-4630, No:1410039</t>
  </si>
  <si>
    <t>TMS: HD SDI --&gt;MCR</t>
  </si>
  <si>
    <t>310.2</t>
  </si>
  <si>
    <t>302099902844001002</t>
  </si>
  <si>
    <t>Module phát quang HD IRT, Model:DDT-4630, No:1410044</t>
  </si>
  <si>
    <t>PM.MCR HD - to F3</t>
  </si>
  <si>
    <t>310.3</t>
  </si>
  <si>
    <t>302099902844001003</t>
  </si>
  <si>
    <t>Module phát quang HD IRT, Model:DDT-4630, No:1410045</t>
  </si>
  <si>
    <t>Phát 4 ptA</t>
  </si>
  <si>
    <t>310.4</t>
  </si>
  <si>
    <t>302099902844001004</t>
  </si>
  <si>
    <t>Module phát quang HD IRT, Model:DDT-4630, No:1410038</t>
  </si>
  <si>
    <t>PM.MCR HD - to Inews HD2</t>
  </si>
  <si>
    <t>310.5</t>
  </si>
  <si>
    <t>302099902844001005</t>
  </si>
  <si>
    <t>Module thu quang HD IRT, Model:DDR-4630, No:1410037</t>
  </si>
  <si>
    <t>TMS:H7HD Dự phòng</t>
  </si>
  <si>
    <t>310.6</t>
  </si>
  <si>
    <t>302099902844001006</t>
  </si>
  <si>
    <t>Module thu quang HD IRT, Model:DDR-4630, No:1410038</t>
  </si>
  <si>
    <t>TMS:H9HD Dự phòng</t>
  </si>
  <si>
    <t>310.7</t>
  </si>
  <si>
    <t>302099902844001007</t>
  </si>
  <si>
    <t>Module thu quang HD IRT, Model:DDR-4630, No:1410039</t>
  </si>
  <si>
    <t>310.8</t>
  </si>
  <si>
    <t>302099902844001008</t>
  </si>
  <si>
    <t>Module thu quang HD IRT, Model:DDR-4630, No:1410036</t>
  </si>
  <si>
    <t>PM.MCR HD- EXT1</t>
  </si>
  <si>
    <t>302099902846001</t>
  </si>
  <si>
    <t>Khung Snell (chứa nguồn dự phòng card điều khiển, kèm thêm khung Snell chứa card), Model:IQH3B/SP, No:S408105</t>
  </si>
  <si>
    <t xml:space="preserve">F1 rack2 </t>
  </si>
  <si>
    <t>311.1</t>
  </si>
  <si>
    <t>302099902846001001</t>
  </si>
  <si>
    <t>Khung Snell chứa nguồn dự phòng và card điều khiển, Model:IQH3B/SP, No:S408125</t>
  </si>
  <si>
    <t>311.2</t>
  </si>
  <si>
    <t>302099902846001002</t>
  </si>
  <si>
    <t>Bộ demux tín hiệu Snell - Card, Model:IQDMX33, No:S54081976</t>
  </si>
  <si>
    <t>311.3</t>
  </si>
  <si>
    <t>302099902846001003</t>
  </si>
  <si>
    <t>Bộ demux tín hiệu Snell - Card, Model:IQDMX33, No:S54082250</t>
  </si>
  <si>
    <t>A1 khung Snell-4 Abk</t>
  </si>
  <si>
    <t>311.4</t>
  </si>
  <si>
    <t>302099902846001004</t>
  </si>
  <si>
    <t>Bộ demux tín hiệu Snell - Card, Model:IQDMX33, No:S54082252</t>
  </si>
  <si>
    <t>311.5</t>
  </si>
  <si>
    <t>302099902846001005</t>
  </si>
  <si>
    <t>Bộ demux tín hiệu Snell - Card, Model:IQDMX33, No:S54082253</t>
  </si>
  <si>
    <t>A1 DMX3</t>
  </si>
  <si>
    <t>311.6</t>
  </si>
  <si>
    <t>302099902846001006</t>
  </si>
  <si>
    <t>Bộ demux tín hiệu Snell - Card, Model:IQDMX33, No:S54082249</t>
  </si>
  <si>
    <t>F1: tủ bàn đạo diễn</t>
  </si>
  <si>
    <t>311.7</t>
  </si>
  <si>
    <t>302099902846001007</t>
  </si>
  <si>
    <t>Bộ demux tín hiệu Snell - Card, Model:IQDMX33, No:S54082251</t>
  </si>
  <si>
    <t>311.8</t>
  </si>
  <si>
    <t>302099902846001008</t>
  </si>
  <si>
    <t>Bộ chia tín hiệu HD Snell - Card, Model:IQSDA32, No:S54081841</t>
  </si>
  <si>
    <t>F1 DDA7 frame snell</t>
  </si>
  <si>
    <t>311.9</t>
  </si>
  <si>
    <t>302099902846001009</t>
  </si>
  <si>
    <t>Bộ chia tín hiệu HD Snell - Card, Model:IQSDA32, No:S54081823</t>
  </si>
  <si>
    <t>F1 DDA3 frame snell</t>
  </si>
  <si>
    <t>311.10</t>
  </si>
  <si>
    <t>302099902846001010</t>
  </si>
  <si>
    <t>Bộ chia tín hiệu HD Snell - Card, Model:IQSDA32, No:S54081824</t>
  </si>
  <si>
    <t>F1 DDA5 frame snell</t>
  </si>
  <si>
    <t>311.11</t>
  </si>
  <si>
    <t>302099902846001011</t>
  </si>
  <si>
    <t>Bộ chia tín hiệu HD Snell - Card, Model:IQSDA32, No:S54081840</t>
  </si>
  <si>
    <t>F1-R2 khung Snell</t>
  </si>
  <si>
    <t>311.12</t>
  </si>
  <si>
    <t>302099902846001012</t>
  </si>
  <si>
    <t>Bộ chia tín hiệu HD Snell - Card, Model:IQSDA32, No:S54081842</t>
  </si>
  <si>
    <t>F1-R2 Wasp key khung Snell</t>
  </si>
  <si>
    <t>302099902847001</t>
  </si>
  <si>
    <t>Router 16x16 Snell (kèm 2 remote Snell), Model:FGAEW9001C, No:S54086066</t>
  </si>
  <si>
    <t>F1 RACK 2</t>
  </si>
  <si>
    <t>312.1</t>
  </si>
  <si>
    <t>302099902847001001</t>
  </si>
  <si>
    <t>Remote Snell, No:5409047</t>
  </si>
  <si>
    <t>312.2</t>
  </si>
  <si>
    <t>302099902847001002</t>
  </si>
  <si>
    <t>Remote Snell, No:5409040</t>
  </si>
  <si>
    <t>302099902848001</t>
  </si>
  <si>
    <t>Video patch panel Canare, Model:24DV, No:4Xuân0818</t>
  </si>
  <si>
    <t>302099902866001</t>
  </si>
  <si>
    <t>Khung Ross (chứa nguồn dự phòng, bộ ghép và tách tín hiệu), Model:OG3-FR-C, No:30097688063</t>
  </si>
  <si>
    <t>PĐ TT</t>
  </si>
  <si>
    <t>302099902866002</t>
  </si>
  <si>
    <t>Khung Ross (chứa nguồn dự phòng, bộ ghép và tách tín hiệu), Model:OG3-FR-C, No:30097688023</t>
  </si>
  <si>
    <t>302099902867001</t>
  </si>
  <si>
    <t>Bộ Black magic Design (Bộ chuyển mạch 40x40 tín hiệu HD-SDI), Model:Smart videohub 40x40, No:2651698</t>
  </si>
  <si>
    <t>302099902867002</t>
  </si>
  <si>
    <t>Bộ Black magic Design (Bộ chuyển mạch 40x40 tín hiệu HD-SDI), Model:Smart videohub 40x40, No:2667686</t>
  </si>
  <si>
    <t>Kho PĐ3</t>
  </si>
  <si>
    <t>302099902868001</t>
  </si>
  <si>
    <t>Bộ Kramer (Bộ chuyển tín hiệu dự phòng HD), Model:VS-81HDXL, No:07150623000001</t>
  </si>
  <si>
    <t>Israel</t>
  </si>
  <si>
    <t>302099902868002</t>
  </si>
  <si>
    <t>Bộ Kramer (Bộ chuyển tín hiệu dự phòng HD), Model:VS-81HDXL, No:05140100500006</t>
  </si>
  <si>
    <t>302099902869001</t>
  </si>
  <si>
    <t>Khung Black magic Design (chứa nguồn dự phòng, bộ chia tín hiệu hình HD-SDI), Model:OpenGear 3.0 OG3-FR, No:30097685022</t>
  </si>
  <si>
    <t>302099902869002</t>
  </si>
  <si>
    <t>Khung Black magic Design (chứa nguồn dự phòng, bộ chia tín hiệu hình HD-SDI), Model:OpenGear 3.0 OG3-FR, No:30097685021</t>
  </si>
  <si>
    <t>302099902870001</t>
  </si>
  <si>
    <t>Bộ Black magic Design (Bộ trộn hình, xử lý), Model:Atem 2M/E Production Studio 4K, No:2669505</t>
  </si>
  <si>
    <t>322.1</t>
  </si>
  <si>
    <t>302099902870001001</t>
  </si>
  <si>
    <t>Bàn điều khiển Black magic Design, Model:Atem 2M/E Broadcast Panel, No:2660907</t>
  </si>
  <si>
    <t>302099902871001</t>
  </si>
  <si>
    <t>Khung chứa card module I/O kèm ổ cứng - Harmonic, Model:SMD-7002-42H, No:15311643EN02655</t>
  </si>
  <si>
    <t>Trệt - MDK 2</t>
  </si>
  <si>
    <t>302099902871002</t>
  </si>
  <si>
    <t>Khung chứa card module I/O kèm ổ cứng - Harmonic, Model:SMD-7002-42H, No:15311643EN02658</t>
  </si>
  <si>
    <t>Trệt - MDK 1</t>
  </si>
  <si>
    <t>302099902872001</t>
  </si>
  <si>
    <t>Khung chứa card module I/O kèm ổ cứng - Harmonic, Model:SMD-7002-42H, No:15161643EN02405</t>
  </si>
  <si>
    <t>Trệt - MDK 4</t>
  </si>
  <si>
    <t>302099902873001</t>
  </si>
  <si>
    <t>Khung chứa card xử lý tín hiệu Densité 2 Housing Frame with Basic Controller and 1 Power Supply - Miranda, Model:DENSITE 2, No:062499-R83425027</t>
  </si>
  <si>
    <t>Trệt Rack K9</t>
  </si>
  <si>
    <t>302099902873002</t>
  </si>
  <si>
    <t>Khung chứa card xử lý tín hiệu Densité 2 Housing Frame with Basic Controller and 1 Power Supply - Miranda, Model:DENSITE 2, No:062499-R83425016</t>
  </si>
  <si>
    <t>Trệt Rack K7</t>
  </si>
  <si>
    <t>302099902874001</t>
  </si>
  <si>
    <t>Khung chứa card module I/O kèm ổ cứng - Harmonic, Model:SMD-7002-42H, No:15371643EN02682</t>
  </si>
  <si>
    <t>Trệt - MDK 3</t>
  </si>
  <si>
    <t>302099902875001</t>
  </si>
  <si>
    <t>16x16 HD SWB Serial Digital Video Router, 1RU - Miranda, Model:CR1616-HD, No:211034-R86547003</t>
  </si>
  <si>
    <t>Trệt - rack K9</t>
  </si>
  <si>
    <t>329.1</t>
  </si>
  <si>
    <t>302099902875001001</t>
  </si>
  <si>
    <t>Panel điều khiển 16x16 - Miranda, Model:CP1616, No:211004-R85634011</t>
  </si>
  <si>
    <t>329.2</t>
  </si>
  <si>
    <t>302099902875001002</t>
  </si>
  <si>
    <t>Panel điều khiển 16x16 - Miranda, Model:CP1616, No:211004-R85634013</t>
  </si>
  <si>
    <t>302099902875002</t>
  </si>
  <si>
    <t>16x16 HD SWB Serial Digital Video Router, 1RU - Miranda, Model:CR1616-HD, No:211034-R86547005</t>
  </si>
  <si>
    <t>Trệt - rack K7</t>
  </si>
  <si>
    <t>330.1</t>
  </si>
  <si>
    <t>302099902875002001</t>
  </si>
  <si>
    <t>330.2</t>
  </si>
  <si>
    <t>302099902875002002</t>
  </si>
  <si>
    <t>302099902876001</t>
  </si>
  <si>
    <t>Bộ xử lý chuyển mạch master control kết hợp tính năng đồ họa channel branding, mỗi bộ gồm các lựa chọn đi kèm:Imagestore 750 1RU HD/SD master control switching &amp; channel branding graphics processor.  Integral still and animation store capacity for HD/SD images (512Mb), 4 keying layers, dual external fill and key inputs, C &amp; D inputs to feed DVE and for future expansion, dual redundant PSU - Miranda (kèm Lựa chọn xử lý Audio 06 kênh số vào ra và Lựa chọn hiển thị đồng hồ - Bugclock), Model:IS-750, No:087299-R85881002</t>
  </si>
  <si>
    <t>302099902876002</t>
  </si>
  <si>
    <t>Bộ xử lý chuyển mạch master control kết hợp tính năng đồ họa channel branding, mỗi bộ gồm các lựa chọn đi kèm:Imagestore 750 1RU HD/SD master control switching &amp; channel branding graphics processor.  Integral still and animation store capacity for HD/SD images (512Mb), 4 keying layers, dual external fill and key inputs, C &amp; D inputs to feed DVE and for future expansion, dual redundant PSU - Miranda (kèm Lựa chọn xử lý Audio 06 kênh số vào ra và Lựa chọn hiển thị đồng hồ - Bugclock), Model:IS-750, No:087299-R80881001</t>
  </si>
  <si>
    <t>302099902877001</t>
  </si>
  <si>
    <t>Khung chứa card (Densité 3 Housing Frame) - Miranda, Model:DENSITE 3, No:084499-R81767061</t>
  </si>
  <si>
    <t>302099902878001</t>
  </si>
  <si>
    <t>Bộ máy bắn chữ và đồ hoạ phát sóng - Graphics co-processor to be used upstream of keyer such as Imagestore series.- 3U, redundant PSU, embedded O/S, 1TB RAID1 - Miranda (Kèm Lựa chọn nhận tín hiệu timecode), Model:INTUITION-XG-3U-e, No:084891-R87596002</t>
  </si>
  <si>
    <t>Lầu 1 - Máy CG K7</t>
  </si>
  <si>
    <t>302099902878002</t>
  </si>
  <si>
    <t>Bộ máy bắn chữ và đồ hoạ phát sóng - Graphics co-processor to be used upstream of keyer such as Imagestore series.- 3U, redundant PSU, embedded O/S, 1TB RAID1 - Miranda (Kèm Lựa chọn nhận tín hiệu timecode vàPlug-in cho phần mềm thiết kế đồ họa, xuất template sang hệ thống máy bắn chữ), Model:INTUITION-XG-3U-e, No:084891-R87596001</t>
  </si>
  <si>
    <t>Lầu 1 - Máy CG K9</t>
  </si>
  <si>
    <t>302099902879001</t>
  </si>
  <si>
    <t>Ma trận chuyển mạch (router) HD/SD-SDI 81x90 -Miranda, mỗi hệ thống bao gồm khung và card, Model:NVISION 8144, No:211097R83657001</t>
  </si>
  <si>
    <t>302099902879002</t>
  </si>
  <si>
    <t>Ma trận chuyển mạch (router) HD/SD-SDI 81x90 -Miranda, mỗi hệ thống bao gồm khung và card, Model:NVISION 8144, No:211097R83657002</t>
  </si>
  <si>
    <t>302099902880001</t>
  </si>
  <si>
    <t>Hệ thống Multiview giám sát nguồn tín hiệu gồm khung và card -  Miranda, Model:KXA-FR4, No:080997R66593009</t>
  </si>
  <si>
    <t>302099902880002</t>
  </si>
  <si>
    <t>Hệ thống Multiview giám sát nguồn tín hiệu gồm khung và card -  Miranda, Model:KXA-FR4, No:080997R66593001</t>
  </si>
  <si>
    <t>302099902881001</t>
  </si>
  <si>
    <t>Hệ thống khuếch đại phân chia tín hiệu - Miranda. bao gồm khung và card, Model:DENSITE 2, No:062499R83425011</t>
  </si>
  <si>
    <t>PM.PH</t>
  </si>
  <si>
    <t>302099902881002</t>
  </si>
  <si>
    <t>Hệ thống khuếch đại phân chia tín hiệu - Miranda. bao gồm khung và card, Model:DENSITE 2, No:062499R81765082</t>
  </si>
  <si>
    <t>302099902881003</t>
  </si>
  <si>
    <t>Hệ thống khuếch đại phân chia tín hiệu - Miranda. bao gồm khung và card, Model:DENSITE 2, No:062499R83425057</t>
  </si>
  <si>
    <t>302099902881004</t>
  </si>
  <si>
    <t>Hệ thống khuếch đại phân chia tín hiệu - Miranda. bao gồm khung và card, Model:DENSITE 2, No:064299R83425053</t>
  </si>
  <si>
    <t>302099902881009</t>
  </si>
  <si>
    <t>Hệ thống khuếch đại phân chia tín hiệu - Miranda. bao gồm khung và card, Model:DENSITE 2, No:064299R83425032</t>
  </si>
  <si>
    <t>302099902881010</t>
  </si>
  <si>
    <t>Hệ thống khuếch đại phân chia tín hiệu - Miranda. bao gồm khung và card, Model:DENSITE 2, No:064299R83425059</t>
  </si>
  <si>
    <t>302099902881011</t>
  </si>
  <si>
    <t>Hệ thống khuếch đại phân chia tín hiệu - Miranda. bao gồm khung và card, Model:DENSITE 2, No:064299R83425013</t>
  </si>
  <si>
    <t>302099902881012</t>
  </si>
  <si>
    <t>Hệ thống khuếch đại phân chia tín hiệu - Miranda. bao gồm khung và card, Model:DENSITE 2, No:064299R83425010</t>
  </si>
  <si>
    <t>PH.CR</t>
  </si>
  <si>
    <t>302099902882001</t>
  </si>
  <si>
    <t>Bộ xử lý Up/downconvert - ImagineCommunications, Model:X50-AV-2PS, No:LHTI2115201522</t>
  </si>
  <si>
    <t>PM.MCR HD</t>
  </si>
  <si>
    <t>302099902882002</t>
  </si>
  <si>
    <t>Bộ xử lý Up/downconvert - ImagineCommunications, Model:X50-AV-2PS, No:LHTI2115261618</t>
  </si>
  <si>
    <t xml:space="preserve">P Máy nhà F ( PT) </t>
  </si>
  <si>
    <t>302099902882003</t>
  </si>
  <si>
    <t>Bộ xử lý Up/downconvert - ImagineCommunications, Model:X50-AV-2PS, No:LHTI2115171223</t>
  </si>
  <si>
    <t>302099902882004</t>
  </si>
  <si>
    <t>Bộ xử lý Up/downconvert - ImagineCommunications, Model:X50-AV-2PS, No:LHTI2115261626</t>
  </si>
  <si>
    <t>302099902882005</t>
  </si>
  <si>
    <t>Bộ xử lý Up/downconvert - ImagineCommunications, Model:X50-AV-2PS, No:LHTI2115261595</t>
  </si>
  <si>
    <t>302099902882006</t>
  </si>
  <si>
    <t>Bộ xử lý Up/downconvert - ImagineCommunications, Model:X50-AV-2PS, No:LHTI2115261629</t>
  </si>
  <si>
    <t>302099902882007</t>
  </si>
  <si>
    <t>Bộ xử lý Up/downconvert - ImagineCommunications, Model:X50-AV-2PS, No:LHTI2115201517</t>
  </si>
  <si>
    <t>302099902882008</t>
  </si>
  <si>
    <t>Bộ xử lý Up/downconvert - ImagineCommunications, Model:X50-AV-2PS, No:LHTI2115261574</t>
  </si>
  <si>
    <t>302099902883001</t>
  </si>
  <si>
    <t>hệ thống tạo xung đông bộ tín hiệu và chuyển mạch dự phòng cho tín hiệu xung đồng bộ - HD-SD Master Sync Generator base unit - Grass Valley , Model:7600REF, No:102114</t>
  </si>
  <si>
    <t>302099902883002</t>
  </si>
  <si>
    <t>hệ thống tạo xung đông bộ tín hiệu và chuyển mạch dự phòng cho tín hiệu xung đồng bộ - HD-SD Master Sync Generator base unit - Grass Valley  (bao gồm các Option tích hợp vào trong máy (Quad HD-SD SDI Test Signal Generator; GPS Genlock &amp; LTC Generator và SNTP Server Module)), Model:7600REF, No:102119</t>
  </si>
  <si>
    <t>302099902884001</t>
  </si>
  <si>
    <t>Master Sync Change over unit with 4 BNC channels 1RU - Grass Valley , Model:7620PX, No:103081</t>
  </si>
  <si>
    <t>302099902885001</t>
  </si>
  <si>
    <t>Bộ xử lý Up/downconvert cho các đường dự phòng - Blackmagic Design, Model:Teranex 2D Processor, No:2783803</t>
  </si>
  <si>
    <t>302099902885002</t>
  </si>
  <si>
    <t>Bộ xử lý Up/downconvert cho các đường dự phòng - Blackmagic Design, Model:Teranex 2D Processor, No:2738061</t>
  </si>
  <si>
    <t>302099902885003</t>
  </si>
  <si>
    <t>Bộ xử lý Up/downconvert cho các đường dự phòng - Blackmagic Design, Model:Teranex 2D Processor, No:2783994</t>
  </si>
  <si>
    <t>302099902885004</t>
  </si>
  <si>
    <t>Bộ xử lý Up/downconvert cho các đường dự phòng - Blackmagic Design, Model:Teranex 2D Processor, No:2738096</t>
  </si>
  <si>
    <t>302099902886001</t>
  </si>
  <si>
    <t>hệ thốngtruyền dẫn tín hiệu quang bao gồm khung chứa cardcó nguồn đôi dự phòng - Evertz, Model:7800FR-QT, No:7346380011</t>
  </si>
  <si>
    <t>Rack VE Tinh</t>
  </si>
  <si>
    <t>302099902886002</t>
  </si>
  <si>
    <t>hệ thốngtruyền dẫn tín hiệu quang bao gồm khung chứa cardcó nguồn đôi dự phòng - Evertz, Model:7800FR-QT, No:7358450061</t>
  </si>
  <si>
    <t>0011GTTS/AR/DV09/2019</t>
  </si>
  <si>
    <t>302099902894003</t>
  </si>
  <si>
    <t>Bàn trộn tín hiệu âm thanh số 24 kênh - Allen &amp;Heath (Mixer audio), Model:Qu-24, No:QU24CX-863317</t>
  </si>
  <si>
    <t>KHO A2</t>
  </si>
  <si>
    <t>0003GTTS/AR/DV09/2017</t>
  </si>
  <si>
    <t>302099902902001</t>
  </si>
  <si>
    <t>Auto By Pass Switch Grass Valley (Board) (kèm 1 board đuôi), Model:HCO-1822, No:095501-R53569059</t>
  </si>
  <si>
    <t>Tủ đồ nghề</t>
  </si>
  <si>
    <t>302099902902002</t>
  </si>
  <si>
    <t>Auto By Pass Switch Grass Valley (Board) (kèm 1 board đuôi), Model:HCO-1822, No:095501-R53569010</t>
  </si>
  <si>
    <t>302099902913001</t>
  </si>
  <si>
    <t>Bộ chuyển mạch đồ họa giao tiếp với trường quay - Ultimatte, Model:Ultimatte -11HD/SD, No:4116263</t>
  </si>
  <si>
    <t>A1-R5: Ultimatte3</t>
  </si>
  <si>
    <t>302099902913002</t>
  </si>
  <si>
    <t>Bộ chuyển mạch đồ họa giao tiếp với trường quay - Ultimatte, Model:Ultimatte -11HD/SD, No:4116267</t>
  </si>
  <si>
    <t>A1-R5</t>
  </si>
  <si>
    <t>302099902913003</t>
  </si>
  <si>
    <t>Bộ chuyển mạch đồ họa giao tiếp với trường quay - Ultimatte, Model:Ultimatte -11HD/SD, No:4388377</t>
  </si>
  <si>
    <t>302099902913004</t>
  </si>
  <si>
    <t>Bộ chuyển mạch đồ họa giao tiếp với trường quay - Ultimatte, Model:Ultimatte -11HD/SD, No:4116261</t>
  </si>
  <si>
    <t>302099902914001</t>
  </si>
  <si>
    <t>Bộ điều khiển cho bộ chuyển mạch đồ họa - Ultimatte, Model:Smart Remote 4, No:4801624</t>
  </si>
  <si>
    <t>A2-R8 bàn điều khiển Ultimatte</t>
  </si>
  <si>
    <t>0010GTTS/AR/DV09/2019</t>
  </si>
  <si>
    <t>302099902915002</t>
  </si>
  <si>
    <t>Bàn điều khiển Blackmagic design (Bàn điều khiển phim trường), Model:ATEM Camera Control Panel, No:5193049</t>
  </si>
  <si>
    <t>Indonesia</t>
  </si>
  <si>
    <t>302099902916001</t>
  </si>
  <si>
    <t>Bộ giám giám sát Craltech (giám sát nhiều ngõ vào), Model:CBP-100, No:19040002</t>
  </si>
  <si>
    <t>Tây Ban Nha</t>
  </si>
  <si>
    <t>302099902916002</t>
  </si>
  <si>
    <t>Bộ giám giám sát Craltech (giám sát nhiều ngõ vào), Model:CBP-100, No:19040006</t>
  </si>
  <si>
    <t>302099903247001</t>
  </si>
  <si>
    <t>Thiết bị liên lạc nội bộ , Model:ICS - 102, No:811233</t>
  </si>
  <si>
    <t>Kho lầu 2</t>
  </si>
  <si>
    <t>302099903247002</t>
  </si>
  <si>
    <t>Thiết bị liên lạc nội bộ , Model:ICS - 102, No:811238</t>
  </si>
  <si>
    <t>302099903281001</t>
  </si>
  <si>
    <t>2 kênh main station kèm micro-Clearcom, Model:MS-702, No:30RC0322</t>
  </si>
  <si>
    <t>378.1</t>
  </si>
  <si>
    <t>302099903281001001</t>
  </si>
  <si>
    <t>Bộ giao tiếp 4 wirec, No:30RC0531</t>
  </si>
  <si>
    <t>A1-R1 trên CCU cam</t>
  </si>
  <si>
    <t>302099903282001</t>
  </si>
  <si>
    <t>Bộ phát tín hiệu liên lạc Radio Com (không dây), Model:TT-16, No:3272</t>
  </si>
  <si>
    <t xml:space="preserve"> F1 tủ bàn Đạo diễn</t>
  </si>
  <si>
    <t>379.1</t>
  </si>
  <si>
    <t>302099903282001001</t>
  </si>
  <si>
    <t>Bộ thu tín hiệu liên lạc Radio Com  (không dây (kèm tai nghe)), Model:TR-16, No:6462</t>
  </si>
  <si>
    <t>379.2</t>
  </si>
  <si>
    <t>302099903282001002</t>
  </si>
  <si>
    <t>Bộ thu tín hiệu liên lạc Radio Com  (không dây (kèm tai nghe)), Model:TR-16, No:6463</t>
  </si>
  <si>
    <t>0005GTTS/AR/DV09/2015</t>
  </si>
  <si>
    <t>302099903284001</t>
  </si>
  <si>
    <t>Bộ phát micro Sennheiser (kèm bộ thu, headphone), Model:SR 300 IEM G3, No:4364011721</t>
  </si>
  <si>
    <t>A1-MC tai nghe bộ phát</t>
  </si>
  <si>
    <t>380.1</t>
  </si>
  <si>
    <t>302099903284001001</t>
  </si>
  <si>
    <t>Bộ thu Sennheiser - Bodypack receiver, Model:EK 300 IEM G3, No:4384003929</t>
  </si>
  <si>
    <t>A1 tai nghe MC60s đeo</t>
  </si>
  <si>
    <t>380.2</t>
  </si>
  <si>
    <t>302099903284001002</t>
  </si>
  <si>
    <t>Bộ thu Sennheiser - Bodypack receiver, Model:EK 300 IEM G3, No:4384003930</t>
  </si>
  <si>
    <t>302099903295001</t>
  </si>
  <si>
    <t>Bộ kiểm tra âm thanh - (audio monitor), Model:Blackmagic Audio Monitor, No:2841143</t>
  </si>
  <si>
    <t>Ng.Hoang</t>
  </si>
  <si>
    <t>Lầu 1 - K7 prw</t>
  </si>
  <si>
    <t>302099903295002</t>
  </si>
  <si>
    <t>Bộ kiểm tra âm thanh - (audio monitor), Model:Blackmagic Audio Monitor, No:2841139</t>
  </si>
  <si>
    <t>Lầu 1 - K7 pgm</t>
  </si>
  <si>
    <t>302099903295003</t>
  </si>
  <si>
    <t>Bộ kiểm tra âm thanh - (audio monitor), Model:Blackmagic Audio Monitor, No:3479246</t>
  </si>
  <si>
    <t>Lầu 1 - K9 pgm</t>
  </si>
  <si>
    <t>302099903295004</t>
  </si>
  <si>
    <t>Bộ kiểm tra âm thanh - (audio monitor), Model:Blackmagic Audio Monitor, No:3479512</t>
  </si>
  <si>
    <t>Lầu 1 - K9 prv</t>
  </si>
  <si>
    <t>302099903297001</t>
  </si>
  <si>
    <t>Bộ kiểm tra âm thanh - Blackmagic Design, Model:Blackmagic Audio Monitor, No:2.841.131</t>
  </si>
  <si>
    <t>P.MCR control</t>
  </si>
  <si>
    <t>302099903299001</t>
  </si>
  <si>
    <t>Micro Sennheiser (Micro shotgun - thu tiếng trực tiếp), Model:MKH60P48, No:035467</t>
  </si>
  <si>
    <t xml:space="preserve">Đức </t>
  </si>
  <si>
    <t>A2 boom trái</t>
  </si>
  <si>
    <t>302099903299002</t>
  </si>
  <si>
    <t>Micro Sennheiser (Micro shotgun - thu tiếng trực tiếp), Model:MKH60P48, No:035466</t>
  </si>
  <si>
    <t>F1: micro boom ngắn</t>
  </si>
  <si>
    <t>302099903299003</t>
  </si>
  <si>
    <t>Micro Sennheiser (Micro shotgun - thu tiếng trực tiếp), Model:MKH60P48, No:035468</t>
  </si>
  <si>
    <t>tủ Hàn</t>
  </si>
  <si>
    <t>302099903299004</t>
  </si>
  <si>
    <t>Micro Sennheiser (Micro shotgun - thu tiếng trực tiếp), Model:MKH60P48, No:035461</t>
  </si>
  <si>
    <t>BÀN KHO A2</t>
  </si>
  <si>
    <t>18F63DA99</t>
  </si>
  <si>
    <t>302099904014001</t>
  </si>
  <si>
    <t>Đèn tỏa LSI-Softlux 436T phase (Version 4x36w tube Dimmable fluorescent softlight ), Model:LSI-Softlux</t>
  </si>
  <si>
    <t>390.1</t>
  </si>
  <si>
    <t>302099904014001001</t>
  </si>
  <si>
    <t>complete with :Barndoor, Model:- 4x36w tungsten balance tubes</t>
  </si>
  <si>
    <t>390.2</t>
  </si>
  <si>
    <t>302099904014001002</t>
  </si>
  <si>
    <t>POLE operation, Model:T149 TV hookclamp</t>
  </si>
  <si>
    <t>390.3</t>
  </si>
  <si>
    <t>302099904014001003</t>
  </si>
  <si>
    <t>M10TV Spigot, Model:Safety bond</t>
  </si>
  <si>
    <t>302099904014002</t>
  </si>
  <si>
    <t>391.1</t>
  </si>
  <si>
    <t>302099904014002001</t>
  </si>
  <si>
    <t>391.2</t>
  </si>
  <si>
    <t>302099904014002002</t>
  </si>
  <si>
    <t>391.3</t>
  </si>
  <si>
    <t>302099904014002003</t>
  </si>
  <si>
    <t>302099904014005</t>
  </si>
  <si>
    <t>392.1</t>
  </si>
  <si>
    <t>302099904014005001</t>
  </si>
  <si>
    <t>Barndoor, Model:- 4x36w tungsten balance tubes</t>
  </si>
  <si>
    <t>392.2</t>
  </si>
  <si>
    <t>302099904014005002</t>
  </si>
  <si>
    <t>392.3</t>
  </si>
  <si>
    <t>302099904014005003</t>
  </si>
  <si>
    <t>302099904014006</t>
  </si>
  <si>
    <t>393.1</t>
  </si>
  <si>
    <t>302099904014006001</t>
  </si>
  <si>
    <t>393.2</t>
  </si>
  <si>
    <t>302099904014006002</t>
  </si>
  <si>
    <t>393.3</t>
  </si>
  <si>
    <t>302099904014006003</t>
  </si>
  <si>
    <t>90/2008</t>
  </si>
  <si>
    <t>302099904116001</t>
  </si>
  <si>
    <t>Đèn phim trường Arri Junior, Model:L1.40500.I, No:855</t>
  </si>
  <si>
    <t>302099904116002</t>
  </si>
  <si>
    <t>Đèn phim trường Arri Junior, Model:L1.40500.I, No:860</t>
  </si>
  <si>
    <t>302099904118001</t>
  </si>
  <si>
    <t>Đèn Desisty cho phim trường, công suất 2 KW, Model:320 (M.O) 321(P.O) Leonardo, No:1741</t>
  </si>
  <si>
    <t>PT A</t>
  </si>
  <si>
    <t>302099904118002</t>
  </si>
  <si>
    <t>Đèn Desisty cho phim trường, công suất 2 KW, Model:320 (M.O) 321(P.O) Leonardo, No:1756</t>
  </si>
  <si>
    <t>302099904118003</t>
  </si>
  <si>
    <t>Đèn Desisty cho phim trường, công suất 2 KW, Model:320 (M.O) 321(P.O) Leonardo, No:1757</t>
  </si>
  <si>
    <t>302099904118004</t>
  </si>
  <si>
    <t>Đèn Desisty cho phim trường, công suất 2 KW, Model:320 (M.O) 321(P.O) Leonardo, No:1758</t>
  </si>
  <si>
    <t>302099904118005</t>
  </si>
  <si>
    <t>Đèn Desisty cho phim trường, công suất 2 KW, Model:320 (M.O) 321(P.O) Leonardo, No:1761</t>
  </si>
  <si>
    <t>302099904118006</t>
  </si>
  <si>
    <t>Đèn Desisty cho phim trường, công suất 2 KW, Model:320 (M.O) 321(P.O) Leonardo, No:1762</t>
  </si>
  <si>
    <t>302099904118007</t>
  </si>
  <si>
    <t>Đèn Desisty cho phim trường, công suất 2 KW, Model:320 (M.O) 321(P.O) Leonardo, No:1763</t>
  </si>
  <si>
    <t>302099904118008</t>
  </si>
  <si>
    <t>Đèn Desisty cho phim trường, công suất 2 KW, Model:320 (M.O) 321(P.O) Leonardo, No:1766</t>
  </si>
  <si>
    <t>302099904118009</t>
  </si>
  <si>
    <t>Đèn Desisty cho phim trường, công suất 2 KW, Model:320 (M.O) 321(P.O) Leonardo, No:1770</t>
  </si>
  <si>
    <t>302099904118010</t>
  </si>
  <si>
    <t>Đèn Desisty cho phim trường, công suất 2 KW, Model:320 (M.O) 321(P.O) Leonardo, No:1772</t>
  </si>
  <si>
    <t>302099904121001</t>
  </si>
  <si>
    <t>Đèn Fresnel 2 KW Quartz Color, Model:Bambino 2KW</t>
  </si>
  <si>
    <t>PTA - đèn 3 (đứng)</t>
  </si>
  <si>
    <t>302099904121002</t>
  </si>
  <si>
    <t>PTA</t>
  </si>
  <si>
    <t>302099904121003</t>
  </si>
  <si>
    <t>302099904121004</t>
  </si>
  <si>
    <t>302099904121005</t>
  </si>
  <si>
    <t>302099904121006</t>
  </si>
  <si>
    <t>302099904121007</t>
  </si>
  <si>
    <t>302099904121008</t>
  </si>
  <si>
    <t>302099904121009</t>
  </si>
  <si>
    <t>302099904121010</t>
  </si>
  <si>
    <t>302099904121011</t>
  </si>
  <si>
    <t>302099904121012</t>
  </si>
  <si>
    <t>302099904121013</t>
  </si>
  <si>
    <t>302099904121014</t>
  </si>
  <si>
    <t>302099904123001</t>
  </si>
  <si>
    <t>Đèn softlight 1250W Quartz Color, Model:Arturo 1250W</t>
  </si>
  <si>
    <t>302099904123002</t>
  </si>
  <si>
    <t>302099904123003</t>
  </si>
  <si>
    <t>302099904123004</t>
  </si>
  <si>
    <t>302099904123005</t>
  </si>
  <si>
    <t>302099904123006</t>
  </si>
  <si>
    <t>302099904123007</t>
  </si>
  <si>
    <t>302099904123008</t>
  </si>
  <si>
    <t>302099904123009</t>
  </si>
  <si>
    <t>302099904123010</t>
  </si>
  <si>
    <t>302099904123011</t>
  </si>
  <si>
    <t>302099904123012</t>
  </si>
  <si>
    <t>302099904125001</t>
  </si>
  <si>
    <t>Bộ điều khiển hệ thống ánh sáng Strand Lighting, Model:100, No:033006509160086</t>
  </si>
  <si>
    <t>A2 p control</t>
  </si>
  <si>
    <t>302099904125002</t>
  </si>
  <si>
    <t>Bộ điều khiển hệ thống ánh sáng Strand Lighting, Model:100, No:033006509160085</t>
  </si>
  <si>
    <t>A1 bàn dimmer điện UPS</t>
  </si>
  <si>
    <t>302099904125003</t>
  </si>
  <si>
    <t>Bộ điều khiển hệ thống ánh sáng Strand Lighting, Model:100, No:033006509160015</t>
  </si>
  <si>
    <t>A1 bàn dimmer điện lưới</t>
  </si>
  <si>
    <t>45/2010</t>
  </si>
  <si>
    <t>302099904126001</t>
  </si>
  <si>
    <t>Đèn 1x1 LitePanels loại đánh tản với nhiệt độ màu 5600K, Model:LP1-F, No:7440</t>
  </si>
  <si>
    <t>F1</t>
  </si>
  <si>
    <t>302099904126002</t>
  </si>
  <si>
    <t>Đèn 1x1 LitePanels loại đánh tản với nhiệt độ màu 5600K, Model:LP1-F, No:7438</t>
  </si>
  <si>
    <t>302099904127001</t>
  </si>
  <si>
    <t>Đèn 1x1 LitePanels loại đánh tập trung với nhiệt độ màu 5600K, Model:LP1-S, No:7326</t>
  </si>
  <si>
    <t>10/2013</t>
  </si>
  <si>
    <t>302099904142005</t>
  </si>
  <si>
    <t>Đèn fresnel LED LITE PANELS, Model:SOLA 6, No:1060201296</t>
  </si>
  <si>
    <t>302099904142006</t>
  </si>
  <si>
    <t>Đèn fresnel LED LITE PANELS, Model:SOLA 6, No:1060201293</t>
  </si>
  <si>
    <t>302099904143004</t>
  </si>
  <si>
    <t>Đèn 4" fresnel LED LITE PANELS, Model:SOLA 4, No:1060400735</t>
  </si>
  <si>
    <t>302099904143005</t>
  </si>
  <si>
    <t>Đèn 4" fresnel LED LITE PANELS, Model:SOLA 4, No:1060400739</t>
  </si>
  <si>
    <t>302099904143006</t>
  </si>
  <si>
    <t>Đèn 4" fresnel LED LITE PANELS, Model:SOLA 4, No:1060400736</t>
  </si>
  <si>
    <t>302099904144002</t>
  </si>
  <si>
    <t>Bộ điều khiển hệ thống đèn ETC, Model:Smartfade 1248, No:343007033</t>
  </si>
  <si>
    <t>302099904145015</t>
  </si>
  <si>
    <t>Đèn 1X1 Flood Daylight nhiệt độ màu 5600k LITE PANELS, Model:LP1-MF, No:1030101866</t>
  </si>
  <si>
    <t>302099904145016</t>
  </si>
  <si>
    <t>Đèn 1X1 Flood Daylight nhiệt độ màu 5600k LITE PANELS, Model:LP1-MF, No:1030101870</t>
  </si>
  <si>
    <t>302099904145017</t>
  </si>
  <si>
    <t>Đèn 1X1 Flood Daylight nhiệt độ màu 5600k LITE PANELS, Model:LP1-MF, No:1030101838</t>
  </si>
  <si>
    <t>302099904145018</t>
  </si>
  <si>
    <t>Đèn 1X1 Flood Daylight nhiệt độ màu 5600k LITE PANELS, Model:LP1-MF, No:1030101811</t>
  </si>
  <si>
    <t>302099904145019</t>
  </si>
  <si>
    <t>Đèn 1X1 Flood Daylight nhiệt độ màu 5600k LITE PANELS, Model:LP1-MF, No:1030101830</t>
  </si>
  <si>
    <t>302099904145020</t>
  </si>
  <si>
    <t>Đèn 1X1 Flood Daylight nhiệt độ màu 5600k LITE PANELS, Model:LP1-MF, No:1030101807</t>
  </si>
  <si>
    <t>302099904145021</t>
  </si>
  <si>
    <t>Đèn 1X1 Flood Daylight nhiệt độ màu 5600k LITE PANELS, Model:LP1-MF, No:1030101812</t>
  </si>
  <si>
    <t>302099904145022</t>
  </si>
  <si>
    <t>Đèn 1X1 Flood Daylight nhiệt độ màu 5600k LITE PANELS, Model:LP1-MF, No:1030101815</t>
  </si>
  <si>
    <t>302099904145023</t>
  </si>
  <si>
    <t>Đèn 1X1 Flood Daylight nhiệt độ màu 5600k LITE PANELS, Model:LP1-MF, No:1030101832</t>
  </si>
  <si>
    <t>302099904162001</t>
  </si>
  <si>
    <t>Đèn Fresnel Spotlight Desisti, Model:LEONARDOmod.310(MO) 311(P.O), No:1300228</t>
  </si>
  <si>
    <t>302099904162002</t>
  </si>
  <si>
    <t>Đèn Fresnel Spotlight Desisti, Model:LEONARDOmod.310(MO) 311(P.O), No:1300267</t>
  </si>
  <si>
    <t>302099904162003</t>
  </si>
  <si>
    <t>Đèn Fresnel Spotlight Desisti, Model:LEONARDOmod.310(MO) 311(P.O), No:1300234</t>
  </si>
  <si>
    <t>302099904162004</t>
  </si>
  <si>
    <t>Đèn Fresnel Spotlight Desisti, Model:LEONARDOmod.310(MO) 311(P.O), No:1300233</t>
  </si>
  <si>
    <t>302099904163001</t>
  </si>
  <si>
    <t>Cây treo đèn Sony , Model:JUNIOR SPIDER  8130.150, No:04721</t>
  </si>
  <si>
    <t>302099904163002</t>
  </si>
  <si>
    <t>Cây treo đèn Sony , Model:JUNIOR SPIDER  8130.150, No:04716</t>
  </si>
  <si>
    <t>302099904163003</t>
  </si>
  <si>
    <t>Cây treo đèn Sony , Model:JUNIOR SPIDER  8130.150, No:04717</t>
  </si>
  <si>
    <t>302099904163004</t>
  </si>
  <si>
    <t>Cây treo đèn Sony , Model:JUNIOR SPIDER  8130.150, No:04714</t>
  </si>
  <si>
    <t>302099904163005</t>
  </si>
  <si>
    <t>Cây treo đèn Sony , Model:JUNIOR SPIDER  8130.150, No:04715</t>
  </si>
  <si>
    <t>302099904163006</t>
  </si>
  <si>
    <t>Cây treo đèn Sony , Model:JUNIOR SPIDER  8130.150, No:04718</t>
  </si>
  <si>
    <t>302099904163007</t>
  </si>
  <si>
    <t>Cây treo đèn Sony , Model:JUNIOR SPIDER  8130.150, No:04719</t>
  </si>
  <si>
    <t>302099904163008</t>
  </si>
  <si>
    <t>Cây treo đèn Sony , Model:JUNIOR SPIDER  8130.150, No:04720</t>
  </si>
  <si>
    <t>302099904164001</t>
  </si>
  <si>
    <t>Đèn LED Fresnel 12'' LitePanels (1060600162), Model:Sola 12, No:132000305</t>
  </si>
  <si>
    <t>F1 HIEN</t>
  </si>
  <si>
    <t>302099904164002</t>
  </si>
  <si>
    <t>Đèn LED Fresnel 12'' LitePanels (1060600168), Model:Sola 12, No:132000339</t>
  </si>
  <si>
    <t>302099904164003</t>
  </si>
  <si>
    <t>Đèn LED Fresnel 12'' LitePanels (1060600302), Model:Sola 12, No:132000156</t>
  </si>
  <si>
    <t>kho lau 2 TTPH</t>
  </si>
  <si>
    <t>302099904164004</t>
  </si>
  <si>
    <t>Đèn LED Fresnel 12'' LitePanels (1060600163), Model:Sola 12, No:132000306</t>
  </si>
  <si>
    <t>302099904165001</t>
  </si>
  <si>
    <t>Đèn 4x55w fluorescent Softlight (Đèn lạnh Desisti), Model:DE-LUX- 4 mod.4610 (M.O.)/ 4611, No:5200</t>
  </si>
  <si>
    <t>302099904165002</t>
  </si>
  <si>
    <t>Đèn 4x55w fluorescent Softlight (Đèn lạnh Desisti), Model:DE-LUX- 4 mod.4610 (M.O.)/ 4611, No:5202</t>
  </si>
  <si>
    <t>302099904165003</t>
  </si>
  <si>
    <t>Đèn 4x55w fluorescent Softlight (Đèn lạnh Desisti), Model:DE-LUX- 4 mod.4610 (M.O.)/ 4611, No:5196</t>
  </si>
  <si>
    <t>302099904165004</t>
  </si>
  <si>
    <t>Đèn 4x55w fluorescent Softlight (Đèn lạnh Desisti), Model:DE-LUX- 4 mod.4610 (M.O.)/ 4611, No:5198</t>
  </si>
  <si>
    <t>302099904165005</t>
  </si>
  <si>
    <t>Đèn 4x55w fluorescent Softlight (Đèn lạnh Desisti), Model:DE-LUX- 4 mod.4610 (M.O.)/ 4611, No:5197</t>
  </si>
  <si>
    <t>302099904165006</t>
  </si>
  <si>
    <t>Đèn 4x55w fluorescent Softlight (Đèn lạnh Desisti), Model:DE-LUX- 4 mod.4610 (M.O.)/ 4611, No:5194</t>
  </si>
  <si>
    <t>302099904165007</t>
  </si>
  <si>
    <t>Đèn 4x55w fluorescent Softlight (Đèn lạnh Desisti), Model:DE-LUX- 4 mod.4610 (M.O.)/ 4611, No:5195</t>
  </si>
  <si>
    <t>302099904165008</t>
  </si>
  <si>
    <t>Đèn 4x55w fluorescent Softlight (Đèn lạnh Desisti), Model:DE-LUX- 4 mod.4610 (M.O.)/ 4611, No:5201</t>
  </si>
  <si>
    <t>302099904165009</t>
  </si>
  <si>
    <t>Đèn 4x55w fluorescent Softlight (Đèn lạnh Desisti), Model:DE-LUX- 4 mod.4610 (M.O.)/ 4611, No:5204</t>
  </si>
  <si>
    <t>302099904165010</t>
  </si>
  <si>
    <t>Đèn 4x55w fluorescent Softlight (Đèn lạnh Desisti), Model:DE-LUX- 4 mod.4610 (M.O.)/ 4611, No:5193</t>
  </si>
  <si>
    <t>302099904165011</t>
  </si>
  <si>
    <t>Đèn 4x55w fluorescent Softlight (Đèn lạnh Desisti), Model:DE-LUX- 4 mod.4610 (M.O.)/ 4611, No:5203</t>
  </si>
  <si>
    <t>302099904165012</t>
  </si>
  <si>
    <t>Đèn 4x55w fluorescent Softlight (Đèn lạnh Desisti), Model:DE-LUX- 4 mod.4610 (M.O.)/ 4611, No:5199</t>
  </si>
  <si>
    <t>302099904167001</t>
  </si>
  <si>
    <t>650w Fresnel Junior plus spotlight (Đèn lạnh ), Model:MAGIS mod. 301, No:00177</t>
  </si>
  <si>
    <t>302099904167002</t>
  </si>
  <si>
    <t>650w Fresnel Junior plus spotlight (Đèn lạnh ), Model:MAGIS mod. 301, No:00148</t>
  </si>
  <si>
    <t>kho lầu 2 TTPH, còn xài duoc</t>
  </si>
  <si>
    <t>302099904167003</t>
  </si>
  <si>
    <t>650w Fresnel Junior plus spotlight (Đèn lạnh ), Model:MAGIS mod. 301, No:00179</t>
  </si>
  <si>
    <t>PTA (p.giữa)</t>
  </si>
  <si>
    <t>302099904167004</t>
  </si>
  <si>
    <t>650w Fresnel Junior plus spotlight (Đèn lạnh ), Model:MAGIS mod. 301, No:00132</t>
  </si>
  <si>
    <t>302099904167005</t>
  </si>
  <si>
    <t>650w Fresnel Junior plus spotlight (Đèn lạnh ), Model:MAGIS mod. 301, No:00155</t>
  </si>
  <si>
    <t>302099904167006</t>
  </si>
  <si>
    <t>650w Fresnel Junior plus spotlight (Đèn lạnh ), Model:MAGIS mod. 301, No:00152</t>
  </si>
  <si>
    <t>302099904167007</t>
  </si>
  <si>
    <t>650w Fresnel Junior plus spotlight (Đèn lạnh ), Model:MAGIS mod. 301, No:00159</t>
  </si>
  <si>
    <t>302099904167008</t>
  </si>
  <si>
    <t>650w Fresnel Junior plus spotlight (Đèn lạnh ), Model:MAGIS mod. 301, No:00156</t>
  </si>
  <si>
    <t>302099904168001</t>
  </si>
  <si>
    <t>Bộ nguồn 48 đường-ETC, Model:Sensor 3, No:28600</t>
  </si>
  <si>
    <t>A1 Nguồn đèn phòng CB giữa A1</t>
  </si>
  <si>
    <t>302099904169001</t>
  </si>
  <si>
    <t>Đèn fresnel LED 6 inch(Litepanels), Model:Sola 6, No:1060202148</t>
  </si>
  <si>
    <t>302099904169002</t>
  </si>
  <si>
    <t>Đèn fresnel LED 6 inch(Litepanels), Model:Sola 6, No:1060202129</t>
  </si>
  <si>
    <t>302099904169003</t>
  </si>
  <si>
    <t>Đèn fresnel LED 6 inch(Litepanels), Model:Sola 6, No:1060202147</t>
  </si>
  <si>
    <t>302099904170001</t>
  </si>
  <si>
    <t>Đèn fresnel LED 4 inch, Model:Sola 4, No:1060401494</t>
  </si>
  <si>
    <t>302099904170002</t>
  </si>
  <si>
    <t>Đèn fresnel LED 4 inch, Model:Sola 4, No:1060401787</t>
  </si>
  <si>
    <t>302099904170003</t>
  </si>
  <si>
    <t>Đèn fresnel LED 4 inch, Model:Sola 4, No:1060401788</t>
  </si>
  <si>
    <t>302099904170004</t>
  </si>
  <si>
    <t>Đèn fresnel LED 4 inch, Model:Sola 4, No:1060401488</t>
  </si>
  <si>
    <t>302099904171001</t>
  </si>
  <si>
    <t>Đèn spot , Model:LP-1x1 5600K-Spot, No:1030201611</t>
  </si>
  <si>
    <t>302099904171002</t>
  </si>
  <si>
    <t>Đèn spot , Model:LP-1x1 5600K-Spot, No:1030201613</t>
  </si>
  <si>
    <t>302099904171003</t>
  </si>
  <si>
    <t>Đèn spot , Model:LP-1x1 5600K-Spot, No:1030201456</t>
  </si>
  <si>
    <t>302099904171004</t>
  </si>
  <si>
    <t>Đèn spot , Model:LP-1x1 5600K-Spot, No:1030201572</t>
  </si>
  <si>
    <t>302099904171005</t>
  </si>
  <si>
    <t>Đèn spot , Model:LP-1x1 5600K-Spot, No:1030201576</t>
  </si>
  <si>
    <t>302099904171006</t>
  </si>
  <si>
    <t>Đèn spot , Model:LP-1x1 5600K-Spot, No:1030201578</t>
  </si>
  <si>
    <t>302099904171007</t>
  </si>
  <si>
    <t>Đèn spot , Model:LP-1x1 5600K-Spot, No:1030201455</t>
  </si>
  <si>
    <t>302099904171008</t>
  </si>
  <si>
    <t>Đèn spot , Model:LP-1x1 5600K-Spot, No:1030201454</t>
  </si>
  <si>
    <t>302099904172001</t>
  </si>
  <si>
    <t>Đèn tản, Model:LP-1x1 5600K-Flood, No:1030103785</t>
  </si>
  <si>
    <t>302099904172002</t>
  </si>
  <si>
    <t>Đèn tản, Model:LP-1x1 5600K-Flood, No:1030103786</t>
  </si>
  <si>
    <t>302099904172003</t>
  </si>
  <si>
    <t>Đèn tản, Model:LP-1x1 5600K-Flood, No:1030103780</t>
  </si>
  <si>
    <t>302099904172004</t>
  </si>
  <si>
    <t>Đèn tản, Model:LP-1x1 5600K-Flood, No:1030103759</t>
  </si>
  <si>
    <t>302099904172005</t>
  </si>
  <si>
    <t>Đèn tản, Model:LP-1x1 5600K-Flood, No:1030103787</t>
  </si>
  <si>
    <t>302099904172006</t>
  </si>
  <si>
    <t>Đèn tản, Model:LP-1x1 5600K-Flood, No:1030103788</t>
  </si>
  <si>
    <t>04Da04</t>
  </si>
  <si>
    <t>040145-Da04</t>
  </si>
  <si>
    <t>302099905008001</t>
  </si>
  <si>
    <t>Bộ kiểm tra tiếng kỹ thuật số (Digital Audio Monitor AMP2-VSA,  + PPA-401 Audio Patchbay), Model:AMP2-VSA, No:53948</t>
  </si>
  <si>
    <t>511.1</t>
  </si>
  <si>
    <t>302099905008001001</t>
  </si>
  <si>
    <t>Digital Audio Monitor AMP2-VSA</t>
  </si>
  <si>
    <t>511.2</t>
  </si>
  <si>
    <t>302099905008001002</t>
  </si>
  <si>
    <t xml:space="preserve"> + PPA-401 Audio Patchbay (hoặc Canare 621A/320A/EIA)</t>
  </si>
  <si>
    <t>09/2009</t>
  </si>
  <si>
    <t>30209990548001</t>
  </si>
  <si>
    <t>Digital waveform Tektronix, Model:WFM-5000, No:BO10803</t>
  </si>
  <si>
    <t>F1 BAN DAO DIEN</t>
  </si>
  <si>
    <t>29/2009</t>
  </si>
  <si>
    <t>30209990548002</t>
  </si>
  <si>
    <t>Digital waveform Tektronix, Model:WFM-5000, No:B011322</t>
  </si>
  <si>
    <t>30209990551001</t>
  </si>
  <si>
    <t>Máy đo đa năng cho phép hiển thị wavwform, vector, hình ảnh, tín hiệu tiếng, đo đạc đồng bộ, trạng thái tín hiệu, gammut., Model:VTM-2000, No:100800143</t>
  </si>
  <si>
    <t>30209990551002</t>
  </si>
  <si>
    <t>Máy đo đa năng cho phép hiển thị wavwform, vector, hình ảnh, tín hiệu tiếng, đo đạc đồng bộ, trạng thái tín hiệu, gammut., Model:VTM-2000, No:100800144</t>
  </si>
  <si>
    <t>30209990551003</t>
  </si>
  <si>
    <t>Máy đo đa năng cho phép hiển thị wavwform, vector, hình ảnh, tín hiệu tiếng, đo đạc đồng bộ, trạng thái tín hiệu, gammut., Model:VTM-2000, No:100800142</t>
  </si>
  <si>
    <t>30209990553001</t>
  </si>
  <si>
    <t>Máy đo mức tín hiệu đa năng , Model:Prolink-4C, No:080863310003</t>
  </si>
  <si>
    <t>30209990554001</t>
  </si>
  <si>
    <t>Máy đo đa năng cho phép hiển thi Waveform, vector, hình ảnh, tín hiệu tiếng, đo đạc đồng bộ, trạng thái tín hiệu, gamut, cho phép hiển thị cùng 1 lúc 4 lọai hiển thị và cho phép ghi lại hình ảnh này, Model:WVR6100, No:B031310</t>
  </si>
  <si>
    <t>30209990554002</t>
  </si>
  <si>
    <t>Máy đo đa năng cho phép hiển thi Waveform, vector, hình ảnh, tín hiệu tiếng, đo đạc đồng bộ, trạng thái tín hiệu, gamut, cho phép hiển thị cùng 1 lúc 4 lọai hiển thị và cho phép ghi lại hình ảnh này, Model:WVR6100, No:B031313</t>
  </si>
  <si>
    <t>30209990554003</t>
  </si>
  <si>
    <t>Máy đo đa năng cho phép hiển thi Waveform, vector, hình ảnh, tín hiệu tiếng, đo đạc đồng bộ, trạng thái tín hiệu, gamut, cho phép hiển thị cùng 1 lúc 4 lọai hiển thị và cho phép ghi lại hình ảnh này, Model:WVR6100, No:B031314</t>
  </si>
  <si>
    <t>30209990554004</t>
  </si>
  <si>
    <t>Máy đo đa năng cho phép hiển thi Waveform, vector, hình ảnh, tín hiệu tiếng, đo đạc đồng bộ, trạng thái tín hiệu, gamut, cho phép hiển thị cùng 1 lúc 4 lọai hiển thị và cho phép ghi lại hình ảnh này, Model:WVR6100, No:B031318</t>
  </si>
  <si>
    <t>30209990554005</t>
  </si>
  <si>
    <t>Máy đo đa năng cho phép hiển thi Waveform, vector, hình ảnh, tín hiệu tiếng, đo đạc đồng bộ, trạng thái tín hiệu, gamut, cho phép hiển thị cùng 1 lúc 4 lọai hiển thị và cho phép ghi lại hình ảnh này, Model:WVR6100, No:B031321</t>
  </si>
  <si>
    <t>302099905596001</t>
  </si>
  <si>
    <t>Bộ hiển thị hình ảnh 16 đường HD  -Wohler, Model:RMV16-4C-1RU, No:13050025</t>
  </si>
  <si>
    <t>302099905596002</t>
  </si>
  <si>
    <t>Bộ hiển thị hình ảnh 16 đường HD  -Wohler (Multiview Wohler), Model:RMV16-4C-1RU, No:RMV16-4C-1RU14080759</t>
  </si>
  <si>
    <t>F1-R1 multiview hư</t>
  </si>
  <si>
    <t>302099905598001</t>
  </si>
  <si>
    <t>Thiết bị kiểm tra mức tín hiệu-Harris, Model:VTM4150PKG</t>
  </si>
  <si>
    <t>A1-R3 waveform</t>
  </si>
  <si>
    <t>525.1</t>
  </si>
  <si>
    <t>302099905598001002</t>
  </si>
  <si>
    <t>Màn hình Dell, Model:E1914HC, No:CN0657PN6418036E4GMB</t>
  </si>
  <si>
    <t>Phtkt, BÀN QUÂN, DƯỚI GẦM</t>
  </si>
  <si>
    <t>302099905598002</t>
  </si>
  <si>
    <t>A1 ĐẠO DIỄN</t>
  </si>
  <si>
    <t>526.1</t>
  </si>
  <si>
    <t>302099905598002001</t>
  </si>
  <si>
    <t>Màn hình Dell, Model:E1914HC, No:CN0657PN6418036E4J9B</t>
  </si>
  <si>
    <t>302099905599001</t>
  </si>
  <si>
    <t>Máy đo Wohler (dạng tín hiệu hình/tiếng HD), Model:RMT-173, No:RMT1732014040210</t>
  </si>
  <si>
    <t>302099905601001</t>
  </si>
  <si>
    <t>Máy đo Yokogawa (đo sáng), Model:51021, No:140044</t>
  </si>
  <si>
    <t>302099905605001</t>
  </si>
  <si>
    <t>Thiết bị đo audio TC Electronic (có loudness control - Phần cứng đơn kênh TC Electronic), Model:DB6, No:13428231</t>
  </si>
  <si>
    <t>Đan Mạch</t>
  </si>
  <si>
    <t xml:space="preserve">PH mới L1
</t>
  </si>
  <si>
    <t>302099905605002</t>
  </si>
  <si>
    <t>Thiết bị đo audio TC Electronic (có loudness control - Phần cứng đơn kênh TC Electronic), Model:DB6, No:13428215</t>
  </si>
  <si>
    <t>302099905608001</t>
  </si>
  <si>
    <t>Hệ thống Multiview giám sát tín hiệu 16x2 hỗ trợ tín hiệu SD/HD-SDI/3Gbps. 16 input Dual Head Multi-image Processor note 1 -  Miranda (kèm bộ Kaleido-X16 Redundant Power Supply - Mirandagắn vào trong khung), Model:Kaleido-X16, No:086999-R40003014</t>
  </si>
  <si>
    <t>302099905608002</t>
  </si>
  <si>
    <t>Hệ thống Multiview giám sát tín hiệu 16x2 hỗ trợ tín hiệu SD/HD-SDI/3Gbps. 16 input Dual Head Multi-image Processor note 1 -  Miranda (kèm bộ Kaleido-X16 Redundant Power Supply - Mirandagắn vào trong khung), Model:Kaleido-X16, No:086999-R40003015</t>
  </si>
  <si>
    <t>302099905609001</t>
  </si>
  <si>
    <t>Bộ waveform giám sát tín hiệu kèm phụ kiện-Tektronix, Model:WFM5000, No:CO44826</t>
  </si>
  <si>
    <t>Phòng trực MCR</t>
  </si>
  <si>
    <t>302099905609002</t>
  </si>
  <si>
    <t>Bộ waveform giám sát tín hiệu kèm phụ kiện-Tektronix, Model:WFM5000, No:CO44827</t>
  </si>
  <si>
    <t>anh Lam cất</t>
  </si>
  <si>
    <t>302099905610001</t>
  </si>
  <si>
    <t>Màn hình kiểm tra thông số tín hiệu loại dual (Smartscope Duo)Blackmagic Design, Model:Smartscope Duo 4K, No:2768105</t>
  </si>
  <si>
    <t>rack phát hình, 
phòng máy mới</t>
  </si>
  <si>
    <t>302099905610002</t>
  </si>
  <si>
    <t>Màn hình kiểm tra thông số tín hiệu loại dual (Smartscope Duo)Blackmagic Design, Model:Smartscope Duo 4K, No:2768475</t>
  </si>
  <si>
    <t>302099905611001</t>
  </si>
  <si>
    <t>Bộ waveform giám sát tín hiệu kèm option AUD và LOUD và khung gắn rack 19inch - Tektronix, Model:WVR5200, No:C011786</t>
  </si>
  <si>
    <t>302099905611002</t>
  </si>
  <si>
    <t>Bộ waveform giám sát tín hiệu kèm option AUD và LOUD và khung gắn rack 19inch - Tektronix, Model:WVR5200, No:C011754</t>
  </si>
  <si>
    <t>302099905614001</t>
  </si>
  <si>
    <t>Thiết bị phân chia tín hiệu -Grass Valley, Model:Densite 3, No:R130958002</t>
  </si>
  <si>
    <t>A1-R4 Khung Grass Valley</t>
  </si>
  <si>
    <t>302099905615001</t>
  </si>
  <si>
    <t>Màn hình giám sát tín hiệu chuẩn HD Postium (Video monitor HD), Model:OBM-N180, No:N18J2208</t>
  </si>
  <si>
    <t>Hàn Quốc</t>
  </si>
  <si>
    <t>Dân</t>
  </si>
  <si>
    <t>Mcr control</t>
  </si>
  <si>
    <t>30209990572001</t>
  </si>
  <si>
    <t xml:space="preserve">Hệ thống hiển thị Multiview </t>
  </si>
  <si>
    <t>541.1</t>
  </si>
  <si>
    <t>30209990572001001</t>
  </si>
  <si>
    <t>Ten Composite/SDI Input Virtual Monitor Wall Proc., Model:ALTO-MAIN-HD, No:R36629048</t>
  </si>
  <si>
    <t>541.2</t>
  </si>
  <si>
    <t>30209990572001002</t>
  </si>
  <si>
    <t>LTC Reader to RS-232 , Model:Little Red, No:36448045</t>
  </si>
  <si>
    <t>30209990572002</t>
  </si>
  <si>
    <t>542.1</t>
  </si>
  <si>
    <t>30209990572002001</t>
  </si>
  <si>
    <t>Ten Composite/SDI Input Virtual Monitor Wall Proc., Model:ALTO-MAIN-HD, No:R36629049</t>
  </si>
  <si>
    <t>542.2</t>
  </si>
  <si>
    <t>30209990572002002</t>
  </si>
  <si>
    <t>LTC Reader to RS-232 , Model:Little Red, No:36448035</t>
  </si>
  <si>
    <t>30209990573002</t>
  </si>
  <si>
    <t>Máy đo tín hiệu Tektronix, Model:WFM 5000, No:C043608</t>
  </si>
  <si>
    <t xml:space="preserve">Nam </t>
  </si>
  <si>
    <t>Kiểm sóng  H3</t>
  </si>
  <si>
    <t>30209990573003</t>
  </si>
  <si>
    <t>Máy đo tín hiệu Tektronix, Model:WFM 5000, No:C043609</t>
  </si>
  <si>
    <t>Kiểm sóng H1</t>
  </si>
  <si>
    <t>30209990573004</t>
  </si>
  <si>
    <t>Máy đo tín hiệu Tektronix, Model:WFM 5000, No:C043610</t>
  </si>
  <si>
    <t>Kiểm tra AUDIO K9 
PH mới L1</t>
  </si>
  <si>
    <t>30209990573005</t>
  </si>
  <si>
    <t>Máy đo tín hiệu Tektronix, Model:WFM 5000, No:C043611</t>
  </si>
  <si>
    <t>Kiểm tra AUDIO K7
PH mới L1</t>
  </si>
  <si>
    <t>30209990574001</t>
  </si>
  <si>
    <t>Bộ kiểm tra sóng Harris Multiview 16 đường vào, Model:ZP2-HD16-GX, No:BGX22-1125-043</t>
  </si>
  <si>
    <t>Ireland</t>
  </si>
  <si>
    <t>30209990579001</t>
  </si>
  <si>
    <t>Bộ kiểm tra tín hiệu 16 đường vào Harris, Model:ZP2-HD16-GX, No:BGX22-1130-005</t>
  </si>
  <si>
    <t>SAU RACK A1 KHÔNG XÀI</t>
  </si>
  <si>
    <t>09DA/2013</t>
  </si>
  <si>
    <t>30209990590001</t>
  </si>
  <si>
    <t>Thiết bị hiển thị kiểm tra hình ảnh, âm thanh, nội dung , bao gồm:MV Series 1RU rack mount frame with main processor,dual power supply and forced air cooling, holds up to 4RMV card modules., Model:RMV16-4C-1RU, No:12120020</t>
  </si>
  <si>
    <t>F1-R2 Multiview</t>
  </si>
  <si>
    <t>020703-Da04</t>
  </si>
  <si>
    <t>302099906004002</t>
  </si>
  <si>
    <t>Thiết bị tổng quát trung tâm(DVT-3210 Digital Video Fiber TX with PSU &amp; 1030 Frame Unit), No:105150</t>
  </si>
  <si>
    <t>MCR cũ (rack6 Xuân)</t>
  </si>
  <si>
    <t>10DA97</t>
  </si>
  <si>
    <t>1032DA97</t>
  </si>
  <si>
    <t>302099906013001</t>
  </si>
  <si>
    <t>Anten Parapol cố định 4m5, Model:ECHOSTAR</t>
  </si>
  <si>
    <t>Sân thượng</t>
  </si>
  <si>
    <t>13DA01</t>
  </si>
  <si>
    <t>13B06-DA01</t>
  </si>
  <si>
    <t>302099906020001</t>
  </si>
  <si>
    <t>Anten Parabol 25 (gồm: mục 7,8,9,10,11) Parabol 25 FT (7,5m) C&amp;KU-Band Aluminum mesh dish double, rib 24 panels, W/AE 5000; AZ/EL Mount, W/Motor,  W/JK 52S; 52" Actuator,  W/TW 3000; tower</t>
  </si>
  <si>
    <t>03Da02</t>
  </si>
  <si>
    <t>030217Da02</t>
  </si>
  <si>
    <t>302099906022001</t>
  </si>
  <si>
    <t>Bộ truyền hình cáp quang số DVT-3211 (Single mode 270Mb/s SDI,1300nm transmiier with PSU), Model:DVT-3211, No:108162</t>
  </si>
  <si>
    <t>04Da02</t>
  </si>
  <si>
    <t>04B0505Da02</t>
  </si>
  <si>
    <t>302099906024002</t>
  </si>
  <si>
    <t>BỘ THU HÌNH – TIẾNG CÁP QUANG , Model:AVR-3070, No:105123</t>
  </si>
  <si>
    <t>554.1</t>
  </si>
  <si>
    <t>302099906024002001</t>
  </si>
  <si>
    <t>Analog Video Receiver 850nm Led transmitter, 8dB path loss ( Bộ thu hình cáp quanh tương tự)</t>
  </si>
  <si>
    <t>554.2</t>
  </si>
  <si>
    <t>302099906024002002</t>
  </si>
  <si>
    <t>Dual Audio Subcarrier Demodulator AAR-3140. (Bộ giải chế sóng mang phụ 2 kênh âm thanh)</t>
  </si>
  <si>
    <t>554.3</t>
  </si>
  <si>
    <t>302099906024002003</t>
  </si>
  <si>
    <t>Frame for housing above modules FRU-1030 (Kèm theo:- Bộ khung đặt các modual)</t>
  </si>
  <si>
    <t>18E52DA99</t>
  </si>
  <si>
    <t>302099906074001</t>
  </si>
  <si>
    <t>Hệ thống liên lạc (Intercom system)</t>
  </si>
  <si>
    <t>555.1</t>
  </si>
  <si>
    <t>302099906074001001</t>
  </si>
  <si>
    <t>Main station, Model:MAC-1010</t>
  </si>
  <si>
    <t>020502-Da04</t>
  </si>
  <si>
    <t>302099906080004</t>
  </si>
  <si>
    <t>Thiết bị liên lạc bộ đàm, No:709541</t>
  </si>
  <si>
    <t>MCR Cũ Rack 7</t>
  </si>
  <si>
    <t>556.1</t>
  </si>
  <si>
    <t>302099906080004001</t>
  </si>
  <si>
    <t xml:space="preserve"> - MMX-24(16) 16  Port Digital Intercom Matrix with 2 x MTX- 8M</t>
  </si>
  <si>
    <t>556.2</t>
  </si>
  <si>
    <t>302099906080004002</t>
  </si>
  <si>
    <t xml:space="preserve"> Installed Including 220 AC Power Supply Unit - Mỹ sx</t>
  </si>
  <si>
    <t>032B/.4</t>
  </si>
  <si>
    <t xml:space="preserve"> SM06T505</t>
  </si>
  <si>
    <t>302099906130001</t>
  </si>
  <si>
    <t xml:space="preserve"> Thiết bị tín hiệu đài AL-Jazeerz Quata (chảo thu vệ tinh)  </t>
  </si>
  <si>
    <t>29/2007</t>
  </si>
  <si>
    <t>302099906225007</t>
  </si>
  <si>
    <t>Bộ phát cáp quang số, No:0309169</t>
  </si>
  <si>
    <t>558.1</t>
  </si>
  <si>
    <t>302099906225007001</t>
  </si>
  <si>
    <t>DVT-3210 digital fiber receiver, Model:3210</t>
  </si>
  <si>
    <t>558.2</t>
  </si>
  <si>
    <t>302099906225007002</t>
  </si>
  <si>
    <t>FRU-1030 Frame unit, Model:1030</t>
  </si>
  <si>
    <t>302099906229003</t>
  </si>
  <si>
    <t>Bộ thu cáp quang tương tự (Audio/Video fiber Receiver), No:0309165</t>
  </si>
  <si>
    <t>MCR cũ: Rack 7, genlock</t>
  </si>
  <si>
    <t>559.1</t>
  </si>
  <si>
    <t>302099906229003001</t>
  </si>
  <si>
    <t>AVR-3070 Video receiver, Model:3070</t>
  </si>
  <si>
    <t>559.2</t>
  </si>
  <si>
    <t>302099906229003002</t>
  </si>
  <si>
    <t>AAR-3140 Audio Demodulator, Model:3140</t>
  </si>
  <si>
    <t>559.3</t>
  </si>
  <si>
    <t>302099906229003003</t>
  </si>
  <si>
    <t>302099906229004</t>
  </si>
  <si>
    <t>Bộ thu cáp quang tương tự (Audio/Video fiber Receiver), No:0309166</t>
  </si>
  <si>
    <t>Phòng Control MCR mới</t>
  </si>
  <si>
    <t>560.1</t>
  </si>
  <si>
    <t>302099906229004001</t>
  </si>
  <si>
    <t>560.2</t>
  </si>
  <si>
    <t>302099906229004002</t>
  </si>
  <si>
    <t>560.3</t>
  </si>
  <si>
    <t>302099906229004003</t>
  </si>
  <si>
    <t>90</t>
  </si>
  <si>
    <t>302099906248001</t>
  </si>
  <si>
    <t>Bộ mã hóa MPEG II  - Tandberg 4:2:0 Encoder, Model:E5710, No:TB14768</t>
  </si>
  <si>
    <t>HTVC</t>
  </si>
  <si>
    <t>302099906303001</t>
  </si>
  <si>
    <t>Khung gắn các bộ chuyển giao tiếp quang mỗi cái có 2 bộ nguồn có thể gắn được 10 bo, Model:FR6802+QXF, No:LHTI 0428966062</t>
  </si>
  <si>
    <t>302099906303002</t>
  </si>
  <si>
    <t>Khung gắn các bộ chuyển giao tiếp quang mỗi cái có 2 bộ nguồn có thể gắn được 10 bo, Model:FR6802+QXF, No:LHTI0428966058</t>
  </si>
  <si>
    <t>302099906311005</t>
  </si>
  <si>
    <t>Bộ phát tín hiệu Quang gồm Khung và card, Model:DDT4210, No:0611089</t>
  </si>
  <si>
    <t>564.1</t>
  </si>
  <si>
    <t>302099906311005001</t>
  </si>
  <si>
    <t>Fiber optic link transmitter (Bộ phát), Model:DDT4210, No:0611089</t>
  </si>
  <si>
    <t>72/2009</t>
  </si>
  <si>
    <t>302099906317001</t>
  </si>
  <si>
    <t>Anten parabol (5m)</t>
  </si>
  <si>
    <t>Vũ</t>
  </si>
  <si>
    <t>sân thượng</t>
  </si>
  <si>
    <t>302099906342001</t>
  </si>
  <si>
    <t>Decoder full option (4:2:2) DVB-S2 Ericsson, Model:RX-1290, No:123493</t>
  </si>
  <si>
    <t>Nauy</t>
  </si>
  <si>
    <t>302099906342002</t>
  </si>
  <si>
    <t>Decoder full option (4:2:2) DVB-S2 Ericsson, Model:RX-1290, No:123494</t>
  </si>
  <si>
    <t>302099906355002</t>
  </si>
  <si>
    <t>Bộ phát tín hiệu số bằng cáp quang IRT ( Bao gồm khung chứa 1U IRT và card), Model:FRU1034, No:1106089</t>
  </si>
  <si>
    <t>hTVC</t>
  </si>
  <si>
    <t>302099906356001</t>
  </si>
  <si>
    <t>Bộ thu tín hiệu số bằng cáp quang IRT( bao gồm khung chứa 1U IRTvà card), Model:FRU1034, No:1108093</t>
  </si>
  <si>
    <t>cáp</t>
  </si>
  <si>
    <t>302099906356002</t>
  </si>
  <si>
    <t>Bộ thu tín hiệu số bằng cáp quang IRT( bao gồm khung chứa 1U IRTvà card), Model:FRU1034, No:1108092</t>
  </si>
  <si>
    <t>302099906356003</t>
  </si>
  <si>
    <t>Bộ thu tín hiệu số bằng cáp quang IRT( bao gồm khung chứa 1U IRTvà card), Model:FRU1034, No:1108091</t>
  </si>
  <si>
    <t>302099906357001</t>
  </si>
  <si>
    <t>Bộ phát tín hiệu số bằng cáp quang IRT(gồm Khung chứa 3U IRTvà card), Model:FRU4001, No:108213</t>
  </si>
  <si>
    <t>P máy MCR củ</t>
  </si>
  <si>
    <t>302099906358001</t>
  </si>
  <si>
    <t>Bộ thu tín hiệu số bằng cáp quang IRT(gồm Khung chứa 3U IRTvà card), Model:FRU4001, No:1108214</t>
  </si>
  <si>
    <t>P máy MCR mới</t>
  </si>
  <si>
    <t>302099906375002</t>
  </si>
  <si>
    <t>Khung chứa cho bộ thu phát quang, Model:FRU-1034, No:1208067</t>
  </si>
  <si>
    <t>302099906375003</t>
  </si>
  <si>
    <t>Khung chứa cho bộ thu phát quang, Model:FRU-1034, No:1208066</t>
  </si>
  <si>
    <t>302099906375004</t>
  </si>
  <si>
    <t>Khung chứa cho bộ thu phát quang, Model:FRU-1034, No:1208065</t>
  </si>
  <si>
    <t>302099906376001</t>
  </si>
  <si>
    <t>Khung chứa cho bộ thu phát quang, Model:FRU-1034, No:1208064</t>
  </si>
  <si>
    <t>302099906376002</t>
  </si>
  <si>
    <t>Khung chứa cho bộ thu phát quang, Model:FRU-1034, No:1208063</t>
  </si>
  <si>
    <t>phòng control MCR</t>
  </si>
  <si>
    <t>302099906386004</t>
  </si>
  <si>
    <t>Bộ thu tín hiệu Multidyne (Kèm bộ phát), Model:SL-2150-RX, No:0531014-RX</t>
  </si>
  <si>
    <t>579.1</t>
  </si>
  <si>
    <t>302099906386004001</t>
  </si>
  <si>
    <t>Bộ phát tín hiệu MultiDyne, Model:SL-2150-TX, No:0531014-TX</t>
  </si>
  <si>
    <t>302099906386005</t>
  </si>
  <si>
    <t>Bộ thu tín hiệu Multidyne (Kèm bộ phát), Model:SL-2150-RX, No:0521014-RX</t>
  </si>
  <si>
    <t>580.1</t>
  </si>
  <si>
    <t>302099906386005001</t>
  </si>
  <si>
    <t>Bộ phát tín hiệu MultiDyne, Model:SL-2150-TX, No:0521014-TX</t>
  </si>
  <si>
    <t>302099906388001</t>
  </si>
  <si>
    <t>Thiết bị thu tín hiệu vệ tinh Ericsson (HD/SD 4:2:2/4:2:0 Mpeg2/4, DVB-S/S2 10bit, Director-5), Model:RX8200, No:49739</t>
  </si>
  <si>
    <t>Rumani</t>
  </si>
  <si>
    <t>302099906389001</t>
  </si>
  <si>
    <t>Thiết bị thu tín hiệu vệ tinh Harmonic (DVB S2 (4:2:0) HD/SD, H.264), Model:Proview 7100, No:161351077</t>
  </si>
  <si>
    <t>302099906390001</t>
  </si>
  <si>
    <t>Chảo thu vệ tinh 4.5m Motorize Huaxin (chảo gồm 12 cánh; khung đỡ chảo;trụ đỡ khung và chảo; bộ phận thu sóng), Model:HXWJd 4.5</t>
  </si>
  <si>
    <t>Sân thượng đài fat</t>
  </si>
  <si>
    <t>302099906396001</t>
  </si>
  <si>
    <t>Đầu thu vệ tinh HD Ericsson, Model:RX8200, No:PM4492</t>
  </si>
  <si>
    <t>302099906396002</t>
  </si>
  <si>
    <t>Đầu thu vệ tinh HD Ericsson, Model:RX8200, No:PM4493</t>
  </si>
  <si>
    <t>302099906396003</t>
  </si>
  <si>
    <t>Đầu thu vệ tinh HD Ericsson (IRD H.264), Model:RX8200, No:PM9585</t>
  </si>
  <si>
    <t>302099906396004</t>
  </si>
  <si>
    <t>Đầu thu vệ tinh HD Ericsson, Model:RX8200, No:FL02436</t>
  </si>
  <si>
    <t xml:space="preserve">Vũ </t>
  </si>
  <si>
    <t>302099906406001</t>
  </si>
  <si>
    <t>Hệ thống truyền dẫn tín hiệu quang bao gồm khung và card, Model:FRU1034, No:1505018</t>
  </si>
  <si>
    <t>P. CONSOLE MCR</t>
  </si>
  <si>
    <t>302099906406002</t>
  </si>
  <si>
    <t>Hệ thống truyền dẫn tín hiệu quang bao gồm khung và card, Model:FRU1034, No:1505019</t>
  </si>
  <si>
    <t>302099906406003</t>
  </si>
  <si>
    <t>Hệ thống truyền dẫn tín hiệu quang bao gồm khung và card, Model:FRU1034, No:1505020</t>
  </si>
  <si>
    <t>P. PH dự phòng mất điện</t>
  </si>
  <si>
    <t>302099906406004</t>
  </si>
  <si>
    <t>Hệ thống truyền dẫn tín hiệu quang bao gồm khung và card, Model:FRU1034, No:1505021</t>
  </si>
  <si>
    <t>302099906406005</t>
  </si>
  <si>
    <t>Hệ thống truyền dẫn tín hiệu quang bao gồm khung và card, Model:FRU1034, No:1505022</t>
  </si>
  <si>
    <t>302099906406006</t>
  </si>
  <si>
    <t>Hệ thống truyền dẫn tín hiệu quang bao gồm khung và card, Model:FRU1034, No:1505023</t>
  </si>
  <si>
    <t>302099906406007</t>
  </si>
  <si>
    <t>Hệ thống truyền dẫn tín hiệu quang bao gồm khung và card, Model:FRU1034, No:1505024</t>
  </si>
  <si>
    <t>302099906406008</t>
  </si>
  <si>
    <t>Hệ thống truyền dẫn tín hiệu quang bao gồm khung và card, Model:FRU1034, No:1505025</t>
  </si>
  <si>
    <t>302099906406009</t>
  </si>
  <si>
    <t>Hệ thống truyền dẫn tín hiệu quang bao gồm khung và card, Model:FRU1034, No:1505026</t>
  </si>
  <si>
    <t>302099906406010</t>
  </si>
  <si>
    <t>Hệ thống truyền dẫn tín hiệu quang bao gồm khung và card, Model:FRU1034, No:1505027</t>
  </si>
  <si>
    <t>302099906406011</t>
  </si>
  <si>
    <t>Hệ thống truyền dẫn tín hiệu quang bao gồm khung và card, Model:FRU1034, No:1505028</t>
  </si>
  <si>
    <t>302099906406012</t>
  </si>
  <si>
    <t>Hệ thống truyền dẫn tín hiệu quang bao gồm khung và card, Model:FRU1034, No:1505029</t>
  </si>
  <si>
    <t>302099906407001</t>
  </si>
  <si>
    <t>Hệ thống truyền dẫn tín hiệu quang Bao gồm Khung chứa card quang đặt tại MCR, 3RU, 2PSU - IRTvà card, Model:FRU4001, No:1508046</t>
  </si>
  <si>
    <t>P. máy MCR mới</t>
  </si>
  <si>
    <t>302099906407002</t>
  </si>
  <si>
    <t>Hệ thống truyền dẫn tín hiệu quang Bao gồm Khung chứa card quang đặt tại MCR, 3RU, 2PSU - IRTvà card, Model:FRU4001, No:1508045</t>
  </si>
  <si>
    <t>INEW</t>
  </si>
  <si>
    <t>302099906407003</t>
  </si>
  <si>
    <t>Hệ thống truyền dẫn tín hiệu quang Bao gồm Khung chứa card quang đặt tại MCR, 3RU, 2PSU - IRTvà card, Model:FRU4001, No:1508044</t>
  </si>
  <si>
    <t>302099906408001</t>
  </si>
  <si>
    <t>Hệ thống truyền dẫn 12 tuyến cáp quang L-band. Bao gồm:Hệ thống 4 bộ phát cáp quang 2408LT13 được tích hợp vào tủ ngoài trời với bộ cấp nguồn 8 ngõ ra - Evertz, Model:2400ODU, No:7444640005</t>
  </si>
  <si>
    <t>P. máy HTVC CÁP</t>
  </si>
  <si>
    <t>302099906408002</t>
  </si>
  <si>
    <t>Hệ thống truyền dẫn 12 tuyến cáp quang L-band. Bao gồm:Hệ thống 4 bộ phát cáp quang 2408LT13 được tích hợp vào tủ ngoài trời với bộ cấp nguồn 8 ngõ ra - Evertz, Model:2400ODU, No:7444640007</t>
  </si>
  <si>
    <t>Lầu 3 tòa nhà F Visat</t>
  </si>
  <si>
    <t>302099906408003</t>
  </si>
  <si>
    <t>Hệ thống truyền dẫn 12 tuyến cáp quang L-band. Bao gồm:Hệ thống 4 bộ phát cáp quang 2408LT13 được tích hợp vào tủ ngoài trời với bộ cấp nguồn 8 ngõ ra - Evertz, Model:2400ODU, No:7444640006</t>
  </si>
  <si>
    <t>302099906409001</t>
  </si>
  <si>
    <t>1RU 4 Ch. IP communications interface - Clearcom, Model:IP communications, No:03VC0299-2016-01</t>
  </si>
  <si>
    <t xml:space="preserve">PT C3 (QLKT) </t>
  </si>
  <si>
    <t>302099906409002</t>
  </si>
  <si>
    <t>1RU 4 Ch. IP communications interface - Clearcom, Model:IP communications, No:03VC0300-2016-01</t>
  </si>
  <si>
    <t>302099906409003</t>
  </si>
  <si>
    <t>1RU 4 Ch. IP communications interface - Clearcom, Model:IP communications, No:03VC0412-2016-01</t>
  </si>
  <si>
    <t>QLKT mượn 24-10-18(Xuân Hải)</t>
  </si>
  <si>
    <t>302099906409004</t>
  </si>
  <si>
    <t>1RU 4 Ch. IP communications interface - Clearcom, Model:IP communications, No:03VC0413-2016-01</t>
  </si>
  <si>
    <t>P. máy MCR cũ rack 7</t>
  </si>
  <si>
    <t>302099906409005</t>
  </si>
  <si>
    <t>1RU 4 Ch. IP communications interface - Clearcom, Model:IP communications, No:03VC0154-2016-01</t>
  </si>
  <si>
    <t>0011GTTS/AR/DV09/2018</t>
  </si>
  <si>
    <t>302099906410001</t>
  </si>
  <si>
    <t>Thiết bị thu tín hiệu EBU, NS4 Novelsat, Model:NS200, No:2019180358</t>
  </si>
  <si>
    <t>05DA97</t>
  </si>
  <si>
    <t>0538DA97</t>
  </si>
  <si>
    <t>302099907057001</t>
  </si>
  <si>
    <t>BDL Autoscript Prompter System ( Thiết bị đọc văn bản trực tiếp BDL )</t>
  </si>
  <si>
    <t>Thiết Bị</t>
  </si>
  <si>
    <t>612.1</t>
  </si>
  <si>
    <t>302099907057001001</t>
  </si>
  <si>
    <t>PC Fromptead + Winplus + Studio Version Software</t>
  </si>
  <si>
    <t>612.2</t>
  </si>
  <si>
    <t>302099907057001002</t>
  </si>
  <si>
    <t>Pakage Complete With Desktop Hand- Control</t>
  </si>
  <si>
    <t>612.3</t>
  </si>
  <si>
    <t>302099907057001003</t>
  </si>
  <si>
    <t>12 On Canera Prompter With ABS Glas Ho</t>
  </si>
  <si>
    <t>612.4</t>
  </si>
  <si>
    <t>302099907057001004</t>
  </si>
  <si>
    <t xml:space="preserve">Assembly Glass Mounting Rods , AC Power Supply </t>
  </si>
  <si>
    <t>612.5</t>
  </si>
  <si>
    <t>302099907057001005</t>
  </si>
  <si>
    <t xml:space="preserve">Adjusttable on Camera Mounting plate to ENG/EFP </t>
  </si>
  <si>
    <t>612.6</t>
  </si>
  <si>
    <t>302099907057001006</t>
  </si>
  <si>
    <t xml:space="preserve"> Camera ARI/1, PC for Prompter System </t>
  </si>
  <si>
    <t>102/2008</t>
  </si>
  <si>
    <t>302099907256005</t>
  </si>
  <si>
    <t>Camera ghi hình Sony , Model:HVR-S270P, No:3510295</t>
  </si>
  <si>
    <t>613.1</t>
  </si>
  <si>
    <t>302099907256005001</t>
  </si>
  <si>
    <t>Charge Sony, Model:BC-L70</t>
  </si>
  <si>
    <t>613.2</t>
  </si>
  <si>
    <t>302099907256005002</t>
  </si>
  <si>
    <t>Bộ đọc thẻ, Model:ECM-XM1</t>
  </si>
  <si>
    <t>613.3</t>
  </si>
  <si>
    <t>302099907256005003</t>
  </si>
  <si>
    <t>Chân Libec tải trọng 13kg, No:855848</t>
  </si>
  <si>
    <t>613.4</t>
  </si>
  <si>
    <t>302099907256005004</t>
  </si>
  <si>
    <t>Tripod adaptor Sony, Model:VCT-U14</t>
  </si>
  <si>
    <t>17/2012</t>
  </si>
  <si>
    <t>302099907296001</t>
  </si>
  <si>
    <t>Ống kính góc rộng kèm theo bộ điều khiển zoom focus., Model:Canon KJ10ex4.5BIRSE, No:61811092</t>
  </si>
  <si>
    <t>A1-MC cam 3</t>
  </si>
  <si>
    <t>24/2013</t>
  </si>
  <si>
    <t>302099907315001</t>
  </si>
  <si>
    <t>Chân Vinten Tele-Promter, Model:V10AS-AP2F, No:V4046001668</t>
  </si>
  <si>
    <t>Costa Rica</t>
  </si>
  <si>
    <t>Dưới gầm bàn cong phòng hiện F1</t>
  </si>
  <si>
    <t>302099907334008</t>
  </si>
  <si>
    <t>Camera Sony, Model:PMW-400, No:101087</t>
  </si>
  <si>
    <t>F1 Cam 1 lỗi sọc khi mới mở, phải để lâu. QLKT sửa tráo bộ phận với CAM TFS</t>
  </si>
  <si>
    <t>618.1</t>
  </si>
  <si>
    <t>302099907334008001</t>
  </si>
  <si>
    <t>Lens control kit Fujinon</t>
  </si>
  <si>
    <t>618.2</t>
  </si>
  <si>
    <t>302099907334008002</t>
  </si>
  <si>
    <t>Viewfinder 5" LCD Sony, Model:DXF-C50WA, No:102387</t>
  </si>
  <si>
    <t>gắn cam 1 F1</t>
  </si>
  <si>
    <t>618.3</t>
  </si>
  <si>
    <t>302099907334008003</t>
  </si>
  <si>
    <t>Bộ điều khiển camera Sony, Model:RM-B170, No:101368</t>
  </si>
  <si>
    <t>remote cam bàn Đạo diễn F1</t>
  </si>
  <si>
    <t>618.4</t>
  </si>
  <si>
    <t>302099907334008004</t>
  </si>
  <si>
    <t>Bộ nguồn Sony, Model:AC-DN10, No:024860</t>
  </si>
  <si>
    <t>F1 cam1</t>
  </si>
  <si>
    <t>618.5</t>
  </si>
  <si>
    <t>302099907334008005</t>
  </si>
  <si>
    <t xml:space="preserve"> Ống kính Fujinon, Model:XA16x8A-XB8A, No:D62002674</t>
  </si>
  <si>
    <t>618.6</t>
  </si>
  <si>
    <t>302099907334008006</t>
  </si>
  <si>
    <t>Ống kính Fujinon, Model:XA20SX8.5BRM-K3, No:D66539626</t>
  </si>
  <si>
    <t>Cam1 F1</t>
  </si>
  <si>
    <t>302099907334009</t>
  </si>
  <si>
    <t>Camera Sony, Model:PMW-400, No:101073</t>
  </si>
  <si>
    <t>F1 cam 2</t>
  </si>
  <si>
    <t>619.1</t>
  </si>
  <si>
    <t>302099907334009001</t>
  </si>
  <si>
    <t>619.2</t>
  </si>
  <si>
    <t>302099907334009002</t>
  </si>
  <si>
    <t>Viewfinder 5" LCD Sony, Model:DXF-C50WA, No:102381</t>
  </si>
  <si>
    <t>Cam 2 F1</t>
  </si>
  <si>
    <t>619.3</t>
  </si>
  <si>
    <t>302099907334009003</t>
  </si>
  <si>
    <t>Bộ điều khiển camera Sony, Model:RM-B170, No:101467</t>
  </si>
  <si>
    <t>Bàn Đạo Diễn F1</t>
  </si>
  <si>
    <t>619.4</t>
  </si>
  <si>
    <t>302099907334009004</t>
  </si>
  <si>
    <t>Bộ nguồn Sony, Model:AC-DN10, No:024831</t>
  </si>
  <si>
    <t>619.5</t>
  </si>
  <si>
    <t>302099907334009005</t>
  </si>
  <si>
    <t>Ống kính Fujinon, Model:XA16x8A-XB8A, No:D62002731</t>
  </si>
  <si>
    <t>302099907334010</t>
  </si>
  <si>
    <t>Camera Sony, Model:PMW-400, No:101043</t>
  </si>
  <si>
    <t>F1 Cam 3</t>
  </si>
  <si>
    <t>620.1</t>
  </si>
  <si>
    <t>302099907334010002</t>
  </si>
  <si>
    <t>Viewfinder 5" LCD Sony, Model:DXF-C50WA, No:102402</t>
  </si>
  <si>
    <t>620.2</t>
  </si>
  <si>
    <t>302099907334010003</t>
  </si>
  <si>
    <t>Bộ điều khiển camera Sony, Model:RM-B170, No:101403</t>
  </si>
  <si>
    <t>620.3</t>
  </si>
  <si>
    <t>302099907334010004</t>
  </si>
  <si>
    <t>Bộ nguồn Sony, Model:AC-DN10, No:024830</t>
  </si>
  <si>
    <t>620.4</t>
  </si>
  <si>
    <t>302099907334010005</t>
  </si>
  <si>
    <t>Ống kính Canon wide 13x6, Model:KJ13x6B KRSD, No:62011105</t>
  </si>
  <si>
    <t>F1 Cam 2</t>
  </si>
  <si>
    <t>620.5</t>
  </si>
  <si>
    <t>302099907334010006</t>
  </si>
  <si>
    <t>Ống kính Fujinon, Model:XA20SX8.5BRM-K3, No:D66539632</t>
  </si>
  <si>
    <t>302099907339001</t>
  </si>
  <si>
    <t>Chân camera Vinten, Model:Vision 250, No:3465-10052</t>
  </si>
  <si>
    <t>302099907341001</t>
  </si>
  <si>
    <t>HỆ THỐNG CAMERA- Sony, Model:HXC-100, No:403042</t>
  </si>
  <si>
    <t>A1 CAM 1</t>
  </si>
  <si>
    <t>622.1</t>
  </si>
  <si>
    <t>302099907341001001</t>
  </si>
  <si>
    <t>Ống kính 17x kèm theo: Bộ điều khiển (Kèm theo bộ điều khiển), Model:KJ17ex7.7B IASE, No:62213047</t>
  </si>
  <si>
    <t>pHTKT tủ sắt 6</t>
  </si>
  <si>
    <t>622.2</t>
  </si>
  <si>
    <t>302099907341001002</t>
  </si>
  <si>
    <t>2" B/W View Finder, Model:HDVF-200, No:1031232</t>
  </si>
  <si>
    <t>A1-R1 TREN NOC RACK 1</t>
  </si>
  <si>
    <t>622.3</t>
  </si>
  <si>
    <t>302099907341001003</t>
  </si>
  <si>
    <t>5" LCD View Finder, Model:HDVF-C550W, No:103008</t>
  </si>
  <si>
    <t>A1 CAM 3</t>
  </si>
  <si>
    <t>302099907341002</t>
  </si>
  <si>
    <t>HỆ THỐNG CAMERA- Sony, Model:HXC-100, No:403040</t>
  </si>
  <si>
    <t>623.1</t>
  </si>
  <si>
    <t>302099907341002001</t>
  </si>
  <si>
    <t>5" LCD View Finder, Model:HDVF-C550W, No:103044</t>
  </si>
  <si>
    <t>A1 CAM 4</t>
  </si>
  <si>
    <t>623.2</t>
  </si>
  <si>
    <t>302099907341002002</t>
  </si>
  <si>
    <t>Ống kính 17x kèm theo:Bộ điều khiển, Model:KJ17ex7.7B IASE, No:62213036</t>
  </si>
  <si>
    <t>A1 CAM 2</t>
  </si>
  <si>
    <t>302099907341003</t>
  </si>
  <si>
    <t>HỆ THỐNG CAMERA- Sony, Model:HXC-100, No:402712</t>
  </si>
  <si>
    <t>624.1</t>
  </si>
  <si>
    <t>302099907341003001</t>
  </si>
  <si>
    <t>5" LCD View Finder, Model:HDVF-C550W, No:103031</t>
  </si>
  <si>
    <t>624.2</t>
  </si>
  <si>
    <t>302099907341003002</t>
  </si>
  <si>
    <t>Ống kính 17x kèm theo:Bộ điều khiển, Model:KJ17ex7.7B IASE, No:62213033</t>
  </si>
  <si>
    <t>302099907341004</t>
  </si>
  <si>
    <t>HỆ THỐNG CAMERA- Sony, Model:HXC-100, No:403037</t>
  </si>
  <si>
    <t>625.1</t>
  </si>
  <si>
    <t>302099907341004001</t>
  </si>
  <si>
    <t>5" LCD View Finder, Model:HDVF-C550W, No:103043</t>
  </si>
  <si>
    <t>302099907342001</t>
  </si>
  <si>
    <t>Bộ chân camera kèm dolly-Libec, Model:RSP-850PD(S), No:3G0280</t>
  </si>
  <si>
    <t>A1 CHÂN CAM 1</t>
  </si>
  <si>
    <t>302099907342002</t>
  </si>
  <si>
    <t>Bộ chân camera kèm dolly-Libec, Model:RSP-850PD(S), No:3G0281</t>
  </si>
  <si>
    <t>A1 CHÂN CAM 3</t>
  </si>
  <si>
    <t>302099907342003</t>
  </si>
  <si>
    <t>Bộ chân camera kèm dolly-Libec, Model:RSP-850PD(S), No:3G0286</t>
  </si>
  <si>
    <t>A1 CHÂN CAM 2</t>
  </si>
  <si>
    <t>302099907342004</t>
  </si>
  <si>
    <t>Bộ chân camera kèm dolly-Libec, Model:RSP-850PD(S), No:3G0287</t>
  </si>
  <si>
    <t>A2: CAM 1</t>
  </si>
  <si>
    <t>302099907343001</t>
  </si>
  <si>
    <t>Chân camera pedestal Sachtler (kèm bánh xe dolly, 2 tay, tải trọng 55kg), Model:Ped CIII, No:51953052</t>
  </si>
  <si>
    <t>PTF1 cam 1</t>
  </si>
  <si>
    <t>302099907343002</t>
  </si>
  <si>
    <t>Chân camera pedestal Sachtler (kèm bánh xe dolly, 2 tay, tải trọng 55kg), Model:Ped CIII, No:51953045</t>
  </si>
  <si>
    <t>PTF1 cam 2</t>
  </si>
  <si>
    <t>302099907343003</t>
  </si>
  <si>
    <t>Chân camera pedestal Sachtler (kèm bánh xe dolly, 2 tay, tải trọng 55kg), Model:Ped CIII, No:51952268</t>
  </si>
  <si>
    <t>PTF1 cam 3</t>
  </si>
  <si>
    <t>0009GTTS/AR/DV09/2015</t>
  </si>
  <si>
    <t>302099907354001</t>
  </si>
  <si>
    <t>Đầu gá Camera Sachtler (cho chân Pedestal C III, tải trọng: 8-35 kg (Order Code :2501P)), Model:Video 25 Plus, No:25P06794</t>
  </si>
  <si>
    <t>302099907354002</t>
  </si>
  <si>
    <t>Đầu gá Camera Sachtler (cho chân Pedestal C III, tải trọng: 8-35 kg (Order Code :2501P)), Model:Video 25 Plus, No:25P06763</t>
  </si>
  <si>
    <t>302099907354003</t>
  </si>
  <si>
    <t>Đầu gá Camera Sachtler (cho chân Pedestal C III, tải trọng: 8-35 kg (Order Code :2501P)), Model:Video 25 Plus, No:25P06772</t>
  </si>
  <si>
    <t>302099907377001</t>
  </si>
  <si>
    <t>Thiết bị hỗ trợ ghi hình tự động -Telemetrics (chi tiết TS gồm Control Panel, Floor Trolley...)</t>
  </si>
  <si>
    <t>A1: Telemetrics</t>
  </si>
  <si>
    <t>636.1</t>
  </si>
  <si>
    <t>302099907377001001</t>
  </si>
  <si>
    <t>Control Panel, Model:RCCP-1A, No:180103037</t>
  </si>
  <si>
    <t>636.2</t>
  </si>
  <si>
    <t>302099907377001002</t>
  </si>
  <si>
    <t>Floor Trolley, Model:TG4-TRO-F, No:170401005</t>
  </si>
  <si>
    <t>636.3</t>
  </si>
  <si>
    <t>302099907377001003</t>
  </si>
  <si>
    <t>Pan/Tilt Head, Model:PT-LP-S5, No:171005012</t>
  </si>
  <si>
    <t>636.4</t>
  </si>
  <si>
    <t>302099907377001004</t>
  </si>
  <si>
    <t>Televator, Model:EP7-600, No:170502025</t>
  </si>
  <si>
    <t>636.5</t>
  </si>
  <si>
    <t>302099907377001005</t>
  </si>
  <si>
    <t>Ống kính -Canon, Model:HJ14ex4.3B IASE S, No:1621757</t>
  </si>
  <si>
    <t>302099907381004</t>
  </si>
  <si>
    <t>Máy quay phim Blackmagic design (camera phim trường, kèm ống kinh wide), Model:Blackmagic Studio Camera 4K2, No:5240770</t>
  </si>
  <si>
    <t>637.1</t>
  </si>
  <si>
    <t>302099907381004001</t>
  </si>
  <si>
    <t>Ống kinh wide Panasonic, Model:H-F007014, No:BR8SH104930</t>
  </si>
  <si>
    <t>302099907381005</t>
  </si>
  <si>
    <t>Máy quay phim Blackmagic design (camera phim trường, kèm ống kính stand), Model:Blackmagic Studio Camera 4K2, No:5241013</t>
  </si>
  <si>
    <t>638.1</t>
  </si>
  <si>
    <t>302099907381005001</t>
  </si>
  <si>
    <t>Ống kinh Stand Panasonic, Model:H-FS14140, No:XE8SA102730</t>
  </si>
  <si>
    <t>302099907381006</t>
  </si>
  <si>
    <t>Máy quay phim Blackmagic design (camera phim trường, kèm ống kinh Stand), Model:Blackmagic Studio Camera 4K2, No:5239920</t>
  </si>
  <si>
    <t>639.1</t>
  </si>
  <si>
    <t>302099907381006001</t>
  </si>
  <si>
    <t>Ống kinh Stand Panasonic, Model:H-FS14140, No:XE8SA102747</t>
  </si>
  <si>
    <t>302099908269001</t>
  </si>
  <si>
    <t>Video recorder Digital Future, Model:i-DDR-C2, No:71012</t>
  </si>
  <si>
    <t>640.1</t>
  </si>
  <si>
    <t>302099908269001001</t>
  </si>
  <si>
    <t>Monitor LCD 18.5" Samsung, Model:B1930N, No:1458HYTB612372R</t>
  </si>
  <si>
    <t>302099908274001</t>
  </si>
  <si>
    <t>Đầu đọc/ghi băng từ LTO-5 IBM ((kết nối được với tủ Sony Petasite)), Model:46X1607T3000F, No:Y51068080516</t>
  </si>
  <si>
    <t>Tủ băng Petasite, 
phòng máy cũ</t>
  </si>
  <si>
    <t>302099908274002</t>
  </si>
  <si>
    <t>Đầu đọc/ghi băng từ LTO-5 IBM ((kết nối được với tủ Sony Petasite)), Model:46X1607T3000F, No:Y51068080510</t>
  </si>
  <si>
    <t>302099908274003</t>
  </si>
  <si>
    <t>Đầu đọc/ghi băng từ LTO-5 IBM ((kết nối được với tủ Sony Petasite)), Model:46X1607T3000F, No:Y51068080603</t>
  </si>
  <si>
    <t>302099909030002</t>
  </si>
  <si>
    <t>Màn hình lớn TFT40", Model:FWD-40LX2F, No:3102843</t>
  </si>
  <si>
    <t>Thịnh</t>
  </si>
  <si>
    <t>KHO LẦU 2</t>
  </si>
  <si>
    <t>302099909032001</t>
  </si>
  <si>
    <t>Màn hình kiểm tra LCD 15" chấp nhận tín hiệu SDI, cho phép phát tín hiệu tiếng SDI, Model:LMD-152, No:2001429</t>
  </si>
  <si>
    <t>13/2011</t>
  </si>
  <si>
    <t>302099909043001</t>
  </si>
  <si>
    <t>Monitor SDI Color Video 20.1" Sony, Model:LMD-2051W, No:3000586S</t>
  </si>
  <si>
    <t>F1 bàn đèn F1</t>
  </si>
  <si>
    <t>302099909043002</t>
  </si>
  <si>
    <t>Monitor SDI Color Video 20.1" Sony, Model:LMD-2051W, No:3000622S</t>
  </si>
  <si>
    <t>A1 màn hình kiểm đèn</t>
  </si>
  <si>
    <t>302099909045001</t>
  </si>
  <si>
    <t>Màn hình 25" Panasonic chấp nhận tín hiệu HD, Model:BT-LH2550E, No:KOTWA0948</t>
  </si>
  <si>
    <t>PGM hiện F1</t>
  </si>
  <si>
    <t>302099909045002</t>
  </si>
  <si>
    <t>Màn hình 25" Panasonic chấp nhận tín hiệu HD, Model:BT-LH2550E, No:KOTWA0954</t>
  </si>
  <si>
    <t>F1 phòng hiện trên bàn MMCS</t>
  </si>
  <si>
    <t>302099909066001</t>
  </si>
  <si>
    <t>Màn hình Wohler, Model:RM 2443W-2HD, No:13080073</t>
  </si>
  <si>
    <t>302099909066002</t>
  </si>
  <si>
    <t>Màn hình Wohler, Model:RM 2443W-2HD, No:13080074</t>
  </si>
  <si>
    <t>F1 bàn</t>
  </si>
  <si>
    <t>302099909079001</t>
  </si>
  <si>
    <t>Màn hình Autocue (Màn hình chạy chữ kèm khung gắn), Model:Mon-MSP/17, No:DC17AB0790K4194</t>
  </si>
  <si>
    <t>F1 prompter Cam 1</t>
  </si>
  <si>
    <t>302099909079002</t>
  </si>
  <si>
    <t>Màn hình Autocue (Màn hình chạy chữ kèm khung gắn), Model:Mon-MSP/17, No:DC17AB0795K4194</t>
  </si>
  <si>
    <t>F1 prompter Cam3</t>
  </si>
  <si>
    <t>302099909085001</t>
  </si>
  <si>
    <t>Màn hình 55 inch Full HD hiển thị chuyên dụng đầu vào DVI ,đầu vào HDMI+ Wall mount kit, Model:P553, No:59008326NB</t>
  </si>
  <si>
    <t>Phòng phát hình, hiển thị K9</t>
  </si>
  <si>
    <t>302099909085002</t>
  </si>
  <si>
    <t>Màn hình 55 inch Full HD hiển thị chuyên dụng đầu vào DVI ,đầu vào HDMI+ Wall mount kit, Model:P553, No:59008694NB</t>
  </si>
  <si>
    <t>Phòng MCR</t>
  </si>
  <si>
    <t>302099909085003</t>
  </si>
  <si>
    <t>Màn hình 55 inch Full HD hiển thị chuyên dụng đầu vào DVI ,đầu vào HDMI+ Wall mount kit, Model:P553, No:59008361NB</t>
  </si>
  <si>
    <t>Phòng phát hình, tivi DTH</t>
  </si>
  <si>
    <t>302099909085004</t>
  </si>
  <si>
    <t>Màn hình 55 inch Full HD hiển thị chuyên dụng đầu vào DVI ,đầu vào HDMI+ Wall mount kit, Model:P553, No:59008383NB</t>
  </si>
  <si>
    <t>302099909086001</t>
  </si>
  <si>
    <t>Màn hình Video monitor loại đứng kề chân đứng full HD, Model:DT-V17G1, No:11841987</t>
  </si>
  <si>
    <t>Phòng phát hình, ingest 2</t>
  </si>
  <si>
    <t>302099909086002</t>
  </si>
  <si>
    <t>Màn hình Video monitor loại đứng kề chân đứng full HD, Model:DT-V17G1, No:10841932</t>
  </si>
  <si>
    <t>Phòng chị Hồng, ban CT</t>
  </si>
  <si>
    <t>302099909086003</t>
  </si>
  <si>
    <t>Màn hình Video monitor loại đứng kề chân đứng full HD, Model:DT-V17G1, No:10841948</t>
  </si>
  <si>
    <t>Tổ capture Ingest 3,4</t>
  </si>
  <si>
    <t>302099909086004</t>
  </si>
  <si>
    <t>Màn hình Video monitor loại đứng kề chân đứng full HD, Model:DT-V17G1, No:10841931</t>
  </si>
  <si>
    <t>Phòng phát hình</t>
  </si>
  <si>
    <t>302099909087001</t>
  </si>
  <si>
    <t>Màn hình 55 inch Full HD hiển thị đầu vào HDMI - NEC, Model:P553, No:59008381NB</t>
  </si>
  <si>
    <t>P.PH H7</t>
  </si>
  <si>
    <t>302099909087002</t>
  </si>
  <si>
    <t>Màn hình 55 inch Full HD hiển thị đầu vào HDMI - NEC, Model:P553, No:5X008716NB</t>
  </si>
  <si>
    <t>302099909087003</t>
  </si>
  <si>
    <t>Màn hình 55 inch Full HD hiển thị đầu vào HDMI - NEC, Model:P553, No:5X008714NB</t>
  </si>
  <si>
    <t>302099909087004</t>
  </si>
  <si>
    <t>Màn hình 55 inch Full HD hiển thị đầu vào HDMI - NEC, Model:P553, No:5X008693NB</t>
  </si>
  <si>
    <t>302099909087005</t>
  </si>
  <si>
    <t>Màn hình 55 inch Full HD hiển thị đầu vào HDMI - NEC, Model:P553, No:5X008715NB</t>
  </si>
  <si>
    <t>302099909087006</t>
  </si>
  <si>
    <t>Màn hình 55 inch Full HD hiển thị đầu vào HDMI - NEC, Model:P553, No:59008095NB</t>
  </si>
  <si>
    <t>302099909088001</t>
  </si>
  <si>
    <t>Màn hình Video monitor loại đứng kề chân đứng hỗ trợ tín hiệu SD/HD-SDI/3Gpbs  - JVC, Model:DT-V17G1, No:10841936</t>
  </si>
  <si>
    <t>PHONG HIEN PTF2</t>
  </si>
  <si>
    <t>302099909088002</t>
  </si>
  <si>
    <t>Màn hình Video monitor loại đứng kề chân đứng hỗ trợ tín hiệu SD/HD-SDI/3Gpbs  - JVC, Model:DT-V17G1, No:10841941</t>
  </si>
  <si>
    <t>PHONG HIEN PTF1</t>
  </si>
  <si>
    <t>302099909089001</t>
  </si>
  <si>
    <t>Màn hình kiểm tra thông số tín hiệu loại dual - Blackmagic Design, Model:Smartscope Duo 4K, No:2768450</t>
  </si>
  <si>
    <t>P.PH (DUOI 55IN H7)</t>
  </si>
  <si>
    <t>302099909089002</t>
  </si>
  <si>
    <t>Màn hình kiểm tra thông số tín hiệu loại dual - Blackmagic Design, Model:Smartscope Duo 4K, No:2768112</t>
  </si>
  <si>
    <t>PM MCR HD</t>
  </si>
  <si>
    <t>302099909093001</t>
  </si>
  <si>
    <t>Màn hình Monitor TVLogic (HD), Model:LVM-182W-A, No:LV182AP0097</t>
  </si>
  <si>
    <t>Kho lầu 2 PH mới</t>
  </si>
  <si>
    <t>302099909094001</t>
  </si>
  <si>
    <t>Màn hình giám sát 21" Sony - Monitor HD-SDI 21" kiểm tín hiệu video, Model:LMD-2110W, No:3300387</t>
  </si>
  <si>
    <t>302099909094002</t>
  </si>
  <si>
    <t>Màn hình giám sát 21" Sony - Monitor HD-SDI 21" kiểm tín hiệu video, Model:LMD-2110W, No:3300414</t>
  </si>
  <si>
    <t>302099909094003</t>
  </si>
  <si>
    <t>Màn hình giám sát 21" Sony - Monitor HD-SDI 21" kiểm tín hiệu video, Model:LMD-2110W, No:3300398</t>
  </si>
  <si>
    <t>HTKT nóc tủ cửa ra vào</t>
  </si>
  <si>
    <t>302099909095001</t>
  </si>
  <si>
    <t>Màn hình hiển thị hình ảnh  6 x 70" 1920x1080 Slim Rear projection cube with ISE screen - EYEVIS (01 bộ gồm 6 màn hình), Model:EC-70-LHD-ISE-SLIM, No:C07016LS44180195; C07016LS44180193; C07016LS44180194; C07016LS44180196; C07016LS44180198; C07016LS44180199</t>
  </si>
  <si>
    <t>KHO: Màn hình wall Ventuz. Ô 5 hư để ở KHO LAU 2 TTPH</t>
  </si>
  <si>
    <t>01/2012</t>
  </si>
  <si>
    <t>302099910007003</t>
  </si>
  <si>
    <t>Ti vi LCD Sony  (kèm kính 3D), Model:KDL-55EX720, No:2009233</t>
  </si>
  <si>
    <t>302099910010001</t>
  </si>
  <si>
    <t>Tivi full HD 46" Sony, Model:KDL-46EX710, No:1007483</t>
  </si>
  <si>
    <t>P.ĐK PTA</t>
  </si>
  <si>
    <t>302099910013001</t>
  </si>
  <si>
    <t>Tivi LED Full HD 55"-Sony, Model:KDL-55HX855, No:2005477</t>
  </si>
  <si>
    <t>Màn hình BLV VLEAGUE</t>
  </si>
  <si>
    <t>302099910013002</t>
  </si>
  <si>
    <t>Tivi LED Full HD 55"-Sony, Model:KDL-55HX855, No:2005483</t>
  </si>
  <si>
    <t>BÀN GIAO TT SXCT</t>
  </si>
  <si>
    <t>302099910014001</t>
  </si>
  <si>
    <t>Màn hình Sony 55" , Model:FWD-55B2, No:3003324</t>
  </si>
  <si>
    <t>A2 phòng kho</t>
  </si>
  <si>
    <t>302099910014002</t>
  </si>
  <si>
    <t>Màn hình Sony 55" , Model:FWD-55B2, No:3002843</t>
  </si>
  <si>
    <t>18F65DA99</t>
  </si>
  <si>
    <t>30303009001</t>
  </si>
  <si>
    <t>Bộ nguồn Eurorack 60 24x3 kw channels, Model:Eurorack 60, No:35498</t>
  </si>
  <si>
    <t>684.1</t>
  </si>
  <si>
    <t>30303009001001</t>
  </si>
  <si>
    <t>ADB Eurorack 60 digital , Model:Dimming system providing 24x3</t>
  </si>
  <si>
    <t>684.2</t>
  </si>
  <si>
    <t>30303009001002</t>
  </si>
  <si>
    <t>Digital , Thysistor dimmers in a very , Model:compact wall mounting cabinet</t>
  </si>
  <si>
    <t>684.3</t>
  </si>
  <si>
    <t>30303009001003</t>
  </si>
  <si>
    <t>- Each cabinet providing 24x3 kw , Model:dimmer as specification MCB</t>
  </si>
  <si>
    <t>30303038001</t>
  </si>
  <si>
    <t>Bộ UPS Socomec (6kVA), Model:ITY2‐TW060B, No:4l16850047</t>
  </si>
  <si>
    <t>PH mới L1
UPS dự phòng</t>
  </si>
  <si>
    <t>0011GTTS/AR/DV09/2017</t>
  </si>
  <si>
    <t>30312010001</t>
  </si>
  <si>
    <t>Hệ thống cửa từ (PT F, nhà máy phát tầng trệt, l1+2)</t>
  </si>
  <si>
    <t>Lam+HA+Việt</t>
  </si>
  <si>
    <t>ptF1 1 cái, ptF2 2 cái,
Lam tầng 1 + 2
Việt 2 cái tầng trệt</t>
  </si>
  <si>
    <t>10/2011</t>
  </si>
  <si>
    <t>30402040005</t>
  </si>
  <si>
    <t>Máy photocopy Canon Digital Copier, Model:IR2525, No:FRZ30669</t>
  </si>
  <si>
    <t>CỬA LÀU 1 MCR HD</t>
  </si>
  <si>
    <t>30411186001</t>
  </si>
  <si>
    <t>Tivi full HD 46" Sony, Model:KDL-46EX520, No:2045668</t>
  </si>
  <si>
    <t>30411186002</t>
  </si>
  <si>
    <t>Tivi full HD 46" Sony, Model:KDL-46EX520, No:2045800</t>
  </si>
  <si>
    <t>0011GTTS/AR/DV09/2014</t>
  </si>
  <si>
    <t>30411193001</t>
  </si>
  <si>
    <t>Tivi LED 50" Sony, Model:KDL-50W704A, No:2706904</t>
  </si>
  <si>
    <t>kiểm sóng phòng sếp Lâm, HA đã làm biên bản bàn giao</t>
  </si>
  <si>
    <t>30411193002</t>
  </si>
  <si>
    <t>Tivi LED 50" Sony, Model:KDL-50W704A, No:2706889</t>
  </si>
  <si>
    <t>30411193004</t>
  </si>
  <si>
    <t>Tivi LED 50" Sony, Model:KDL-50W704A, No:2706905</t>
  </si>
  <si>
    <t>HƯ KHO A2</t>
  </si>
  <si>
    <t>30411193005</t>
  </si>
  <si>
    <t>Tivi LED 50" Sony, Model:KDL-50W704A, No:2702047</t>
  </si>
  <si>
    <t>P.HTKT</t>
  </si>
  <si>
    <t>401010309004001</t>
  </si>
  <si>
    <t>Xe nâng Genie, Model:GR-15, No:GR12-24439</t>
  </si>
  <si>
    <t>A1 xe đèn</t>
  </si>
  <si>
    <t>40201015001</t>
  </si>
  <si>
    <t>Hệ thống thông tin liên lạc nội bộ , Model:MTX-D8M, No:945153</t>
  </si>
  <si>
    <t>MCR CŨ (RACK 7)</t>
  </si>
  <si>
    <t>0025GTTS/AR/DV09/2014</t>
  </si>
  <si>
    <t>501067001</t>
  </si>
  <si>
    <t>Bàn làm việc chất liệu gỗ ghép tự nhiên phủ veneer</t>
  </si>
  <si>
    <t>F1 Phòng Control</t>
  </si>
  <si>
    <t>67/2012</t>
  </si>
  <si>
    <t>509073001</t>
  </si>
  <si>
    <t>Khung treo đèn  (gồm 12 cây sắt ngang, 16 cây sát dọc, 14 cây sắt nối, vật tư lắp đặt)</t>
  </si>
  <si>
    <t>21/2013</t>
  </si>
  <si>
    <t>509074001</t>
  </si>
  <si>
    <t>Bàn chuyên dụng EKORACK (kích thước 1600x1200x1245, đặt tại phim trường F), Model:EPC-C16-1212</t>
  </si>
  <si>
    <t>509076001</t>
  </si>
  <si>
    <t>Hệ thống bàn ghế lắp đặt cho DA đầu tư PT TT tin tức ( gồm 10 ghế và 2 bàn)</t>
  </si>
  <si>
    <t>A1</t>
  </si>
  <si>
    <t>509080001</t>
  </si>
  <si>
    <t>Bàn console thiết kế chuyên dụng cho các seg phát sóng 02 ghế đi kèm</t>
  </si>
  <si>
    <t>509080002</t>
  </si>
  <si>
    <t>509081001</t>
  </si>
  <si>
    <t>Khung giá đỡ cho hệ thống màn hình hiển thị multiview (bằng sắt -Lầu 1 nhà máy phát)</t>
  </si>
  <si>
    <t>509082001</t>
  </si>
  <si>
    <t>Bàn console cho MCR và các kênh HTV1,2,3,4,FBNC, Thể thao. Mỗi bàn kèm 03 ghế</t>
  </si>
  <si>
    <t>509082002</t>
  </si>
  <si>
    <t>509082003</t>
  </si>
  <si>
    <t>509082004</t>
  </si>
  <si>
    <t>0012GTTS/AR/DV09/2017</t>
  </si>
  <si>
    <t>509083001</t>
  </si>
  <si>
    <t>Phông Chromakey background (màu xanh lá - PT A1)</t>
  </si>
  <si>
    <t>70109059001</t>
  </si>
  <si>
    <t>Giao tiếp với tủ băng từ (Tape Archive)</t>
  </si>
  <si>
    <t>Phần mềm</t>
  </si>
  <si>
    <t>70109060001</t>
  </si>
  <si>
    <t>Giao tiếp với DPS velocity - DPS media manager driver</t>
  </si>
  <si>
    <t>Phần mềm
Petasite</t>
  </si>
  <si>
    <t>70109061001</t>
  </si>
  <si>
    <t>Giao tiếp với hệ thống dựng Avid</t>
  </si>
  <si>
    <t>dán ở máy xcode3</t>
  </si>
  <si>
    <t>70109062001</t>
  </si>
  <si>
    <t>Hệ thống Traffic và Automation (Phần mềm )</t>
  </si>
  <si>
    <t>70109063001</t>
  </si>
  <si>
    <t xml:space="preserve">Phần mềm cho hệ thống </t>
  </si>
  <si>
    <t>R 3-3</t>
  </si>
  <si>
    <t>70109085001</t>
  </si>
  <si>
    <t>Phần mềm điều khiển máy chủ phát sóng(Phần mềm điều khiển video server phát hình) - Etere</t>
  </si>
  <si>
    <t>DA 7,9 HD</t>
  </si>
  <si>
    <t>70109085002</t>
  </si>
  <si>
    <t>70109085003</t>
  </si>
  <si>
    <t>70109085004</t>
  </si>
  <si>
    <t>70109086001</t>
  </si>
  <si>
    <t>"Phần mềm điều khiển tủ băng từ lên đến 325 slot(HSM tape library driver with up to 325 slots) - Etere"</t>
  </si>
  <si>
    <t>70109087001</t>
  </si>
  <si>
    <t>Phần mềm điều khiển đầu đọc/ghi LTO(Software driver for each LTO tape drive) - Etere</t>
  </si>
  <si>
    <t>70109087002</t>
  </si>
  <si>
    <t>70109087003</t>
  </si>
  <si>
    <t>70109088001</t>
  </si>
  <si>
    <t>Phần mềm điều khiển bàn chuyển mạch tổng khống chế(Master control driver) - Etere</t>
  </si>
  <si>
    <t>70109088002</t>
  </si>
  <si>
    <t>70109089001</t>
  </si>
  <si>
    <t>Phần mềm điều khiển máy bắn chữ(CG/title driver) - Etere</t>
  </si>
  <si>
    <t>70109089002</t>
  </si>
  <si>
    <t>70109090001</t>
  </si>
  <si>
    <t>Phần mềm quản lý chuyển đổi định dạng phát hình HiRes Transcoder(Including transcode engine license) - Etere</t>
  </si>
  <si>
    <t>70109090002</t>
  </si>
  <si>
    <t>70109090003</t>
  </si>
  <si>
    <t>70109091001</t>
  </si>
  <si>
    <t>Phần mềm điều khiển router tổng khống chế Audio/Video router - Etere</t>
  </si>
  <si>
    <t>70109091002</t>
  </si>
  <si>
    <t>70109092001</t>
  </si>
  <si>
    <t>Phần mềm MTX file info(MTX file info software) - Etere</t>
  </si>
  <si>
    <t>70109093001</t>
  </si>
  <si>
    <t>Phần mềm kiểm tra chất lượng filebased tự động (tích hợp license filebased QC tektronix cerify) - Etere</t>
  </si>
  <si>
    <t>70109094001</t>
  </si>
  <si>
    <t>Phần mềm tạo template kỹ xảo cho máy bắn chữ Advance Scene / Template creation Tool  - 1 license - for standalone PC environmentsGrass Valley hoặc Miranda, Model:VX-Studio-Pro-Standalone</t>
  </si>
  <si>
    <t>70109109001</t>
  </si>
  <si>
    <t>Eclipse Configuration Software</t>
  </si>
  <si>
    <t>70109110001</t>
  </si>
  <si>
    <t>Phần mềm thiết kế phim trường ảo Brainstorm, Model:InfinitySet</t>
  </si>
  <si>
    <t>soft Trong máy Infi A2</t>
  </si>
  <si>
    <t>70109110002</t>
  </si>
  <si>
    <t>70109111001</t>
  </si>
  <si>
    <t>Phần mềm chuyển đổi định dạng Brainstorm, Model:InfinitySet - 3ds Max</t>
  </si>
  <si>
    <t>70109112001</t>
  </si>
  <si>
    <t>Software giải mã hình ảnhVentuz 6 Runtime Lite License-XI-MACHINES, Model:VENTUZ</t>
  </si>
  <si>
    <t>A1: Wall Ventuz</t>
  </si>
  <si>
    <t>70109116001</t>
  </si>
  <si>
    <t xml:space="preserve"> Giấy phép cho máy chủ quản lý dịch vụ đồ họa phim trường ảo tích hợp hệ thống MAM - Vizrt</t>
  </si>
  <si>
    <t>A1: VIZ</t>
  </si>
  <si>
    <t>70109116002</t>
  </si>
  <si>
    <t>70109117001</t>
  </si>
  <si>
    <t>Giấy phép phần mềm hiện chữ tích hợp hệ thống MAMViz Trio™ HD SDI - Vizrt, Model:TR-HD</t>
  </si>
  <si>
    <t>70109118001</t>
  </si>
  <si>
    <t>Giấy phép phần mềm thiết kế chữ tích hợp hệ thống MAMViz Ticker 3D™ (manual input) - Vizrt, Model:T3D-FULL</t>
  </si>
  <si>
    <t>70109119001</t>
  </si>
  <si>
    <t>Giấy phép mở rộng quản trị hệ thống - VizrtViz Engine™ First Video InputText FXReal FXImage FXSpline FXVideo FXAudio FXViz Engine™ First GFX Clip Channel, Model:VIZ-FVIDIN</t>
  </si>
  <si>
    <t>70109120001</t>
  </si>
  <si>
    <t>Phần mềm thiết kế các chức năng theo giao diện đồ họaViz Virtual Studio System™ - Vizrt, Model:VS-FULL</t>
  </si>
  <si>
    <t>70109121001</t>
  </si>
  <si>
    <t>Giấy phép bổ sung tại các máy trạmViz Virtual Studio System™ Additional Camera Licen - Vizrt, Model:VS-1CAM</t>
  </si>
  <si>
    <t>70109121002</t>
  </si>
  <si>
    <t>70109121003</t>
  </si>
  <si>
    <t>70109122001</t>
  </si>
  <si>
    <t>Giấy phép mở rộng cho thiết kế theo giao diện đồ họaViz Engine™ HD SDI-Viz Artist™ Upgrade License -Vizrt, Model:EN-HD-ST; ART-UPG</t>
  </si>
  <si>
    <t>70109122002</t>
  </si>
  <si>
    <t>70109123001</t>
  </si>
  <si>
    <t>Phần mềm định tuyếnViz Pilot Director -Vizrt, Model:VCP-SGC</t>
  </si>
  <si>
    <t>70109124001</t>
  </si>
  <si>
    <t>Phần mềm thiết kế quy trình chuyển đổi định dạng fileViz Artist™ Lite -Vizrt, Model:ART-LITE</t>
  </si>
  <si>
    <t>70109124002</t>
  </si>
  <si>
    <t>70109125001</t>
  </si>
  <si>
    <t>Giấy phép mở rộng cho phần mềm thiết kế quy trình chuyển đổi định dạng file -Vizrt - Text FXReal FXImage FXSpline FX</t>
  </si>
  <si>
    <t>70109125002</t>
  </si>
  <si>
    <t>70109126001</t>
  </si>
  <si>
    <t>Phần mềm quản lý quy trình chuyển đổi định dạng fileViz Graphic Hub™ -Vizrt, Model:ART-GH</t>
  </si>
  <si>
    <t>70109127001</t>
  </si>
  <si>
    <t>Phần mềm tạo giao diện đồ họaViz Pilot Server SW for Graphic Hub -Vizrt, Model:PS4GH</t>
  </si>
  <si>
    <t>70204001001</t>
  </si>
  <si>
    <t>Mở rộng phần mềm điều khiển tủ Petasite thêm 495 slot Etere, Model:ET0189</t>
  </si>
  <si>
    <t>909037001</t>
  </si>
  <si>
    <t>Cây treo đèn  + tủ điện + dây điện</t>
  </si>
  <si>
    <t>909037002</t>
  </si>
  <si>
    <t>0011GTTS/AR/DV09/2020</t>
  </si>
  <si>
    <t>3010101213001</t>
  </si>
  <si>
    <t>Bộ lưu trữ Digital Future (không Màn hình), Model:i-Storage 132, No:150319C01</t>
  </si>
  <si>
    <t>New Archive</t>
  </si>
  <si>
    <t>0012GTTS/AR/DV09/2020</t>
  </si>
  <si>
    <t>3010102338011</t>
  </si>
  <si>
    <t>Bộ máy vi tính Digital Future (Máy ghi hình kiểm tra tín hiệu Off air 2 kênh - kèm màn hình), Model:i-Off Air, No:250420C01</t>
  </si>
  <si>
    <t>offair, a Việt nhắn viber 13/10/21</t>
  </si>
  <si>
    <t>760.1</t>
  </si>
  <si>
    <t>3010102338011001</t>
  </si>
  <si>
    <t>Màn hình LG 21.5", Model:22MN430M, No:003NTWGGY625</t>
  </si>
  <si>
    <t>3010102338012</t>
  </si>
  <si>
    <t>Bộ máy vi tính Digital Future (Máy ghi hình kiểm tra tín hiệu Off air 2 kênh - kèm màn hình), Model:i-Off Air, No:250420C02</t>
  </si>
  <si>
    <t>761.1</t>
  </si>
  <si>
    <t>3010102338012001</t>
  </si>
  <si>
    <t>Màn hình LG 21.5", Model:22MN430M, No:003NTQDGY180</t>
  </si>
  <si>
    <t>0015GTTS/AR/DV09/2020</t>
  </si>
  <si>
    <t>3010102375002</t>
  </si>
  <si>
    <t>Bộ máy vi tính Digital Future (Thiết bị Key Logo HD - không màn hình), Model:i-LOGO HD, No:280920C01</t>
  </si>
  <si>
    <t>3010102375003</t>
  </si>
  <si>
    <t>Bộ máy vi tính Digital Future (Thiết bị Key Logo HD - không màn hình), Model:i-LOGO HD, No:280920C02</t>
  </si>
  <si>
    <t>3010102378004</t>
  </si>
  <si>
    <t>Bộ máy vi tính Digital Future (Máy server Playout HD - không màn hình), Model:i-Box HD, No:100920C01</t>
  </si>
  <si>
    <t>3010102378005</t>
  </si>
  <si>
    <t>Bộ máy vi tính Digital Future (Máy server Playout HD - không màn hình), Model:i-Box HD, No:100920C02</t>
  </si>
  <si>
    <t>3010102378006</t>
  </si>
  <si>
    <t>Bộ máy vi tính Digital Future (Máy server Playout HD - không màn hình), Model:i-Box HD, No:100920C03</t>
  </si>
  <si>
    <t>3010102378007</t>
  </si>
  <si>
    <t>Bộ máy vi tính Digital Future (Máy server Playout HD - không màn hình), Model:i-Box HD, No:100920C04</t>
  </si>
  <si>
    <t>302099902920001</t>
  </si>
  <si>
    <t>Thiết bị trộn hình HD Sony, Model:MVS 3000A, No:10766</t>
  </si>
  <si>
    <t>F1: sw chính</t>
  </si>
  <si>
    <t>768.1</t>
  </si>
  <si>
    <t>302099902920001001</t>
  </si>
  <si>
    <t>Panel 16 buttons 2M/E Sony, Model:ICP-3016, No:10295</t>
  </si>
  <si>
    <t>768.2</t>
  </si>
  <si>
    <t>302099902920001002</t>
  </si>
  <si>
    <t>Menu panel Sony, Model:ICP-6511, No:10852</t>
  </si>
  <si>
    <t>768.3</t>
  </si>
  <si>
    <t>302099902920001003</t>
  </si>
  <si>
    <t>Up/Down converter Sony, Model:MKS-6550, No:10687</t>
  </si>
  <si>
    <t>768.4</t>
  </si>
  <si>
    <t>302099902920001004</t>
  </si>
  <si>
    <t>DME board , Model:MKS-6570, No:10711</t>
  </si>
  <si>
    <t>0012GTTS/AR/DV09/2021</t>
  </si>
  <si>
    <t>3010102371008</t>
  </si>
  <si>
    <t>Bộ máy tính Digital Future (máy ghi phát file 2 kênh, không kèm màn hình), Model:i-DDR, No:160321C01</t>
  </si>
  <si>
    <t>3010102371009</t>
  </si>
  <si>
    <t>Bộ máy tính Digital Future (máy ghi phát file 2 kênh, không kèm màn hình), Model:i-DDR, No:160321C02</t>
  </si>
  <si>
    <t>A2-R6: DDR1 (trong máy có ổ cứng cài DC cho PH)</t>
  </si>
  <si>
    <t>0011GTTS/AR/DV09/2021</t>
  </si>
  <si>
    <t>302099904181001</t>
  </si>
  <si>
    <t>Đèn chiếu Eyevis - a Leyard Company, Model:ECP-LHD-SLIM-DP, No:B303-0608</t>
  </si>
  <si>
    <t>A1 Eyevis ô 6 (thay ô 6 cũ hư)</t>
  </si>
  <si>
    <t>302099904181002</t>
  </si>
  <si>
    <t>Đèn chiếu Eyevis - a Leyard Company, Model:ECP-LHD-SLIM-DP, No:B303-0609</t>
  </si>
  <si>
    <t>A1 Videowall Eyevis ô 5 (mua sau, thay cho ô bị hư)</t>
  </si>
  <si>
    <t>0008GTTS/AR/DV09/2022</t>
  </si>
  <si>
    <t>302099902931001</t>
  </si>
  <si>
    <t>Bộ xử lý kỹ xảo hình ảnh Blackmagic Design, Model:Ultimatte 12 4K, No:10119789</t>
  </si>
  <si>
    <t>302099902931002</t>
  </si>
  <si>
    <t>Bộ xử lý kỹ xảo hình ảnh Blackmagic Design, Model:Ultimatte 12 4K, No:10119917</t>
  </si>
  <si>
    <t>302099902932001</t>
  </si>
  <si>
    <t>Bộ điều khiển kỹ xảo hình ảnh Blackmagic Design, Model:Ultimatte smart remote 4, No:10104041</t>
  </si>
  <si>
    <t>A1-bàn 2 điều khiển Ultimatte</t>
  </si>
  <si>
    <t>0014GTTS/AR/DV09/2022</t>
  </si>
  <si>
    <t>302099902933001</t>
  </si>
  <si>
    <t>Bàn mixer Yamaha  (trộn tín hiệu analog), Model:MGP32X, No:ECCP01111</t>
  </si>
  <si>
    <t>0015GTTS/AR/DV09/2022</t>
  </si>
  <si>
    <t>302099902934001</t>
  </si>
  <si>
    <t>Thiết bị điều khiển màn hình ghép Angustos (hỗ trợ 8 HDMI vào &amp; 8 HDMI ra), Model:ACV2-0808A, No:220368ACV20808A1488</t>
  </si>
  <si>
    <t>A1:dự phòng khi Videowall lỗi</t>
  </si>
  <si>
    <t>68/2012</t>
  </si>
  <si>
    <t>302099907300002</t>
  </si>
  <si>
    <t>Máy quay phim vác vai Sony, Model:PMW-320, No:103445</t>
  </si>
  <si>
    <t>302099907300003</t>
  </si>
  <si>
    <t>Máy quay phim vác vai Sony, Model:PMW-320, No:103447</t>
  </si>
  <si>
    <t>302099907300005</t>
  </si>
  <si>
    <t>Máy quay phim vác vai Sony, Model:PMW-320, No:103384</t>
  </si>
  <si>
    <t>0007GTTS/AR/DV09/2023</t>
  </si>
  <si>
    <t>3010101223001</t>
  </si>
  <si>
    <t>Máy chủ Dell (Kèm đĩa CD phần mềm bản quyền Windows Server Standard 2019), Model:PowerEdge R350, No:1VQKKT3</t>
  </si>
  <si>
    <t>Moi</t>
  </si>
  <si>
    <t>0009GTTS/AR/DV09/2023</t>
  </si>
  <si>
    <t>302099902894004</t>
  </si>
  <si>
    <t>Bàn trộn tín hiệu âm thanh số 24 kênh - Allen &amp;Heath, Model:Qu-24, No:Qu24cx-1010108</t>
  </si>
  <si>
    <t>Thanh</t>
  </si>
  <si>
    <t>F1: mixer chính</t>
  </si>
  <si>
    <t>0011GTTS/AR/DV09/2023</t>
  </si>
  <si>
    <t>302099902935001</t>
  </si>
  <si>
    <t>Bàn trộn hình Sony 24 ngõ vào, chuẩn 4K, 2ME</t>
  </si>
  <si>
    <t>A2: switch chính</t>
  </si>
  <si>
    <t>302099902935001001</t>
  </si>
  <si>
    <t>Khung chính, Model:XVS-G1, No:10374</t>
  </si>
  <si>
    <t>637.2</t>
  </si>
  <si>
    <t>302099902935001002</t>
  </si>
  <si>
    <t>Bàn điều khiển 2ME với 24 nút chọn nguồn tín hiệu, Model:ICP-X1224, No:10186</t>
  </si>
  <si>
    <t>637.3</t>
  </si>
  <si>
    <t>302099902935001003</t>
  </si>
  <si>
    <t>Bo xử lý tín hiệu, Model:XKS-G1600, No:10177</t>
  </si>
  <si>
    <t>Trưởng phòng</t>
  </si>
  <si>
    <t>Người quản lý</t>
  </si>
  <si>
    <t>Giám đốc TTPH</t>
  </si>
  <si>
    <t>Đài Phát Thanh - Truyền Hình TP.HCM</t>
  </si>
  <si>
    <t>Trung Tâm Phát hình - Tư liệu</t>
  </si>
  <si>
    <t>BIÊN BẢN BÀN GIAO QUẢN LÝ TÀI SẢN
 Chịu trách nhiệm chính: ……………………………………. Chịu trách nhiệm phụ: ……………………………..</t>
  </si>
  <si>
    <t>Kiểm tra Text</t>
  </si>
  <si>
    <t>Tình trạng</t>
  </si>
  <si>
    <t>A2-R6 Linux</t>
  </si>
  <si>
    <t>Còn</t>
  </si>
  <si>
    <t>phtkt bàn HA quản lý CPU, a Việt giữ màn hình</t>
  </si>
  <si>
    <t>Mcr cũ - Wasp KC</t>
  </si>
  <si>
    <t>A2-R6, wasp server</t>
  </si>
  <si>
    <t>A2-R6: Wasp client</t>
  </si>
  <si>
    <t>A2-Control trên Rack: bộ làm trễ tiếng</t>
  </si>
  <si>
    <t>A2-Control trên rack -kho</t>
  </si>
  <si>
    <t>F1 Infinity</t>
  </si>
  <si>
    <t>pHTKT: màn hình Hàn</t>
  </si>
  <si>
    <t>F1 Infinity card trong CPU</t>
  </si>
  <si>
    <t>A2-R6</t>
  </si>
  <si>
    <t>Rắc đặt thiết bị</t>
  </si>
  <si>
    <t>A2-Kho</t>
  </si>
  <si>
    <t>A2-Kho chung với Rack</t>
  </si>
  <si>
    <t>F1 CONTROL</t>
  </si>
  <si>
    <t>A2 control rack audio</t>
  </si>
  <si>
    <t>A1 PHÒNG HIỆN</t>
  </si>
  <si>
    <t>A2 PHÒNG HIỆN</t>
  </si>
  <si>
    <t>3.0203E+15</t>
  </si>
  <si>
    <t>CQ mang theo khi qua phòng Tư liệu</t>
  </si>
  <si>
    <t>A2-kho: Intercom Matrix Plus</t>
  </si>
  <si>
    <t>MCR cũ, Cam quan sát</t>
  </si>
  <si>
    <t>Bộ kiểm thính audio</t>
  </si>
  <si>
    <t>A2-control: Rack</t>
  </si>
  <si>
    <t>TTPH-Kho lầu 2</t>
  </si>
  <si>
    <t>A2-R8: BM3</t>
  </si>
  <si>
    <t>A2-Kho: rack (remote)</t>
  </si>
  <si>
    <t>A2-R8: x50-1</t>
  </si>
  <si>
    <t>A2-Control, màn hình Prompter</t>
  </si>
  <si>
    <t>A2-Kho: trên Rack - Đề nghị TL- màn hình linux A2</t>
  </si>
  <si>
    <t>A2-Kho: trên Rack - Đề nghị TL</t>
  </si>
  <si>
    <t>A2-Kho: trên Rack - Đề nghị TL, chung mainframe</t>
  </si>
  <si>
    <t>A2-R7 khung BM</t>
  </si>
  <si>
    <t>A2-R7 sw BK</t>
  </si>
  <si>
    <t>A2-Control, Sw Bk</t>
  </si>
  <si>
    <t>A1 - Rack 3</t>
  </si>
  <si>
    <t>F1 control</t>
  </si>
  <si>
    <t>A2-Control, Màn hình điều khiển SW KAHUNA. A1 CONTROL</t>
  </si>
  <si>
    <t>CAM3 A2 PHÒNG HIỆN</t>
  </si>
  <si>
    <t>Assembly Glass Mounting Rods , AC Power Supply</t>
  </si>
  <si>
    <t>Adjusttable on Camera Mounting plate to ENG/EFP</t>
  </si>
  <si>
    <t>Camera ARI/1, PC for Prompter System</t>
  </si>
  <si>
    <t>A2-MC cam boom ống kính wide</t>
  </si>
  <si>
    <t>A2-Kho rack, đề nghị thanh lý</t>
  </si>
  <si>
    <t>A2-Control: rack, Màn hình xem webcam MCR cũ</t>
  </si>
  <si>
    <t>A2-kho: rack - đề nghị TL</t>
  </si>
  <si>
    <t>A2-Control, MH 4 ô</t>
  </si>
  <si>
    <t>F1 Màn hình chỉnh đèn</t>
  </si>
  <si>
    <t>A2-Control</t>
  </si>
  <si>
    <t>A2 giữa</t>
  </si>
  <si>
    <t>A1-MC</t>
  </si>
  <si>
    <t>A2-MC</t>
  </si>
  <si>
    <t>A2-Control, bàn để mixer audio</t>
  </si>
  <si>
    <t>A2 soft Infinit</t>
  </si>
  <si>
    <t>A2 soft Infinity</t>
  </si>
  <si>
    <t>A2-R6: DDR2</t>
  </si>
  <si>
    <t>Bàn mixer Yamaha (trộn tín hiệu analog), Model:MGP32X, No:ECCP01111</t>
  </si>
  <si>
    <t>A1 CONTROL: mixer chính</t>
  </si>
  <si>
    <t>A2-MC - cam 2</t>
  </si>
  <si>
    <t>A2-MC - cam 1</t>
  </si>
  <si>
    <t>A2-MC - cam 3</t>
  </si>
  <si>
    <t>302099902955002</t>
  </si>
  <si>
    <t>Mixer âm thanh số: 32 bộ tiền khuếch đại micro; 25 bus kết hợp đồng bộ theo thời gian và theo pha; 32 kênh hai chiều ghi/phát lại; Màn hình hiển thị TFT 7" Midas, Model:M32 LIVE, No:S250700618C7R</t>
  </si>
  <si>
    <t>A2: mixer chính Midas</t>
  </si>
  <si>
    <t>Mới</t>
  </si>
  <si>
    <t>TP.HCM, ngày 01 tháng 04 năm 2026</t>
  </si>
  <si>
    <t>Ký nhận</t>
  </si>
  <si>
    <t>Đài Phát Thanh - Truyền Hình TPHCM</t>
  </si>
  <si>
    <t>Đơn vị: Trung tâm Phát hình - Tư liệi</t>
  </si>
  <si>
    <t>BIÊN BẢN BÀN GIAO QUẢN LÝ CÔNG CỤ DỤNG CỤ</t>
  </si>
  <si>
    <t>Chịu trách nhiệm chính: Lý Hàn</t>
  </si>
  <si>
    <t>Chịu trách nhiệm phụ: Bùi Việt Hưng</t>
  </si>
  <si>
    <t>Ký hiệu</t>
  </si>
  <si>
    <t>TÊN CCDC</t>
  </si>
  <si>
    <t>Serial</t>
  </si>
  <si>
    <t>Nguyên giá</t>
  </si>
  <si>
    <t>Giá trị ban đầu</t>
  </si>
  <si>
    <t>Giá trị còn lại trước phân bổ kỳ báocáo</t>
  </si>
  <si>
    <t>Tỷ lệ PB kỳ BC</t>
  </si>
  <si>
    <t>Giá trị phân bổ đến kỳ báo cáo</t>
  </si>
  <si>
    <t>Giá trị còn lại đến kỳ báocáo</t>
  </si>
  <si>
    <t>Nơi đặt để</t>
  </si>
  <si>
    <t>Chỗ đặt</t>
  </si>
  <si>
    <t>STT ĐẾM MÓN</t>
  </si>
  <si>
    <t>CHECK TEXT</t>
  </si>
  <si>
    <t>So với file CCDC TC gởi</t>
  </si>
  <si>
    <t>Máy tính desktop Dell</t>
  </si>
  <si>
    <t>GX3372S</t>
  </si>
  <si>
    <t>Củ Chi, chưa thanh lý màn hình</t>
  </si>
  <si>
    <t>CX3VD2S</t>
  </si>
  <si>
    <t>HA</t>
  </si>
  <si>
    <t>Đã thanh lý CPU, còn chi tiết màn hình trên tủ hồ sơ</t>
  </si>
  <si>
    <t>7W3VD2S</t>
  </si>
  <si>
    <t>Củ Chi, Tài chính chưa trừ, thiếu MH???</t>
  </si>
  <si>
    <t>2Y3VD2S</t>
  </si>
  <si>
    <t>PH - Sát vách kính</t>
  </si>
  <si>
    <t>1X3VD2S</t>
  </si>
  <si>
    <t>Bàn 2</t>
  </si>
  <si>
    <t>2X3VD2S</t>
  </si>
  <si>
    <t>CPU máy Quân</t>
  </si>
  <si>
    <t>6W3VD2S</t>
  </si>
  <si>
    <t>Linux (upload file)</t>
  </si>
  <si>
    <t>23/2011</t>
  </si>
  <si>
    <t>Máy tính xách tay Sony</t>
  </si>
  <si>
    <t>Đình Lâm</t>
  </si>
  <si>
    <t>phòng sếp Lâm</t>
  </si>
  <si>
    <t>03Da01</t>
  </si>
  <si>
    <t>3010104056007</t>
  </si>
  <si>
    <t>Monitor 10" PVM- 9045QM</t>
  </si>
  <si>
    <t>Monitor 14"</t>
  </si>
  <si>
    <t>BF-5439</t>
  </si>
  <si>
    <t>KT CQ thanh lý</t>
  </si>
  <si>
    <t>Đã thanh lý/chuyển</t>
  </si>
  <si>
    <t>03Da04</t>
  </si>
  <si>
    <t>Monitor kiểm tra - 14" Color TV set</t>
  </si>
  <si>
    <t>Điều chuyển từ QLKT 09/6/2015</t>
  </si>
  <si>
    <t>PĐ1</t>
  </si>
  <si>
    <t>Monitor LCD Display Viewsonic 17"</t>
  </si>
  <si>
    <t>A330 447 554 65</t>
  </si>
  <si>
    <t>Thi</t>
  </si>
  <si>
    <t>Monitor sony 14"( Hệ thống INEW)</t>
  </si>
  <si>
    <t>Hư - Kho</t>
  </si>
  <si>
    <t>Monitor LCD Viewsonic 19"</t>
  </si>
  <si>
    <t>QALI064524218</t>
  </si>
  <si>
    <t>QALI064524219</t>
  </si>
  <si>
    <t>Clour LCD monitor 17 inch</t>
  </si>
  <si>
    <t>PPJ062950020</t>
  </si>
  <si>
    <t>Monitor Samsung LCD 32"</t>
  </si>
  <si>
    <t>09923YHP500013J</t>
  </si>
  <si>
    <t>VPĐD HTV tại HN điều chuyển</t>
  </si>
  <si>
    <t>KT Thanh thanh lý</t>
  </si>
  <si>
    <t>Màn hình kiểm tra 15" + board SDI</t>
  </si>
  <si>
    <t>15" LCD Monitor</t>
  </si>
  <si>
    <t>P5 HO 44101380</t>
  </si>
  <si>
    <t>kho PH lầu 2 đã hư</t>
  </si>
  <si>
    <t>P5 HO 44101960</t>
  </si>
  <si>
    <t>P5 HO 44101477</t>
  </si>
  <si>
    <t>P5 HO 44101958</t>
  </si>
  <si>
    <t>Kho</t>
  </si>
  <si>
    <t>Video monitor 14"</t>
  </si>
  <si>
    <t>Sát tường - dùng kiểm file</t>
  </si>
  <si>
    <t>34/2009</t>
  </si>
  <si>
    <t>Màn hình vi tính LCD 17" Samsung</t>
  </si>
  <si>
    <t>YM17HYTS900772T</t>
  </si>
  <si>
    <t>Màn hình LCD 20" Samsung</t>
  </si>
  <si>
    <t>LR20HYTZ800542L</t>
  </si>
  <si>
    <t>P.HTKT màn hình hư, nóc tủ hồ sơ</t>
  </si>
  <si>
    <t>LR20HYTZ800503R</t>
  </si>
  <si>
    <t>LR20HYTZ800396H</t>
  </si>
  <si>
    <t>Hàn thanh lý</t>
  </si>
  <si>
    <t>LR20HYTZ800529R</t>
  </si>
  <si>
    <t>LR20HYTZ800383H</t>
  </si>
  <si>
    <t>LR20HYTZ800029X</t>
  </si>
  <si>
    <t>LR20HYTZ500463P</t>
  </si>
  <si>
    <t>P.HTKT nóc tủ hồ sơ, trong thùng</t>
  </si>
  <si>
    <t>Màn hình LCD 24" Asus</t>
  </si>
  <si>
    <t>B5LMTF064240</t>
  </si>
  <si>
    <t>bàn HA</t>
  </si>
  <si>
    <t>0024XCC/AR/DV09/2016</t>
  </si>
  <si>
    <t>Bộ kéo dài chuột bàn phím Aten (CE700A)</t>
  </si>
  <si>
    <t>F3FAO57D70524</t>
  </si>
  <si>
    <t>KHO</t>
  </si>
  <si>
    <t>F3FAO57D70521</t>
  </si>
  <si>
    <t>F3FAO57D70525</t>
  </si>
  <si>
    <t>F3FAO57D70523</t>
  </si>
  <si>
    <t>F3FAO57D70522</t>
  </si>
  <si>
    <t>F3FAO57D70582</t>
  </si>
  <si>
    <t>F3FAO57D70581</t>
  </si>
  <si>
    <t>F3FAO57D70583</t>
  </si>
  <si>
    <t>F3FAO57D70584</t>
  </si>
  <si>
    <t>F3FAO57D70585</t>
  </si>
  <si>
    <t>0028XCC/AR/DV09/2016</t>
  </si>
  <si>
    <t>Bộ kéo dài chuột bàn phím Aten (CE700AL/ CE700AR)</t>
  </si>
  <si>
    <t>K3G6-003-0386</t>
  </si>
  <si>
    <t>MCR Main FBNC</t>
  </si>
  <si>
    <t>K3G6-003-0387</t>
  </si>
  <si>
    <t>Rack 2-MCR - Monitor các máy backup</t>
  </si>
  <si>
    <t>K3G6-003-0388</t>
  </si>
  <si>
    <t>Rack 2-MCR - CheckPlaylist</t>
  </si>
  <si>
    <t>K3G6-003-0389</t>
  </si>
  <si>
    <t>Rack 1-MCR - HTVTT</t>
  </si>
  <si>
    <t>K3G6-003-0390</t>
  </si>
  <si>
    <t>Rack 1-MCR-Trên cùng - HTV1</t>
  </si>
  <si>
    <t>K3G6-003-0486</t>
  </si>
  <si>
    <t>Rack 1-MCR - HTV4</t>
  </si>
  <si>
    <t>K3G6-003-0487</t>
  </si>
  <si>
    <t>Rack 3-MCR-Trên cùng - CG HTV2</t>
  </si>
  <si>
    <t>K3G6-003-0488</t>
  </si>
  <si>
    <t>Rack 4-MCR-Giữa - CG FBNC</t>
  </si>
  <si>
    <t>K3G6-003-0489</t>
  </si>
  <si>
    <t>Rack 1-MCR - HTV3</t>
  </si>
  <si>
    <t>K3G6-003-0490</t>
  </si>
  <si>
    <t>Rack 1-MCR - HTV2</t>
  </si>
  <si>
    <t>58/2009</t>
  </si>
  <si>
    <t>Máy vi tính (Main Gigabyte chipset intel, Ram 2GB, CPU Core 2 Dual, HDD 160GB, Case 4U, Power Cooler Master 550W, DVD RW, Card AVER)</t>
  </si>
  <si>
    <t>QLKT điều chuyển</t>
  </si>
  <si>
    <t>Check playlist cũ MCR</t>
  </si>
  <si>
    <t>PD3</t>
  </si>
  <si>
    <t>Bộ máy vi tính Cooler Master</t>
  </si>
  <si>
    <t>MCR control</t>
  </si>
  <si>
    <t>3010106013002</t>
  </si>
  <si>
    <t>Network switch Linksys 1 Gbps 16 port</t>
  </si>
  <si>
    <t>RID20H700047</t>
  </si>
  <si>
    <t>3010202019001</t>
  </si>
  <si>
    <t>SWITCH 24 PORTCisco</t>
  </si>
  <si>
    <t>PSG154601NZ</t>
  </si>
  <si>
    <t>MCR cũ, sw cam quan sát</t>
  </si>
  <si>
    <t>3010202020001</t>
  </si>
  <si>
    <t>SWITCH 16 PORTCisco</t>
  </si>
  <si>
    <t>PSJ1608008T</t>
  </si>
  <si>
    <t>A1-Control góc trên trần nhà</t>
  </si>
  <si>
    <t>3010202020002</t>
  </si>
  <si>
    <t>PSJ1608008Q</t>
  </si>
  <si>
    <t>A2-Control góc trên trần nhà, sw webcam</t>
  </si>
  <si>
    <t>Điều khiển cho thiết bị chuyển mạch 16x4 Harris</t>
  </si>
  <si>
    <t>LHTI0426371015</t>
  </si>
  <si>
    <t>Phòng máy
  MCR</t>
  </si>
  <si>
    <t>P</t>
  </si>
  <si>
    <t>LHTI0426371011</t>
  </si>
  <si>
    <t>LHTI0426371018</t>
  </si>
  <si>
    <t>LHTI0426371002</t>
  </si>
  <si>
    <t>Máy in Laser HP</t>
  </si>
  <si>
    <t>CNCJY 42768</t>
  </si>
  <si>
    <t>Máy in Laser HP 1300</t>
  </si>
  <si>
    <t>SGCB030356</t>
  </si>
  <si>
    <t>Máy in Laserjet HP1020</t>
  </si>
  <si>
    <t>CNC2F58885</t>
  </si>
  <si>
    <t>Thương</t>
  </si>
  <si>
    <t>TTDV in, K9</t>
  </si>
  <si>
    <t>CNC2Y05969</t>
  </si>
  <si>
    <t>phòng HL</t>
  </si>
  <si>
    <t>CNC2Y06014</t>
  </si>
  <si>
    <t>Máy in Sattech</t>
  </si>
  <si>
    <t>25/2013</t>
  </si>
  <si>
    <t>3010401054014</t>
  </si>
  <si>
    <t>Máy in HP Laserjet</t>
  </si>
  <si>
    <t>VNC3D42359</t>
  </si>
  <si>
    <t>pHTKT bàn HA</t>
  </si>
  <si>
    <t>VNC3D43449</t>
  </si>
  <si>
    <t>Máy Scanjet HP 5590</t>
  </si>
  <si>
    <t>CN0AKVH0VZ</t>
  </si>
  <si>
    <t>sếp Lâm</t>
  </si>
  <si>
    <t>Rack 19”</t>
  </si>
  <si>
    <t>Pmáy. Cũ</t>
  </si>
  <si>
    <t>3020303015001</t>
  </si>
  <si>
    <t>CAMERA QUAN SÁT IP ACTi</t>
  </si>
  <si>
    <t>11JE00386</t>
  </si>
  <si>
    <t>A1 CONTROL</t>
  </si>
  <si>
    <t>3020303015002</t>
  </si>
  <si>
    <t>11JE00387</t>
  </si>
  <si>
    <t>CAMERA QUAN SÁT IP DẠNG BÁN CẦU-NHIỀU TIÊU CỰ-ACTi</t>
  </si>
  <si>
    <t>11HX01190</t>
  </si>
  <si>
    <t>3020303016002</t>
  </si>
  <si>
    <t>11HX01191</t>
  </si>
  <si>
    <t>A1P.HIEN NGOAI CUA</t>
  </si>
  <si>
    <t>3020303016003</t>
  </si>
  <si>
    <t>11HX01192</t>
  </si>
  <si>
    <t>A1 RACK</t>
  </si>
  <si>
    <t>A2 PHÒNG HIEN CHỖ SAT VACH</t>
  </si>
  <si>
    <t>11HX01193</t>
  </si>
  <si>
    <t>3020303017001</t>
  </si>
  <si>
    <t>CAMERA QUAN SÁT IP DẠNG BÁN CẦU TIÊU CỰ CỐ ĐỊNH-ACTi</t>
  </si>
  <si>
    <t>11EE00081</t>
  </si>
  <si>
    <t>A2 KHO</t>
  </si>
  <si>
    <t>3020303017002</t>
  </si>
  <si>
    <t>11EE00083</t>
  </si>
  <si>
    <t>3020303017003</t>
  </si>
  <si>
    <t>11EE00088</t>
  </si>
  <si>
    <t>Bộ điều khiển cho ma trận chuyển mạch 64x1</t>
  </si>
  <si>
    <t>LHT10256133004</t>
  </si>
  <si>
    <t>Đồng hồ</t>
  </si>
  <si>
    <t>LHTI0452060007</t>
  </si>
  <si>
    <t>LHTI0452060005</t>
  </si>
  <si>
    <t>Đồng hồ k7, Phòng PH</t>
  </si>
  <si>
    <t>Kệ 19 inch</t>
  </si>
  <si>
    <t>302099901011001</t>
  </si>
  <si>
    <t>Compact Speaker ( W/Amplifier )</t>
  </si>
  <si>
    <t>MZ-01028</t>
  </si>
  <si>
    <t>A2-Control: Rack</t>
  </si>
  <si>
    <t>Bộ tách kênh âm thanh Analog audio demultiplexer/Limeter</t>
  </si>
  <si>
    <t>0199-0638</t>
  </si>
  <si>
    <t>Da gui DS Thanh ly Thảo cất</t>
  </si>
  <si>
    <t>0199-0457</t>
  </si>
  <si>
    <t>07Da01</t>
  </si>
  <si>
    <t>Bộ phân chia tín hiệu tiếng</t>
  </si>
  <si>
    <t>A1 sau bàn mixer</t>
  </si>
  <si>
    <t>302099901092001</t>
  </si>
  <si>
    <t>Audio patch panel W/Patch cable Micro</t>
  </si>
  <si>
    <t>302099901092002</t>
  </si>
  <si>
    <t>50VL</t>
  </si>
  <si>
    <t>Power amplifier MA 430 Inkel 50505063</t>
  </si>
  <si>
    <t>A1 sau bàn Đạo diễn</t>
  </si>
  <si>
    <t>Audio Distribution Amplifier1 Kramer: 5balanced audio Distribution Amplifier</t>
  </si>
  <si>
    <t>30209990170002</t>
  </si>
  <si>
    <t>A2-MC: chia tai nghe MC</t>
  </si>
  <si>
    <t>Bộ mã hóa tín hiệu hình - Composite encoder</t>
  </si>
  <si>
    <t>0085-2804</t>
  </si>
  <si>
    <t>Cu chi - Da gui DS TL</t>
  </si>
  <si>
    <t>0085-2830</t>
  </si>
  <si>
    <t>302099902216003</t>
  </si>
  <si>
    <t>Bộ phân chia tín hiệu hình</t>
  </si>
  <si>
    <t>Tủ 11</t>
  </si>
  <si>
    <t>006/.4</t>
  </si>
  <si>
    <t>Mix audio Peavey Unity 300 No09527896 - 09527904 Pana*</t>
  </si>
  <si>
    <t>MCR phòng đọc cũ</t>
  </si>
  <si>
    <t>Bổ sung cho máy CSD-5300 (Đồng hồ Analog ADC-5112) 12" Wall Mount analog clock display</t>
  </si>
  <si>
    <t>28/2008</t>
  </si>
  <si>
    <t>Audio mixer Peavey</t>
  </si>
  <si>
    <t>K0394851</t>
  </si>
  <si>
    <t>MCR phòng đọc</t>
  </si>
  <si>
    <t>K0394852</t>
  </si>
  <si>
    <t>Hum Eliminator Allen Avionics (Bandwidth: DC to 30 Mhz)</t>
  </si>
  <si>
    <t>K0431050</t>
  </si>
  <si>
    <t>K0431093</t>
  </si>
  <si>
    <t>Bảng cắm tín hiệu hình 2x26 lỗ</t>
  </si>
  <si>
    <t>Mini converter Black Magic design (SDI to analog Mini converter)</t>
  </si>
  <si>
    <t>A1-R2 DDR2B convert</t>
  </si>
  <si>
    <t>302099902648006</t>
  </si>
  <si>
    <t>A1 - Rack 4</t>
  </si>
  <si>
    <t>F1 Rack làm tín hiệu đồng hồ</t>
  </si>
  <si>
    <t>Analog to SDI Mini converter Black Magic design</t>
  </si>
  <si>
    <t>QLKT</t>
  </si>
  <si>
    <t>AD converter (Black Magic design)</t>
  </si>
  <si>
    <t>A1-R2 Prompter to MV</t>
  </si>
  <si>
    <t>Mixer 8 đường Behringer</t>
  </si>
  <si>
    <t>S1022314572</t>
  </si>
  <si>
    <t>31/2011</t>
  </si>
  <si>
    <t>Bàn trộn âm thanh Mixer Soundcraft</t>
  </si>
  <si>
    <t>302099903026001</t>
  </si>
  <si>
    <t>Micro hiệu ứng tụ - Micro Condenser (Sennheiser)</t>
  </si>
  <si>
    <t>pHTKT tủ CQ</t>
  </si>
  <si>
    <t>Micro điện động - Micro Dynamic</t>
  </si>
  <si>
    <t>phong doc 1</t>
  </si>
  <si>
    <t>Hifi Speaker ( loa hifi )</t>
  </si>
  <si>
    <t>900873-900874</t>
  </si>
  <si>
    <t>Cặp</t>
  </si>
  <si>
    <t>A1 loa trái phải pControl</t>
  </si>
  <si>
    <t>302099903054004</t>
  </si>
  <si>
    <t>900801-900802</t>
  </si>
  <si>
    <t>LOA TRÁI - LOA PHẢI. A2 CONTROL</t>
  </si>
  <si>
    <t>Micro định hướng(Shenheiser)</t>
  </si>
  <si>
    <t>Đức</t>
  </si>
  <si>
    <t>302099903085004</t>
  </si>
  <si>
    <t>BOOM TRÁI A2 PHÒNG HIỆN</t>
  </si>
  <si>
    <t>Loa âm thanh Yamaha</t>
  </si>
  <si>
    <t>PN04653</t>
  </si>
  <si>
    <t>F1 control left nóc tủ Rack</t>
  </si>
  <si>
    <t>302099903181001</t>
  </si>
  <si>
    <t>Micro định hướng ME67/K6</t>
  </si>
  <si>
    <t>Microphone Shure</t>
  </si>
  <si>
    <t>A.Việt</t>
  </si>
  <si>
    <t>Hàn đã chuyển a Việt 16/8/2019 làm p đọc</t>
  </si>
  <si>
    <t>Micro định hướng Shennheiser ME 67/K6</t>
  </si>
  <si>
    <t>F1 HIEN MIC boom chính</t>
  </si>
  <si>
    <t>30/2008</t>
  </si>
  <si>
    <t>302099903197008</t>
  </si>
  <si>
    <t>Clearcom Microphone</t>
  </si>
  <si>
    <t>A2-Control bàn Đạo diễn</t>
  </si>
  <si>
    <t>A1 bàn Đạo diễn, micro gắn vào clearcom</t>
  </si>
  <si>
    <t>Loa kiểm tra âm thanh 1RU</t>
  </si>
  <si>
    <t>Bàn kiểm file ngoài (MCR)</t>
  </si>
  <si>
    <t>94/2010</t>
  </si>
  <si>
    <t>302099903238001</t>
  </si>
  <si>
    <t>Bộ thu micro không dây Sennheiser</t>
  </si>
  <si>
    <t>tủ hồ sơ 1, Mic đã thanh lý</t>
  </si>
  <si>
    <t>302099903240001</t>
  </si>
  <si>
    <t>Micro SENNHEISER</t>
  </si>
  <si>
    <t>A2-MC: mic cóc</t>
  </si>
  <si>
    <t>Ban lam viec Quan (ngăn kéo)</t>
  </si>
  <si>
    <t>302099903240003</t>
  </si>
  <si>
    <t>Mic bị rột rẹt - A2 KHO</t>
  </si>
  <si>
    <t>Microphone Sennheiser đa hướng để bàn</t>
  </si>
  <si>
    <t>phòng hiện A1 20h</t>
  </si>
  <si>
    <t>A1 micro cóc 3</t>
  </si>
  <si>
    <t>Cyclorama Light 1 Kw</t>
  </si>
  <si>
    <t>Kho lầu 2 TTPH</t>
  </si>
  <si>
    <t>Hệ thống đèn phông (Cycloma hoodlight )</t>
  </si>
  <si>
    <t>Kho A2</t>
  </si>
  <si>
    <t>Đèn tụ 1Kw ADB-SP10 (1Kw pole operated Fresnel)</t>
  </si>
  <si>
    <t>Bàn điều khiển ánh sáng Tango 24(Dimmer)</t>
  </si>
  <si>
    <t>Control A2</t>
  </si>
  <si>
    <t>Đèn Cyclight 1250W Quartz Color</t>
  </si>
  <si>
    <t>Kho lầu 2 TTPH, chờ thanh lý</t>
  </si>
  <si>
    <t>A2 Kho (hư chuôi)</t>
  </si>
  <si>
    <t>thanh lý</t>
  </si>
  <si>
    <t>A1 p giữa</t>
  </si>
  <si>
    <t>Bộ dimmer điều chỉnh ánh sáng đèn Strand Lighting</t>
  </si>
  <si>
    <t>A1 Dim 3 lưới</t>
  </si>
  <si>
    <t>A1 Dim 4</t>
  </si>
  <si>
    <t>A1 Dim 2 UPS</t>
  </si>
  <si>
    <t>A1 p giữa (không xài)</t>
  </si>
  <si>
    <t>A1 Dim 6 lưới</t>
  </si>
  <si>
    <t>A1 Dim 1 UPS</t>
  </si>
  <si>
    <t>A2 phòng CB điện</t>
  </si>
  <si>
    <t>Bổ sung cho máy CSD-5300</t>
  </si>
  <si>
    <t>Rack 3 MCR cũ, CQ đã chuyển anh Lam</t>
  </si>
  <si>
    <t>Màn hình LCD VGA 15" cho máy đo</t>
  </si>
  <si>
    <t>85LMTN061480</t>
  </si>
  <si>
    <t>MCR (kho L2)</t>
  </si>
  <si>
    <t>Anten Parapol di động 3m6 (cả đầu ĐK) AP-750-000007</t>
  </si>
  <si>
    <t>toa nha</t>
  </si>
  <si>
    <t>01Da03</t>
  </si>
  <si>
    <t>Máy liên lạc Motorola GM-300 công suất 45W</t>
  </si>
  <si>
    <t>103TDGP772</t>
  </si>
  <si>
    <t>A1 bộ đàm khẩn cấp, bàn đạo diễn ptA</t>
  </si>
  <si>
    <t>Thiết bị liên lạc bộ đàm ( - 10 key Digital Station including GM9 9'' - Mỹ sx) Plugin Gooseneck Mic &amp; External 220AC Power Supply Unit</t>
  </si>
  <si>
    <t>Thiết bị liên lạc bộ đàm</t>
  </si>
  <si>
    <t>kho lầu 2</t>
  </si>
  <si>
    <t>1HT</t>
  </si>
  <si>
    <t>Anten Parabol Orbitrion</t>
  </si>
  <si>
    <t>020B/.4</t>
  </si>
  <si>
    <t>H/Thống Đ/khiển hiệu chỉnh hướng đông tây &amp; góc ngẩn bộ Anten Parabol 3,6m</t>
  </si>
  <si>
    <t>23/A.4</t>
  </si>
  <si>
    <t>Máy bộ đàm MOTOROLA 40W</t>
  </si>
  <si>
    <t>F1 bộ đàm khẩn cấp, bàn đạo diễn</t>
  </si>
  <si>
    <t>Anten 8 -port PS/2 KVM Swith</t>
  </si>
  <si>
    <t>0360026AGZ0125</t>
  </si>
  <si>
    <t>phòng máy MCR cũ, chờ thanh lý</t>
  </si>
  <si>
    <t>03HT</t>
  </si>
  <si>
    <t>Anten Parabol VORTEC</t>
  </si>
  <si>
    <t>Bộ Anten Parabol 2.4m Jonsa + phụ kiện + công lắp đặt</t>
  </si>
  <si>
    <t>Hệ thống hiển thị (Màn hình)</t>
  </si>
  <si>
    <t>TV14'Sony</t>
  </si>
  <si>
    <t>A3850000950</t>
  </si>
  <si>
    <t>p doc 2</t>
  </si>
  <si>
    <t>A3850000962</t>
  </si>
  <si>
    <t>44/2008</t>
  </si>
  <si>
    <t>Tivi Sony 21"</t>
  </si>
  <si>
    <t>A73 50018627</t>
  </si>
  <si>
    <t>TL - Cu chi</t>
  </si>
  <si>
    <t>87/2010</t>
  </si>
  <si>
    <t>Tivi LCD Samsung 32"</t>
  </si>
  <si>
    <t>14673YHZB00394K</t>
  </si>
  <si>
    <t>k7</t>
  </si>
  <si>
    <t>14673YHZB00386D</t>
  </si>
  <si>
    <t>Kho PH mới L2</t>
  </si>
  <si>
    <t>MPSW3YHZB05133E</t>
  </si>
  <si>
    <t>30411179002</t>
  </si>
  <si>
    <t>Tivi LCD Samsung 46"</t>
  </si>
  <si>
    <t>MPFW3YLB100089F</t>
  </si>
  <si>
    <t>Monitor 40" Sony full HD, 3D</t>
  </si>
  <si>
    <t>30411192002</t>
  </si>
  <si>
    <t>A2-Control: TV kiểm sóng</t>
  </si>
  <si>
    <t>F1 TV kiểm sóng</t>
  </si>
  <si>
    <t>Điện thoại Panasonic</t>
  </si>
  <si>
    <t>15BKD114943</t>
  </si>
  <si>
    <t>15BKD114944</t>
  </si>
  <si>
    <t>MCR mới</t>
  </si>
  <si>
    <t>24/A.4</t>
  </si>
  <si>
    <t>Máy bộ đàm cầm tay MOTOROLA GP-308 4W</t>
  </si>
  <si>
    <t>30/2012</t>
  </si>
  <si>
    <t>Bàn họp Oval (3200x1400x750) - gỗ MDF Veneer sơn PU</t>
  </si>
  <si>
    <t>A Lâm</t>
  </si>
  <si>
    <t>phòng họp</t>
  </si>
  <si>
    <t>Giá gắn rack dạng đôi cho waveform monitor</t>
  </si>
  <si>
    <t>Phong May MCR</t>
  </si>
  <si>
    <t>Phần mềm quản lý kiểm tra sóng</t>
  </si>
  <si>
    <t>Nằm trong máy kiểm tra file</t>
  </si>
  <si>
    <t>0065XCC/AR/DV09/2018</t>
  </si>
  <si>
    <t>AUDIO00220011</t>
  </si>
  <si>
    <t>Bộ micro cài áo không dây Sennheiser</t>
  </si>
  <si>
    <t>thu: 4168161333; phát: 4178254115</t>
  </si>
  <si>
    <t>PHTKT bộ 13 tủ hồ sơ 1 chờ thanh lý</t>
  </si>
  <si>
    <t>AUDIO00220012</t>
  </si>
  <si>
    <t>thu: 4088105679; phát: 4098124197</t>
  </si>
  <si>
    <t>FT F1 bộ wireless 15</t>
  </si>
  <si>
    <t>AUDIO00220013</t>
  </si>
  <si>
    <t>thu: 4088105682; phát: 4098124195</t>
  </si>
  <si>
    <t>F1 thu CT12G</t>
  </si>
  <si>
    <t>AUDIO00220014</t>
  </si>
  <si>
    <t>thu: 4088105681; phát: 4098124196</t>
  </si>
  <si>
    <t>F1 bộ wireless 16</t>
  </si>
  <si>
    <t>0031XCC/AR/DV09/2016</t>
  </si>
  <si>
    <t>AUDIO00230001</t>
  </si>
  <si>
    <t>Delay âm thanh Kramer (VA-256x1)</t>
  </si>
  <si>
    <t>F1 SAU MAN HINH WASP</t>
  </si>
  <si>
    <t>AUDIO00230002</t>
  </si>
  <si>
    <t>A2 control rack</t>
  </si>
  <si>
    <t>0032XCC/AR/DV09/2016</t>
  </si>
  <si>
    <t>AUDIO00240001</t>
  </si>
  <si>
    <t>Cách ly âm thanh Kramer (TR-2A)</t>
  </si>
  <si>
    <t>AUDIO00240002</t>
  </si>
  <si>
    <t>AUDIO00240003</t>
  </si>
  <si>
    <t>AUDIO00250001</t>
  </si>
  <si>
    <t>Bộ down converter Black magic Design (Mini Converter - UpdownCross)</t>
  </si>
  <si>
    <t>phong doc</t>
  </si>
  <si>
    <t>AUDIO00250002</t>
  </si>
  <si>
    <t>AUDIO00250003</t>
  </si>
  <si>
    <t>AUDIO00250004</t>
  </si>
  <si>
    <t>A2-R8 gắn sau rack</t>
  </si>
  <si>
    <t>AUDIO00260001</t>
  </si>
  <si>
    <t>Bộ ghép tín hiệu Black magic Design (Mini Converter - Audio to SDI 4K)</t>
  </si>
  <si>
    <t>AUDIO00260002</t>
  </si>
  <si>
    <t>AUDIO00270001</t>
  </si>
  <si>
    <t>Bộ tách tín hiệu Black magic Design (Mini Converter - SDI to Audio 4K)</t>
  </si>
  <si>
    <t>A1-R2 không xài DDR 1B</t>
  </si>
  <si>
    <t>AUDIO00270002</t>
  </si>
  <si>
    <t>A1- R2 KHÔNG XÀI DDR 1A</t>
  </si>
  <si>
    <t>0029XCC/AR/DV09/2016</t>
  </si>
  <si>
    <t>AUDIO00290001</t>
  </si>
  <si>
    <t>Micro Shure (MX393/S)</t>
  </si>
  <si>
    <t>F1 cóc mic 1</t>
  </si>
  <si>
    <t>AUDIO00290002</t>
  </si>
  <si>
    <t>F1 cóc mic 2</t>
  </si>
  <si>
    <t>AUDIO00290003</t>
  </si>
  <si>
    <t>0057XCC/AR/DV09/2017</t>
  </si>
  <si>
    <t>AUDIO00320001</t>
  </si>
  <si>
    <t>Dây micro Senheiser có micro</t>
  </si>
  <si>
    <t>AUDIO00320002</t>
  </si>
  <si>
    <t>0060XCC/AR/DV09/2017</t>
  </si>
  <si>
    <t>AUDIO00320003</t>
  </si>
  <si>
    <t>Dây micro Senheiser có micro (ME2)</t>
  </si>
  <si>
    <t>AUDIO00320004</t>
  </si>
  <si>
    <t>0025XCC/AR/DV09/2016</t>
  </si>
  <si>
    <t>CC00100930008</t>
  </si>
  <si>
    <t>Bàn làm việc</t>
  </si>
  <si>
    <t>LAM</t>
  </si>
  <si>
    <t>CC00100930009</t>
  </si>
  <si>
    <t>CC00100930010</t>
  </si>
  <si>
    <t>CC00100930011</t>
  </si>
  <si>
    <t>0009XCC/AR/DV09/2017</t>
  </si>
  <si>
    <t>CC00100930018</t>
  </si>
  <si>
    <t>Bàn làm việc (1400x600x750)</t>
  </si>
  <si>
    <t>CC00100930019</t>
  </si>
  <si>
    <t>Chech mail Sat</t>
  </si>
  <si>
    <t>CC00100930020</t>
  </si>
  <si>
    <t>Chech mail MCR</t>
  </si>
  <si>
    <t>0044XCC/AR/DV09/2017</t>
  </si>
  <si>
    <t>CC00100930024</t>
  </si>
  <si>
    <t>Khu F L1</t>
  </si>
  <si>
    <t>phòng HTKT</t>
  </si>
  <si>
    <t>CC00100930025</t>
  </si>
  <si>
    <t>CC00100930026</t>
  </si>
  <si>
    <t>CC00100930027</t>
  </si>
  <si>
    <t>CC00100930028</t>
  </si>
  <si>
    <t>CC00100930029</t>
  </si>
  <si>
    <t>CC00100930030</t>
  </si>
  <si>
    <t>0073XCC/AR/DV09/2017</t>
  </si>
  <si>
    <t>CC00100930056</t>
  </si>
  <si>
    <t>PT A1</t>
  </si>
  <si>
    <t>A1-MC bàn gỗ to, chờ thanh lý</t>
  </si>
  <si>
    <t>6CC</t>
  </si>
  <si>
    <t>CC00102300013</t>
  </si>
  <si>
    <t>Bàn làm việc nhân viên 1400x600x750, bàn phím treo, thùng kéo di động 03 ngăn, MFC vân gỗ, kệ CPU</t>
  </si>
  <si>
    <t>Tổ Kỹ thuật - TTPH</t>
  </si>
  <si>
    <t>bàn Mai Sương</t>
  </si>
  <si>
    <t>11CC/2012</t>
  </si>
  <si>
    <t>CC00102510003</t>
  </si>
  <si>
    <t>Bàn làm việc Trưởng ban (gỗ MDF veneer sơn PU nâu, ngăn kéo tủ di động 400x500x600) mặt bàn lượn) 1800x900x750</t>
  </si>
  <si>
    <t>P.GĐ TTPH</t>
  </si>
  <si>
    <t>phòng Sếp</t>
  </si>
  <si>
    <t>0074XCC/AR/DV09/2018</t>
  </si>
  <si>
    <t>CC00107670047</t>
  </si>
  <si>
    <t>Ghế xoay</t>
  </si>
  <si>
    <t>KHO LẦU 2 TTPH-TL</t>
  </si>
  <si>
    <t>THANH LÝ</t>
  </si>
  <si>
    <t>CC00107670048</t>
  </si>
  <si>
    <t>A2 MC ghế đỏ</t>
  </si>
  <si>
    <t>CC00107670049</t>
  </si>
  <si>
    <t>CC00107670050</t>
  </si>
  <si>
    <t>CC00107670051</t>
  </si>
  <si>
    <t>A2 MC ghế đen</t>
  </si>
  <si>
    <t>CC00107670052</t>
  </si>
  <si>
    <t>Phòng hiện A1 ghế MC</t>
  </si>
  <si>
    <t>CC00108940010</t>
  </si>
  <si>
    <t>Kệ băng 2000x208x2190, MFC vân gỗ</t>
  </si>
  <si>
    <t>P. Phát Hình - TTPH</t>
  </si>
  <si>
    <t>phòng chị Sương</t>
  </si>
  <si>
    <t>CC00108950011</t>
  </si>
  <si>
    <t>Kệ băng có ô cửa kính, khóa 1000x208x1620, MFC vân gỗ</t>
  </si>
  <si>
    <t>CC00109990006</t>
  </si>
  <si>
    <t>Kệ TV bằng gỗ MDF veneer sơn PU màu nâu, ngăn giữa cửa mở, 02 bên ngăn kéo raybi 03 cấp</t>
  </si>
  <si>
    <t>027CC</t>
  </si>
  <si>
    <t>CC00110090007</t>
  </si>
  <si>
    <t>Két sắt an toàn CHBB 120kg</t>
  </si>
  <si>
    <t>TTPH</t>
  </si>
  <si>
    <t>phòng Sương</t>
  </si>
  <si>
    <t>56CC</t>
  </si>
  <si>
    <t>CC00110270003</t>
  </si>
  <si>
    <t>Loa Bose 201-V</t>
  </si>
  <si>
    <t>F1 CONTROL (nóc tủ crack)</t>
  </si>
  <si>
    <t>CC00112510007</t>
  </si>
  <si>
    <t>Sofa tiếp khách bọc nỉ gồm:+ ghế băng 03 chỗ 1800x750x760, + ghế băng 01 chỗ 720x750x760, + bàn trà 1200x600x400</t>
  </si>
  <si>
    <t>a Lâm</t>
  </si>
  <si>
    <t>CC00114370005</t>
  </si>
  <si>
    <t>Tủ hồ sơ bằng gỗ MDF veneer sơn PU nâu, có 03 ngăn (01 ngăn treo áo vest cửa gỗ, 02 ngăn đựng tài liệu cửa kính, ngăn dưới 03 cửa mở)</t>
  </si>
  <si>
    <t>CC00114440016</t>
  </si>
  <si>
    <t>Tủ hồ sơ cao 1400x400x2100, MFC vân gỗ Đức</t>
  </si>
  <si>
    <t>pHTKT, tủ hồ sơ</t>
  </si>
  <si>
    <t>CC00114580033</t>
  </si>
  <si>
    <t>Tủ hồ sơ cửa kính lùa + Tủ sắt màu xám 1180x400x880</t>
  </si>
  <si>
    <t>P. Khống chế - TTPH</t>
  </si>
  <si>
    <t>CC00114580034</t>
  </si>
  <si>
    <t>2CC</t>
  </si>
  <si>
    <t>CC00115950014</t>
  </si>
  <si>
    <t>Tủ sắt 8 cánh 8 khóa</t>
  </si>
  <si>
    <t>Tủ sắt PH mới L1</t>
  </si>
  <si>
    <t>CC00115950015</t>
  </si>
  <si>
    <t>CC00116590015</t>
  </si>
  <si>
    <t>Tủ, Bàn trà, dưới cửa có khóa (700x450x1150)</t>
  </si>
  <si>
    <t>pHTKT, bàn trà</t>
  </si>
  <si>
    <t>0025XCC/AU/DV09/2014</t>
  </si>
  <si>
    <t>CC00118150001</t>
  </si>
  <si>
    <t>Bộ micro cài áo không dây - Sennheiser bao gồm: Wireless UHF Diversity Receiver (EM 100 G3); Wireless Transmitter Body Pack (SK 100 G3); Lavalier Mic</t>
  </si>
  <si>
    <t>A2 wireless 1</t>
  </si>
  <si>
    <t>CC00118150002</t>
  </si>
  <si>
    <t>CC00118150003</t>
  </si>
  <si>
    <t>CC00118150004</t>
  </si>
  <si>
    <t>CC00118150005</t>
  </si>
  <si>
    <t>CC00118150006</t>
  </si>
  <si>
    <t>A2 HIEN wireless 6</t>
  </si>
  <si>
    <t>CC00118150007</t>
  </si>
  <si>
    <t>F1 wireless 7</t>
  </si>
  <si>
    <t>CC00118150008</t>
  </si>
  <si>
    <t>tủ hồ sơ 1, chờ thanh lý</t>
  </si>
  <si>
    <t>CC00118150009</t>
  </si>
  <si>
    <t>A2 (MIC 9)</t>
  </si>
  <si>
    <t>CC00118150010</t>
  </si>
  <si>
    <t>A1 wireless 10</t>
  </si>
  <si>
    <t>CC00118150011</t>
  </si>
  <si>
    <t>F1 wireless 11</t>
  </si>
  <si>
    <t>CC00118150012</t>
  </si>
  <si>
    <t>F1 wireless 12</t>
  </si>
  <si>
    <t>CC00118370008</t>
  </si>
  <si>
    <t>Tủ sắt</t>
  </si>
  <si>
    <t>tủ đựng đồ nhân viên</t>
  </si>
  <si>
    <t>CC00118440001</t>
  </si>
  <si>
    <t>Kệ (800x30x1000)</t>
  </si>
  <si>
    <t>kệ để dép</t>
  </si>
  <si>
    <t>CC00118440002</t>
  </si>
  <si>
    <t>CC00118560003</t>
  </si>
  <si>
    <t>tủ nằm dưới bàn pHTKT, bàn CQ</t>
  </si>
  <si>
    <t>CC00118560004</t>
  </si>
  <si>
    <t>tủ nằm dưới bàn pHTKT, bàn Thanh</t>
  </si>
  <si>
    <t>CC00118560005</t>
  </si>
  <si>
    <t>tủ nằm dưới bàn pHTKT, bàn Quân</t>
  </si>
  <si>
    <t>CC00118560006</t>
  </si>
  <si>
    <t>tủ nằm dưới bàn pHTKT, bàn sạc pin</t>
  </si>
  <si>
    <t>CC00118560007</t>
  </si>
  <si>
    <t>tủ nằm dưới bàn pHTKT, bàn Nhật Quang</t>
  </si>
  <si>
    <t>CC00118560008</t>
  </si>
  <si>
    <t>tủ nằm dưới bàn pHTKT, bàn Hàn</t>
  </si>
  <si>
    <t>0067XCC/AR/DV09/2017</t>
  </si>
  <si>
    <t>CC00118640001</t>
  </si>
  <si>
    <t>Điện thoại Panasonic KX-TBG112</t>
  </si>
  <si>
    <t>PT nhà F</t>
  </si>
  <si>
    <t>Máy nội bộ - 1081</t>
  </si>
  <si>
    <t>CC00118640002</t>
  </si>
  <si>
    <t>DT 39105084</t>
  </si>
  <si>
    <t>0028XCC/AR/DV09/2018</t>
  </si>
  <si>
    <t>CC00118850001</t>
  </si>
  <si>
    <t>Tivi Sony 32" KDL-32W610E VN3</t>
  </si>
  <si>
    <t>View kiểm sóng</t>
  </si>
  <si>
    <t>CC00118850002</t>
  </si>
  <si>
    <t>DVB-T rack 3</t>
  </si>
  <si>
    <t>CC00118850003</t>
  </si>
  <si>
    <t>CC00118850004</t>
  </si>
  <si>
    <t>CC00118850005</t>
  </si>
  <si>
    <t>DTH -Rack 3</t>
  </si>
  <si>
    <t>0045XCC/AR/DV09/2018</t>
  </si>
  <si>
    <t>CC00118990001</t>
  </si>
  <si>
    <t>Bộ đổi tầng vệ tinh băng C Insofat - LNB băng C - Insofat M1</t>
  </si>
  <si>
    <t>kho</t>
  </si>
  <si>
    <t>CC00118990002</t>
  </si>
  <si>
    <t>CC00118990003</t>
  </si>
  <si>
    <t>CC00118990004</t>
  </si>
  <si>
    <t>CC00118990005</t>
  </si>
  <si>
    <t>CC00118990006</t>
  </si>
  <si>
    <t>CC00118990007</t>
  </si>
  <si>
    <t>CC00118990008</t>
  </si>
  <si>
    <t>CC00118990009</t>
  </si>
  <si>
    <t>CC00118990010</t>
  </si>
  <si>
    <t>0054XCC/AR/DV09/2018</t>
  </si>
  <si>
    <t>CC00119010001</t>
  </si>
  <si>
    <t>Board Sony ngõ vào SDI cho Monitor HD-SDI 21" - BKM-341HS</t>
  </si>
  <si>
    <t>F1 CONTROL (Chỗ bàn dimmer đèn) card ghép chung Tài sản 673</t>
  </si>
  <si>
    <t>CC00119010002</t>
  </si>
  <si>
    <t>Phtkt, nóc tủ sắt, trong moniotor No:3300398</t>
  </si>
  <si>
    <t>CC00119010003</t>
  </si>
  <si>
    <t>A2-Control: card ghép chung Tài sản 674</t>
  </si>
  <si>
    <t>0064XCC/AR/DV09/2018</t>
  </si>
  <si>
    <t>CC00119350001</t>
  </si>
  <si>
    <t>Bộ trộn âm thanh Soundcraft EPM12</t>
  </si>
  <si>
    <t>RW5736285000</t>
  </si>
  <si>
    <t>Mixer phụ F1</t>
  </si>
  <si>
    <t>CC00119360001</t>
  </si>
  <si>
    <t>Micro Shure MX-393/C</t>
  </si>
  <si>
    <t>CC00119360002</t>
  </si>
  <si>
    <t>A2 cóc 3</t>
  </si>
  <si>
    <t>0011XCC/KY/DV09/2019</t>
  </si>
  <si>
    <t>CC00119600001</t>
  </si>
  <si>
    <t>Điện thoại IP grandstream</t>
  </si>
  <si>
    <t>20EZ1QHJ40D76C82</t>
  </si>
  <si>
    <t>CC00119600002</t>
  </si>
  <si>
    <t>20EZ1QHJ70E1CF9F</t>
  </si>
  <si>
    <t>CC00119600003</t>
  </si>
  <si>
    <t>20EZ1QHJ70E1CFB0</t>
  </si>
  <si>
    <t>CC00119600004</t>
  </si>
  <si>
    <t>20EZ1QHJ70E1CFB4</t>
  </si>
  <si>
    <t>Bàn K9</t>
  </si>
  <si>
    <t>CC00119600005</t>
  </si>
  <si>
    <t>20EZ1QHJ40D76C07</t>
  </si>
  <si>
    <t>CC00119600006</t>
  </si>
  <si>
    <t>20EZ1QHJ40D76C06</t>
  </si>
  <si>
    <t>A1 bàn Đạo diễn</t>
  </si>
  <si>
    <t>0075XCC/AR/DV09/2018</t>
  </si>
  <si>
    <t>CC0019530001</t>
  </si>
  <si>
    <t>Micro cài áo Sennheiser ME2</t>
  </si>
  <si>
    <t>Philippine</t>
  </si>
  <si>
    <t>CC0019530002</t>
  </si>
  <si>
    <t>CC0019530003</t>
  </si>
  <si>
    <t>CC0019530004</t>
  </si>
  <si>
    <t>CC0019530005</t>
  </si>
  <si>
    <t>CC0019530006</t>
  </si>
  <si>
    <t>0079XCC/AR/DV09/2018</t>
  </si>
  <si>
    <t>CC0019540001</t>
  </si>
  <si>
    <t>Tai nghe Bluetooth Pisen LE001</t>
  </si>
  <si>
    <t>tủ bàn HA</t>
  </si>
  <si>
    <t>0024XCC/AU/DV09/2015</t>
  </si>
  <si>
    <t>DIENTU00090001</t>
  </si>
  <si>
    <t>KVM Extender - Aten - Model CE 750</t>
  </si>
  <si>
    <t>phòng máy mới-</t>
  </si>
  <si>
    <t>DIENTU00090002</t>
  </si>
  <si>
    <t>DIENTU00090003</t>
  </si>
  <si>
    <t>DIENTU00090004</t>
  </si>
  <si>
    <t>Kho Lau 2</t>
  </si>
  <si>
    <t>DIENTU00090005</t>
  </si>
  <si>
    <t>DIENTU00090006</t>
  </si>
  <si>
    <t>H90108160005</t>
  </si>
  <si>
    <t>DT 38292689</t>
  </si>
  <si>
    <t>H90108470002</t>
  </si>
  <si>
    <t>Tivi 32" Sony - KDL-32R300E</t>
  </si>
  <si>
    <t>A1 bàn Đạo diễn, TV kiểm sóng</t>
  </si>
  <si>
    <t>H90108470003</t>
  </si>
  <si>
    <t>F1 - MC</t>
  </si>
  <si>
    <t>H90108530001</t>
  </si>
  <si>
    <t>Chống sét Zap-tech CX-FFF</t>
  </si>
  <si>
    <t>H90108530002</t>
  </si>
  <si>
    <t>H90108530003</t>
  </si>
  <si>
    <t>H90108530004</t>
  </si>
  <si>
    <t>H90108530005</t>
  </si>
  <si>
    <t>H90108530006</t>
  </si>
  <si>
    <t>H90108530007</t>
  </si>
  <si>
    <t>H90108530008</t>
  </si>
  <si>
    <t>H90108530009</t>
  </si>
  <si>
    <t>H90108530010</t>
  </si>
  <si>
    <t>0052XCC/AR/DV09/2018</t>
  </si>
  <si>
    <t>H90108570001</t>
  </si>
  <si>
    <t>Đèn tóc Desisti 1kW phim trường Leonardo 311.110</t>
  </si>
  <si>
    <t>H90108570002</t>
  </si>
  <si>
    <t>H90108580001</t>
  </si>
  <si>
    <t>Đèn key Desisti 1kW phim trường Leonardo 311.110</t>
  </si>
  <si>
    <t>H90108580002</t>
  </si>
  <si>
    <t>H90108580003</t>
  </si>
  <si>
    <t>H90108580004</t>
  </si>
  <si>
    <t>H90108590001</t>
  </si>
  <si>
    <t>Thiết bị giám sát và theo dõi tín hiệu dạng sóng của video Black Magic Design - Waveform Monitor - SmartScope Duo 4K 2</t>
  </si>
  <si>
    <t>A2-R8</t>
  </si>
  <si>
    <t>H90108600001</t>
  </si>
  <si>
    <t>Màn Hình giám sát 17" Black Magic Design chuyên dùng kiểm video HD-SDI - Monitor HD-SDI 17" - SmartView HD</t>
  </si>
  <si>
    <t>A1-MC màn hình gắn trên CAM 3</t>
  </si>
  <si>
    <t>H90108600002</t>
  </si>
  <si>
    <t>F1 PHÒNG HIỆN. CAM 1 KHIẾM THÍNH</t>
  </si>
  <si>
    <t>H90108600003</t>
  </si>
  <si>
    <t>F1 - control</t>
  </si>
  <si>
    <t>H90108610001</t>
  </si>
  <si>
    <t>Bộ chuyển đổi tín hiệu video Black Magic Design HD-SDI sang HDMI - Mini converter-SDI to HDMI</t>
  </si>
  <si>
    <t>tủ Hàn, hư chờ thanh lý</t>
  </si>
  <si>
    <t>H90108610002</t>
  </si>
  <si>
    <t>F1 SONY tivi mulitview</t>
  </si>
  <si>
    <t>H90108710001</t>
  </si>
  <si>
    <t>Bộ đổi tầng vệ tinh băng Ku Insofat - LNB băng Ku - Insofat K04</t>
  </si>
  <si>
    <t>H90108710002</t>
  </si>
  <si>
    <t>H90108710003</t>
  </si>
  <si>
    <t>H90108710004</t>
  </si>
  <si>
    <t>H90108710005</t>
  </si>
  <si>
    <t>0002XCC/KY/DV09/2019</t>
  </si>
  <si>
    <t>H90108830001</t>
  </si>
  <si>
    <t>Tivi Samsung 32"</t>
  </si>
  <si>
    <t>05VC3NHK701035T</t>
  </si>
  <si>
    <t>view 7 , 9 tu SCTV</t>
  </si>
  <si>
    <t>H90108830002</t>
  </si>
  <si>
    <t>05VC3NDK700063L</t>
  </si>
  <si>
    <t>0024XCC/KY/DV09/2019</t>
  </si>
  <si>
    <t>H90109000001</t>
  </si>
  <si>
    <t>Bàn phím chuyên dụng Viz Trio</t>
  </si>
  <si>
    <t>D1172736</t>
  </si>
  <si>
    <t>CHỖ CHỊ HOÀNG ANH</t>
  </si>
  <si>
    <t>0036XCC/KY/DV09/2019</t>
  </si>
  <si>
    <t>H90109050002</t>
  </si>
  <si>
    <t>Bộ chuyển mạch mạng 16 đường Cisco - SG95-16</t>
  </si>
  <si>
    <t>PSZ22371KKM</t>
  </si>
  <si>
    <t>0051XCC/KY/DV09/2019</t>
  </si>
  <si>
    <t>H90109200001</t>
  </si>
  <si>
    <t>Thiết bị kéo dài chuột, bàn phím Aten CE700A</t>
  </si>
  <si>
    <t>F3IA-011-0496</t>
  </si>
  <si>
    <t>Kho Sương</t>
  </si>
  <si>
    <t>H90109200002</t>
  </si>
  <si>
    <t>F3IA-011-0500</t>
  </si>
  <si>
    <t>H90109200003</t>
  </si>
  <si>
    <t>F3IA-011-0497</t>
  </si>
  <si>
    <t>H90109210001</t>
  </si>
  <si>
    <t>Micro để bàn Shure MX393/C</t>
  </si>
  <si>
    <t>A1-MC:mic2</t>
  </si>
  <si>
    <t>H90109210002</t>
  </si>
  <si>
    <t>A1 MIC cóc bàn 1</t>
  </si>
  <si>
    <t>H90109220001</t>
  </si>
  <si>
    <t>Bộ chuyển đổi HDMI sang SDI Multidyne ME-HDMI-3GSDI</t>
  </si>
  <si>
    <t>H90109230001</t>
  </si>
  <si>
    <t>Bộ chuyển đổi SDI sang HDMI Multidyne ME-3GSDI-HDMI</t>
  </si>
  <si>
    <t>A2 - rack 7 - MW1</t>
  </si>
  <si>
    <t>H90109230002</t>
  </si>
  <si>
    <t>A2 TV offair A2</t>
  </si>
  <si>
    <t>H90109230003</t>
  </si>
  <si>
    <t>A2 TV program phòng hiện</t>
  </si>
  <si>
    <t>H90109230004</t>
  </si>
  <si>
    <t>A2 phòng hiện preview mcr7</t>
  </si>
  <si>
    <t>0058XCC/KY/DV09/2019</t>
  </si>
  <si>
    <t>H90109310001</t>
  </si>
  <si>
    <t>Bộ chia tín hiệu HD Miranda HDA-1851</t>
  </si>
  <si>
    <t>095001R138523015</t>
  </si>
  <si>
    <t>kho lầu 1 PH mới</t>
  </si>
  <si>
    <t>H90109310002</t>
  </si>
  <si>
    <t>095001R138523022</t>
  </si>
  <si>
    <t>H90109310003</t>
  </si>
  <si>
    <t>095001R138523024</t>
  </si>
  <si>
    <t>H90109320001</t>
  </si>
  <si>
    <t>Tivi Sony KDL-32W610F</t>
  </si>
  <si>
    <t>Xin cho p.đọc</t>
  </si>
  <si>
    <t>H90109320002</t>
  </si>
  <si>
    <t>H90109320003</t>
  </si>
  <si>
    <t>H90109320004</t>
  </si>
  <si>
    <t>PHOTOS00040001</t>
  </si>
  <si>
    <t>Bộ điều khiển router loại 1 Black magic Design (Videohub Smart Control)</t>
  </si>
  <si>
    <t>MCR console</t>
  </si>
  <si>
    <t>PHOTOS00040002</t>
  </si>
  <si>
    <t>PHOTOS00040003</t>
  </si>
  <si>
    <t>PHOTOS00040004</t>
  </si>
  <si>
    <t>PHOTOS00050001</t>
  </si>
  <si>
    <t>Bộ điều khiển router loại 2 Black magic Design (Videohub Master Control)</t>
  </si>
  <si>
    <t>PHOTOS00050002</t>
  </si>
  <si>
    <t>0022XCC/AR/DV09/2016</t>
  </si>
  <si>
    <t>PHOTOS00060001</t>
  </si>
  <si>
    <t>Video patch panel Canare (32MD-ST-2U)</t>
  </si>
  <si>
    <t>Phong may MCR</t>
  </si>
  <si>
    <t>PHOTOS00060002</t>
  </si>
  <si>
    <t>PHOTOS00060003</t>
  </si>
  <si>
    <t>PHOTOS00060004</t>
  </si>
  <si>
    <t>PHOTOS00060005</t>
  </si>
  <si>
    <t>PHOTOS00060006</t>
  </si>
  <si>
    <t>PHOTOS00060007</t>
  </si>
  <si>
    <t>PHOTOS00060008</t>
  </si>
  <si>
    <t>PHOTOS00060009</t>
  </si>
  <si>
    <t>PHOTOS00060010</t>
  </si>
  <si>
    <t>PHOTOS00060011</t>
  </si>
  <si>
    <t>PHOTOS00060012</t>
  </si>
  <si>
    <t>PHOTOS00060013</t>
  </si>
  <si>
    <t>PHOTOS00060014</t>
  </si>
  <si>
    <t>PHOTOS00060015</t>
  </si>
  <si>
    <t>PHOTOS00060016</t>
  </si>
  <si>
    <t>PHOTOS00060017</t>
  </si>
  <si>
    <t>PHOTOS00060018</t>
  </si>
  <si>
    <t>PHOTOS00060019</t>
  </si>
  <si>
    <t>PHOTOS00060020</t>
  </si>
  <si>
    <t>rack k9 hd</t>
  </si>
  <si>
    <t>PHOTOS00060021</t>
  </si>
  <si>
    <t>PHOTOS00060022</t>
  </si>
  <si>
    <t>PHOTOS00060023</t>
  </si>
  <si>
    <t>PHOTOS00060024</t>
  </si>
  <si>
    <t>Long</t>
  </si>
  <si>
    <t>PHOTOS00060025</t>
  </si>
  <si>
    <t>PHOTOS00070001</t>
  </si>
  <si>
    <t>Màn hình Blackmagic Design (SmartView Duo)</t>
  </si>
  <si>
    <t>PHOTOS00070002</t>
  </si>
  <si>
    <t>Lầu 1 - PGM PVW K9</t>
  </si>
  <si>
    <t>PHOTOS00070003</t>
  </si>
  <si>
    <t>Lầu 1 - bàn ngoài (2)</t>
  </si>
  <si>
    <t>PHOTOS00070004</t>
  </si>
  <si>
    <t>PHOTOS00070005</t>
  </si>
  <si>
    <t>PHOTOS00070006</t>
  </si>
  <si>
    <t>Lầu 1 - ngoài (3)</t>
  </si>
  <si>
    <t>PHOTOS00070007</t>
  </si>
  <si>
    <t>Lầu 1 - MCR - rack 7</t>
  </si>
  <si>
    <t>0011XCC/AR/DV09/2017</t>
  </si>
  <si>
    <t>PHOTOS00100001</t>
  </si>
  <si>
    <t>Đầu ghi hình HIKVISION (DS-7616NI-K2)</t>
  </si>
  <si>
    <t>0012XCC/AR/DV09/2017</t>
  </si>
  <si>
    <t>PHOTOS00110001</t>
  </si>
  <si>
    <t>Camera quan sát HIKVISION (DS-2CD2120F-I)</t>
  </si>
  <si>
    <t>PHOTOS00110002</t>
  </si>
  <si>
    <t>PHOTOS00110003</t>
  </si>
  <si>
    <t>PHOTOS00110004</t>
  </si>
  <si>
    <t>P. CONSOLE PH</t>
  </si>
  <si>
    <t>PHOTOS00110005</t>
  </si>
  <si>
    <t>PHOTOS00110006</t>
  </si>
  <si>
    <t>PHOTOS00110007</t>
  </si>
  <si>
    <t>PHOTOS00110008</t>
  </si>
  <si>
    <t>PHOTOS00110009</t>
  </si>
  <si>
    <t>PHOTOS00110010</t>
  </si>
  <si>
    <t>0016XCC/AU/DV09/2013</t>
  </si>
  <si>
    <t>TIVI00020001</t>
  </si>
  <si>
    <t>Ti vi LCD offair 32" Sony - Model KDL-32EX650</t>
  </si>
  <si>
    <t>HT phát sóng HD kênh 7 &amp; 9</t>
  </si>
  <si>
    <t>Lầu 1 - K7 HD offair</t>
  </si>
  <si>
    <t>TIVI00020002</t>
  </si>
  <si>
    <t>Lầu 1 - K9 HD offair</t>
  </si>
  <si>
    <t>0043XCC/AU/DV09/2014</t>
  </si>
  <si>
    <t>TIVI00030002</t>
  </si>
  <si>
    <t>TV LCD Sony - Model KDL-32W674A</t>
  </si>
  <si>
    <t>0009XCC/AU/DV09/2014</t>
  </si>
  <si>
    <t>TIVI00080001</t>
  </si>
  <si>
    <t>Màn hình SmartView Duo BlackMagic Design</t>
  </si>
  <si>
    <t>bàn ddr3 PH</t>
  </si>
  <si>
    <t>TIVI00080002</t>
  </si>
  <si>
    <t>Lầu 1 - DP mất điện K9</t>
  </si>
  <si>
    <t>TIVI00080003</t>
  </si>
  <si>
    <t>F1 ban dao dien</t>
  </si>
  <si>
    <t>TIVI00110001</t>
  </si>
  <si>
    <t>TiVi LCD Sony 32" - KDL-32EX65</t>
  </si>
  <si>
    <t>offair K7 HD</t>
  </si>
  <si>
    <t>TIVI00110002</t>
  </si>
  <si>
    <t>TIVI00180001</t>
  </si>
  <si>
    <t>Tivi Sony 50 inches - Model KDL 50W800B</t>
  </si>
  <si>
    <t>TIVI00190001</t>
  </si>
  <si>
    <t>Màn hình touchscreen HP - Model L5009TM</t>
  </si>
  <si>
    <t>CN243000GX</t>
  </si>
  <si>
    <t>TIVI00190002</t>
  </si>
  <si>
    <t>CN243000HD</t>
  </si>
  <si>
    <t>A2-kho: Rack</t>
  </si>
  <si>
    <t>TIVI00190003</t>
  </si>
  <si>
    <t>CN243000H4</t>
  </si>
  <si>
    <t>A2 control- switch</t>
  </si>
  <si>
    <t>0028XCC/AR/DV09/2017</t>
  </si>
  <si>
    <t>TIVI00230003</t>
  </si>
  <si>
    <t>Tivi Samsung 32" (UA32FH4003KXXV)</t>
  </si>
  <si>
    <t>01X63YDH103464Z</t>
  </si>
  <si>
    <t>TIVI00230004</t>
  </si>
  <si>
    <t>01X63YDH103526V</t>
  </si>
  <si>
    <t>TIVI00230005</t>
  </si>
  <si>
    <t>01X63YDH104452W</t>
  </si>
  <si>
    <t>TIVI00230006</t>
  </si>
  <si>
    <t>01X63YBH100904L</t>
  </si>
  <si>
    <t>TIVI00230007</t>
  </si>
  <si>
    <t>01X63YDGC02170F</t>
  </si>
  <si>
    <t>TU00160001</t>
  </si>
  <si>
    <t>Tủ rack (42U)</t>
  </si>
  <si>
    <t>Pmay mới có 23 rack 42u</t>
  </si>
  <si>
    <t>TU00160002</t>
  </si>
  <si>
    <t>TU00160003</t>
  </si>
  <si>
    <t>TU00160004</t>
  </si>
  <si>
    <t>TU00160005</t>
  </si>
  <si>
    <t>TU00160006</t>
  </si>
  <si>
    <t>TU00160007</t>
  </si>
  <si>
    <t>TU00160008</t>
  </si>
  <si>
    <t>TU00160009</t>
  </si>
  <si>
    <t>TU00160010</t>
  </si>
  <si>
    <t>TU00160011</t>
  </si>
  <si>
    <t>TU00160012</t>
  </si>
  <si>
    <t>TU00160013</t>
  </si>
  <si>
    <t>TU00160014</t>
  </si>
  <si>
    <t>TU00160015</t>
  </si>
  <si>
    <t>TU00160016</t>
  </si>
  <si>
    <t>TU00160017</t>
  </si>
  <si>
    <t>TU00160018</t>
  </si>
  <si>
    <t>TU00160019</t>
  </si>
  <si>
    <t>TU00160020</t>
  </si>
  <si>
    <t>TU00160021</t>
  </si>
  <si>
    <t>TU00160022</t>
  </si>
  <si>
    <t>TU00160023</t>
  </si>
  <si>
    <t>0057XCC/AU/DV09/2014</t>
  </si>
  <si>
    <t>VITINH00110037</t>
  </si>
  <si>
    <t>Máy vi tính HP Compaq Pro 6300 - Model QV985AV - bao gồm Keyboard HP USB + mouse HP USB + Loa Creative 2.1 và Monitor LED HP 20 inches</t>
  </si>
  <si>
    <t>CPU: SGH343QN2P Monitor: 6CM33813L6</t>
  </si>
  <si>
    <t>CPU prompter A1, màn hình trên nóc tủ hồ sơ đã thay vào ptF1 Đạo diễn xem Lineup</t>
  </si>
  <si>
    <t>VITINH00110038</t>
  </si>
  <si>
    <t>CPU: SGH343QN2Z Monitor: 6CM33813BB</t>
  </si>
  <si>
    <t>PM MCR HD
  (MÁY CHECK MAIL MCR)</t>
  </si>
  <si>
    <t>0015XCC/AU/DV09/2015</t>
  </si>
  <si>
    <t>VITINH00220001</t>
  </si>
  <si>
    <t>Apple Ipad Mini 3 Retina Wifi 16GB - kèm bao da - Model MGYE2TH/A</t>
  </si>
  <si>
    <t>DLXNM8CNG5V3</t>
  </si>
  <si>
    <t>PT F2 - TTPH</t>
  </si>
  <si>
    <t>A1 ipad ASSK</t>
  </si>
  <si>
    <t>VITINH00220002</t>
  </si>
  <si>
    <t>DQTNJ5TVG5V3</t>
  </si>
  <si>
    <t>Phim trường F2 - TTPH</t>
  </si>
  <si>
    <t>F1,Ipad thể thao 365</t>
  </si>
  <si>
    <t>0001XCC/AU/DV09/2016</t>
  </si>
  <si>
    <t>VITINH00280001</t>
  </si>
  <si>
    <t>Máy trạm HP quản lý lập lịch, giám sát lịch phát sóng: cấu hình Intel Core i5-4570 3.2GHz Ra, 4GB Win8.1, HDD 500GB, DVD-R kèm chuột và bàn phím HP</t>
  </si>
  <si>
    <t>SGH441ST8G</t>
  </si>
  <si>
    <t>Hệ thống HT video server HD và nâng cấp phần mềm Etere điều khiển phát sóng HD</t>
  </si>
  <si>
    <t>PH mới lầu 2</t>
  </si>
  <si>
    <t>VITINH00280002</t>
  </si>
  <si>
    <t>SGH441ST8D</t>
  </si>
  <si>
    <t>Phòng chị Sương</t>
  </si>
  <si>
    <t>VITINH00290001</t>
  </si>
  <si>
    <t>Màn hình máy tính HP TouchScreen 21,5" LCD - Model HP Compaq L2206TM Monitor</t>
  </si>
  <si>
    <t>CNC4120P7M</t>
  </si>
  <si>
    <t>Lầu 1 - MCR -
  máy check mail</t>
  </si>
  <si>
    <t>VITINH00290002</t>
  </si>
  <si>
    <t>CNC4120P7Z</t>
  </si>
  <si>
    <t>VITINH00360001</t>
  </si>
  <si>
    <t>Màn hình HP 21,5" (Z22i)</t>
  </si>
  <si>
    <t>CNC5380BRD</t>
  </si>
  <si>
    <t>Lầu 1 - MCR camera view</t>
  </si>
  <si>
    <t>VITINH00360002</t>
  </si>
  <si>
    <t>CNC5380BRF</t>
  </si>
  <si>
    <t>Lầu 1 - MCR - Delay1HD</t>
  </si>
  <si>
    <t>VITINH00360003</t>
  </si>
  <si>
    <t>CNC5380BRO</t>
  </si>
  <si>
    <t>chưa</t>
  </si>
  <si>
    <t>VITINH00360004</t>
  </si>
  <si>
    <t>CNC5380BRL</t>
  </si>
  <si>
    <t>Lầu - MCR - rack 4</t>
  </si>
  <si>
    <t>VITINH00360005</t>
  </si>
  <si>
    <t>CNC5380BRK</t>
  </si>
  <si>
    <t>Lầu 1 - mấy VP trong</t>
  </si>
  <si>
    <t>VITINH00360006</t>
  </si>
  <si>
    <t>CNC5380BR6</t>
  </si>
  <si>
    <t>Lầu 1 - máy DDR7</t>
  </si>
  <si>
    <t>VITINH00360007</t>
  </si>
  <si>
    <t>CNC5380BRH</t>
  </si>
  <si>
    <t>Phòng sếp Lâm</t>
  </si>
  <si>
    <t>VITINH00360008</t>
  </si>
  <si>
    <t>CNC5380BRN</t>
  </si>
  <si>
    <t>Lầu 1 - Máy DDR9</t>
  </si>
  <si>
    <t>VITINH00360009</t>
  </si>
  <si>
    <t>CNC5380BR4</t>
  </si>
  <si>
    <t>Lầu 1 - máy upload 1 ngoài</t>
  </si>
  <si>
    <t>VITINH00360010</t>
  </si>
  <si>
    <t>CNC5380BRJ</t>
  </si>
  <si>
    <t>Lầu 1 - MCR - rack 8</t>
  </si>
  <si>
    <t>VITINH00380001</t>
  </si>
  <si>
    <t>Switch mạng Cisco (SG300-52)</t>
  </si>
  <si>
    <t>DNI193102GY</t>
  </si>
  <si>
    <t>MCR HD (RACK VT)</t>
  </si>
  <si>
    <t>VITINH00380002</t>
  </si>
  <si>
    <t>DNI1931029E</t>
  </si>
  <si>
    <t>PM MCR HD (RACK ODF)</t>
  </si>
  <si>
    <t>VITINH00380003</t>
  </si>
  <si>
    <t>DNI19260ELD</t>
  </si>
  <si>
    <t>0001XCC/KY/DV09/2020</t>
  </si>
  <si>
    <t>H90109440001</t>
  </si>
  <si>
    <t>Máy đo nhiệt độ Fluke - VT04</t>
  </si>
  <si>
    <t>0002XCC/KY/DV09/2020</t>
  </si>
  <si>
    <t>CC00119680001</t>
  </si>
  <si>
    <t>Tủ hồ sơ sắt</t>
  </si>
  <si>
    <t>0017XCC/KY/DV09/2020</t>
  </si>
  <si>
    <t>H90109500001</t>
  </si>
  <si>
    <t>Thiết bị theo dõi lịch phát sóng Microsoft Surface Go 4415Y/4G</t>
  </si>
  <si>
    <t>027513301051, bàn phím: 0172524935545</t>
  </si>
  <si>
    <t>H90109500002</t>
  </si>
  <si>
    <t>027145201051, bàn phím: 0175393935545</t>
  </si>
  <si>
    <t>GĐ</t>
  </si>
  <si>
    <t>A. Đình Lâm</t>
  </si>
  <si>
    <t>H90109500003</t>
  </si>
  <si>
    <t>026972201051, bàn phím: 0047424940545</t>
  </si>
  <si>
    <t>H90109500004</t>
  </si>
  <si>
    <t>026703301051, bàn phím: 0172486935545</t>
  </si>
  <si>
    <t>H90109500005</t>
  </si>
  <si>
    <t>013679201251, bàn phím: 0175366935545</t>
  </si>
  <si>
    <t>0057XCC/KY/DV09/2020</t>
  </si>
  <si>
    <t>CC00107370018</t>
  </si>
  <si>
    <t>Ghế quầy</t>
  </si>
  <si>
    <t>A1: ghế MC</t>
  </si>
  <si>
    <t>CC00107370019</t>
  </si>
  <si>
    <t>F1: ghế MC</t>
  </si>
  <si>
    <t>CC00107370020</t>
  </si>
  <si>
    <t>CC00107220274</t>
  </si>
  <si>
    <t>Ghế Nhân viên</t>
  </si>
  <si>
    <t>F1: ghế Đạo diễn - Âm thanh, mất bánh xe</t>
  </si>
  <si>
    <t>CC00107220275</t>
  </si>
  <si>
    <t>pHTKT-CQ: ghế Đạo diễn - Âm thanh</t>
  </si>
  <si>
    <t>CC00107220276</t>
  </si>
  <si>
    <t>F1: ghế Đạo diễn - Âm thanh</t>
  </si>
  <si>
    <t>CC00107220277</t>
  </si>
  <si>
    <t>pHTKT-Quân: ghế Đạo diễn - Âm thanh</t>
  </si>
  <si>
    <t>CC00107220278</t>
  </si>
  <si>
    <t>A1: ghế Đạo diễn - Âm thanh</t>
  </si>
  <si>
    <t>CC00107220279</t>
  </si>
  <si>
    <t>CC00106570060</t>
  </si>
  <si>
    <t>Ghế chân quỳ</t>
  </si>
  <si>
    <t>F1: ghế nhân viên</t>
  </si>
  <si>
    <t>CC00106570061</t>
  </si>
  <si>
    <t>CC00106570062</t>
  </si>
  <si>
    <t>A2 control: ghế nhân viên</t>
  </si>
  <si>
    <t>CC00106570063</t>
  </si>
  <si>
    <t>A1l: ghế nhân viên</t>
  </si>
  <si>
    <t>CC00106570064</t>
  </si>
  <si>
    <t>A1: ghế nhân viên</t>
  </si>
  <si>
    <t>CC00106570065</t>
  </si>
  <si>
    <t>CC00106570066</t>
  </si>
  <si>
    <t>CC00106570067</t>
  </si>
  <si>
    <t>CC00106570068</t>
  </si>
  <si>
    <t>CC00106570069</t>
  </si>
  <si>
    <t>0050XCC/AR/DV09/2021</t>
  </si>
  <si>
    <t>CC00119910001</t>
  </si>
  <si>
    <t>Loa vi tính Soundmax (A820)</t>
  </si>
  <si>
    <t>May VP</t>
  </si>
  <si>
    <t>CC00119910002</t>
  </si>
  <si>
    <t>Duc</t>
  </si>
  <si>
    <t>Giam sat DDR3</t>
  </si>
  <si>
    <t>0003XCC/AR/DV09/2021</t>
  </si>
  <si>
    <t>H90109980001</t>
  </si>
  <si>
    <t>Màn hình Sony 55"</t>
  </si>
  <si>
    <t>F1: TV PGM</t>
  </si>
  <si>
    <t>H90109980002</t>
  </si>
  <si>
    <t>A2-control: TV PGM cho Multiview</t>
  </si>
  <si>
    <t>H90109980003</t>
  </si>
  <si>
    <t>A2 KHO, TREN BAN</t>
  </si>
  <si>
    <t>H90109980004</t>
  </si>
  <si>
    <t>Màn hình PVW hư, A2 KHO</t>
  </si>
  <si>
    <t>0043XCC/AR/DV09/2021</t>
  </si>
  <si>
    <t>H90110340001</t>
  </si>
  <si>
    <t>Bộ chuyển đổi tần số vệ tinh Norsat (8525RF)</t>
  </si>
  <si>
    <t>2003-N20204-03911</t>
  </si>
  <si>
    <t>H90110340002</t>
  </si>
  <si>
    <t>2003-N20204-03913</t>
  </si>
  <si>
    <t>H90110340003</t>
  </si>
  <si>
    <t>2003-N20204-03924</t>
  </si>
  <si>
    <t>H90110340004</t>
  </si>
  <si>
    <t>2003-N20204-04310</t>
  </si>
  <si>
    <t>H90110340005</t>
  </si>
  <si>
    <t>2003-N20204-04316</t>
  </si>
  <si>
    <t>H90110340006</t>
  </si>
  <si>
    <t>2003-N20204-04320</t>
  </si>
  <si>
    <t>H90110340007</t>
  </si>
  <si>
    <t>2003-N20204-04333</t>
  </si>
  <si>
    <t>H90110340008</t>
  </si>
  <si>
    <t>2003-N20204-04343</t>
  </si>
  <si>
    <t>Bộ kéo dài chuột bàn phím Aten</t>
  </si>
  <si>
    <t>F3C5H012DCK0152</t>
  </si>
  <si>
    <t>F1 KVM cho Infinity va DDR3</t>
  </si>
  <si>
    <t>0018XCC/AR/DV09/2023</t>
  </si>
  <si>
    <t>3020999031877002</t>
  </si>
  <si>
    <t>Micro shure (PGA27)</t>
  </si>
  <si>
    <t>3020999031877003</t>
  </si>
  <si>
    <t>3020999031877004</t>
  </si>
  <si>
    <t>0004XCC/AR/DV09/2023</t>
  </si>
  <si>
    <t>CC00120370016</t>
  </si>
  <si>
    <t>Ghế chân quỳ THEONE, chân thép mạ Chrome W470xD590xH850, đệm bọc Simili màu đen</t>
  </si>
  <si>
    <t>CC00120370017</t>
  </si>
  <si>
    <t>CC00120370018</t>
  </si>
  <si>
    <t>CC00120370019</t>
  </si>
  <si>
    <t>CC00120370020</t>
  </si>
  <si>
    <t>CC00120370021</t>
  </si>
  <si>
    <t>CC00120370022</t>
  </si>
  <si>
    <t>CC00120370023</t>
  </si>
  <si>
    <t>CC00120370024</t>
  </si>
  <si>
    <t>CC00120370025</t>
  </si>
  <si>
    <t>CC00120370026</t>
  </si>
  <si>
    <t>CC00120370027</t>
  </si>
  <si>
    <t>CC00120370028</t>
  </si>
  <si>
    <t>CC00120370029</t>
  </si>
  <si>
    <t>CC00120370030</t>
  </si>
  <si>
    <t>CC00120370031</t>
  </si>
  <si>
    <t>CC00120370032</t>
  </si>
  <si>
    <t>CC00120370033</t>
  </si>
  <si>
    <t>CC00120370034</t>
  </si>
  <si>
    <t>CC00120370035</t>
  </si>
  <si>
    <t>CC00120370036</t>
  </si>
  <si>
    <t>CC00120370037</t>
  </si>
  <si>
    <t>CC00120370038</t>
  </si>
  <si>
    <t>CC00120370039</t>
  </si>
  <si>
    <t>CC00120370040</t>
  </si>
  <si>
    <t>CC00120370041</t>
  </si>
  <si>
    <t>CC00120370042</t>
  </si>
  <si>
    <t>CC00120370043</t>
  </si>
  <si>
    <t>CC00120370044</t>
  </si>
  <si>
    <t>CC00120370045</t>
  </si>
  <si>
    <t>0041XCC/AR/DV09/2023</t>
  </si>
  <si>
    <t>CC00120460001</t>
  </si>
  <si>
    <t>Giường gấp (NKT - B905)</t>
  </si>
  <si>
    <t>CC00120460002</t>
  </si>
  <si>
    <t>CC00120460003</t>
  </si>
  <si>
    <t>CC00120460004</t>
  </si>
  <si>
    <t>CC00120460005</t>
  </si>
  <si>
    <t>Giường gấp (NKT - B705)</t>
  </si>
  <si>
    <t>CC00120460006</t>
  </si>
  <si>
    <t>CC00120460007</t>
  </si>
  <si>
    <t>A2: kho</t>
  </si>
  <si>
    <t>CC00120460008</t>
  </si>
  <si>
    <t>CC00120460009</t>
  </si>
  <si>
    <t>CC00120460010</t>
  </si>
  <si>
    <t>CC00120460011</t>
  </si>
  <si>
    <t>CC00120460012</t>
  </si>
  <si>
    <t>0045XCC/AR/DV09/2023</t>
  </si>
  <si>
    <t>CC00120470001</t>
  </si>
  <si>
    <t>Vách ngăn phòng thanh nhôm lắp kiếng, bao gồm cửa nhôm 1 cánh: 5850 x 3000 = 17.55m2</t>
  </si>
  <si>
    <t>Tấm</t>
  </si>
  <si>
    <t>Chiến Thắng</t>
  </si>
  <si>
    <t>0025XCC/AR/DV09/2023</t>
  </si>
  <si>
    <t>H90111050010</t>
  </si>
  <si>
    <t>Micro Converter SDI to HDMI 3G</t>
  </si>
  <si>
    <t>H90111050011</t>
  </si>
  <si>
    <t>H90111050012</t>
  </si>
  <si>
    <t>0005XCC/AR/DV09/2023</t>
  </si>
  <si>
    <t>H90111060001</t>
  </si>
  <si>
    <t>Bộ chuyển đổi định dạng tín hiệu HDMI sang SDI, Micro Converter HDMI to SDI Blackmagic Design</t>
  </si>
  <si>
    <t>H90111060002</t>
  </si>
  <si>
    <t>A1: Phía sau Rack A1, kế bên CPU videowall, Ô 2</t>
  </si>
  <si>
    <t>H90111060003</t>
  </si>
  <si>
    <t>A1: Phía sau Rack A1, kế bên CPU videowall, Ô 3</t>
  </si>
  <si>
    <t>H90111060004</t>
  </si>
  <si>
    <t>A1: Phía sau Rack A1, kế bên CPU videowall, Ô 1</t>
  </si>
  <si>
    <t>H90111060005</t>
  </si>
  <si>
    <t>A1: Phía sau Rack A1, kế bên CPU videowall, Ô 4</t>
  </si>
  <si>
    <t>H90111060006</t>
  </si>
  <si>
    <t>A1: Phía sau Rack A1, kế bên CPU videowall, Ô 6</t>
  </si>
  <si>
    <t>H90111060007</t>
  </si>
  <si>
    <t>H90111060008</t>
  </si>
  <si>
    <t>A1: Phía sau Rack A1, kế bên CPU videowall, Ô 5</t>
  </si>
  <si>
    <t>H90111070001</t>
  </si>
  <si>
    <t>Bộ chuyển dổi định dạng tín hiệu SDI sang HDMI, Micro Converter SDI to HDMI Blackmagic Design</t>
  </si>
  <si>
    <t>Phia sau màn hình Videowall, p.hiện, Ô 5</t>
  </si>
  <si>
    <t>H90111070002</t>
  </si>
  <si>
    <t>Phia sau màn hình Videowall, p.hiện, Ô 1</t>
  </si>
  <si>
    <t>H90111070003</t>
  </si>
  <si>
    <t>màn hình TV PGM A1 PHÒNG HIỆN</t>
  </si>
  <si>
    <t>H90111070004</t>
  </si>
  <si>
    <t>dự phòng</t>
  </si>
  <si>
    <t>H90111070005</t>
  </si>
  <si>
    <t>Phia sau màn hình Videowall, p.hiện, Ô 2</t>
  </si>
  <si>
    <t>H90111070006</t>
  </si>
  <si>
    <t>Phia sau màn hình Videowall, p.hiện, Ô 3</t>
  </si>
  <si>
    <t>H90111070007</t>
  </si>
  <si>
    <t>Phòng Rack A1-Rack7, Multiview TV2</t>
  </si>
  <si>
    <t>H90111070008</t>
  </si>
  <si>
    <t>màn hình TV PVW A1 PHÒNG HIỆN</t>
  </si>
  <si>
    <t>0010XCC/AR/DV09/2023</t>
  </si>
  <si>
    <t>H90111090001</t>
  </si>
  <si>
    <t>Màn hình tivi LED 32" KD-32W830K</t>
  </si>
  <si>
    <t>Offair K7</t>
  </si>
  <si>
    <t>H90111090002</t>
  </si>
  <si>
    <t>Offair HTVC K7</t>
  </si>
  <si>
    <t>H90111090003</t>
  </si>
  <si>
    <t>TV DVB-T</t>
  </si>
  <si>
    <t>H90111090004</t>
  </si>
  <si>
    <t>Offair HD K9</t>
  </si>
  <si>
    <t>H90111090005</t>
  </si>
  <si>
    <t>Offair HTVC K9</t>
  </si>
  <si>
    <t>H90111090006</t>
  </si>
  <si>
    <t>A.Thắng</t>
  </si>
  <si>
    <t>P.Anh Thắng</t>
  </si>
  <si>
    <t>H90111090007</t>
  </si>
  <si>
    <t>Offair K9</t>
  </si>
  <si>
    <t>H90111090008</t>
  </si>
  <si>
    <t>Kho (Sẽ thay cho máy Offair tại MCR)</t>
  </si>
  <si>
    <t>0011XCC/AR/DV09/2023</t>
  </si>
  <si>
    <t>H90111100001</t>
  </si>
  <si>
    <t>Máy Chromakey Ultimatte 12 HD</t>
  </si>
  <si>
    <t>A2: RACK 7</t>
  </si>
  <si>
    <t>H90111100002</t>
  </si>
  <si>
    <t>A1: RACK 5</t>
  </si>
  <si>
    <t>H90111170001</t>
  </si>
  <si>
    <t>Tai nghe kiểm thính cho phòng đọc SRH240A</t>
  </si>
  <si>
    <t>H90111170002</t>
  </si>
  <si>
    <t>H90111170003</t>
  </si>
  <si>
    <t>H90111180001</t>
  </si>
  <si>
    <t>Dao cắt dây cáp video 3C (TS100U)</t>
  </si>
  <si>
    <t>C.Sương</t>
  </si>
  <si>
    <t>CC00120640001</t>
  </si>
  <si>
    <t>Thiết bị trộn hình ảnh ATEM 1 M/E Constellation HD</t>
  </si>
  <si>
    <t>Kho PH lầu 1 (DP cho Bypass )</t>
  </si>
  <si>
    <t>H90110360003</t>
  </si>
  <si>
    <t>Bàn trộn âm thanh Yamaha (MG16XU)</t>
  </si>
  <si>
    <t>EGDX01326</t>
  </si>
  <si>
    <t>A2 mixer dự phòng (CQ chuyển)</t>
  </si>
  <si>
    <t>H90111590001</t>
  </si>
  <si>
    <t>Tivi Sony KD-55X75K</t>
  </si>
  <si>
    <t>Quân</t>
  </si>
  <si>
    <t>A1 Multiview Program</t>
  </si>
  <si>
    <t>H90111590002</t>
  </si>
  <si>
    <t>A1 Multiview Preview</t>
  </si>
  <si>
    <t>H90111590003</t>
  </si>
  <si>
    <t>F1 Multiview Preview</t>
  </si>
  <si>
    <t>H90111600001</t>
  </si>
  <si>
    <t>Bộ chuyển đổi tín hiệu Blackmagic Design BiDirectional SDI/HDMI 3G</t>
  </si>
  <si>
    <t>màn hình TV OFFAIR A2 PHÒNG HIỆN</t>
  </si>
  <si>
    <t>H90111600002</t>
  </si>
  <si>
    <t>Hàn</t>
  </si>
  <si>
    <t>tủ Hàn, dự phòng</t>
  </si>
  <si>
    <t>H90111600003</t>
  </si>
  <si>
    <t>H90110400073</t>
  </si>
  <si>
    <t>Bộ máy tính FPT (T1240is)</t>
  </si>
  <si>
    <t>WT2303250226/VTDQBHA001379</t>
  </si>
  <si>
    <t>H90110400074</t>
  </si>
  <si>
    <t>WT2303250227/VTDQBHA001382</t>
  </si>
  <si>
    <t>Lầu 1 PH</t>
  </si>
  <si>
    <t>H90110400075</t>
  </si>
  <si>
    <t>WT2303250228/VTDQBHA001400</t>
  </si>
  <si>
    <t>A2, CPU máy remote sw SONY. Màn hình Trio ptA1</t>
  </si>
  <si>
    <t>H90110400076</t>
  </si>
  <si>
    <t>WT2303250229/VTDQBHA001401</t>
  </si>
  <si>
    <t>F102, CPU máy TTDK. Màn hình DDR1 F1</t>
  </si>
  <si>
    <t>H90111090009</t>
  </si>
  <si>
    <t>H90111090010</t>
  </si>
  <si>
    <t>H90111700002</t>
  </si>
  <si>
    <t>Điện thoại Panasonic gồm 3 đế (KX-TGC310CX), 3 điện thoại (KX-TGCA30CX)</t>
  </si>
  <si>
    <t>H90111710001</t>
  </si>
  <si>
    <t>Thiết bị lọc nhiễu 5G cho băng tần C BWEI BPF-5G4042</t>
  </si>
  <si>
    <t>H90111710002</t>
  </si>
  <si>
    <t>H90111720001</t>
  </si>
  <si>
    <t>LNB C band 3.4 - 4.2 Ghz Norsat 3120F</t>
  </si>
  <si>
    <t>2309-N22618-00396</t>
  </si>
  <si>
    <t>H90111720002</t>
  </si>
  <si>
    <t>2309-N22618-00332</t>
  </si>
  <si>
    <t>H90111730001</t>
  </si>
  <si>
    <t>Bộ Feedhorn gá LNB</t>
  </si>
  <si>
    <t>H90111730002</t>
  </si>
  <si>
    <t>H90111790001</t>
  </si>
  <si>
    <t>Bộ lọc thông dải C-Band Norsat BPF-C-2</t>
  </si>
  <si>
    <t>C00219Y163</t>
  </si>
  <si>
    <t>H90111800001</t>
  </si>
  <si>
    <t>Mô đun phát tín hiệu quang cho thiết bị xử lý đồng bộ tín hiệu Imagine Communi cations OP+SFP+TT+13+13</t>
  </si>
  <si>
    <t>H90111800002</t>
  </si>
  <si>
    <t>H90111800003</t>
  </si>
  <si>
    <t>H90111800004</t>
  </si>
  <si>
    <t>H90111810001</t>
  </si>
  <si>
    <t>Thiết bị giám sát độ ồn âm thanh TC Electronic Clarity M Stereo</t>
  </si>
  <si>
    <t>S220301831DC8</t>
  </si>
  <si>
    <t>K9</t>
  </si>
  <si>
    <t>H90111810002</t>
  </si>
  <si>
    <t>S220301832DC8</t>
  </si>
  <si>
    <t>K7</t>
  </si>
  <si>
    <t>H90111820001</t>
  </si>
  <si>
    <t>Bộ đổi tín hiệu SDI sang audio AES BlackMagic Design Mini Converter SDI to Audio</t>
  </si>
  <si>
    <t>H90111820002</t>
  </si>
  <si>
    <t>H90111830001</t>
  </si>
  <si>
    <t>Bộ phát micro không dây, kèm đầu dây micro Shure QLXD1</t>
  </si>
  <si>
    <t>3CK04687733</t>
  </si>
  <si>
    <t>A2 control, w17-18-19-20</t>
  </si>
  <si>
    <t>H90111830002</t>
  </si>
  <si>
    <t>3CK04688188</t>
  </si>
  <si>
    <t>H90111830003</t>
  </si>
  <si>
    <t>3CK04688203</t>
  </si>
  <si>
    <t>H90111830004</t>
  </si>
  <si>
    <t>3CK04687757</t>
  </si>
  <si>
    <t>H90111840001</t>
  </si>
  <si>
    <t>Bộ thu micro không dây Shure QLXD4</t>
  </si>
  <si>
    <t>3CJ27078059</t>
  </si>
  <si>
    <t>H90111840002</t>
  </si>
  <si>
    <t>3CJ27077921</t>
  </si>
  <si>
    <t>H90111840003</t>
  </si>
  <si>
    <t>3CJ27078287</t>
  </si>
  <si>
    <t>H90111840004</t>
  </si>
  <si>
    <t>3CJ27078275</t>
  </si>
  <si>
    <t>H90111850001</t>
  </si>
  <si>
    <t>Thiết bị chuyển đổi tín hiệu micro sang line Kramer 106</t>
  </si>
  <si>
    <t>Quang</t>
  </si>
  <si>
    <t>A1, chia micro 3</t>
  </si>
  <si>
    <t>H90111850002</t>
  </si>
  <si>
    <t>F1, chia micro</t>
  </si>
  <si>
    <t>H90111990001</t>
  </si>
  <si>
    <t>Máy hút bụi Panasonic MC-CL609</t>
  </si>
  <si>
    <t>230418-0177</t>
  </si>
  <si>
    <t>cái</t>
  </si>
  <si>
    <t>PH Lầu 1</t>
  </si>
  <si>
    <t>TP.HCM, Ngày 01 tháng 04 năm 2026</t>
  </si>
  <si>
    <t>Đài Truyền Hình TPHCM</t>
  </si>
  <si>
    <t>Đơn vị: Trung tâm Phát hình</t>
  </si>
  <si>
    <t xml:space="preserve">                               BIÊN BẢN BÀN GIAO QUẢN LÝ CÔNG CỤ DỤNG CỤ</t>
  </si>
  <si>
    <t>3010102337034</t>
  </si>
  <si>
    <t>Chép file HTVC cũ</t>
  </si>
  <si>
    <t>01/2013</t>
  </si>
  <si>
    <t>3010102361034</t>
  </si>
  <si>
    <t>3010102361035</t>
  </si>
  <si>
    <t>Kho lầu 1</t>
  </si>
  <si>
    <t>3010102361036</t>
  </si>
  <si>
    <t>3010102361037</t>
  </si>
  <si>
    <t>3010102361038</t>
  </si>
  <si>
    <t>3010102361039</t>
  </si>
  <si>
    <t>3010103057001</t>
  </si>
  <si>
    <t>275329777000158</t>
  </si>
  <si>
    <t>2003009</t>
  </si>
  <si>
    <t>3010104072005</t>
  </si>
  <si>
    <t>KT Xuân thanh lý</t>
  </si>
  <si>
    <t>ok</t>
  </si>
  <si>
    <t>3010104093009</t>
  </si>
  <si>
    <t>517952</t>
  </si>
  <si>
    <t>3010104107002</t>
  </si>
  <si>
    <t xml:space="preserve">Monitor LCD Display Viewsonic 17" </t>
  </si>
  <si>
    <t>169</t>
  </si>
  <si>
    <t>3010104113001</t>
  </si>
  <si>
    <t>2006440</t>
  </si>
  <si>
    <t>210</t>
  </si>
  <si>
    <t>3010104154002</t>
  </si>
  <si>
    <t xml:space="preserve">Monitor LCD Viewsonic 19" </t>
  </si>
  <si>
    <t>211</t>
  </si>
  <si>
    <t>3010104154003</t>
  </si>
  <si>
    <t>174</t>
  </si>
  <si>
    <t>3010104157001</t>
  </si>
  <si>
    <t>38</t>
  </si>
  <si>
    <t>3010104166001</t>
  </si>
  <si>
    <t>3010104167005</t>
  </si>
  <si>
    <t>16905810</t>
  </si>
  <si>
    <t>3010104168001</t>
  </si>
  <si>
    <t>3010104168002</t>
  </si>
  <si>
    <t>3010104168003</t>
  </si>
  <si>
    <t>3010104168004</t>
  </si>
  <si>
    <t>235</t>
  </si>
  <si>
    <t>3010104170002</t>
  </si>
  <si>
    <t>2112348</t>
  </si>
  <si>
    <t>3010104181001</t>
  </si>
  <si>
    <t xml:space="preserve">Video monitor 14" </t>
  </si>
  <si>
    <t>6013072</t>
  </si>
  <si>
    <t>3010104181003</t>
  </si>
  <si>
    <t>6013078</t>
  </si>
  <si>
    <t>3010104187001</t>
  </si>
  <si>
    <t>3010104195001</t>
  </si>
  <si>
    <t>3010104195002</t>
  </si>
  <si>
    <t>3010104195003</t>
  </si>
  <si>
    <t>3010104195004</t>
  </si>
  <si>
    <t>3010104195005</t>
  </si>
  <si>
    <t>3010104195006</t>
  </si>
  <si>
    <t>3010104195007</t>
  </si>
  <si>
    <t>09/2013</t>
  </si>
  <si>
    <t>3010104201001</t>
  </si>
  <si>
    <t>30101050122027</t>
  </si>
  <si>
    <t>30101050122028</t>
  </si>
  <si>
    <t>30101050122029</t>
  </si>
  <si>
    <t>30101050122030</t>
  </si>
  <si>
    <t>30101050122031</t>
  </si>
  <si>
    <t>30101050122032</t>
  </si>
  <si>
    <t>30101050122033</t>
  </si>
  <si>
    <t>30101050122034</t>
  </si>
  <si>
    <t>30101050122035</t>
  </si>
  <si>
    <t>30101050122036</t>
  </si>
  <si>
    <t>30101050122037</t>
  </si>
  <si>
    <t>30101050122038</t>
  </si>
  <si>
    <t>30101050122039</t>
  </si>
  <si>
    <t>30101050122040</t>
  </si>
  <si>
    <t>30101050122041</t>
  </si>
  <si>
    <t>30101050122042</t>
  </si>
  <si>
    <t>30101050122043</t>
  </si>
  <si>
    <t>30101050122044</t>
  </si>
  <si>
    <t>30101050122045</t>
  </si>
  <si>
    <t>30101050122046</t>
  </si>
  <si>
    <t>3010106005001</t>
  </si>
  <si>
    <t>3010106005002</t>
  </si>
  <si>
    <t>3010106005003</t>
  </si>
  <si>
    <t>3010106005004</t>
  </si>
  <si>
    <t>3010106013001</t>
  </si>
  <si>
    <t>3010202004002</t>
  </si>
  <si>
    <t>3010208007001</t>
  </si>
  <si>
    <t>Phòng máy
 MCR</t>
  </si>
  <si>
    <t>3010208007002</t>
  </si>
  <si>
    <t>3010208007003</t>
  </si>
  <si>
    <t>3010208007004</t>
  </si>
  <si>
    <t>220</t>
  </si>
  <si>
    <t>3010401008002</t>
  </si>
  <si>
    <t xml:space="preserve">Máy in Laser HP  </t>
  </si>
  <si>
    <t>72</t>
  </si>
  <si>
    <t>3010401017011</t>
  </si>
  <si>
    <t xml:space="preserve"> Máy in Laser HP 1300   </t>
  </si>
  <si>
    <t>05/2008</t>
  </si>
  <si>
    <t>3010401037004</t>
  </si>
  <si>
    <t>08/2011</t>
  </si>
  <si>
    <t>3010401052005</t>
  </si>
  <si>
    <t>3010401052006</t>
  </si>
  <si>
    <t>3010401054015</t>
  </si>
  <si>
    <t>3010501016002</t>
  </si>
  <si>
    <t>3010502060001</t>
  </si>
  <si>
    <t xml:space="preserve">Rack 19” </t>
  </si>
  <si>
    <t>3010502060002</t>
  </si>
  <si>
    <t>3010502060003</t>
  </si>
  <si>
    <t>3010502060004</t>
  </si>
  <si>
    <t>3010502060005</t>
  </si>
  <si>
    <t>3010502060006</t>
  </si>
  <si>
    <t>3010502060007</t>
  </si>
  <si>
    <t>3010502060008</t>
  </si>
  <si>
    <t>3020303016001</t>
  </si>
  <si>
    <t>3020303016004</t>
  </si>
  <si>
    <t>302030502007006</t>
  </si>
  <si>
    <t>30206001001</t>
  </si>
  <si>
    <t xml:space="preserve">Đồng hồ </t>
  </si>
  <si>
    <t>30206001002</t>
  </si>
  <si>
    <t>3020907006001</t>
  </si>
  <si>
    <t>3020907006002</t>
  </si>
  <si>
    <t>3020907006004</t>
  </si>
  <si>
    <t>3020907006005</t>
  </si>
  <si>
    <t>3020907006006</t>
  </si>
  <si>
    <t>3020907006007</t>
  </si>
  <si>
    <t>3020907006008</t>
  </si>
  <si>
    <t>3020907006009</t>
  </si>
  <si>
    <t>302099901071001</t>
  </si>
  <si>
    <t>302099901071002</t>
  </si>
  <si>
    <t>302099901074004</t>
  </si>
  <si>
    <t>10009003</t>
  </si>
  <si>
    <t xml:space="preserve">Audio patch panel W/Patch cable Micro </t>
  </si>
  <si>
    <t>302099901142001</t>
  </si>
  <si>
    <t>50505063</t>
  </si>
  <si>
    <t>Bàn</t>
  </si>
  <si>
    <t>30209990170001</t>
  </si>
  <si>
    <t xml:space="preserve">Audio Distribution Amplifier1 Kramer: 5balanced audio Distribution Amplifier </t>
  </si>
  <si>
    <t>00020900481</t>
  </si>
  <si>
    <t>00020938334</t>
  </si>
  <si>
    <t>302099902209001</t>
  </si>
  <si>
    <t xml:space="preserve">Bộ mã hóa tín hiệu hình - Composite encoder </t>
  </si>
  <si>
    <t>Da gui DS TL</t>
  </si>
  <si>
    <t>302099902209002</t>
  </si>
  <si>
    <t xml:space="preserve">Bộ phân chia tín hiệu hình </t>
  </si>
  <si>
    <t>129909017</t>
  </si>
  <si>
    <t>302099902529002</t>
  </si>
  <si>
    <t>302099902540001</t>
  </si>
  <si>
    <t>302099902552002</t>
  </si>
  <si>
    <t>302099902552006</t>
  </si>
  <si>
    <t>302099902553002</t>
  </si>
  <si>
    <t>302099902553005</t>
  </si>
  <si>
    <t>302099902607001</t>
  </si>
  <si>
    <t>302099902607002</t>
  </si>
  <si>
    <t>302099902620003</t>
  </si>
  <si>
    <t xml:space="preserve">Bảng cắm tín hiệu hình 2x26 lỗ </t>
  </si>
  <si>
    <t>302099902620004</t>
  </si>
  <si>
    <t>302099902620005</t>
  </si>
  <si>
    <t>302099902620006</t>
  </si>
  <si>
    <t>302099902620007</t>
  </si>
  <si>
    <t>302099902620008</t>
  </si>
  <si>
    <t>302099902620009</t>
  </si>
  <si>
    <t>302099902620010</t>
  </si>
  <si>
    <t>302099902620011</t>
  </si>
  <si>
    <t>302099902620012</t>
  </si>
  <si>
    <t>302099902620013</t>
  </si>
  <si>
    <t>302099902620014</t>
  </si>
  <si>
    <t>302099902620015</t>
  </si>
  <si>
    <t>302099902620016</t>
  </si>
  <si>
    <t>302099902620017</t>
  </si>
  <si>
    <t>302099902620018</t>
  </si>
  <si>
    <t>302099902620019</t>
  </si>
  <si>
    <t>302099902620020</t>
  </si>
  <si>
    <t>302099902648001</t>
  </si>
  <si>
    <t>334524</t>
  </si>
  <si>
    <t>A1-R3 không xài</t>
  </si>
  <si>
    <t>332052</t>
  </si>
  <si>
    <t>Tủ Xuân (dưới máy in)</t>
  </si>
  <si>
    <t>Tủ Xuân (dưới máy in p.KT) [Xuân] (15/05 17:25)</t>
  </si>
  <si>
    <t>302099902648010</t>
  </si>
  <si>
    <t>316048</t>
  </si>
  <si>
    <t>F1 convert DDR2A</t>
  </si>
  <si>
    <t>302099902648011</t>
  </si>
  <si>
    <t>328058</t>
  </si>
  <si>
    <t>302099902649005</t>
  </si>
  <si>
    <t>334926</t>
  </si>
  <si>
    <t>302099902671001</t>
  </si>
  <si>
    <t>302099902671002</t>
  </si>
  <si>
    <t>302099902682001</t>
  </si>
  <si>
    <t>302099902691001</t>
  </si>
  <si>
    <t xml:space="preserve">Bàn trộn âm thanh Mixer Soundcraft </t>
  </si>
  <si>
    <t>30208594</t>
  </si>
  <si>
    <t>302099903026002</t>
  </si>
  <si>
    <t>302099903030002</t>
  </si>
  <si>
    <t>302099903054003</t>
  </si>
  <si>
    <t>302099903085003</t>
  </si>
  <si>
    <t>23693</t>
  </si>
  <si>
    <t>23707</t>
  </si>
  <si>
    <t>302099903174002</t>
  </si>
  <si>
    <t>124</t>
  </si>
  <si>
    <t>20489</t>
  </si>
  <si>
    <t>302099903194004</t>
  </si>
  <si>
    <t>302099903195001</t>
  </si>
  <si>
    <t>302099903197010</t>
  </si>
  <si>
    <t>302099903220001</t>
  </si>
  <si>
    <t>20700307</t>
  </si>
  <si>
    <t>4330010475</t>
  </si>
  <si>
    <t xml:space="preserve">Micro SENNHEISER </t>
  </si>
  <si>
    <t>302099903240002</t>
  </si>
  <si>
    <t>302099903255001</t>
  </si>
  <si>
    <t xml:space="preserve">Microphone Sennheiser đa hướng để bàn </t>
  </si>
  <si>
    <t>F1 HIEN cóc dự phòng</t>
  </si>
  <si>
    <t>302099903255002</t>
  </si>
  <si>
    <t>F1 MIC COC 3</t>
  </si>
  <si>
    <t>302099904006009</t>
  </si>
  <si>
    <t>302099904006010</t>
  </si>
  <si>
    <t>302099904007001</t>
  </si>
  <si>
    <t>302099904007002</t>
  </si>
  <si>
    <t>302099904007003</t>
  </si>
  <si>
    <t>302099904007004</t>
  </si>
  <si>
    <t>302099904007005</t>
  </si>
  <si>
    <t>302099904008001</t>
  </si>
  <si>
    <t>302099904008002</t>
  </si>
  <si>
    <t>302099904008003</t>
  </si>
  <si>
    <t>302099904008004</t>
  </si>
  <si>
    <t>302099904008005</t>
  </si>
  <si>
    <t>302099904023001</t>
  </si>
  <si>
    <t>302099904122001</t>
  </si>
  <si>
    <t>302099904122002</t>
  </si>
  <si>
    <t>302099904122003</t>
  </si>
  <si>
    <t>302099904122004</t>
  </si>
  <si>
    <t>302099904122005</t>
  </si>
  <si>
    <t>302099904122006</t>
  </si>
  <si>
    <t>302099904122007</t>
  </si>
  <si>
    <t>302099904122008</t>
  </si>
  <si>
    <t>302099904122009</t>
  </si>
  <si>
    <t>302099904122010</t>
  </si>
  <si>
    <t>302099904122011</t>
  </si>
  <si>
    <t>302099904122012</t>
  </si>
  <si>
    <t>302099904122013</t>
  </si>
  <si>
    <t>302099904122014</t>
  </si>
  <si>
    <t>302099904122015</t>
  </si>
  <si>
    <t>302099904124001</t>
  </si>
  <si>
    <t>03300040927004</t>
  </si>
  <si>
    <t>302099904124002</t>
  </si>
  <si>
    <t>033000409270041</t>
  </si>
  <si>
    <t>302099904124003</t>
  </si>
  <si>
    <t>033000409270036</t>
  </si>
  <si>
    <t>302099904124004</t>
  </si>
  <si>
    <t>033000409270035</t>
  </si>
  <si>
    <t>302099904124005</t>
  </si>
  <si>
    <t>033000409270030</t>
  </si>
  <si>
    <t>302099904124006</t>
  </si>
  <si>
    <t>033000409270029</t>
  </si>
  <si>
    <t>302099904124007</t>
  </si>
  <si>
    <t>033000409270037</t>
  </si>
  <si>
    <t>302099904124008</t>
  </si>
  <si>
    <t>033000409270038</t>
  </si>
  <si>
    <t>302099904124009</t>
  </si>
  <si>
    <t>033000409270019</t>
  </si>
  <si>
    <t>302099905017001</t>
  </si>
  <si>
    <t>Rack 3 MCR cũ, Xuân đã chuyển anh Lam</t>
  </si>
  <si>
    <t>30209990552002</t>
  </si>
  <si>
    <t>302099906012001</t>
  </si>
  <si>
    <t>7</t>
  </si>
  <si>
    <t>302099906064003</t>
  </si>
  <si>
    <t>302099906065001</t>
  </si>
  <si>
    <t>Thiết bị liên lạc bộ đàm ( - 10 key Digital Station including GM9 9''  - Mỹ sx) Plugin Gooseneck Mic &amp; External 220AC Power Supply Unit</t>
  </si>
  <si>
    <t>709546</t>
  </si>
  <si>
    <t>302099906080002</t>
  </si>
  <si>
    <t>302099906080005</t>
  </si>
  <si>
    <t>709543</t>
  </si>
  <si>
    <t>302099906080006</t>
  </si>
  <si>
    <t>709548</t>
  </si>
  <si>
    <t>302099906102001</t>
  </si>
  <si>
    <t xml:space="preserve"> Anten Parabol Orbitrion  </t>
  </si>
  <si>
    <t>302099906105001</t>
  </si>
  <si>
    <t xml:space="preserve"> H/Thống Đ/khiển hiệu chỉnh hướng đông tây &amp; góc ngẩn bộ Anten Parabol 3,6m  </t>
  </si>
  <si>
    <t>302099906165003</t>
  </si>
  <si>
    <t xml:space="preserve"> Máy bộ đàm  MOTOROLA 40W  </t>
  </si>
  <si>
    <t>71</t>
  </si>
  <si>
    <t>302099906183001</t>
  </si>
  <si>
    <t xml:space="preserve">Anten 8 -port PS/2 KVM Swith </t>
  </si>
  <si>
    <t>302099906195001</t>
  </si>
  <si>
    <t>2</t>
  </si>
  <si>
    <t>302099906214001</t>
  </si>
  <si>
    <t>302099909049001</t>
  </si>
  <si>
    <t>16294738</t>
  </si>
  <si>
    <t>302099909049002</t>
  </si>
  <si>
    <t>17295485</t>
  </si>
  <si>
    <t>302099909049003</t>
  </si>
  <si>
    <t>16294843</t>
  </si>
  <si>
    <t>302099909049004</t>
  </si>
  <si>
    <t>17295477</t>
  </si>
  <si>
    <t>236</t>
  </si>
  <si>
    <t>30411012004</t>
  </si>
  <si>
    <t xml:space="preserve">TV14'Sony </t>
  </si>
  <si>
    <t>30411012005</t>
  </si>
  <si>
    <t>30411150001</t>
  </si>
  <si>
    <t>30411176003</t>
  </si>
  <si>
    <t>30411176004</t>
  </si>
  <si>
    <t>30411178001</t>
  </si>
  <si>
    <t>MCR anh Lâm kiểm</t>
  </si>
  <si>
    <t>30411192001</t>
  </si>
  <si>
    <t>2003828</t>
  </si>
  <si>
    <t xml:space="preserve"> 2003829</t>
  </si>
  <si>
    <t>30411192006</t>
  </si>
  <si>
    <t>2003703</t>
  </si>
  <si>
    <t>40205013001</t>
  </si>
  <si>
    <t>40205013002</t>
  </si>
  <si>
    <t>40206004005</t>
  </si>
  <si>
    <t>40206004006</t>
  </si>
  <si>
    <t>507006001</t>
  </si>
  <si>
    <t>509071001</t>
  </si>
  <si>
    <t>509071002</t>
  </si>
  <si>
    <t>103</t>
  </si>
  <si>
    <t>70109023001</t>
  </si>
  <si>
    <t xml:space="preserve">Phần mềm quản lý kiểm tra sóng        </t>
  </si>
  <si>
    <t>F1, bộ wireless 15</t>
  </si>
  <si>
    <t>A1 Mic 60s</t>
  </si>
  <si>
    <t>A1 Mic 60s phải</t>
  </si>
  <si>
    <t>08150048400033</t>
  </si>
  <si>
    <t>08150048400015</t>
  </si>
  <si>
    <t>03150493900007</t>
  </si>
  <si>
    <t>03150493900005</t>
  </si>
  <si>
    <t>03150493900011</t>
  </si>
  <si>
    <t>2643136</t>
  </si>
  <si>
    <t>2643198</t>
  </si>
  <si>
    <t>2643144</t>
  </si>
  <si>
    <t>2643070</t>
  </si>
  <si>
    <t>2557935</t>
  </si>
  <si>
    <t>Ăn [Anh Quân] (09/04 20:28)</t>
  </si>
  <si>
    <t>2558158</t>
  </si>
  <si>
    <t>2623411</t>
  </si>
  <si>
    <t>A1-R2 không xài</t>
  </si>
  <si>
    <t>2623406</t>
  </si>
  <si>
    <t>A1- R2 KHÔNG XÀI</t>
  </si>
  <si>
    <t xml:space="preserve">Bàn làm việc </t>
  </si>
  <si>
    <t>Bàn làm việc  (1400x600x750)</t>
  </si>
  <si>
    <t xml:space="preserve">Ghế xoay </t>
  </si>
  <si>
    <t>F1 wireless 1</t>
  </si>
  <si>
    <t>A2 wireless 7</t>
  </si>
  <si>
    <t>A1 wireless 11</t>
  </si>
  <si>
    <t>F1  wireless 12 (sau Monitor CG)</t>
  </si>
  <si>
    <t>5533407</t>
  </si>
  <si>
    <t>5533387</t>
  </si>
  <si>
    <t>5533409</t>
  </si>
  <si>
    <t>5528963</t>
  </si>
  <si>
    <t>5533453</t>
  </si>
  <si>
    <t>1709016232</t>
  </si>
  <si>
    <t>1709016234</t>
  </si>
  <si>
    <t>1709016219</t>
  </si>
  <si>
    <t>1709015239</t>
  </si>
  <si>
    <t>1709015113</t>
  </si>
  <si>
    <t>1709017865</t>
  </si>
  <si>
    <t>1709016634</t>
  </si>
  <si>
    <t>1709016511</t>
  </si>
  <si>
    <t>1709017896</t>
  </si>
  <si>
    <t>1709016598</t>
  </si>
  <si>
    <t>3011873</t>
  </si>
  <si>
    <t>3011870</t>
  </si>
  <si>
    <t>3011877</t>
  </si>
  <si>
    <t>A1 micro cóc 2</t>
  </si>
  <si>
    <t xml:space="preserve">phòng máy mới- </t>
  </si>
  <si>
    <t>Tivi 32" Sony  -  KDL-32R300E</t>
  </si>
  <si>
    <t>3417939</t>
  </si>
  <si>
    <t>3400002</t>
  </si>
  <si>
    <t>033951</t>
  </si>
  <si>
    <t>033956</t>
  </si>
  <si>
    <t>033954</t>
  </si>
  <si>
    <t>033952</t>
  </si>
  <si>
    <t>033950</t>
  </si>
  <si>
    <t>033949</t>
  </si>
  <si>
    <t>033955</t>
  </si>
  <si>
    <t>033962</t>
  </si>
  <si>
    <t>033948</t>
  </si>
  <si>
    <t>033947</t>
  </si>
  <si>
    <t>1800239</t>
  </si>
  <si>
    <t>1800237</t>
  </si>
  <si>
    <t>1800240</t>
  </si>
  <si>
    <t>1800249</t>
  </si>
  <si>
    <t>1800247</t>
  </si>
  <si>
    <t>1800242</t>
  </si>
  <si>
    <t>Thiết bị giám sát và theo dõi tín hiệu dạng sóng của video Black Magic Design - Waveform Monitor  - SmartScope Duo 4K 2</t>
  </si>
  <si>
    <t>4108776</t>
  </si>
  <si>
    <t>4033937</t>
  </si>
  <si>
    <t>4085025</t>
  </si>
  <si>
    <t>4034313</t>
  </si>
  <si>
    <t xml:space="preserve">Bộ chuyển đổi tín hiệu video Black Magic Design HD-SDI sang HDMI - Mini converter-SDI to HDMI </t>
  </si>
  <si>
    <t>4087036</t>
  </si>
  <si>
    <t>4087019</t>
  </si>
  <si>
    <t>1708006923</t>
  </si>
  <si>
    <t>1708000039</t>
  </si>
  <si>
    <t>1708018085</t>
  </si>
  <si>
    <t>1708017811</t>
  </si>
  <si>
    <t>1708017774</t>
  </si>
  <si>
    <t xml:space="preserve">Bàn phím chuyên dụng Viz Trio </t>
  </si>
  <si>
    <t xml:space="preserve">Bàn chị Hoàng Anh [Quân] (09/04 22:01)
</t>
  </si>
  <si>
    <t>tủ hồ sơ 1</t>
  </si>
  <si>
    <t>041920</t>
  </si>
  <si>
    <t>051916</t>
  </si>
  <si>
    <t>051917</t>
  </si>
  <si>
    <t>A1-R3, chuyển đổi cho MV Craltech</t>
  </si>
  <si>
    <t>051918</t>
  </si>
  <si>
    <t>051919</t>
  </si>
  <si>
    <t>A2 phòng hiện</t>
  </si>
  <si>
    <t>5531901</t>
  </si>
  <si>
    <t>5532197</t>
  </si>
  <si>
    <t>5532359</t>
  </si>
  <si>
    <t>5525974</t>
  </si>
  <si>
    <t>2638587</t>
  </si>
  <si>
    <t>2638573</t>
  </si>
  <si>
    <t>2638716</t>
  </si>
  <si>
    <t>2638705</t>
  </si>
  <si>
    <t>2663464</t>
  </si>
  <si>
    <t>2663412</t>
  </si>
  <si>
    <t>2835792</t>
  </si>
  <si>
    <t>2835814</t>
  </si>
  <si>
    <t>2835864</t>
  </si>
  <si>
    <t>2709603</t>
  </si>
  <si>
    <t>2752007</t>
  </si>
  <si>
    <t>2751569</t>
  </si>
  <si>
    <t>2835834</t>
  </si>
  <si>
    <t>723222821</t>
  </si>
  <si>
    <t>723222765</t>
  </si>
  <si>
    <t>723222484</t>
  </si>
  <si>
    <t>723222551</t>
  </si>
  <si>
    <t>723222704</t>
  </si>
  <si>
    <t>723222697</t>
  </si>
  <si>
    <t>723222661</t>
  </si>
  <si>
    <t>723222770</t>
  </si>
  <si>
    <t>713190512</t>
  </si>
  <si>
    <t>713190537</t>
  </si>
  <si>
    <t>2034006</t>
  </si>
  <si>
    <t>Lầu 1  - K7 HD offair</t>
  </si>
  <si>
    <t>2029041</t>
  </si>
  <si>
    <t>Lầu 1  - K9 HD offair</t>
  </si>
  <si>
    <t>2809323</t>
  </si>
  <si>
    <t xml:space="preserve">Dân </t>
  </si>
  <si>
    <t>2063605</t>
  </si>
  <si>
    <t>2063772</t>
  </si>
  <si>
    <t>2063532</t>
  </si>
  <si>
    <t xml:space="preserve">F1 ban dao dien </t>
  </si>
  <si>
    <t>2028522</t>
  </si>
  <si>
    <t>Lầu 2 [Nguyễn] (09/04 20:57)</t>
  </si>
  <si>
    <t>2048610</t>
  </si>
  <si>
    <t xml:space="preserve">F1 HIEN </t>
  </si>
  <si>
    <t>2852991</t>
  </si>
  <si>
    <t>CPU máy Thanh, màn hình trên nóc tủ hồ sơ đã thay vào ptF1 Đạo diễn xem Lineup</t>
  </si>
  <si>
    <t>PM MCR HD
 (MÁY CHECK MAIL MCR)</t>
  </si>
  <si>
    <t>Lầu 1 - MCR -
 máy check mail</t>
  </si>
  <si>
    <t>Lầu 1  - Máy DDR9</t>
  </si>
  <si>
    <t>19070031</t>
  </si>
  <si>
    <t>4037289</t>
  </si>
  <si>
    <t>F1: TV PVW cho Multiview</t>
  </si>
  <si>
    <t>4037288</t>
  </si>
  <si>
    <t>4034913</t>
  </si>
  <si>
    <t>F1: TV PGM cho Multiview</t>
  </si>
  <si>
    <t>4034908</t>
  </si>
  <si>
    <t>3010105012005</t>
  </si>
  <si>
    <t>10784847</t>
  </si>
  <si>
    <t>10784848</t>
  </si>
  <si>
    <t>10784850</t>
  </si>
  <si>
    <t>10717600</t>
  </si>
  <si>
    <t>10717097</t>
  </si>
  <si>
    <t>10717106</t>
  </si>
  <si>
    <t>10717263</t>
  </si>
  <si>
    <t>10812020</t>
  </si>
  <si>
    <t>10812967</t>
  </si>
  <si>
    <t>10812563</t>
  </si>
  <si>
    <t>10812822</t>
  </si>
  <si>
    <t>10691638</t>
  </si>
  <si>
    <t>10691425</t>
  </si>
  <si>
    <t>10691650</t>
  </si>
  <si>
    <t>10691641</t>
  </si>
  <si>
    <t>10691441</t>
  </si>
  <si>
    <t>10691658</t>
  </si>
  <si>
    <t>10691662</t>
  </si>
  <si>
    <t>10691428</t>
  </si>
  <si>
    <t>8619320</t>
  </si>
  <si>
    <t>8619326</t>
  </si>
  <si>
    <t>8619318</t>
  </si>
  <si>
    <t>8619327</t>
  </si>
  <si>
    <t>8619319</t>
  </si>
  <si>
    <t>8602899</t>
  </si>
  <si>
    <t>8624784</t>
  </si>
  <si>
    <t>8624785</t>
  </si>
  <si>
    <t>10904474</t>
  </si>
  <si>
    <t>RACK 7 A2</t>
  </si>
  <si>
    <t>10976113</t>
  </si>
  <si>
    <t>RACK 5 A1</t>
  </si>
  <si>
    <t>P. PHÁT HÌNH</t>
  </si>
  <si>
    <t>P. TỔNG KHỐNG CHẾ</t>
  </si>
  <si>
    <t>P. HỖ TRỢ KỸ THUẬT</t>
  </si>
  <si>
    <t>Phòng Lầu 2</t>
  </si>
  <si>
    <t>Nhà</t>
  </si>
  <si>
    <t>Toilet</t>
  </si>
  <si>
    <t>Phòng làm việc</t>
  </si>
  <si>
    <t>Minh Quân</t>
  </si>
  <si>
    <t>Khách</t>
  </si>
  <si>
    <t>Xe hơi</t>
  </si>
  <si>
    <t>Hùng</t>
  </si>
  <si>
    <t>Phòng ngủ</t>
  </si>
  <si>
    <t>Ăn</t>
  </si>
  <si>
    <t>Tùng</t>
  </si>
  <si>
    <t>Kho văn phòng</t>
  </si>
  <si>
    <t>Test 1</t>
  </si>
  <si>
    <t>Q</t>
  </si>
  <si>
    <t>ĐC Lam</t>
  </si>
  <si>
    <t>Bếp</t>
  </si>
  <si>
    <t>Nguyệt</t>
  </si>
  <si>
    <t>Hằng</t>
  </si>
  <si>
    <t>Giường</t>
  </si>
  <si>
    <t>Thiết bị</t>
  </si>
  <si>
    <t>CCDC</t>
  </si>
  <si>
    <t>Phuc</t>
  </si>
  <si>
    <t>Banh</t>
  </si>
  <si>
    <t>pt F1</t>
  </si>
  <si>
    <t>1 cái mới mang lên để bàn Cường</t>
  </si>
  <si>
    <t>P.htkt, bàn sửa chữa. NQ giao Hàn 09-9-2020</t>
  </si>
  <si>
    <t>A2 Control bộ làm trễ tiếng</t>
  </si>
  <si>
    <t>A1 delay loa</t>
  </si>
  <si>
    <t>A1 màn hình máy Inews. Hàn giao Quân 15-9-2020</t>
  </si>
  <si>
    <t>F1 Linux chép file. Quân giao Thanh 7-9-2020</t>
  </si>
  <si>
    <t>A Dưới bàn đạo diễn (không xài)</t>
  </si>
  <si>
    <t>A-Màn hình prompter</t>
  </si>
  <si>
    <t>RACK 1</t>
  </si>
  <si>
    <t>Bàn MC</t>
  </si>
  <si>
    <t>A-màn hình prompter trên CAM 4</t>
  </si>
  <si>
    <t>A-màn hình prompter trên CAM 2</t>
  </si>
  <si>
    <t>PROMPTER CAM 2 F1</t>
  </si>
  <si>
    <t>A2: PROMPTER CAM 3</t>
  </si>
  <si>
    <t>Đang để bàn Quân. Để cấu hình thiết bị, màn hình sắp hư</t>
  </si>
  <si>
    <t>PTA Rack A  - Sting Server</t>
  </si>
  <si>
    <t>trong máy</t>
  </si>
  <si>
    <t>A- màn hình Trio/Wasp</t>
  </si>
  <si>
    <t>A-Wasp client</t>
  </si>
  <si>
    <t>A2 rack audio</t>
  </si>
  <si>
    <t>RACK 1 DDR1</t>
  </si>
  <si>
    <t>nóc tủ hồ sơ pHTKT, tốt</t>
  </si>
  <si>
    <t>RACK 1 DDR2</t>
  </si>
  <si>
    <t>A-màn hình máy Đạo diễn</t>
  </si>
  <si>
    <t>RACK 1 DDR3</t>
  </si>
  <si>
    <t>A-rack màn hình videotek</t>
  </si>
  <si>
    <t>F1 RACK 1  DDR 2</t>
  </si>
  <si>
    <t>Hư, nóc tủ pHTKT, đề nghị thanh lý</t>
  </si>
  <si>
    <t>F1 Rack 1 - Sting Server. NQ giao Thanh 9-9-2020</t>
  </si>
  <si>
    <t>F1 Rack 1 - Sting Client. NQ giao Thanh 9-9-2020</t>
  </si>
  <si>
    <t>A-màn hình waveform bàn  Đạo diễn</t>
  </si>
  <si>
    <t>A - Infinity (Đang ở F1)</t>
  </si>
  <si>
    <t>A1-R: ĐẰNG SAU DÃY RACK A1</t>
  </si>
  <si>
    <t>A2-R6: Infinity đang chuyển qua F1 tg24h</t>
  </si>
  <si>
    <t>A2 Control-màn hình Infinity</t>
  </si>
  <si>
    <t>A2-R6: nằm trong CPU Infinity</t>
  </si>
  <si>
    <t>F1-màn hình DDR1</t>
  </si>
  <si>
    <t>A2: control</t>
  </si>
  <si>
    <t>A1: UPS 6KW sát tường, trước dãy rack. HA giao Quân 17-9-2020</t>
  </si>
  <si>
    <t>F1: UPS 6KW sát tường, kế CB điện. HA chuyển Thanh 17-9-2020</t>
  </si>
  <si>
    <t>15 cái tính tổng tài sản và file CCDC, F1: 2; F2: 2; MCR cũ 2; A1: 5, Xuân giữ 2 cái; 2 Thanh lý</t>
  </si>
  <si>
    <t>màn hình Xuân</t>
  </si>
  <si>
    <t>Intercom Matrix Plus, A2 rack</t>
  </si>
  <si>
    <t>pt A</t>
  </si>
  <si>
    <t>F1 đang xài F1</t>
  </si>
  <si>
    <t>TTPH-Kho: Kho lầu 2</t>
  </si>
  <si>
    <t>cam 3 F1</t>
  </si>
  <si>
    <t>Mixer dự phòng ptA</t>
  </si>
  <si>
    <t>A2 rack</t>
  </si>
  <si>
    <t>F1 phòng Control. Hàn giao Thanh 17-9-2020</t>
  </si>
  <si>
    <t>F1 CG dự phòng. Xuân giao Thanh 3-9-2020</t>
  </si>
  <si>
    <t>A2 Control, màn hình Prompter</t>
  </si>
  <si>
    <t>A2-R7: phòng máy phim trường A, rack 7</t>
  </si>
  <si>
    <t>khung ross 2, rack 2, F1</t>
  </si>
  <si>
    <t>A1 Khung Ross đường Vizrt</t>
  </si>
  <si>
    <t>khung ross 1, rack 2, F1</t>
  </si>
  <si>
    <t>ptA</t>
  </si>
  <si>
    <t>A2-R7, sw main: ttsxct bàn giao</t>
  </si>
  <si>
    <t>A2 rack: ttsxct bàn giao</t>
  </si>
  <si>
    <t>A2 RACK</t>
  </si>
  <si>
    <t>RACK 3</t>
  </si>
  <si>
    <t>RACK 2</t>
  </si>
  <si>
    <t>A-rack</t>
  </si>
  <si>
    <t xml:space="preserve"> đang dùng A1 sau bàn control</t>
  </si>
  <si>
    <t>Prompter Cam 3 pt A</t>
  </si>
  <si>
    <t>Prompter Cam 1 pt A</t>
  </si>
  <si>
    <t>RACK 3, change over</t>
  </si>
  <si>
    <t>A2 rack. Thanh giao Xuân 10-9-2020. qlkt đã thay nguồn</t>
  </si>
  <si>
    <t>A2 Control bàn đieu khiển kahuna. Thanh giao Xuân 10-9-2020</t>
  </si>
  <si>
    <t>của F1 đang để ở A</t>
  </si>
  <si>
    <t>MCR cũ: tạo genlock</t>
  </si>
  <si>
    <t>F1 Control</t>
  </si>
  <si>
    <t>A1 khung 4 Abk</t>
  </si>
  <si>
    <t>DDA7 F1  frame snell</t>
  </si>
  <si>
    <t>DDA3 F1 frame snell</t>
  </si>
  <si>
    <t>DDA5 F1 frame snell</t>
  </si>
  <si>
    <t>khung snell F1 tủ bàn Đạo diễn</t>
  </si>
  <si>
    <t>A2 Control, Sw Bk</t>
  </si>
  <si>
    <t>A1: bàn mixer audio chính</t>
  </si>
  <si>
    <t>A2-R8: Bàn điều khiển Ultimatte</t>
  </si>
  <si>
    <t>A2 rack: Bàn điều khiển camera Blackmagic</t>
  </si>
  <si>
    <t>A2-R7 multiview.</t>
  </si>
  <si>
    <t>bàn đạo diễn ptA</t>
  </si>
  <si>
    <t>A1: rack1 (trên CCU cam)</t>
  </si>
  <si>
    <t>A1 phòng hiện. Thanh giao Quân 5-9-2020</t>
  </si>
  <si>
    <t>A1 tai nghe MC60s. Thanh giao Quân 5-9-2020</t>
  </si>
  <si>
    <t>tủ Hàn, mic boom</t>
  </si>
  <si>
    <t>A1: mic boom dự phòng 20g</t>
  </si>
  <si>
    <t>kho lau 2</t>
  </si>
  <si>
    <t>kho lầu 2, còn xài duoc</t>
  </si>
  <si>
    <t>A1 Nguồn đèn phòng CB giữa A1. Thanh giao Quân 5-9-2020</t>
  </si>
  <si>
    <t>F1: rack1</t>
  </si>
  <si>
    <t>A ĐẠO DIỄN</t>
  </si>
  <si>
    <t>A2 Control -màn hình cho Sw Kahuna</t>
  </si>
  <si>
    <t>tủ 2</t>
  </si>
  <si>
    <t>A1-R4: Khung Grass Valley</t>
  </si>
  <si>
    <t>A1 Multiview A1</t>
  </si>
  <si>
    <t>ptA cam3</t>
  </si>
  <si>
    <t>A2: PHÒNG KÍNH</t>
  </si>
  <si>
    <t>F1 Cam 1</t>
  </si>
  <si>
    <t>A2 CHÂN CAM 3</t>
  </si>
  <si>
    <t>TU SAT PHONG LAM VIÊC</t>
  </si>
  <si>
    <t>TREN NOC RACK 1 A1</t>
  </si>
  <si>
    <t>CAM 3</t>
  </si>
  <si>
    <t>CAM 4</t>
  </si>
  <si>
    <t>CAM 2</t>
  </si>
  <si>
    <t>CAM 1</t>
  </si>
  <si>
    <t>PTA CHÂN CAM 2</t>
  </si>
  <si>
    <t xml:space="preserve">PT A để ngoài </t>
  </si>
  <si>
    <t>A2: CAM 2</t>
  </si>
  <si>
    <t>A2:  ống kính wide</t>
  </si>
  <si>
    <t>A2: ống kính wide</t>
  </si>
  <si>
    <t>A2, đề nghị thanh lý</t>
  </si>
  <si>
    <t>màn hình đèn ptA</t>
  </si>
  <si>
    <t>F1 phòng hiện. Hàn giao Thanh 17-9-2020</t>
  </si>
  <si>
    <t>A2 Control, MH 4 ô</t>
  </si>
  <si>
    <t>prompter Cam 1 ptF1</t>
  </si>
  <si>
    <t>prompter Cam3 ptF1</t>
  </si>
  <si>
    <t>A2 control, HAgiao Xuân 21-10-2019</t>
  </si>
  <si>
    <t>A2 phòng hiện, HA giao Xuân 21-10-2019</t>
  </si>
  <si>
    <t>nóc tủ cửa ra vào phòng HTKT</t>
  </si>
  <si>
    <t>A1 phòng hiện. Hàn giao Quân 15-9-2020</t>
  </si>
  <si>
    <t>Phòng Control F1</t>
  </si>
  <si>
    <t>A2 Control, bàn để mixer audio</t>
  </si>
  <si>
    <t>soft Infinity - Trong máy A1 (da chuyen qua F1)</t>
  </si>
  <si>
    <t>A2 soft Infinity. NQ giao Xuân 9-9-2020</t>
  </si>
  <si>
    <t>A1 Eyevis ô 6 (thay ô cũ hư)</t>
  </si>
  <si>
    <t>CUONG</t>
  </si>
  <si>
    <t>máy tính Cường ngồi, chờ Thanh lý</t>
  </si>
  <si>
    <t>F2b</t>
  </si>
  <si>
    <t>3010101064001</t>
  </si>
  <si>
    <t>Server Capture Digital Future theo định dạng DV và MPEG-2 , Model:i-Capture, No:0786</t>
  </si>
  <si>
    <t>2.1</t>
  </si>
  <si>
    <t>3010101064001001</t>
  </si>
  <si>
    <t>Màn hình vi tính LCD Viewsonic 17", Model:VA1916W, No:RN7094300833</t>
  </si>
  <si>
    <t>F2B</t>
  </si>
  <si>
    <t>F2 Rack 9 - ddr1 trước khi cháy</t>
  </si>
  <si>
    <t>màn hình DDR1 F1</t>
  </si>
  <si>
    <t>Tam</t>
  </si>
  <si>
    <t>F2 wasp server, Thắng bàn giao NQ</t>
  </si>
  <si>
    <t>bàn cHA - Drone</t>
  </si>
  <si>
    <t>Wasp client PT F2</t>
  </si>
  <si>
    <t>Kho lầu 2 - Brainstorm</t>
  </si>
  <si>
    <t>F2 delay ảo</t>
  </si>
  <si>
    <t>A-màn hình máy Inews</t>
  </si>
  <si>
    <t>máy chép file cho F1 linux</t>
  </si>
  <si>
    <t>ptA đạo diễn</t>
  </si>
  <si>
    <t>A-DDR1</t>
  </si>
  <si>
    <t>A-màn hình prompter trên CAM</t>
  </si>
  <si>
    <t>Đang dùng di động để cấu hình thiết bị, màn hình sắp hư</t>
  </si>
  <si>
    <t xml:space="preserve">F2-Màn hình Inews </t>
  </si>
  <si>
    <t>3010102306004</t>
  </si>
  <si>
    <t>Video server Digital future , Model:I-Box, No:0714</t>
  </si>
  <si>
    <t>Offair H7-9HD, Xuân đã bàn giao Lam phát hình</t>
  </si>
  <si>
    <t>123.1</t>
  </si>
  <si>
    <t>3010102306004001</t>
  </si>
  <si>
    <t>Màn hình vi tính LCD 19" Viewsonic , Model:VS12085, No:R18083503821</t>
  </si>
  <si>
    <t>F2b, hư card màn hình</t>
  </si>
  <si>
    <t>Xuân tìm ở PH,MCR và kho. Nếu không có lấy màn hình máy đo nhiệt độ ptA1</t>
  </si>
  <si>
    <t>Chi</t>
  </si>
  <si>
    <t>F1 màn hình Wasp - NQuang</t>
  </si>
  <si>
    <t>F1 Rack 1 - Sting Server</t>
  </si>
  <si>
    <t>F1 Rack 1 - Sting Client</t>
  </si>
  <si>
    <t>A - Infinity</t>
  </si>
  <si>
    <t>A p rack, đang không dùng</t>
  </si>
  <si>
    <t>F2 - Infinity</t>
  </si>
  <si>
    <t>F2-màn hình Infinity</t>
  </si>
  <si>
    <t>F2-trong máy</t>
  </si>
  <si>
    <t>A1-màn hình Viz Graphic 1</t>
  </si>
  <si>
    <t>F2-màn hình Wasp</t>
  </si>
  <si>
    <t>Trường trả, Xuân để trên nóc tủ hồ sơ</t>
  </si>
  <si>
    <t>Kho lầu 2 - Brainstorm, chờ thanh lý</t>
  </si>
  <si>
    <t>F2a</t>
  </si>
  <si>
    <t>A1: UPS 6KW QLKT bàn giao</t>
  </si>
  <si>
    <t>F1: UPS 6KW a Lam bàn giao</t>
  </si>
  <si>
    <t>nhiều phòng</t>
  </si>
  <si>
    <t>tủ hồ sơ pHTKT, trong thùng</t>
  </si>
  <si>
    <t>ptA intercom để bàn gỗ</t>
  </si>
  <si>
    <t>Intercom Matrix Plus</t>
  </si>
  <si>
    <t>ptA remote router đạo diễn</t>
  </si>
  <si>
    <t>ptA remote router chỉnh đèn</t>
  </si>
  <si>
    <t>F1 remote router đạo diễn</t>
  </si>
  <si>
    <t>đang xài F1</t>
  </si>
  <si>
    <t>Hiếu</t>
  </si>
  <si>
    <t>Cam quan sát, MCR cũ</t>
  </si>
  <si>
    <t>Intercom Matrix Plus, F1</t>
  </si>
  <si>
    <t>MCR cũ, đồng hồ cho 3 pt, do anh Lam bàn giao</t>
  </si>
  <si>
    <t>MCR cũ, đồng hồ cho 3 pt</t>
  </si>
  <si>
    <t>CG BK F1</t>
  </si>
  <si>
    <t>Hàn giữ frame. Card Lam bàn giao Công Thắng (có giấy lưu hồ sơ)</t>
  </si>
  <si>
    <t>Kho Lầu 2, chờ thanh lý 2018</t>
  </si>
  <si>
    <t>BM3</t>
  </si>
  <si>
    <t>Kho Lầu 2, đề nghị thanh lý</t>
  </si>
  <si>
    <t>ptF2, rack8</t>
  </si>
  <si>
    <t>F2 rack8, x50-1</t>
  </si>
  <si>
    <t>F2 màn hình Inews</t>
  </si>
  <si>
    <t>F2: ttsxct bàn giao</t>
  </si>
  <si>
    <t>F1 rack1</t>
  </si>
  <si>
    <t>1 cái đe F2b, 1 cái đang dùng A1</t>
  </si>
  <si>
    <t>prompter CAM3 ptA</t>
  </si>
  <si>
    <t>màn hình + prompter trên Cam3</t>
  </si>
  <si>
    <r>
      <rPr>
        <sz val="10"/>
        <color theme="1"/>
        <rFont val="Arial"/>
      </rPr>
      <t xml:space="preserve">ptF1, qlkt đã thay nguồn, mang qua F2 từ </t>
    </r>
    <r>
      <rPr>
        <u/>
        <sz val="10"/>
        <color theme="1"/>
        <rFont val="Arial"/>
      </rPr>
      <t>2020</t>
    </r>
    <r>
      <rPr>
        <sz val="10"/>
        <color theme="1"/>
        <rFont val="Arial"/>
      </rPr>
      <t>?</t>
    </r>
  </si>
  <si>
    <t>A-màn hình SW Kahuna</t>
  </si>
  <si>
    <t>F2 bàn đieu khiển kahuna</t>
  </si>
  <si>
    <t>F2A</t>
  </si>
  <si>
    <t>F2 rack8</t>
  </si>
  <si>
    <t>Rack8, MCR cũ, sw BK</t>
  </si>
  <si>
    <t>A1: Ultimatte3</t>
  </si>
  <si>
    <t>A1: Ultimatte2</t>
  </si>
  <si>
    <t>A1: Ultimatte1</t>
  </si>
  <si>
    <t>A1: Ultimatte4</t>
  </si>
  <si>
    <t>A1: Bàn điều khiển Ultimatte</t>
  </si>
  <si>
    <t>F2 control: Bàn điều khiển camera Blackmagic</t>
  </si>
  <si>
    <t>PTA PHONG SERVER</t>
  </si>
  <si>
    <t>PTA PHONG HIEN</t>
  </si>
  <si>
    <t>Tủ hồ sơ 2</t>
  </si>
  <si>
    <t>phòng đèn F2</t>
  </si>
  <si>
    <t>Đèn 17 PT F2c</t>
  </si>
  <si>
    <t>Đèn 19 PT F2c</t>
  </si>
  <si>
    <t>kho lau 2 MCR trước phòng anh Long</t>
  </si>
  <si>
    <t>F2c- đèn 15</t>
  </si>
  <si>
    <t>F2C-23</t>
  </si>
  <si>
    <t>kho lầu 2 MCR</t>
  </si>
  <si>
    <t>PT F2C</t>
  </si>
  <si>
    <t>A1 PHONG CB GIUA</t>
  </si>
  <si>
    <t>mcr cũ rack 7</t>
  </si>
  <si>
    <t>chờ thanh lý, kho ttph</t>
  </si>
  <si>
    <t>PHONG MAY MCR CU</t>
  </si>
  <si>
    <t>F2-màn hình cho Sw Kahuna</t>
  </si>
  <si>
    <t>A1: Khung Grass Valley</t>
  </si>
  <si>
    <t>Multiview A1</t>
  </si>
  <si>
    <t>F2B, gầm bàn</t>
  </si>
  <si>
    <t>kho lầu A</t>
  </si>
  <si>
    <t>F2C</t>
  </si>
  <si>
    <t>F2B: CAM qlkt bàn giao, chờ thanh lý</t>
  </si>
  <si>
    <t>302099907284001</t>
  </si>
  <si>
    <t>Camera Panasonic ghi hình chuẩn HD, Model:AG-HPX172EN, No:J0TCB0040</t>
  </si>
  <si>
    <t>F2B, Cam 2 cũ</t>
  </si>
  <si>
    <t>614.1</t>
  </si>
  <si>
    <t>302099907284001001</t>
  </si>
  <si>
    <t>Chân camera Libec, Model:TH-950DV, No:9K9403</t>
  </si>
  <si>
    <t>614.2</t>
  </si>
  <si>
    <t>302099907284001002</t>
  </si>
  <si>
    <t>Đầu đọc thẻ Panasonic, Model:AJ-PCD2G, No:2870</t>
  </si>
  <si>
    <t>302099907284002</t>
  </si>
  <si>
    <t>Camera Panasonic ghi hình chuẩn HD, Model:AG-HPX172EN, No:J0TCB0042</t>
  </si>
  <si>
    <t>F2C, Cam 3</t>
  </si>
  <si>
    <t>615.1</t>
  </si>
  <si>
    <t>302099907284002001</t>
  </si>
  <si>
    <t>Chân camera Libec, Model:TH-950DV, No:0E3074</t>
  </si>
  <si>
    <t>615.2</t>
  </si>
  <si>
    <t>302099907284002002</t>
  </si>
  <si>
    <t>Đầu đọc thẻ Panasonic, Model:AJ-PCD2G, No:2897</t>
  </si>
  <si>
    <t>kho lầu 3</t>
  </si>
  <si>
    <t>F2</t>
  </si>
  <si>
    <t>PTF1</t>
  </si>
  <si>
    <t>F2: Cam giữa, ống kính wide</t>
  </si>
  <si>
    <t>MCR cũ rack 8</t>
  </si>
  <si>
    <t>gầm bàn Chí Quang</t>
  </si>
  <si>
    <t>F2A, bàn mixer</t>
  </si>
  <si>
    <t>gãy chân tivi, phòng F2b</t>
  </si>
  <si>
    <t>F2A, MH 4 ô</t>
  </si>
  <si>
    <t>F2c, màn hình chỉnh đèn, HA bàn giao Xuân</t>
  </si>
  <si>
    <t>F2c, màn hình bình luận thể thao, HA bàn giao Xuân</t>
  </si>
  <si>
    <t>F1, màn hình chỉnh đèn, HA bàn giao Thanh</t>
  </si>
  <si>
    <t>A1: Màn hình wall Ventuz</t>
  </si>
  <si>
    <t>F2C, đề nghị Thanh lý</t>
  </si>
  <si>
    <t>302099910010002</t>
  </si>
  <si>
    <t>Tivi full HD 46" Sony, Model:KDL-46EX710, No:1007486</t>
  </si>
  <si>
    <t>P.CƠ ĐIỆN</t>
  </si>
  <si>
    <t>F2A, MW BK</t>
  </si>
  <si>
    <t>F2A, MW main</t>
  </si>
  <si>
    <t>F2a, bàn để mixer audio</t>
  </si>
  <si>
    <t>soft Infinity</t>
  </si>
  <si>
    <t>Đã chuyển cơ điện, không có trong file tài sản mới ngày 11/5/2021</t>
  </si>
  <si>
    <t>F1 RACK 1 DDR3</t>
  </si>
  <si>
    <t>QLKT điều chuyển 10-10-2013 chưa giao màn hình</t>
  </si>
  <si>
    <t>Chờ QLKT Công Thắng chuyển giao. Biên bản 10-10-2013 QLKT chỉ giao món chính</t>
  </si>
  <si>
    <t>QLKT chưa bàn giao chi tiết, file điều chuyển 2013 chỉ ghi món chính</t>
  </si>
  <si>
    <t>302099907284002000</t>
  </si>
  <si>
    <t>DANH SÁCH TÀI SẢN CÓ ĐẾN NGÀY 31/12/2022 (DÙNG KIỂM KÊ)</t>
  </si>
  <si>
    <t>Trung Tâm Phát Hình</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</si>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</sst>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m/yyyy"/>
    <numFmt numFmtId="165" formatCode="mm/yyyy"/>
    <numFmt numFmtId="166" formatCode="m/d/yyyy\ h:mm:ss"/>
  </numFmts>
  <fonts count="39">
    <font>
      <sz val="10"/>
      <color rgb="FF000000"/>
      <name val="Arial"/>
      <scheme val="minor"/>
    </font>
    <font>
      <sz val="10"/>
      <color theme="1"/>
      <name val="Arial"/>
    </font>
    <font>
      <sz val="10"/>
      <color rgb="FF000000"/>
      <name val="Arial"/>
    </font>
    <font>
      <b/>
      <sz val="14"/>
      <color theme="1"/>
      <name val="Arial"/>
    </font>
    <font>
      <b/>
      <sz val="10"/>
      <color theme="1"/>
      <name val="Arial"/>
    </font>
    <font>
      <sz val="10"/>
      <color rgb="FFBFBFBF"/>
      <name val="Arial"/>
    </font>
    <font>
      <sz val="10"/>
      <color rgb="FFFF0000"/>
      <name val="Arial"/>
    </font>
    <font>
      <sz val="10"/>
      <color theme="1"/>
      <name val="Times New Roman"/>
    </font>
    <font>
      <i/>
      <sz val="10"/>
      <color theme="1"/>
      <name val="Times New Roman"/>
    </font>
    <font>
      <i/>
      <sz val="9"/>
      <color theme="1"/>
      <name val="Times New Roman"/>
    </font>
    <font>
      <sz val="10"/>
      <color rgb="FF000000"/>
      <name val="Times New Roman"/>
    </font>
    <font>
      <sz val="10"/>
      <color theme="1"/>
      <name val="Arial"/>
      <scheme val="minor"/>
    </font>
    <font>
      <i/>
      <sz val="10"/>
      <color rgb="FF000000"/>
      <name val="Times New Roman"/>
    </font>
    <font>
      <i/>
      <sz val="9"/>
      <color rgb="FF000000"/>
      <name val="Times New Roman"/>
    </font>
    <font>
      <sz val="10"/>
      <color rgb="FF000000"/>
      <name val="Arial"/>
    </font>
    <font>
      <b/>
      <sz val="14"/>
      <color rgb="FF000000"/>
      <name val="Arial"/>
    </font>
    <font>
      <b/>
      <sz val="10"/>
      <color rgb="FF000000"/>
      <name val="Arial"/>
    </font>
    <font>
      <sz val="10"/>
      <color rgb="FFBFBFBF"/>
      <name val="Arial"/>
    </font>
    <font>
      <sz val="10"/>
      <color rgb="FFFF0000"/>
      <name val="Arial"/>
    </font>
    <font>
      <b/>
      <sz val="10"/>
      <color rgb="FFFF0000"/>
      <name val="Arial"/>
    </font>
    <font>
      <sz val="10"/>
      <color rgb="FF000000"/>
      <name val="&quot;Times New Roman&quot;"/>
    </font>
    <font>
      <b/>
      <sz val="12"/>
      <color rgb="FF000000"/>
      <name val="Arial"/>
    </font>
    <font>
      <b/>
      <sz val="10"/>
      <color rgb="FFC0504D"/>
      <name val="Arial"/>
    </font>
    <font>
      <sz val="10"/>
      <color theme="1"/>
      <name val="Arial"/>
    </font>
    <font>
      <sz val="10"/>
      <color rgb="FF7F7F7F"/>
      <name val="Arial"/>
    </font>
    <font>
      <sz val="8"/>
      <color rgb="FF000000"/>
      <name val="&quot;Times New Roman&quot;"/>
    </font>
    <font>
      <sz val="7"/>
      <color rgb="FF000000"/>
      <name val="&quot;Times New Roman&quot;"/>
    </font>
    <font>
      <sz val="9"/>
      <color rgb="FF000000"/>
      <name val="&quot;Times New Roman&quot;"/>
    </font>
    <font>
      <sz val="10"/>
      <name val="Arial"/>
    </font>
    <font>
      <sz val="10"/>
      <color rgb="FF0070C0"/>
      <name val="Arial"/>
    </font>
    <font>
      <b/>
      <sz val="10"/>
      <color theme="1"/>
      <name val="Arial"/>
    </font>
    <font>
      <b/>
      <sz val="10"/>
      <color rgb="FF1155CC"/>
      <name val="Arial"/>
    </font>
    <font>
      <sz val="8"/>
      <color theme="1"/>
      <name val="Times New Roman"/>
    </font>
    <font>
      <sz val="7"/>
      <color theme="1"/>
      <name val="Times New Roman"/>
    </font>
    <font>
      <sz val="9"/>
      <color theme="1"/>
      <name val="Times New Roman"/>
    </font>
    <font>
      <b/>
      <sz val="10"/>
      <color rgb="FF000000"/>
      <name val="Times New Roman"/>
    </font>
    <font>
      <b/>
      <sz val="14"/>
      <color rgb="FF000000"/>
      <name val="Times New Roman"/>
    </font>
    <font>
      <b/>
      <sz val="11"/>
      <color rgb="FF000000"/>
      <name val="Times New Roman"/>
    </font>
    <font>
      <u/>
      <sz val="10"/>
      <color theme="1"/>
      <name val="Arial"/>
    </font>
  </fonts>
  <fills count="11">
    <fill>
      <patternFill patternType="none"/>
    </fill>
    <fill>
      <patternFill patternType="gray125"/>
    </fill>
    <fill>
      <patternFill patternType="solid">
        <fgColor rgb="FF008000"/>
        <bgColor rgb="FF008000"/>
      </patternFill>
    </fill>
    <fill>
      <patternFill patternType="solid">
        <fgColor rgb="FFFFFF00"/>
        <bgColor rgb="FFFFFF00"/>
      </patternFill>
    </fill>
    <fill>
      <patternFill patternType="solid">
        <fgColor rgb="FF00CCFF"/>
        <bgColor rgb="FF00CCFF"/>
      </patternFill>
    </fill>
    <fill>
      <patternFill patternType="solid">
        <fgColor rgb="FFFF0000"/>
        <bgColor rgb="FFFF0000"/>
      </patternFill>
    </fill>
    <fill>
      <patternFill patternType="solid">
        <fgColor rgb="FF99CC00"/>
        <bgColor rgb="FF99CC00"/>
      </patternFill>
    </fill>
    <fill>
      <patternFill patternType="solid">
        <fgColor rgb="FF92D050"/>
        <bgColor rgb="FF92D050"/>
      </patternFill>
    </fill>
    <fill>
      <patternFill patternType="solid">
        <fgColor rgb="FFFFFFFF"/>
        <bgColor rgb="FFFFFFFF"/>
      </patternFill>
    </fill>
    <fill>
      <patternFill patternType="solid">
        <fgColor rgb="FFD8D8D8"/>
        <bgColor rgb="FFD8D8D8"/>
      </patternFill>
    </fill>
    <fill>
      <patternFill patternType="solid">
        <fgColor theme="6"/>
        <bgColor theme="6"/>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B2B2B2"/>
      </left>
      <right style="thin">
        <color rgb="FFB2B2B2"/>
      </right>
      <top/>
      <bottom style="thin">
        <color rgb="FFB2B2B2"/>
      </bottom>
      <diagonal/>
    </border>
    <border>
      <left style="thin">
        <color rgb="FFB2B2B2"/>
      </left>
      <right style="thin">
        <color rgb="FFB2B2B2"/>
      </right>
      <top style="thin">
        <color rgb="FFB2B2B2"/>
      </top>
      <bottom style="thin">
        <color rgb="FFB2B2B2"/>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s>
  <cellStyleXfs count="1">
    <xf numFmtId="0" fontId="0" fillId="0" borderId="0"/>
  </cellStyleXfs>
  <cellXfs count="419">
    <xf numFmtId="0" fontId="0" fillId="0" borderId="0" xfId="0" applyFont="1" applyAlignment="1"/>
    <xf numFmtId="0" fontId="1" fillId="0" borderId="0" xfId="0" applyFont="1" applyAlignment="1">
      <alignment horizontal="center" vertical="center"/>
    </xf>
    <xf numFmtId="0" fontId="1" fillId="0" borderId="0" xfId="0" applyFont="1" applyAlignment="1">
      <alignment vertical="center"/>
    </xf>
    <xf numFmtId="49" fontId="1" fillId="0" borderId="0" xfId="0" applyNumberFormat="1" applyFont="1" applyAlignment="1">
      <alignment vertical="center"/>
    </xf>
    <xf numFmtId="0" fontId="1" fillId="0" borderId="0" xfId="0" applyFont="1" applyAlignment="1">
      <alignment vertical="center" wrapText="1"/>
    </xf>
    <xf numFmtId="3" fontId="1" fillId="0" borderId="0" xfId="0" applyNumberFormat="1" applyFont="1" applyAlignment="1">
      <alignment vertical="center"/>
    </xf>
    <xf numFmtId="0" fontId="1" fillId="0" borderId="0" xfId="0" applyFont="1" applyAlignment="1">
      <alignment horizontal="left" vertical="center" wrapText="1"/>
    </xf>
    <xf numFmtId="0" fontId="2" fillId="0" borderId="0" xfId="0" applyFont="1"/>
    <xf numFmtId="14" fontId="1" fillId="0" borderId="0" xfId="0" applyNumberFormat="1" applyFont="1" applyAlignment="1">
      <alignment vertical="center"/>
    </xf>
    <xf numFmtId="0" fontId="3" fillId="0" borderId="0" xfId="0" applyFont="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vertical="center"/>
    </xf>
    <xf numFmtId="14" fontId="4" fillId="0" borderId="1" xfId="0" applyNumberFormat="1" applyFont="1" applyBorder="1" applyAlignment="1">
      <alignment vertical="center"/>
    </xf>
    <xf numFmtId="49" fontId="4" fillId="0" borderId="1" xfId="0" applyNumberFormat="1" applyFont="1" applyBorder="1" applyAlignment="1">
      <alignment vertical="center"/>
    </xf>
    <xf numFmtId="0" fontId="4" fillId="0" borderId="1" xfId="0" applyFont="1" applyBorder="1" applyAlignment="1">
      <alignment vertical="center" wrapText="1"/>
    </xf>
    <xf numFmtId="3" fontId="4" fillId="0" borderId="1" xfId="0" applyNumberFormat="1" applyFont="1" applyBorder="1" applyAlignment="1">
      <alignment vertical="center"/>
    </xf>
    <xf numFmtId="0" fontId="4"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14" fontId="5" fillId="0" borderId="1" xfId="0" applyNumberFormat="1" applyFont="1" applyBorder="1" applyAlignment="1">
      <alignment vertical="center"/>
    </xf>
    <xf numFmtId="0" fontId="5" fillId="0" borderId="1" xfId="0" applyFont="1" applyBorder="1" applyAlignment="1">
      <alignment vertical="center" wrapText="1"/>
    </xf>
    <xf numFmtId="3" fontId="5" fillId="0" borderId="1" xfId="0" applyNumberFormat="1" applyFont="1" applyBorder="1" applyAlignment="1">
      <alignment vertical="center"/>
    </xf>
    <xf numFmtId="0" fontId="5" fillId="0" borderId="1"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vertical="center"/>
    </xf>
    <xf numFmtId="0" fontId="5" fillId="0" borderId="0" xfId="0" applyFont="1"/>
    <xf numFmtId="0" fontId="1" fillId="0" borderId="1" xfId="0" applyFont="1" applyBorder="1" applyAlignment="1">
      <alignment horizontal="center" vertical="center"/>
    </xf>
    <xf numFmtId="0" fontId="1" fillId="0" borderId="1" xfId="0" applyFont="1" applyBorder="1" applyAlignment="1">
      <alignment vertical="center"/>
    </xf>
    <xf numFmtId="14" fontId="1" fillId="0" borderId="1" xfId="0" applyNumberFormat="1" applyFont="1" applyBorder="1" applyAlignment="1">
      <alignment vertical="center"/>
    </xf>
    <xf numFmtId="0" fontId="1" fillId="0" borderId="1" xfId="0" applyFont="1" applyBorder="1" applyAlignment="1">
      <alignment vertical="center" wrapText="1"/>
    </xf>
    <xf numFmtId="3" fontId="1" fillId="0" borderId="1" xfId="0" applyNumberFormat="1" applyFont="1" applyBorder="1" applyAlignment="1">
      <alignment vertical="center"/>
    </xf>
    <xf numFmtId="0" fontId="1" fillId="0" borderId="1" xfId="0" applyFont="1" applyBorder="1" applyAlignment="1">
      <alignment horizontal="left" vertical="center" wrapText="1"/>
    </xf>
    <xf numFmtId="0" fontId="5" fillId="0" borderId="0" xfId="0" applyFont="1" applyAlignment="1">
      <alignment horizontal="left"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0" fontId="6" fillId="0" borderId="1" xfId="0" applyFont="1" applyBorder="1" applyAlignment="1">
      <alignment horizontal="left"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14" fontId="1" fillId="2" borderId="1" xfId="0" applyNumberFormat="1" applyFont="1" applyFill="1" applyBorder="1" applyAlignment="1">
      <alignment vertical="center"/>
    </xf>
    <xf numFmtId="0" fontId="1" fillId="2" borderId="1" xfId="0" applyFont="1" applyFill="1" applyBorder="1" applyAlignment="1">
      <alignment vertical="center" wrapText="1"/>
    </xf>
    <xf numFmtId="3" fontId="1" fillId="2" borderId="1" xfId="0" applyNumberFormat="1" applyFont="1" applyFill="1" applyBorder="1" applyAlignment="1">
      <alignment vertical="center"/>
    </xf>
    <xf numFmtId="0" fontId="1" fillId="2" borderId="1" xfId="0" applyFont="1" applyFill="1" applyBorder="1" applyAlignment="1">
      <alignment horizontal="left" vertical="center" wrapText="1"/>
    </xf>
    <xf numFmtId="0" fontId="1" fillId="0" borderId="0" xfId="0" applyFont="1" applyAlignment="1">
      <alignment vertical="center"/>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49" fontId="1" fillId="0" borderId="1" xfId="0" applyNumberFormat="1" applyFont="1" applyBorder="1" applyAlignment="1">
      <alignment vertical="center"/>
    </xf>
    <xf numFmtId="0" fontId="2" fillId="0" borderId="1" xfId="0" applyFont="1" applyBorder="1" applyAlignment="1">
      <alignment horizontal="left" vertical="center" wrapText="1"/>
    </xf>
    <xf numFmtId="0" fontId="6" fillId="3" borderId="1" xfId="0" applyFont="1" applyFill="1" applyBorder="1" applyAlignment="1">
      <alignment horizontal="center" vertical="center"/>
    </xf>
    <xf numFmtId="14" fontId="6" fillId="3" borderId="1" xfId="0" applyNumberFormat="1" applyFont="1" applyFill="1" applyBorder="1" applyAlignment="1">
      <alignment vertical="center"/>
    </xf>
    <xf numFmtId="49" fontId="6" fillId="3" borderId="1" xfId="0" applyNumberFormat="1" applyFont="1" applyFill="1" applyBorder="1" applyAlignment="1">
      <alignment vertical="center"/>
    </xf>
    <xf numFmtId="0" fontId="6" fillId="3" borderId="1" xfId="0" applyFont="1" applyFill="1" applyBorder="1" applyAlignment="1">
      <alignment vertical="center" wrapText="1"/>
    </xf>
    <xf numFmtId="0" fontId="6" fillId="3" borderId="2" xfId="0" applyFont="1" applyFill="1" applyBorder="1" applyAlignment="1">
      <alignment horizontal="left" vertical="center"/>
    </xf>
    <xf numFmtId="0" fontId="6" fillId="3" borderId="1" xfId="0" applyFont="1" applyFill="1" applyBorder="1" applyAlignment="1">
      <alignment horizontal="left" vertical="center" wrapText="1"/>
    </xf>
    <xf numFmtId="0" fontId="2" fillId="0" borderId="0" xfId="0" applyFont="1" applyAlignment="1"/>
    <xf numFmtId="49" fontId="1" fillId="0" borderId="1" xfId="0" quotePrefix="1" applyNumberFormat="1" applyFont="1" applyBorder="1" applyAlignment="1">
      <alignment vertical="center"/>
    </xf>
    <xf numFmtId="0" fontId="1"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1" fillId="4" borderId="1" xfId="0" applyFont="1" applyFill="1" applyBorder="1" applyAlignment="1">
      <alignment horizontal="center" vertical="center"/>
    </xf>
    <xf numFmtId="0" fontId="1" fillId="0" borderId="1" xfId="0" quotePrefix="1"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left" vertical="center" wrapText="1"/>
    </xf>
    <xf numFmtId="0" fontId="1" fillId="0" borderId="6" xfId="0" applyFont="1" applyBorder="1" applyAlignment="1">
      <alignment horizontal="center" vertical="center"/>
    </xf>
    <xf numFmtId="0" fontId="1" fillId="0" borderId="1" xfId="0" applyFont="1" applyBorder="1" applyAlignment="1">
      <alignment vertical="center"/>
    </xf>
    <xf numFmtId="0" fontId="1" fillId="3" borderId="1" xfId="0" applyFont="1" applyFill="1" applyBorder="1" applyAlignment="1">
      <alignment horizontal="left" vertical="center" wrapText="1"/>
    </xf>
    <xf numFmtId="49" fontId="1" fillId="2" borderId="1" xfId="0" applyNumberFormat="1" applyFont="1" applyFill="1" applyBorder="1" applyAlignment="1">
      <alignment vertical="center"/>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wrapText="1"/>
    </xf>
    <xf numFmtId="0" fontId="1" fillId="0" borderId="7" xfId="0" applyFont="1" applyBorder="1" applyAlignment="1">
      <alignment horizontal="left" vertical="center" wrapText="1"/>
    </xf>
    <xf numFmtId="0" fontId="1" fillId="6" borderId="1" xfId="0" applyFont="1" applyFill="1" applyBorder="1" applyAlignment="1">
      <alignment horizontal="left" vertical="center" wrapText="1"/>
    </xf>
    <xf numFmtId="0" fontId="1" fillId="0" borderId="8" xfId="0" applyFont="1" applyBorder="1" applyAlignment="1">
      <alignment horizontal="left" vertical="center" wrapText="1"/>
    </xf>
    <xf numFmtId="49" fontId="6" fillId="3" borderId="1" xfId="0" quotePrefix="1" applyNumberFormat="1" applyFont="1" applyFill="1" applyBorder="1" applyAlignment="1">
      <alignment vertical="center"/>
    </xf>
    <xf numFmtId="0" fontId="5" fillId="0" borderId="8" xfId="0" applyFont="1" applyBorder="1" applyAlignment="1">
      <alignment horizontal="left" vertical="center" wrapText="1"/>
    </xf>
    <xf numFmtId="14" fontId="1" fillId="3" borderId="1" xfId="0" applyNumberFormat="1" applyFont="1" applyFill="1" applyBorder="1" applyAlignment="1">
      <alignment vertical="center"/>
    </xf>
    <xf numFmtId="49" fontId="1" fillId="3" borderId="1" xfId="0" applyNumberFormat="1" applyFont="1" applyFill="1" applyBorder="1" applyAlignment="1">
      <alignment vertical="center"/>
    </xf>
    <xf numFmtId="0" fontId="1" fillId="3" borderId="1" xfId="0" applyFont="1" applyFill="1" applyBorder="1" applyAlignment="1">
      <alignment vertical="center" wrapText="1"/>
    </xf>
    <xf numFmtId="0" fontId="1" fillId="2"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49" fontId="1" fillId="3" borderId="1" xfId="0" quotePrefix="1" applyNumberFormat="1" applyFont="1" applyFill="1" applyBorder="1" applyAlignment="1">
      <alignment vertical="center"/>
    </xf>
    <xf numFmtId="0" fontId="2" fillId="3" borderId="2" xfId="0" applyFont="1" applyFill="1" applyBorder="1"/>
    <xf numFmtId="49" fontId="7" fillId="0" borderId="9" xfId="0" applyNumberFormat="1" applyFont="1" applyBorder="1" applyAlignment="1">
      <alignment horizontal="left" vertical="center" shrinkToFit="1"/>
    </xf>
    <xf numFmtId="14" fontId="7" fillId="0" borderId="9" xfId="0" applyNumberFormat="1" applyFont="1" applyBorder="1" applyAlignment="1">
      <alignment horizontal="center" vertical="center" shrinkToFit="1"/>
    </xf>
    <xf numFmtId="0" fontId="7" fillId="0" borderId="9" xfId="0" applyFont="1" applyBorder="1" applyAlignment="1">
      <alignment horizontal="left" vertical="center" shrinkToFit="1"/>
    </xf>
    <xf numFmtId="49" fontId="7" fillId="0" borderId="9" xfId="0" applyNumberFormat="1" applyFont="1" applyBorder="1" applyAlignment="1">
      <alignment horizontal="center" vertical="center" shrinkToFit="1"/>
    </xf>
    <xf numFmtId="0" fontId="7" fillId="0" borderId="9" xfId="0" applyFont="1" applyBorder="1" applyAlignment="1">
      <alignment horizontal="center" vertical="center" shrinkToFit="1"/>
    </xf>
    <xf numFmtId="3" fontId="7" fillId="0" borderId="9" xfId="0" applyNumberFormat="1" applyFont="1" applyBorder="1" applyAlignment="1">
      <alignment horizontal="right" vertical="center" shrinkToFit="1"/>
    </xf>
    <xf numFmtId="0" fontId="1" fillId="0" borderId="1" xfId="0" applyFont="1" applyBorder="1" applyAlignment="1">
      <alignment horizontal="center" vertical="center" wrapText="1"/>
    </xf>
    <xf numFmtId="0" fontId="8" fillId="0" borderId="6" xfId="0" applyFont="1" applyBorder="1" applyAlignment="1">
      <alignment horizontal="center" vertical="center" shrinkToFit="1"/>
    </xf>
    <xf numFmtId="49" fontId="9" fillId="0" borderId="9" xfId="0" applyNumberFormat="1" applyFont="1" applyBorder="1" applyAlignment="1">
      <alignment horizontal="left" vertical="center" shrinkToFit="1"/>
    </xf>
    <xf numFmtId="49" fontId="9" fillId="0" borderId="9" xfId="0" applyNumberFormat="1" applyFont="1" applyBorder="1" applyAlignment="1">
      <alignment horizontal="center" vertical="center" shrinkToFit="1"/>
    </xf>
    <xf numFmtId="0" fontId="9" fillId="0" borderId="9" xfId="0" applyFont="1" applyBorder="1" applyAlignment="1">
      <alignment horizontal="center" vertical="center" shrinkToFit="1"/>
    </xf>
    <xf numFmtId="3" fontId="9" fillId="0" borderId="9" xfId="0" applyNumberFormat="1" applyFont="1" applyBorder="1" applyAlignment="1">
      <alignment horizontal="right" vertical="center" shrinkToFit="1"/>
    </xf>
    <xf numFmtId="3" fontId="7" fillId="0" borderId="10" xfId="0" applyNumberFormat="1" applyFont="1" applyBorder="1" applyAlignment="1">
      <alignment horizontal="right" vertical="center" shrinkToFit="1"/>
    </xf>
    <xf numFmtId="3" fontId="9" fillId="0" borderId="10" xfId="0" applyNumberFormat="1" applyFont="1" applyBorder="1" applyAlignment="1">
      <alignment horizontal="right" vertical="center" shrinkToFit="1"/>
    </xf>
    <xf numFmtId="0" fontId="10" fillId="0" borderId="6" xfId="0" applyFont="1" applyBorder="1" applyAlignment="1">
      <alignment horizontal="center" vertical="center" shrinkToFit="1"/>
    </xf>
    <xf numFmtId="49" fontId="10" fillId="0" borderId="9" xfId="0" applyNumberFormat="1" applyFont="1" applyBorder="1" applyAlignment="1">
      <alignment horizontal="left" vertical="center" shrinkToFit="1"/>
    </xf>
    <xf numFmtId="14" fontId="10" fillId="0" borderId="9" xfId="0" applyNumberFormat="1" applyFont="1" applyBorder="1" applyAlignment="1">
      <alignment horizontal="center" vertical="center" shrinkToFit="1"/>
    </xf>
    <xf numFmtId="0" fontId="10" fillId="0" borderId="9" xfId="0" applyFont="1" applyBorder="1" applyAlignment="1">
      <alignment horizontal="left" vertical="center" shrinkToFit="1"/>
    </xf>
    <xf numFmtId="49" fontId="10" fillId="0" borderId="9" xfId="0" applyNumberFormat="1" applyFont="1" applyBorder="1" applyAlignment="1">
      <alignment horizontal="center" vertical="center" shrinkToFit="1"/>
    </xf>
    <xf numFmtId="0" fontId="10" fillId="0" borderId="9" xfId="0" applyFont="1" applyBorder="1" applyAlignment="1">
      <alignment horizontal="center" vertical="center" shrinkToFit="1"/>
    </xf>
    <xf numFmtId="3" fontId="10" fillId="0" borderId="9" xfId="0" applyNumberFormat="1" applyFont="1" applyBorder="1" applyAlignment="1">
      <alignment horizontal="right" vertical="center" shrinkToFit="1"/>
    </xf>
    <xf numFmtId="0" fontId="1" fillId="0" borderId="3"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xf>
    <xf numFmtId="49" fontId="10" fillId="0" borderId="9" xfId="0" applyNumberFormat="1" applyFont="1" applyBorder="1" applyAlignment="1">
      <alignment horizontal="left" vertical="center" wrapText="1"/>
    </xf>
    <xf numFmtId="0" fontId="2" fillId="0" borderId="1" xfId="0" applyFont="1" applyBorder="1"/>
    <xf numFmtId="0" fontId="11" fillId="0" borderId="0" xfId="0" applyFont="1"/>
    <xf numFmtId="0" fontId="12" fillId="0" borderId="6" xfId="0" applyFont="1" applyBorder="1" applyAlignment="1">
      <alignment horizontal="center" vertical="center" shrinkToFit="1"/>
    </xf>
    <xf numFmtId="49" fontId="13" fillId="0" borderId="9" xfId="0" applyNumberFormat="1" applyFont="1" applyBorder="1" applyAlignment="1">
      <alignment horizontal="left" vertical="center" shrinkToFit="1"/>
    </xf>
    <xf numFmtId="49" fontId="13" fillId="0" borderId="9" xfId="0" applyNumberFormat="1" applyFont="1" applyBorder="1" applyAlignment="1">
      <alignment horizontal="left" vertical="center" wrapText="1"/>
    </xf>
    <xf numFmtId="49" fontId="13" fillId="0" borderId="9" xfId="0" applyNumberFormat="1" applyFont="1" applyBorder="1" applyAlignment="1">
      <alignment horizontal="center" vertical="center" shrinkToFit="1"/>
    </xf>
    <xf numFmtId="0" fontId="13" fillId="0" borderId="9" xfId="0" applyFont="1" applyBorder="1" applyAlignment="1">
      <alignment horizontal="center" vertical="center" shrinkToFit="1"/>
    </xf>
    <xf numFmtId="3" fontId="13" fillId="0" borderId="9" xfId="0" applyNumberFormat="1" applyFont="1" applyBorder="1" applyAlignment="1">
      <alignment horizontal="right" vertical="center" shrinkToFit="1"/>
    </xf>
    <xf numFmtId="0" fontId="8" fillId="0" borderId="0" xfId="0" applyFont="1" applyAlignment="1">
      <alignment horizontal="center" vertical="center" shrinkToFit="1"/>
    </xf>
    <xf numFmtId="49" fontId="9" fillId="0" borderId="0" xfId="0" applyNumberFormat="1" applyFont="1" applyAlignment="1">
      <alignment horizontal="left" vertical="center" shrinkToFit="1"/>
    </xf>
    <xf numFmtId="49" fontId="9" fillId="0" borderId="0" xfId="0" applyNumberFormat="1" applyFont="1" applyAlignment="1">
      <alignment horizontal="center" vertical="center" shrinkToFit="1"/>
    </xf>
    <xf numFmtId="0" fontId="9" fillId="0" borderId="0" xfId="0" applyFont="1" applyAlignment="1">
      <alignment horizontal="center" vertical="center" shrinkToFit="1"/>
    </xf>
    <xf numFmtId="3" fontId="9" fillId="0" borderId="0" xfId="0" applyNumberFormat="1" applyFont="1" applyAlignment="1">
      <alignment horizontal="right" vertical="center" shrinkToFit="1"/>
    </xf>
    <xf numFmtId="49" fontId="4" fillId="0" borderId="0" xfId="0" applyNumberFormat="1" applyFont="1" applyAlignment="1">
      <alignment horizontal="center" vertical="center"/>
    </xf>
    <xf numFmtId="3" fontId="4" fillId="0" borderId="0" xfId="0" applyNumberFormat="1" applyFont="1" applyAlignment="1">
      <alignment vertical="center"/>
    </xf>
    <xf numFmtId="0" fontId="4" fillId="0" borderId="0" xfId="0" applyFont="1" applyAlignment="1">
      <alignment horizontal="center" vertical="center" wrapText="1"/>
    </xf>
    <xf numFmtId="49" fontId="11" fillId="0" borderId="0" xfId="0" applyNumberFormat="1" applyFont="1"/>
    <xf numFmtId="0" fontId="14" fillId="0" borderId="0" xfId="0" applyFont="1"/>
    <xf numFmtId="0" fontId="14" fillId="0" borderId="0" xfId="0" applyFont="1" applyAlignment="1"/>
    <xf numFmtId="0" fontId="14" fillId="0" borderId="0" xfId="0" applyFont="1" applyAlignment="1">
      <alignment horizontal="center"/>
    </xf>
    <xf numFmtId="0" fontId="14" fillId="0" borderId="0" xfId="0" applyFont="1" applyAlignment="1">
      <alignment horizontal="left"/>
    </xf>
    <xf numFmtId="0" fontId="14" fillId="0" borderId="0" xfId="0" applyFont="1" applyAlignment="1"/>
    <xf numFmtId="0" fontId="14" fillId="0" borderId="0" xfId="0" applyFont="1" applyAlignment="1">
      <alignment horizontal="center"/>
    </xf>
    <xf numFmtId="49" fontId="14" fillId="0" borderId="0" xfId="0" applyNumberFormat="1" applyFont="1" applyAlignment="1"/>
    <xf numFmtId="0" fontId="16" fillId="0" borderId="1" xfId="0" applyFont="1" applyBorder="1" applyAlignment="1">
      <alignment horizontal="center"/>
    </xf>
    <xf numFmtId="0" fontId="16" fillId="0" borderId="1" xfId="0" applyFont="1" applyBorder="1" applyAlignment="1"/>
    <xf numFmtId="49" fontId="16" fillId="0" borderId="1" xfId="0" applyNumberFormat="1" applyFont="1" applyBorder="1" applyAlignment="1"/>
    <xf numFmtId="0" fontId="16" fillId="0" borderId="1" xfId="0" applyFont="1" applyBorder="1" applyAlignment="1"/>
    <xf numFmtId="0" fontId="16" fillId="0" borderId="1" xfId="0" applyFont="1" applyBorder="1" applyAlignment="1">
      <alignment horizontal="left"/>
    </xf>
    <xf numFmtId="0" fontId="16" fillId="0" borderId="0" xfId="0" applyFont="1" applyAlignment="1">
      <alignment horizontal="left"/>
    </xf>
    <xf numFmtId="0" fontId="14" fillId="0" borderId="0" xfId="0" applyFont="1" applyAlignment="1"/>
    <xf numFmtId="0" fontId="14" fillId="0" borderId="1" xfId="0" applyFont="1" applyBorder="1" applyAlignment="1">
      <alignment horizontal="center"/>
    </xf>
    <xf numFmtId="14" fontId="14" fillId="0" borderId="1" xfId="0" applyNumberFormat="1" applyFont="1" applyBorder="1" applyAlignment="1">
      <alignment horizontal="right"/>
    </xf>
    <xf numFmtId="49" fontId="14" fillId="0" borderId="1" xfId="0" applyNumberFormat="1" applyFont="1" applyBorder="1" applyAlignment="1"/>
    <xf numFmtId="0" fontId="14" fillId="0" borderId="1" xfId="0" applyFont="1" applyBorder="1" applyAlignment="1"/>
    <xf numFmtId="0" fontId="14" fillId="0" borderId="1" xfId="0" applyFont="1" applyBorder="1" applyAlignment="1"/>
    <xf numFmtId="0" fontId="14" fillId="0" borderId="1" xfId="0" applyFont="1" applyBorder="1" applyAlignment="1">
      <alignment horizontal="right"/>
    </xf>
    <xf numFmtId="3" fontId="14" fillId="0" borderId="1" xfId="0" applyNumberFormat="1" applyFont="1" applyBorder="1" applyAlignment="1">
      <alignment horizontal="right"/>
    </xf>
    <xf numFmtId="0" fontId="14" fillId="0" borderId="1" xfId="0" applyFont="1" applyBorder="1" applyAlignment="1">
      <alignment horizontal="left"/>
    </xf>
    <xf numFmtId="0" fontId="17" fillId="0" borderId="0" xfId="0" applyFont="1" applyAlignment="1">
      <alignment horizontal="left"/>
    </xf>
    <xf numFmtId="0" fontId="18" fillId="0" borderId="0" xfId="0" applyFont="1" applyAlignment="1">
      <alignment horizontal="center"/>
    </xf>
    <xf numFmtId="0" fontId="14" fillId="0" borderId="1" xfId="0" applyFont="1" applyBorder="1" applyAlignment="1"/>
    <xf numFmtId="0" fontId="14" fillId="3" borderId="1" xfId="0" applyFont="1" applyFill="1" applyBorder="1" applyAlignment="1">
      <alignment horizontal="center"/>
    </xf>
    <xf numFmtId="0" fontId="14" fillId="3" borderId="1" xfId="0" applyFont="1" applyFill="1" applyBorder="1" applyAlignment="1"/>
    <xf numFmtId="49" fontId="14" fillId="3" borderId="1" xfId="0" applyNumberFormat="1" applyFont="1" applyFill="1" applyBorder="1" applyAlignment="1"/>
    <xf numFmtId="0" fontId="14" fillId="3" borderId="1" xfId="0" applyFont="1" applyFill="1" applyBorder="1" applyAlignment="1"/>
    <xf numFmtId="0" fontId="14" fillId="3" borderId="1" xfId="0" applyFont="1" applyFill="1" applyBorder="1" applyAlignment="1"/>
    <xf numFmtId="0" fontId="14" fillId="3" borderId="1" xfId="0" applyFont="1" applyFill="1" applyBorder="1" applyAlignment="1">
      <alignment horizontal="right"/>
    </xf>
    <xf numFmtId="0" fontId="14" fillId="3" borderId="1" xfId="0" applyFont="1" applyFill="1" applyBorder="1" applyAlignment="1">
      <alignment horizontal="left"/>
    </xf>
    <xf numFmtId="0" fontId="17" fillId="3" borderId="0" xfId="0" applyFont="1" applyFill="1" applyAlignment="1">
      <alignment horizontal="left"/>
    </xf>
    <xf numFmtId="0" fontId="18" fillId="3" borderId="0" xfId="0" applyFont="1" applyFill="1" applyAlignment="1">
      <alignment horizontal="center"/>
    </xf>
    <xf numFmtId="0" fontId="14" fillId="3" borderId="0" xfId="0" applyFont="1" applyFill="1" applyAlignment="1"/>
    <xf numFmtId="0" fontId="14" fillId="3" borderId="0" xfId="0" applyFont="1" applyFill="1" applyAlignment="1"/>
    <xf numFmtId="0" fontId="14" fillId="3" borderId="0" xfId="0" applyFont="1" applyFill="1" applyAlignment="1"/>
    <xf numFmtId="0" fontId="19" fillId="0" borderId="1" xfId="0" applyFont="1" applyBorder="1" applyAlignment="1">
      <alignment horizontal="left"/>
    </xf>
    <xf numFmtId="0" fontId="14" fillId="0" borderId="0" xfId="0" applyFont="1" applyAlignment="1">
      <alignment horizontal="left"/>
    </xf>
    <xf numFmtId="14" fontId="14" fillId="3" borderId="1" xfId="0" applyNumberFormat="1" applyFont="1" applyFill="1" applyBorder="1" applyAlignment="1">
      <alignment horizontal="right"/>
    </xf>
    <xf numFmtId="3" fontId="14" fillId="3" borderId="1" xfId="0" applyNumberFormat="1" applyFont="1" applyFill="1" applyBorder="1" applyAlignment="1">
      <alignment horizontal="right"/>
    </xf>
    <xf numFmtId="0" fontId="14" fillId="3" borderId="0" xfId="0" applyFont="1" applyFill="1" applyAlignment="1">
      <alignment horizontal="left"/>
    </xf>
    <xf numFmtId="0" fontId="14" fillId="0" borderId="1" xfId="0" applyFont="1" applyBorder="1" applyAlignment="1">
      <alignment horizontal="center"/>
    </xf>
    <xf numFmtId="0" fontId="20" fillId="0" borderId="6" xfId="0" applyFont="1" applyBorder="1" applyAlignment="1">
      <alignment horizontal="center"/>
    </xf>
    <xf numFmtId="14" fontId="20" fillId="0" borderId="9" xfId="0" applyNumberFormat="1" applyFont="1" applyBorder="1" applyAlignment="1">
      <alignment horizontal="center"/>
    </xf>
    <xf numFmtId="49" fontId="20" fillId="0" borderId="9" xfId="0" applyNumberFormat="1" applyFont="1" applyBorder="1" applyAlignment="1">
      <alignment horizontal="left"/>
    </xf>
    <xf numFmtId="0" fontId="20" fillId="0" borderId="9" xfId="0" applyFont="1" applyBorder="1" applyAlignment="1">
      <alignment horizontal="center"/>
    </xf>
    <xf numFmtId="3" fontId="20" fillId="0" borderId="9" xfId="0" applyNumberFormat="1" applyFont="1" applyBorder="1" applyAlignment="1">
      <alignment horizontal="right"/>
    </xf>
    <xf numFmtId="0" fontId="20" fillId="0" borderId="9" xfId="0" applyFont="1" applyBorder="1" applyAlignment="1">
      <alignment horizontal="left"/>
    </xf>
    <xf numFmtId="0" fontId="14" fillId="0" borderId="1" xfId="0" applyFont="1" applyBorder="1" applyAlignment="1">
      <alignment horizontal="left"/>
    </xf>
    <xf numFmtId="0" fontId="14" fillId="0" borderId="0" xfId="0" applyFont="1" applyAlignment="1"/>
    <xf numFmtId="0" fontId="20" fillId="0" borderId="1" xfId="0" applyFont="1" applyBorder="1" applyAlignment="1">
      <alignment horizontal="center"/>
    </xf>
    <xf numFmtId="14" fontId="20" fillId="0" borderId="1" xfId="0" applyNumberFormat="1" applyFont="1" applyBorder="1" applyAlignment="1">
      <alignment horizontal="center"/>
    </xf>
    <xf numFmtId="49" fontId="20" fillId="0" borderId="1" xfId="0" applyNumberFormat="1" applyFont="1" applyBorder="1" applyAlignment="1">
      <alignment horizontal="left"/>
    </xf>
    <xf numFmtId="0" fontId="20" fillId="0" borderId="1" xfId="0" applyFont="1" applyBorder="1" applyAlignment="1">
      <alignment horizontal="left"/>
    </xf>
    <xf numFmtId="0" fontId="20" fillId="0" borderId="1" xfId="0" applyFont="1" applyBorder="1" applyAlignment="1">
      <alignment horizontal="center"/>
    </xf>
    <xf numFmtId="3" fontId="20" fillId="0" borderId="1" xfId="0" applyNumberFormat="1" applyFont="1" applyBorder="1" applyAlignment="1">
      <alignment horizontal="right"/>
    </xf>
    <xf numFmtId="0" fontId="14" fillId="0" borderId="1" xfId="0" applyFont="1" applyBorder="1" applyAlignment="1">
      <alignment horizontal="center"/>
    </xf>
    <xf numFmtId="0" fontId="14" fillId="0" borderId="1" xfId="0" applyFont="1" applyBorder="1" applyAlignment="1"/>
    <xf numFmtId="0" fontId="14" fillId="0" borderId="1" xfId="0" applyFont="1" applyBorder="1" applyAlignment="1"/>
    <xf numFmtId="0" fontId="18" fillId="0" borderId="1" xfId="0" applyFont="1" applyBorder="1" applyAlignment="1">
      <alignment horizontal="center"/>
    </xf>
    <xf numFmtId="0" fontId="14" fillId="0" borderId="1" xfId="0" applyFont="1" applyBorder="1" applyAlignment="1">
      <alignment horizontal="center"/>
    </xf>
    <xf numFmtId="0" fontId="14" fillId="0" borderId="1" xfId="0" applyFont="1" applyBorder="1" applyAlignment="1"/>
    <xf numFmtId="49" fontId="14" fillId="0" borderId="1" xfId="0" applyNumberFormat="1" applyFont="1" applyBorder="1" applyAlignment="1"/>
    <xf numFmtId="0" fontId="14" fillId="0" borderId="1" xfId="0" applyFont="1" applyBorder="1" applyAlignment="1">
      <alignment horizontal="center"/>
    </xf>
    <xf numFmtId="0" fontId="18" fillId="0" borderId="0" xfId="0" applyFont="1" applyAlignment="1"/>
    <xf numFmtId="49" fontId="14" fillId="0" borderId="0" xfId="0" applyNumberFormat="1" applyFont="1" applyAlignment="1"/>
    <xf numFmtId="0" fontId="14" fillId="0" borderId="0" xfId="0" applyFont="1" applyAlignment="1"/>
    <xf numFmtId="0" fontId="14" fillId="0" borderId="0" xfId="0" applyFont="1" applyAlignment="1"/>
    <xf numFmtId="49" fontId="16" fillId="0" borderId="0" xfId="0" applyNumberFormat="1" applyFont="1" applyAlignment="1">
      <alignment horizontal="center"/>
    </xf>
    <xf numFmtId="0" fontId="21" fillId="0" borderId="0" xfId="0" applyFont="1" applyAlignment="1">
      <alignment horizontal="left"/>
    </xf>
    <xf numFmtId="49" fontId="14" fillId="0" borderId="1" xfId="0" applyNumberFormat="1" applyFont="1" applyBorder="1" applyAlignment="1">
      <alignment horizontal="left"/>
    </xf>
    <xf numFmtId="0" fontId="14" fillId="0" borderId="1" xfId="0" applyFont="1" applyBorder="1"/>
    <xf numFmtId="0" fontId="14" fillId="0" borderId="11" xfId="0" applyFont="1" applyBorder="1" applyAlignment="1">
      <alignment horizontal="left"/>
    </xf>
    <xf numFmtId="0" fontId="14" fillId="0" borderId="0" xfId="0" applyFont="1" applyAlignment="1">
      <alignment horizontal="left"/>
    </xf>
    <xf numFmtId="164" fontId="14" fillId="0" borderId="1" xfId="0" applyNumberFormat="1" applyFont="1" applyBorder="1" applyAlignment="1">
      <alignment horizontal="left"/>
    </xf>
    <xf numFmtId="0" fontId="22" fillId="0" borderId="1" xfId="0" applyFont="1" applyBorder="1" applyAlignment="1">
      <alignment horizontal="left"/>
    </xf>
    <xf numFmtId="0" fontId="17" fillId="0" borderId="1" xfId="0" applyFont="1" applyBorder="1" applyAlignment="1"/>
    <xf numFmtId="0" fontId="14" fillId="0" borderId="0" xfId="0" applyFont="1" applyAlignment="1">
      <alignment horizontal="right"/>
    </xf>
    <xf numFmtId="0" fontId="14" fillId="0" borderId="0" xfId="0" applyFont="1" applyAlignment="1">
      <alignment horizontal="center"/>
    </xf>
    <xf numFmtId="0" fontId="14" fillId="0" borderId="0" xfId="0" applyFont="1" applyAlignment="1">
      <alignment horizontal="left"/>
    </xf>
    <xf numFmtId="165" fontId="14" fillId="7" borderId="1" xfId="0" applyNumberFormat="1" applyFont="1" applyFill="1" applyBorder="1" applyAlignment="1">
      <alignment horizontal="left"/>
    </xf>
    <xf numFmtId="0" fontId="14" fillId="7" borderId="1" xfId="0" applyFont="1" applyFill="1" applyBorder="1" applyAlignment="1">
      <alignment horizontal="left"/>
    </xf>
    <xf numFmtId="3" fontId="14" fillId="7" borderId="1" xfId="0" applyNumberFormat="1" applyFont="1" applyFill="1" applyBorder="1" applyAlignment="1">
      <alignment horizontal="right"/>
    </xf>
    <xf numFmtId="0" fontId="14" fillId="7" borderId="1" xfId="0" applyFont="1" applyFill="1" applyBorder="1" applyAlignment="1">
      <alignment horizontal="right"/>
    </xf>
    <xf numFmtId="165" fontId="14" fillId="0" borderId="1" xfId="0" applyNumberFormat="1" applyFont="1" applyBorder="1" applyAlignment="1">
      <alignment horizontal="left"/>
    </xf>
    <xf numFmtId="49" fontId="14" fillId="0" borderId="1" xfId="0" applyNumberFormat="1" applyFont="1" applyBorder="1" applyAlignment="1">
      <alignment horizontal="left"/>
    </xf>
    <xf numFmtId="0" fontId="17" fillId="0" borderId="1" xfId="0" applyFont="1" applyBorder="1" applyAlignment="1">
      <alignment horizontal="center"/>
    </xf>
    <xf numFmtId="14" fontId="17" fillId="0" borderId="1" xfId="0" applyNumberFormat="1" applyFont="1" applyBorder="1" applyAlignment="1">
      <alignment horizontal="right"/>
    </xf>
    <xf numFmtId="0" fontId="17" fillId="0" borderId="1" xfId="0" applyFont="1" applyBorder="1" applyAlignment="1">
      <alignment horizontal="left"/>
    </xf>
    <xf numFmtId="0" fontId="17" fillId="0" borderId="1" xfId="0" applyFont="1" applyBorder="1" applyAlignment="1">
      <alignment horizontal="left"/>
    </xf>
    <xf numFmtId="0" fontId="17" fillId="0" borderId="1" xfId="0" applyFont="1" applyBorder="1" applyAlignment="1">
      <alignment horizontal="center"/>
    </xf>
    <xf numFmtId="0" fontId="14" fillId="0" borderId="1" xfId="0" applyFont="1" applyBorder="1" applyAlignment="1">
      <alignment horizontal="center"/>
    </xf>
    <xf numFmtId="0" fontId="14" fillId="8" borderId="1" xfId="0" applyFont="1" applyFill="1" applyBorder="1" applyAlignment="1">
      <alignment horizontal="left"/>
    </xf>
    <xf numFmtId="0" fontId="14" fillId="8" borderId="1" xfId="0" applyFont="1" applyFill="1" applyBorder="1" applyAlignment="1"/>
    <xf numFmtId="3" fontId="14" fillId="8" borderId="1" xfId="0" applyNumberFormat="1" applyFont="1" applyFill="1" applyBorder="1" applyAlignment="1">
      <alignment horizontal="right"/>
    </xf>
    <xf numFmtId="0" fontId="14" fillId="8" borderId="1" xfId="0" applyFont="1" applyFill="1" applyBorder="1" applyAlignment="1">
      <alignment horizontal="right"/>
    </xf>
    <xf numFmtId="0" fontId="17" fillId="0" borderId="1" xfId="0" applyFont="1" applyBorder="1"/>
    <xf numFmtId="0" fontId="17" fillId="8" borderId="1" xfId="0" applyFont="1" applyFill="1" applyBorder="1" applyAlignment="1">
      <alignment horizontal="center"/>
    </xf>
    <xf numFmtId="0" fontId="17" fillId="8" borderId="1" xfId="0" applyFont="1" applyFill="1" applyBorder="1" applyAlignment="1">
      <alignment horizontal="left"/>
    </xf>
    <xf numFmtId="14" fontId="17" fillId="8" borderId="1" xfId="0" applyNumberFormat="1" applyFont="1" applyFill="1" applyBorder="1" applyAlignment="1">
      <alignment horizontal="right"/>
    </xf>
    <xf numFmtId="0" fontId="17" fillId="8" borderId="1" xfId="0" applyFont="1" applyFill="1" applyBorder="1" applyAlignment="1">
      <alignment horizontal="left"/>
    </xf>
    <xf numFmtId="0" fontId="17" fillId="8" borderId="1" xfId="0" applyFont="1" applyFill="1" applyBorder="1" applyAlignment="1"/>
    <xf numFmtId="0" fontId="17" fillId="8" borderId="1" xfId="0" applyFont="1" applyFill="1" applyBorder="1" applyAlignment="1">
      <alignment horizontal="center"/>
    </xf>
    <xf numFmtId="3" fontId="17" fillId="8" borderId="1" xfId="0" applyNumberFormat="1" applyFont="1" applyFill="1" applyBorder="1" applyAlignment="1">
      <alignment horizontal="right"/>
    </xf>
    <xf numFmtId="0" fontId="17" fillId="8" borderId="1" xfId="0" applyFont="1" applyFill="1" applyBorder="1" applyAlignment="1">
      <alignment horizontal="right"/>
    </xf>
    <xf numFmtId="0" fontId="14" fillId="8" borderId="1" xfId="0" applyFont="1" applyFill="1" applyBorder="1" applyAlignment="1">
      <alignment horizontal="center"/>
    </xf>
    <xf numFmtId="165" fontId="14" fillId="8" borderId="1" xfId="0" applyNumberFormat="1" applyFont="1" applyFill="1" applyBorder="1" applyAlignment="1">
      <alignment horizontal="left"/>
    </xf>
    <xf numFmtId="14" fontId="14" fillId="8" borderId="1" xfId="0" applyNumberFormat="1" applyFont="1" applyFill="1" applyBorder="1" applyAlignment="1">
      <alignment horizontal="right"/>
    </xf>
    <xf numFmtId="0" fontId="14" fillId="8" borderId="1" xfId="0" applyFont="1" applyFill="1" applyBorder="1" applyAlignment="1">
      <alignment horizontal="left"/>
    </xf>
    <xf numFmtId="0" fontId="14" fillId="8" borderId="0" xfId="0" applyFont="1" applyFill="1" applyAlignment="1">
      <alignment horizontal="left"/>
    </xf>
    <xf numFmtId="0" fontId="23" fillId="3" borderId="1" xfId="0" applyFont="1" applyFill="1" applyBorder="1" applyAlignment="1">
      <alignment horizontal="center"/>
    </xf>
    <xf numFmtId="14" fontId="23" fillId="3" borderId="1" xfId="0" applyNumberFormat="1" applyFont="1" applyFill="1" applyBorder="1" applyAlignment="1">
      <alignment horizontal="right"/>
    </xf>
    <xf numFmtId="49" fontId="23" fillId="3" borderId="1" xfId="0" applyNumberFormat="1" applyFont="1" applyFill="1" applyBorder="1" applyAlignment="1">
      <alignment horizontal="left"/>
    </xf>
    <xf numFmtId="0" fontId="23" fillId="3" borderId="1" xfId="0" applyFont="1" applyFill="1" applyBorder="1" applyAlignment="1">
      <alignment horizontal="left"/>
    </xf>
    <xf numFmtId="0" fontId="23" fillId="3" borderId="1" xfId="0" applyFont="1" applyFill="1" applyBorder="1" applyAlignment="1"/>
    <xf numFmtId="0" fontId="19" fillId="3" borderId="1" xfId="0" applyFont="1" applyFill="1" applyBorder="1" applyAlignment="1">
      <alignment horizontal="left"/>
    </xf>
    <xf numFmtId="0" fontId="23" fillId="3" borderId="0" xfId="0" applyFont="1" applyFill="1" applyAlignment="1">
      <alignment horizontal="right"/>
    </xf>
    <xf numFmtId="0" fontId="23" fillId="3" borderId="0" xfId="0" applyFont="1" applyFill="1" applyAlignment="1">
      <alignment horizontal="center"/>
    </xf>
    <xf numFmtId="0" fontId="23" fillId="3" borderId="0" xfId="0" applyFont="1" applyFill="1" applyAlignment="1">
      <alignment horizontal="left"/>
    </xf>
    <xf numFmtId="0" fontId="23" fillId="3" borderId="0" xfId="0" applyFont="1" applyFill="1" applyAlignment="1"/>
    <xf numFmtId="0" fontId="19" fillId="3" borderId="1" xfId="0" applyFont="1" applyFill="1" applyBorder="1" applyAlignment="1"/>
    <xf numFmtId="3" fontId="17" fillId="0" borderId="1" xfId="0" applyNumberFormat="1" applyFont="1" applyBorder="1" applyAlignment="1">
      <alignment horizontal="right"/>
    </xf>
    <xf numFmtId="0" fontId="17" fillId="0" borderId="1" xfId="0" applyFont="1" applyBorder="1" applyAlignment="1">
      <alignment horizontal="right"/>
    </xf>
    <xf numFmtId="0" fontId="14" fillId="3" borderId="1" xfId="0" applyFont="1" applyFill="1" applyBorder="1" applyAlignment="1">
      <alignment horizontal="left"/>
    </xf>
    <xf numFmtId="0" fontId="14" fillId="3" borderId="1" xfId="0" applyFont="1" applyFill="1" applyBorder="1" applyAlignment="1">
      <alignment horizontal="left"/>
    </xf>
    <xf numFmtId="0" fontId="14" fillId="3" borderId="1" xfId="0" applyFont="1" applyFill="1" applyBorder="1"/>
    <xf numFmtId="0" fontId="24" fillId="0" borderId="1" xfId="0" applyFont="1" applyBorder="1" applyAlignment="1">
      <alignment horizontal="center"/>
    </xf>
    <xf numFmtId="14" fontId="24" fillId="0" borderId="1" xfId="0" applyNumberFormat="1" applyFont="1" applyBorder="1" applyAlignment="1">
      <alignment horizontal="right"/>
    </xf>
    <xf numFmtId="49" fontId="24" fillId="0" borderId="1" xfId="0" applyNumberFormat="1" applyFont="1" applyBorder="1" applyAlignment="1">
      <alignment horizontal="left"/>
    </xf>
    <xf numFmtId="0" fontId="24" fillId="0" borderId="1" xfId="0" applyFont="1" applyBorder="1" applyAlignment="1">
      <alignment horizontal="left"/>
    </xf>
    <xf numFmtId="0" fontId="24" fillId="0" borderId="1" xfId="0" applyFont="1" applyBorder="1"/>
    <xf numFmtId="0" fontId="24" fillId="0" borderId="1" xfId="0" applyFont="1" applyBorder="1" applyAlignment="1"/>
    <xf numFmtId="0" fontId="24" fillId="0" borderId="1" xfId="0" applyFont="1" applyBorder="1" applyAlignment="1">
      <alignment horizontal="left"/>
    </xf>
    <xf numFmtId="0" fontId="24" fillId="0" borderId="0" xfId="0" applyFont="1" applyAlignment="1">
      <alignment horizontal="right"/>
    </xf>
    <xf numFmtId="0" fontId="24" fillId="0" borderId="0" xfId="0" applyFont="1" applyAlignment="1">
      <alignment horizontal="center"/>
    </xf>
    <xf numFmtId="0" fontId="24" fillId="0" borderId="0" xfId="0" applyFont="1" applyAlignment="1">
      <alignment horizontal="left"/>
    </xf>
    <xf numFmtId="0" fontId="24" fillId="0" borderId="0" xfId="0" applyFont="1" applyAlignment="1"/>
    <xf numFmtId="0" fontId="14" fillId="0" borderId="0" xfId="0" applyFont="1" applyAlignment="1">
      <alignment horizontal="left"/>
    </xf>
    <xf numFmtId="0" fontId="14" fillId="8" borderId="1" xfId="0" applyFont="1" applyFill="1" applyBorder="1" applyAlignment="1">
      <alignment horizontal="center"/>
    </xf>
    <xf numFmtId="0" fontId="14" fillId="0" borderId="1" xfId="0" applyFont="1" applyBorder="1" applyAlignment="1">
      <alignment horizontal="right"/>
    </xf>
    <xf numFmtId="0" fontId="14" fillId="8" borderId="1" xfId="0" applyFont="1" applyFill="1" applyBorder="1"/>
    <xf numFmtId="0" fontId="14" fillId="0" borderId="1" xfId="0" applyFont="1" applyBorder="1" applyAlignment="1">
      <alignment horizontal="left"/>
    </xf>
    <xf numFmtId="14" fontId="14" fillId="0" borderId="1" xfId="0" applyNumberFormat="1" applyFont="1" applyBorder="1" applyAlignment="1">
      <alignment horizontal="right"/>
    </xf>
    <xf numFmtId="0" fontId="14" fillId="0" borderId="1" xfId="0" applyFont="1" applyBorder="1" applyAlignment="1">
      <alignment horizontal="right"/>
    </xf>
    <xf numFmtId="49" fontId="14" fillId="0" borderId="1" xfId="0" applyNumberFormat="1" applyFont="1" applyBorder="1" applyAlignment="1">
      <alignment horizontal="left"/>
    </xf>
    <xf numFmtId="0" fontId="14" fillId="0" borderId="0" xfId="0" applyFont="1" applyAlignment="1">
      <alignment horizontal="center"/>
    </xf>
    <xf numFmtId="0" fontId="25" fillId="0" borderId="9" xfId="0" applyFont="1" applyBorder="1" applyAlignment="1">
      <alignment horizontal="left"/>
    </xf>
    <xf numFmtId="14" fontId="26" fillId="0" borderId="9" xfId="0" applyNumberFormat="1" applyFont="1" applyBorder="1" applyAlignment="1">
      <alignment horizontal="left"/>
    </xf>
    <xf numFmtId="0" fontId="27" fillId="0" borderId="9" xfId="0" applyFont="1" applyBorder="1" applyAlignment="1">
      <alignment horizontal="left"/>
    </xf>
    <xf numFmtId="0" fontId="27" fillId="0" borderId="9" xfId="0" applyFont="1" applyBorder="1" applyAlignment="1">
      <alignment horizontal="left"/>
    </xf>
    <xf numFmtId="0" fontId="27" fillId="0" borderId="9" xfId="0" applyFont="1" applyBorder="1" applyAlignment="1">
      <alignment horizontal="center"/>
    </xf>
    <xf numFmtId="3" fontId="26" fillId="0" borderId="9" xfId="0" applyNumberFormat="1" applyFont="1" applyBorder="1" applyAlignment="1">
      <alignment horizontal="right"/>
    </xf>
    <xf numFmtId="3" fontId="27" fillId="0" borderId="9" xfId="0" applyNumberFormat="1" applyFont="1" applyBorder="1" applyAlignment="1">
      <alignment horizontal="right"/>
    </xf>
    <xf numFmtId="0" fontId="27" fillId="0" borderId="9" xfId="0" applyFont="1" applyBorder="1" applyAlignment="1">
      <alignment horizontal="right"/>
    </xf>
    <xf numFmtId="0" fontId="14" fillId="0" borderId="1" xfId="0" applyFont="1" applyBorder="1" applyAlignment="1"/>
    <xf numFmtId="0" fontId="14" fillId="0" borderId="1" xfId="0" applyFont="1" applyBorder="1" applyAlignment="1">
      <alignment horizontal="left"/>
    </xf>
    <xf numFmtId="0" fontId="18" fillId="0" borderId="0" xfId="0" applyFont="1" applyAlignment="1">
      <alignment horizontal="left"/>
    </xf>
    <xf numFmtId="0" fontId="14" fillId="0" borderId="1" xfId="0" applyFont="1" applyBorder="1" applyAlignment="1">
      <alignment horizontal="center"/>
    </xf>
    <xf numFmtId="0" fontId="25" fillId="7" borderId="9" xfId="0" applyFont="1" applyFill="1" applyBorder="1" applyAlignment="1">
      <alignment horizontal="left"/>
    </xf>
    <xf numFmtId="49" fontId="27" fillId="0" borderId="9" xfId="0" applyNumberFormat="1" applyFont="1" applyBorder="1" applyAlignment="1">
      <alignment horizontal="left"/>
    </xf>
    <xf numFmtId="0" fontId="27" fillId="7" borderId="9" xfId="0" applyFont="1" applyFill="1" applyBorder="1" applyAlignment="1">
      <alignment horizontal="left"/>
    </xf>
    <xf numFmtId="3" fontId="26" fillId="7" borderId="9" xfId="0" applyNumberFormat="1" applyFont="1" applyFill="1" applyBorder="1" applyAlignment="1">
      <alignment horizontal="right"/>
    </xf>
    <xf numFmtId="3" fontId="27" fillId="7" borderId="9" xfId="0" applyNumberFormat="1" applyFont="1" applyFill="1" applyBorder="1" applyAlignment="1">
      <alignment horizontal="right"/>
    </xf>
    <xf numFmtId="0" fontId="27" fillId="7" borderId="9" xfId="0" applyFont="1" applyFill="1" applyBorder="1" applyAlignment="1">
      <alignment horizontal="right"/>
    </xf>
    <xf numFmtId="0" fontId="27" fillId="0" borderId="9" xfId="0" applyFont="1" applyBorder="1" applyAlignment="1">
      <alignment horizontal="left"/>
    </xf>
    <xf numFmtId="0" fontId="27" fillId="7" borderId="9" xfId="0" applyFont="1" applyFill="1" applyBorder="1" applyAlignment="1">
      <alignment horizontal="left"/>
    </xf>
    <xf numFmtId="0" fontId="14" fillId="0" borderId="9" xfId="0" applyFont="1" applyBorder="1" applyAlignment="1">
      <alignment horizontal="center"/>
    </xf>
    <xf numFmtId="0" fontId="14" fillId="0" borderId="9" xfId="0" applyFont="1" applyBorder="1" applyAlignment="1">
      <alignment horizontal="left"/>
    </xf>
    <xf numFmtId="0" fontId="14" fillId="3" borderId="1" xfId="0" applyFont="1" applyFill="1" applyBorder="1" applyAlignment="1">
      <alignment horizontal="left"/>
    </xf>
    <xf numFmtId="0" fontId="27" fillId="0" borderId="9" xfId="0" applyFont="1" applyBorder="1" applyAlignment="1">
      <alignment horizontal="right"/>
    </xf>
    <xf numFmtId="0" fontId="29" fillId="0" borderId="0" xfId="0" applyFont="1" applyAlignment="1"/>
    <xf numFmtId="0" fontId="16" fillId="0" borderId="1" xfId="0" applyFont="1" applyBorder="1" applyAlignment="1">
      <alignment horizontal="center"/>
    </xf>
    <xf numFmtId="0" fontId="29" fillId="0" borderId="0" xfId="0" applyFont="1" applyAlignment="1">
      <alignment horizontal="right"/>
    </xf>
    <xf numFmtId="0" fontId="14" fillId="0" borderId="3" xfId="0" applyFont="1" applyBorder="1" applyAlignment="1">
      <alignment horizontal="center"/>
    </xf>
    <xf numFmtId="14" fontId="26" fillId="0" borderId="11" xfId="0" applyNumberFormat="1" applyFont="1" applyBorder="1" applyAlignment="1">
      <alignment horizontal="left"/>
    </xf>
    <xf numFmtId="0" fontId="27" fillId="0" borderId="11" xfId="0" applyFont="1" applyBorder="1" applyAlignment="1">
      <alignment horizontal="left"/>
    </xf>
    <xf numFmtId="0" fontId="27" fillId="0" borderId="11" xfId="0" applyFont="1" applyBorder="1" applyAlignment="1">
      <alignment horizontal="right"/>
    </xf>
    <xf numFmtId="0" fontId="27" fillId="0" borderId="0" xfId="0" applyFont="1" applyAlignment="1">
      <alignment horizontal="left"/>
    </xf>
    <xf numFmtId="0" fontId="27" fillId="0" borderId="11" xfId="0" applyFont="1" applyBorder="1" applyAlignment="1">
      <alignment horizontal="right"/>
    </xf>
    <xf numFmtId="0" fontId="14" fillId="0" borderId="11" xfId="0" applyFont="1" applyBorder="1" applyAlignment="1">
      <alignment horizontal="center"/>
    </xf>
    <xf numFmtId="14" fontId="26" fillId="0" borderId="1" xfId="0" applyNumberFormat="1" applyFont="1" applyBorder="1" applyAlignment="1">
      <alignment horizontal="left"/>
    </xf>
    <xf numFmtId="0" fontId="27" fillId="0" borderId="1" xfId="0" applyFont="1" applyBorder="1" applyAlignment="1">
      <alignment horizontal="left"/>
    </xf>
    <xf numFmtId="0" fontId="27" fillId="0" borderId="1" xfId="0" applyFont="1" applyBorder="1" applyAlignment="1">
      <alignment horizontal="right"/>
    </xf>
    <xf numFmtId="0" fontId="27" fillId="0" borderId="1" xfId="0" applyFont="1" applyBorder="1" applyAlignment="1">
      <alignment horizontal="left"/>
    </xf>
    <xf numFmtId="0" fontId="27" fillId="0" borderId="1" xfId="0" applyFont="1" applyBorder="1" applyAlignment="1">
      <alignment horizontal="right"/>
    </xf>
    <xf numFmtId="49" fontId="27" fillId="0" borderId="1" xfId="0" applyNumberFormat="1" applyFont="1" applyBorder="1" applyAlignment="1">
      <alignment horizontal="left"/>
    </xf>
    <xf numFmtId="0" fontId="27" fillId="9" borderId="1" xfId="0" applyFont="1" applyFill="1" applyBorder="1" applyAlignment="1">
      <alignment horizontal="left"/>
    </xf>
    <xf numFmtId="0" fontId="27" fillId="9" borderId="9" xfId="0" applyFont="1" applyFill="1" applyBorder="1" applyAlignment="1">
      <alignment horizontal="left"/>
    </xf>
    <xf numFmtId="0" fontId="14" fillId="0" borderId="12" xfId="0" applyFont="1" applyBorder="1" applyAlignment="1">
      <alignment horizontal="center"/>
    </xf>
    <xf numFmtId="14" fontId="26" fillId="0" borderId="0" xfId="0" applyNumberFormat="1" applyFont="1" applyAlignment="1">
      <alignment horizontal="left"/>
    </xf>
    <xf numFmtId="0" fontId="27" fillId="0" borderId="12" xfId="0" applyFont="1" applyBorder="1" applyAlignment="1">
      <alignment horizontal="left"/>
    </xf>
    <xf numFmtId="0" fontId="14" fillId="0" borderId="11" xfId="0" applyFont="1" applyBorder="1" applyAlignment="1"/>
    <xf numFmtId="0" fontId="27" fillId="0" borderId="11" xfId="0" applyFont="1" applyBorder="1" applyAlignment="1">
      <alignment horizontal="left"/>
    </xf>
    <xf numFmtId="0" fontId="27" fillId="0" borderId="1" xfId="0" applyFont="1" applyBorder="1" applyAlignment="1">
      <alignment horizontal="left"/>
    </xf>
    <xf numFmtId="0" fontId="29" fillId="0" borderId="1" xfId="0" applyFont="1" applyBorder="1" applyAlignment="1">
      <alignment horizontal="right"/>
    </xf>
    <xf numFmtId="49" fontId="27" fillId="0" borderId="11" xfId="0" applyNumberFormat="1" applyFont="1" applyBorder="1" applyAlignment="1">
      <alignment horizontal="left"/>
    </xf>
    <xf numFmtId="0" fontId="27" fillId="0" borderId="11" xfId="0" applyFont="1" applyBorder="1" applyAlignment="1">
      <alignment horizontal="left"/>
    </xf>
    <xf numFmtId="0" fontId="14" fillId="0" borderId="6" xfId="0" applyFont="1" applyBorder="1" applyAlignment="1">
      <alignment horizontal="center"/>
    </xf>
    <xf numFmtId="49" fontId="16" fillId="0" borderId="0" xfId="0" applyNumberFormat="1" applyFont="1" applyAlignment="1"/>
    <xf numFmtId="0" fontId="16" fillId="0" borderId="0" xfId="0" applyFont="1" applyAlignment="1"/>
    <xf numFmtId="0" fontId="16" fillId="0" borderId="0" xfId="0" applyFont="1"/>
    <xf numFmtId="0" fontId="14" fillId="0" borderId="0" xfId="0" applyFont="1" applyAlignment="1">
      <alignment horizontal="center"/>
    </xf>
    <xf numFmtId="0" fontId="23" fillId="0" borderId="0" xfId="0" applyFont="1"/>
    <xf numFmtId="14" fontId="30" fillId="0" borderId="0" xfId="0" applyNumberFormat="1" applyFont="1" applyAlignment="1">
      <alignment horizontal="center"/>
    </xf>
    <xf numFmtId="3" fontId="23" fillId="0" borderId="0" xfId="0" applyNumberFormat="1" applyFont="1"/>
    <xf numFmtId="0" fontId="23" fillId="0" borderId="0" xfId="0" applyFont="1" applyAlignment="1"/>
    <xf numFmtId="0" fontId="30" fillId="0" borderId="0" xfId="0" applyFont="1" applyAlignment="1">
      <alignment horizontal="center"/>
    </xf>
    <xf numFmtId="14" fontId="23" fillId="0" borderId="0" xfId="0" applyNumberFormat="1" applyFont="1"/>
    <xf numFmtId="0" fontId="3" fillId="0" borderId="0" xfId="0" applyFont="1"/>
    <xf numFmtId="0" fontId="30" fillId="0" borderId="1" xfId="0" applyFont="1" applyBorder="1" applyAlignment="1">
      <alignment horizontal="center" wrapText="1"/>
    </xf>
    <xf numFmtId="0" fontId="30" fillId="0" borderId="1" xfId="0" applyFont="1" applyBorder="1" applyAlignment="1">
      <alignment wrapText="1"/>
    </xf>
    <xf numFmtId="14" fontId="30" fillId="0" borderId="1" xfId="0" applyNumberFormat="1" applyFont="1" applyBorder="1" applyAlignment="1">
      <alignment wrapText="1"/>
    </xf>
    <xf numFmtId="3" fontId="30" fillId="0" borderId="1" xfId="0" applyNumberFormat="1" applyFont="1" applyBorder="1" applyAlignment="1">
      <alignment wrapText="1"/>
    </xf>
    <xf numFmtId="0" fontId="23" fillId="0" borderId="1" xfId="0" applyFont="1" applyBorder="1"/>
    <xf numFmtId="0" fontId="23" fillId="0" borderId="1" xfId="0" applyFont="1" applyBorder="1" applyAlignment="1">
      <alignment horizontal="center"/>
    </xf>
    <xf numFmtId="14" fontId="23" fillId="0" borderId="1" xfId="0" applyNumberFormat="1" applyFont="1" applyBorder="1" applyAlignment="1">
      <alignment horizontal="right"/>
    </xf>
    <xf numFmtId="0" fontId="23" fillId="0" borderId="1" xfId="0" applyFont="1" applyBorder="1" applyAlignment="1">
      <alignment wrapText="1"/>
    </xf>
    <xf numFmtId="3" fontId="23" fillId="0" borderId="1" xfId="0" applyNumberFormat="1" applyFont="1" applyBorder="1" applyAlignment="1">
      <alignment horizontal="right"/>
    </xf>
    <xf numFmtId="0" fontId="23" fillId="0" borderId="1" xfId="0" applyFont="1" applyBorder="1" applyAlignment="1">
      <alignment horizontal="right"/>
    </xf>
    <xf numFmtId="0" fontId="23" fillId="0" borderId="1" xfId="0" applyFont="1" applyBorder="1" applyAlignment="1"/>
    <xf numFmtId="0" fontId="23" fillId="0" borderId="0" xfId="0" applyFont="1" applyAlignment="1"/>
    <xf numFmtId="0" fontId="23" fillId="0" borderId="1" xfId="0" applyFont="1" applyBorder="1" applyAlignment="1">
      <alignment horizontal="center"/>
    </xf>
    <xf numFmtId="0" fontId="17" fillId="0" borderId="1" xfId="0" applyFont="1" applyBorder="1" applyAlignment="1">
      <alignment horizontal="center"/>
    </xf>
    <xf numFmtId="14" fontId="17" fillId="0" borderId="1" xfId="0" applyNumberFormat="1" applyFont="1" applyBorder="1" applyAlignment="1">
      <alignment horizontal="right"/>
    </xf>
    <xf numFmtId="0" fontId="17" fillId="0" borderId="1" xfId="0" applyFont="1" applyBorder="1" applyAlignment="1">
      <alignment wrapText="1"/>
    </xf>
    <xf numFmtId="0" fontId="17" fillId="0" borderId="1" xfId="0" applyFont="1" applyBorder="1" applyAlignment="1"/>
    <xf numFmtId="0" fontId="17" fillId="0" borderId="0" xfId="0" applyFont="1"/>
    <xf numFmtId="0" fontId="23" fillId="8" borderId="1" xfId="0" applyFont="1" applyFill="1" applyBorder="1" applyAlignment="1">
      <alignment horizontal="center"/>
    </xf>
    <xf numFmtId="0" fontId="23" fillId="8" borderId="1" xfId="0" applyFont="1" applyFill="1" applyBorder="1"/>
    <xf numFmtId="14" fontId="23" fillId="8" borderId="1" xfId="0" applyNumberFormat="1" applyFont="1" applyFill="1" applyBorder="1" applyAlignment="1">
      <alignment horizontal="right"/>
    </xf>
    <xf numFmtId="0" fontId="23" fillId="8" borderId="1" xfId="0" applyFont="1" applyFill="1" applyBorder="1" applyAlignment="1">
      <alignment wrapText="1"/>
    </xf>
    <xf numFmtId="3" fontId="23" fillId="8" borderId="1" xfId="0" applyNumberFormat="1" applyFont="1" applyFill="1" applyBorder="1" applyAlignment="1">
      <alignment horizontal="right"/>
    </xf>
    <xf numFmtId="0" fontId="23" fillId="8" borderId="1" xfId="0" applyFont="1" applyFill="1" applyBorder="1" applyAlignment="1">
      <alignment horizontal="right"/>
    </xf>
    <xf numFmtId="0" fontId="17" fillId="8" borderId="1" xfId="0" applyFont="1" applyFill="1" applyBorder="1" applyAlignment="1">
      <alignment horizontal="center"/>
    </xf>
    <xf numFmtId="14" fontId="17" fillId="8" borderId="1" xfId="0" applyNumberFormat="1" applyFont="1" applyFill="1" applyBorder="1" applyAlignment="1">
      <alignment horizontal="right"/>
    </xf>
    <xf numFmtId="0" fontId="17" fillId="8" borderId="1" xfId="0" applyFont="1" applyFill="1" applyBorder="1" applyAlignment="1">
      <alignment wrapText="1"/>
    </xf>
    <xf numFmtId="0" fontId="23" fillId="8" borderId="2" xfId="0" applyFont="1" applyFill="1" applyBorder="1"/>
    <xf numFmtId="0" fontId="23" fillId="0" borderId="1" xfId="0" quotePrefix="1" applyFont="1" applyBorder="1"/>
    <xf numFmtId="0" fontId="23" fillId="0" borderId="1" xfId="0" applyFont="1" applyBorder="1" applyAlignment="1">
      <alignment wrapText="1"/>
    </xf>
    <xf numFmtId="0" fontId="31" fillId="0" borderId="1" xfId="0" applyFont="1" applyBorder="1" applyAlignment="1"/>
    <xf numFmtId="14" fontId="23" fillId="3" borderId="1" xfId="0" applyNumberFormat="1" applyFont="1" applyFill="1" applyBorder="1" applyAlignment="1">
      <alignment horizontal="right"/>
    </xf>
    <xf numFmtId="0" fontId="23" fillId="3" borderId="1" xfId="0" applyFont="1" applyFill="1" applyBorder="1" applyAlignment="1">
      <alignment wrapText="1"/>
    </xf>
    <xf numFmtId="0" fontId="23" fillId="3" borderId="1" xfId="0" applyFont="1" applyFill="1" applyBorder="1" applyAlignment="1">
      <alignment horizontal="center"/>
    </xf>
    <xf numFmtId="0" fontId="23" fillId="3" borderId="1" xfId="0" applyFont="1" applyFill="1" applyBorder="1" applyAlignment="1">
      <alignment wrapText="1"/>
    </xf>
    <xf numFmtId="0" fontId="23" fillId="3" borderId="1" xfId="0" applyFont="1" applyFill="1" applyBorder="1"/>
    <xf numFmtId="0" fontId="23" fillId="8" borderId="1" xfId="0" applyFont="1" applyFill="1" applyBorder="1" applyAlignment="1">
      <alignment horizontal="center" wrapText="1"/>
    </xf>
    <xf numFmtId="0" fontId="23" fillId="0" borderId="1" xfId="0" applyFont="1" applyBorder="1" applyAlignment="1">
      <alignment horizontal="center" wrapText="1"/>
    </xf>
    <xf numFmtId="0" fontId="23" fillId="0" borderId="1" xfId="0" applyFont="1" applyBorder="1" applyAlignment="1">
      <alignment horizontal="right" wrapText="1"/>
    </xf>
    <xf numFmtId="0" fontId="23" fillId="0" borderId="1" xfId="0" applyFont="1" applyBorder="1" applyAlignment="1">
      <alignment wrapText="1"/>
    </xf>
    <xf numFmtId="14" fontId="23" fillId="0" borderId="1" xfId="0" applyNumberFormat="1" applyFont="1" applyBorder="1" applyAlignment="1">
      <alignment horizontal="right" wrapText="1"/>
    </xf>
    <xf numFmtId="0" fontId="23" fillId="0" borderId="1" xfId="0" applyFont="1" applyBorder="1" applyAlignment="1"/>
    <xf numFmtId="0" fontId="23" fillId="0" borderId="1" xfId="0" applyFont="1" applyBorder="1" applyAlignment="1">
      <alignment horizontal="center" wrapText="1"/>
    </xf>
    <xf numFmtId="0" fontId="23" fillId="0" borderId="1" xfId="0" applyFont="1" applyBorder="1" applyAlignment="1">
      <alignment horizontal="right" wrapText="1"/>
    </xf>
    <xf numFmtId="0" fontId="23" fillId="0" borderId="0" xfId="0" applyFont="1" applyAlignment="1">
      <alignment horizontal="center"/>
    </xf>
    <xf numFmtId="49" fontId="32" fillId="0" borderId="9" xfId="0" applyNumberFormat="1" applyFont="1" applyBorder="1"/>
    <xf numFmtId="14" fontId="33" fillId="0" borderId="9" xfId="0" applyNumberFormat="1" applyFont="1" applyBorder="1"/>
    <xf numFmtId="49" fontId="34" fillId="0" borderId="9" xfId="0" applyNumberFormat="1" applyFont="1" applyBorder="1"/>
    <xf numFmtId="0" fontId="23" fillId="0" borderId="9" xfId="0" applyFont="1" applyBorder="1"/>
    <xf numFmtId="0" fontId="34" fillId="0" borderId="9" xfId="0" applyFont="1" applyBorder="1" applyAlignment="1">
      <alignment horizontal="center"/>
    </xf>
    <xf numFmtId="3" fontId="33" fillId="0" borderId="9" xfId="0" applyNumberFormat="1" applyFont="1" applyBorder="1" applyAlignment="1">
      <alignment horizontal="right"/>
    </xf>
    <xf numFmtId="3" fontId="34" fillId="0" borderId="9" xfId="0" applyNumberFormat="1" applyFont="1" applyBorder="1" applyAlignment="1">
      <alignment horizontal="right"/>
    </xf>
    <xf numFmtId="0" fontId="18" fillId="0" borderId="0" xfId="0" applyFont="1" applyAlignment="1"/>
    <xf numFmtId="3" fontId="23" fillId="0" borderId="0" xfId="0" applyNumberFormat="1" applyFont="1" applyAlignment="1">
      <alignment horizontal="right"/>
    </xf>
    <xf numFmtId="0" fontId="23" fillId="0" borderId="0" xfId="0" applyFont="1" applyAlignment="1">
      <alignment horizontal="right"/>
    </xf>
    <xf numFmtId="0" fontId="30" fillId="0" borderId="0" xfId="0" applyFont="1"/>
    <xf numFmtId="0" fontId="30" fillId="0" borderId="0" xfId="0" applyFont="1" applyAlignment="1">
      <alignment wrapText="1"/>
    </xf>
    <xf numFmtId="166" fontId="11" fillId="0" borderId="0" xfId="0" applyNumberFormat="1" applyFont="1" applyAlignment="1"/>
    <xf numFmtId="0" fontId="11" fillId="0" borderId="0" xfId="0" applyFont="1" applyAlignment="1"/>
    <xf numFmtId="0" fontId="4" fillId="0" borderId="0" xfId="0" applyFont="1" applyAlignment="1">
      <alignment horizontal="left" vertical="center" wrapText="1"/>
    </xf>
    <xf numFmtId="0" fontId="1" fillId="10" borderId="1" xfId="0" applyFont="1" applyFill="1" applyBorder="1" applyAlignment="1">
      <alignment horizontal="center" vertical="center"/>
    </xf>
    <xf numFmtId="0" fontId="1" fillId="10" borderId="1" xfId="0" applyFont="1" applyFill="1" applyBorder="1" applyAlignment="1">
      <alignment horizontal="left" vertical="center" wrapText="1"/>
    </xf>
    <xf numFmtId="0" fontId="1" fillId="10" borderId="1" xfId="0" applyFont="1" applyFill="1" applyBorder="1" applyAlignment="1">
      <alignment horizontal="center" vertical="center"/>
    </xf>
    <xf numFmtId="0" fontId="2" fillId="0" borderId="1" xfId="0" applyFont="1" applyBorder="1" applyAlignment="1">
      <alignment horizontal="left" vertical="center" wrapText="1"/>
    </xf>
    <xf numFmtId="0" fontId="4" fillId="0" borderId="0" xfId="0" applyFont="1" applyAlignment="1">
      <alignment horizontal="center" vertical="center"/>
    </xf>
    <xf numFmtId="0" fontId="1" fillId="5" borderId="1" xfId="0" applyFont="1" applyFill="1" applyBorder="1" applyAlignment="1">
      <alignment vertical="center"/>
    </xf>
    <xf numFmtId="14" fontId="1" fillId="5" borderId="1" xfId="0" applyNumberFormat="1" applyFont="1" applyFill="1" applyBorder="1" applyAlignment="1">
      <alignment vertical="center"/>
    </xf>
    <xf numFmtId="0" fontId="1" fillId="5" borderId="1" xfId="0" applyFont="1" applyFill="1" applyBorder="1" applyAlignment="1">
      <alignment vertical="center" wrapText="1"/>
    </xf>
    <xf numFmtId="3" fontId="1" fillId="5" borderId="1" xfId="0" applyNumberFormat="1" applyFont="1" applyFill="1" applyBorder="1" applyAlignment="1">
      <alignment vertical="center"/>
    </xf>
    <xf numFmtId="0" fontId="37" fillId="0" borderId="1" xfId="0" applyFont="1" applyBorder="1" applyAlignment="1">
      <alignment horizontal="center" vertical="center" shrinkToFit="1"/>
    </xf>
    <xf numFmtId="0" fontId="37" fillId="0" borderId="5" xfId="0" applyFont="1" applyBorder="1" applyAlignment="1">
      <alignment horizontal="center" vertical="center" shrinkToFit="1"/>
    </xf>
    <xf numFmtId="0" fontId="14" fillId="0" borderId="0" xfId="0" applyFont="1" applyAlignment="1">
      <alignment horizontal="left"/>
    </xf>
    <xf numFmtId="0" fontId="0" fillId="0" borderId="0" xfId="0" applyFont="1" applyAlignment="1"/>
    <xf numFmtId="49" fontId="15" fillId="0" borderId="0" xfId="0" applyNumberFormat="1" applyFont="1" applyAlignment="1">
      <alignment horizontal="center"/>
    </xf>
    <xf numFmtId="0" fontId="14" fillId="0" borderId="0" xfId="0" applyFont="1" applyAlignment="1"/>
    <xf numFmtId="0" fontId="15" fillId="0" borderId="0" xfId="0" applyFont="1" applyAlignment="1">
      <alignment horizontal="left"/>
    </xf>
    <xf numFmtId="0" fontId="21" fillId="0" borderId="0" xfId="0" applyFont="1" applyAlignment="1">
      <alignment horizontal="left"/>
    </xf>
    <xf numFmtId="0" fontId="27" fillId="0" borderId="10" xfId="0" applyFont="1" applyBorder="1" applyAlignment="1">
      <alignment horizontal="left"/>
    </xf>
    <xf numFmtId="0" fontId="28" fillId="0" borderId="10" xfId="0" applyFont="1" applyBorder="1"/>
    <xf numFmtId="0" fontId="28" fillId="0" borderId="9" xfId="0" applyFont="1" applyBorder="1"/>
    <xf numFmtId="0" fontId="27" fillId="0" borderId="0" xfId="0" applyFont="1" applyAlignment="1">
      <alignment horizontal="left"/>
    </xf>
    <xf numFmtId="0" fontId="28" fillId="0" borderId="11" xfId="0" applyFont="1" applyBorder="1"/>
    <xf numFmtId="49" fontId="35" fillId="0" borderId="0" xfId="0" applyNumberFormat="1" applyFont="1" applyAlignment="1">
      <alignment horizontal="left" vertical="top" shrinkToFit="1"/>
    </xf>
    <xf numFmtId="49" fontId="36" fillId="0" borderId="0" xfId="0" applyNumberFormat="1" applyFont="1" applyAlignment="1">
      <alignment horizontal="center" vertical="top" shrinkToFit="1"/>
    </xf>
    <xf numFmtId="49" fontId="35" fillId="0" borderId="13" xfId="0" applyNumberFormat="1" applyFont="1" applyBorder="1" applyAlignment="1">
      <alignment horizontal="left"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00CCFF"/>
  </sheetPr>
  <dimension ref="A1:Z1374"/>
  <sheetViews>
    <sheetView tabSelected="1" workbookViewId="0">
      <selection activeCell="C153" sqref="C153"/>
    </sheetView>
  </sheetViews>
  <sheetFormatPr defaultColWidth="12.6328125" defaultRowHeight="15" customHeight="1"/>
  <cols>
    <col min="1" max="1" width="8.453125" customWidth="1"/>
    <col min="2" max="2" width="23.26953125" hidden="1" customWidth="1"/>
    <col min="3" max="3" width="19.7265625" customWidth="1"/>
    <col min="4" max="4" width="20" hidden="1" customWidth="1"/>
    <col min="5" max="5" width="23.453125" customWidth="1"/>
    <col min="6" max="6" width="43.453125" customWidth="1"/>
    <col min="7" max="7" width="12.08984375" hidden="1" customWidth="1"/>
    <col min="8" max="8" width="6.90625" hidden="1" customWidth="1"/>
    <col min="9" max="9" width="4" hidden="1" customWidth="1"/>
    <col min="10" max="10" width="14.26953125" hidden="1" customWidth="1"/>
    <col min="11" max="11" width="7.08984375" hidden="1" customWidth="1"/>
    <col min="12" max="12" width="10" customWidth="1"/>
    <col min="13" max="13" width="29.6328125" customWidth="1"/>
    <col min="14" max="15" width="22.453125" customWidth="1"/>
    <col min="16" max="16" width="15.453125" customWidth="1"/>
    <col min="17" max="25" width="8" customWidth="1"/>
    <col min="26" max="26" width="12.453125" customWidth="1"/>
  </cols>
  <sheetData>
    <row r="1" spans="1:26" ht="12.75" customHeight="1">
      <c r="A1" s="1"/>
      <c r="B1" s="2"/>
      <c r="C1" s="1" t="s">
        <v>0</v>
      </c>
      <c r="D1" s="2"/>
      <c r="E1" s="3"/>
      <c r="F1" s="4"/>
      <c r="G1" s="2"/>
      <c r="H1" s="2"/>
      <c r="I1" s="2"/>
      <c r="J1" s="5"/>
      <c r="K1" s="1"/>
      <c r="L1" s="1"/>
      <c r="M1" s="6"/>
      <c r="P1" s="2"/>
      <c r="Q1" s="2"/>
      <c r="R1" s="2"/>
      <c r="S1" s="2"/>
      <c r="T1" s="2"/>
      <c r="U1" s="2"/>
      <c r="V1" s="2"/>
      <c r="W1" s="2"/>
      <c r="X1" s="2"/>
      <c r="Y1" s="2"/>
    </row>
    <row r="2" spans="1:26" ht="12.75" customHeight="1">
      <c r="A2" s="1"/>
      <c r="B2" s="2"/>
      <c r="C2" s="1" t="s">
        <v>1</v>
      </c>
      <c r="D2" s="2"/>
      <c r="E2" s="3"/>
      <c r="F2" s="4"/>
      <c r="G2" s="2"/>
      <c r="H2" s="2"/>
      <c r="I2" s="2"/>
      <c r="J2" s="5"/>
      <c r="K2" s="1"/>
      <c r="L2" s="1"/>
      <c r="M2" s="6"/>
      <c r="N2" s="7"/>
      <c r="O2" s="7"/>
      <c r="P2" s="2"/>
      <c r="Q2" s="2"/>
      <c r="R2" s="2"/>
      <c r="S2" s="2"/>
      <c r="T2" s="2"/>
      <c r="U2" s="2"/>
      <c r="V2" s="2"/>
      <c r="W2" s="2"/>
      <c r="X2" s="2"/>
      <c r="Y2" s="2"/>
    </row>
    <row r="3" spans="1:26" ht="12.75" customHeight="1">
      <c r="A3" s="1"/>
      <c r="B3" s="2"/>
      <c r="C3" s="8"/>
      <c r="D3" s="2"/>
      <c r="E3" s="3"/>
      <c r="F3" s="4"/>
      <c r="G3" s="2"/>
      <c r="H3" s="2"/>
      <c r="I3" s="2"/>
      <c r="J3" s="5"/>
      <c r="K3" s="1"/>
      <c r="L3" s="1"/>
      <c r="M3" s="6"/>
      <c r="N3" s="7"/>
      <c r="O3" s="7"/>
      <c r="P3" s="2"/>
      <c r="Q3" s="2"/>
      <c r="R3" s="2"/>
      <c r="S3" s="2"/>
      <c r="T3" s="2"/>
      <c r="U3" s="2"/>
      <c r="V3" s="2"/>
      <c r="W3" s="2"/>
      <c r="X3" s="2"/>
      <c r="Y3" s="2"/>
    </row>
    <row r="4" spans="1:26" ht="18" customHeight="1">
      <c r="A4" s="1"/>
      <c r="B4" s="2"/>
      <c r="C4" s="8"/>
      <c r="D4" s="2"/>
      <c r="E4" s="3"/>
      <c r="F4" s="9" t="s">
        <v>2</v>
      </c>
      <c r="G4" s="2"/>
      <c r="H4" s="2"/>
      <c r="I4" s="2"/>
      <c r="J4" s="5"/>
      <c r="K4" s="1"/>
      <c r="L4" s="1"/>
      <c r="M4" s="6"/>
      <c r="N4" s="7"/>
      <c r="O4" s="7"/>
      <c r="P4" s="2"/>
      <c r="Q4" s="2"/>
      <c r="R4" s="2"/>
      <c r="S4" s="2"/>
      <c r="T4" s="2"/>
      <c r="U4" s="2"/>
      <c r="V4" s="2"/>
      <c r="W4" s="2"/>
      <c r="X4" s="2"/>
      <c r="Y4" s="2"/>
    </row>
    <row r="5" spans="1:26" ht="12.75" customHeight="1">
      <c r="A5" s="1"/>
      <c r="B5" s="2"/>
      <c r="C5" s="8"/>
      <c r="D5" s="2"/>
      <c r="E5" s="3"/>
      <c r="F5" s="4"/>
      <c r="G5" s="2"/>
      <c r="H5" s="2"/>
      <c r="I5" s="2"/>
      <c r="J5" s="5"/>
      <c r="K5" s="1"/>
      <c r="L5" s="1"/>
      <c r="M5" s="6"/>
      <c r="N5" s="7"/>
      <c r="O5" s="7"/>
      <c r="P5" s="2"/>
      <c r="Q5" s="2"/>
      <c r="R5" s="2"/>
      <c r="S5" s="2"/>
      <c r="T5" s="2"/>
      <c r="U5" s="2"/>
      <c r="V5" s="2"/>
      <c r="W5" s="2"/>
      <c r="X5" s="2"/>
      <c r="Y5" s="2"/>
    </row>
    <row r="6" spans="1:26" ht="12.75" customHeight="1">
      <c r="A6" s="10" t="s">
        <v>3</v>
      </c>
      <c r="B6" s="11" t="s">
        <v>4</v>
      </c>
      <c r="C6" s="12" t="s">
        <v>5</v>
      </c>
      <c r="D6" s="11" t="s">
        <v>6</v>
      </c>
      <c r="E6" s="13" t="s">
        <v>7</v>
      </c>
      <c r="F6" s="14" t="s">
        <v>8</v>
      </c>
      <c r="G6" s="11" t="s">
        <v>9</v>
      </c>
      <c r="H6" s="11" t="s">
        <v>10</v>
      </c>
      <c r="I6" s="11" t="s">
        <v>11</v>
      </c>
      <c r="J6" s="15" t="s">
        <v>12</v>
      </c>
      <c r="K6" s="10" t="s">
        <v>13</v>
      </c>
      <c r="L6" s="10" t="s">
        <v>14</v>
      </c>
      <c r="M6" s="16" t="s">
        <v>15</v>
      </c>
      <c r="N6" s="7"/>
      <c r="O6" s="7"/>
      <c r="P6" s="2"/>
      <c r="Q6" s="2"/>
      <c r="R6" s="2"/>
      <c r="S6" s="2"/>
      <c r="T6" s="2"/>
      <c r="U6" s="2"/>
      <c r="V6" s="2"/>
      <c r="W6" s="2"/>
      <c r="X6" s="2"/>
      <c r="Y6" s="2"/>
    </row>
    <row r="7" spans="1:26" ht="12.75" hidden="1" customHeight="1">
      <c r="A7" s="17">
        <v>1</v>
      </c>
      <c r="B7" s="18" t="s">
        <v>16</v>
      </c>
      <c r="C7" s="19">
        <v>40024</v>
      </c>
      <c r="D7" s="18"/>
      <c r="E7" s="18" t="s">
        <v>17</v>
      </c>
      <c r="F7" s="20" t="s">
        <v>18</v>
      </c>
      <c r="G7" s="18"/>
      <c r="H7" s="18" t="s">
        <v>19</v>
      </c>
      <c r="I7" s="18">
        <v>1</v>
      </c>
      <c r="J7" s="21">
        <v>593040360</v>
      </c>
      <c r="K7" s="17" t="s">
        <v>20</v>
      </c>
      <c r="L7" s="17" t="s">
        <v>21</v>
      </c>
      <c r="M7" s="22" t="s">
        <v>22</v>
      </c>
      <c r="P7" s="23"/>
      <c r="Q7" s="24"/>
      <c r="R7" s="24"/>
      <c r="S7" s="24"/>
      <c r="T7" s="24"/>
      <c r="U7" s="24"/>
      <c r="V7" s="24"/>
      <c r="W7" s="24"/>
      <c r="X7" s="24"/>
      <c r="Y7" s="24"/>
      <c r="Z7" s="25"/>
    </row>
    <row r="8" spans="1:26" ht="51" hidden="1" customHeight="1">
      <c r="A8" s="17" t="s">
        <v>23</v>
      </c>
      <c r="B8" s="18"/>
      <c r="C8" s="19"/>
      <c r="D8" s="18"/>
      <c r="E8" s="18" t="s">
        <v>24</v>
      </c>
      <c r="F8" s="20" t="s">
        <v>25</v>
      </c>
      <c r="G8" s="18"/>
      <c r="H8" s="18"/>
      <c r="I8" s="18">
        <v>1</v>
      </c>
      <c r="J8" s="21">
        <v>0</v>
      </c>
      <c r="K8" s="17" t="s">
        <v>20</v>
      </c>
      <c r="L8" s="17" t="s">
        <v>21</v>
      </c>
      <c r="M8" s="22" t="s">
        <v>22</v>
      </c>
      <c r="N8" s="23"/>
      <c r="O8" s="23"/>
      <c r="P8" s="23"/>
      <c r="Q8" s="24"/>
      <c r="R8" s="24"/>
      <c r="S8" s="24"/>
      <c r="T8" s="24"/>
      <c r="U8" s="24"/>
      <c r="V8" s="24"/>
      <c r="W8" s="24"/>
      <c r="X8" s="24"/>
      <c r="Y8" s="24"/>
      <c r="Z8" s="25"/>
    </row>
    <row r="9" spans="1:26" ht="12.75" hidden="1" customHeight="1">
      <c r="A9" s="17" t="s">
        <v>26</v>
      </c>
      <c r="B9" s="18"/>
      <c r="C9" s="19"/>
      <c r="D9" s="18"/>
      <c r="E9" s="18" t="s">
        <v>27</v>
      </c>
      <c r="F9" s="20" t="s">
        <v>28</v>
      </c>
      <c r="G9" s="18"/>
      <c r="H9" s="18"/>
      <c r="I9" s="18">
        <v>1</v>
      </c>
      <c r="J9" s="21">
        <v>0</v>
      </c>
      <c r="K9" s="17" t="s">
        <v>20</v>
      </c>
      <c r="L9" s="17" t="s">
        <v>21</v>
      </c>
      <c r="M9" s="22" t="s">
        <v>22</v>
      </c>
      <c r="N9" s="23"/>
      <c r="O9" s="23"/>
      <c r="P9" s="23"/>
      <c r="Q9" s="24"/>
      <c r="R9" s="24"/>
      <c r="S9" s="24"/>
      <c r="T9" s="24"/>
      <c r="U9" s="24"/>
      <c r="V9" s="24"/>
      <c r="W9" s="24"/>
      <c r="X9" s="24"/>
      <c r="Y9" s="24"/>
      <c r="Z9" s="25"/>
    </row>
    <row r="10" spans="1:26" ht="51" hidden="1" customHeight="1">
      <c r="A10" s="17" t="s">
        <v>29</v>
      </c>
      <c r="B10" s="18"/>
      <c r="C10" s="19"/>
      <c r="D10" s="18"/>
      <c r="E10" s="18" t="s">
        <v>30</v>
      </c>
      <c r="F10" s="20" t="s">
        <v>31</v>
      </c>
      <c r="G10" s="18"/>
      <c r="H10" s="18"/>
      <c r="I10" s="18">
        <v>1</v>
      </c>
      <c r="J10" s="21">
        <v>0</v>
      </c>
      <c r="K10" s="17" t="s">
        <v>20</v>
      </c>
      <c r="L10" s="17" t="s">
        <v>21</v>
      </c>
      <c r="M10" s="22" t="s">
        <v>22</v>
      </c>
      <c r="N10" s="23"/>
      <c r="O10" s="23"/>
      <c r="P10" s="23"/>
      <c r="Q10" s="24"/>
      <c r="R10" s="24"/>
      <c r="S10" s="24"/>
      <c r="T10" s="24"/>
      <c r="U10" s="24"/>
      <c r="V10" s="24"/>
      <c r="W10" s="24"/>
      <c r="X10" s="24"/>
      <c r="Y10" s="24"/>
      <c r="Z10" s="25"/>
    </row>
    <row r="11" spans="1:26" ht="25.5" hidden="1" customHeight="1">
      <c r="A11" s="26">
        <v>3</v>
      </c>
      <c r="B11" s="27" t="s">
        <v>32</v>
      </c>
      <c r="C11" s="28">
        <v>40178</v>
      </c>
      <c r="D11" s="27"/>
      <c r="E11" s="27" t="s">
        <v>33</v>
      </c>
      <c r="F11" s="29" t="s">
        <v>34</v>
      </c>
      <c r="G11" s="27" t="s">
        <v>35</v>
      </c>
      <c r="H11" s="27" t="s">
        <v>19</v>
      </c>
      <c r="I11" s="27">
        <v>1</v>
      </c>
      <c r="J11" s="30">
        <v>224486622</v>
      </c>
      <c r="K11" s="26" t="s">
        <v>36</v>
      </c>
      <c r="L11" s="26" t="s">
        <v>37</v>
      </c>
      <c r="M11" s="31" t="s">
        <v>38</v>
      </c>
      <c r="N11" s="32"/>
      <c r="O11" s="32"/>
      <c r="P11" s="32"/>
      <c r="Q11" s="2"/>
      <c r="R11" s="2"/>
      <c r="S11" s="2"/>
      <c r="T11" s="2"/>
      <c r="U11" s="2"/>
      <c r="V11" s="2"/>
      <c r="W11" s="2"/>
      <c r="X11" s="2"/>
      <c r="Y11" s="2"/>
    </row>
    <row r="12" spans="1:26" ht="12.75" hidden="1" customHeight="1">
      <c r="A12" s="26" t="s">
        <v>39</v>
      </c>
      <c r="B12" s="27"/>
      <c r="C12" s="28"/>
      <c r="D12" s="27"/>
      <c r="E12" s="27" t="s">
        <v>40</v>
      </c>
      <c r="F12" s="29" t="s">
        <v>41</v>
      </c>
      <c r="G12" s="27"/>
      <c r="H12" s="27"/>
      <c r="I12" s="27">
        <v>1</v>
      </c>
      <c r="J12" s="30">
        <v>0</v>
      </c>
      <c r="K12" s="26" t="s">
        <v>36</v>
      </c>
      <c r="L12" s="26" t="s">
        <v>37</v>
      </c>
      <c r="M12" s="31"/>
      <c r="N12" s="23"/>
      <c r="O12" s="23"/>
      <c r="P12" s="23"/>
      <c r="Q12" s="2"/>
      <c r="R12" s="2"/>
      <c r="S12" s="2"/>
      <c r="T12" s="2"/>
      <c r="U12" s="2"/>
      <c r="V12" s="2"/>
      <c r="W12" s="2"/>
      <c r="X12" s="2"/>
      <c r="Y12" s="2"/>
    </row>
    <row r="13" spans="1:26" ht="12.75" hidden="1" customHeight="1">
      <c r="A13" s="17">
        <v>4</v>
      </c>
      <c r="B13" s="27" t="s">
        <v>42</v>
      </c>
      <c r="C13" s="19">
        <v>40702</v>
      </c>
      <c r="D13" s="27"/>
      <c r="E13" s="18" t="s">
        <v>43</v>
      </c>
      <c r="F13" s="20" t="s">
        <v>44</v>
      </c>
      <c r="G13" s="18" t="s">
        <v>45</v>
      </c>
      <c r="H13" s="18" t="s">
        <v>19</v>
      </c>
      <c r="I13" s="18">
        <v>1</v>
      </c>
      <c r="J13" s="21">
        <v>385639606</v>
      </c>
      <c r="K13" s="17" t="s">
        <v>20</v>
      </c>
      <c r="L13" s="17" t="s">
        <v>21</v>
      </c>
      <c r="M13" s="22" t="s">
        <v>22</v>
      </c>
      <c r="N13" s="23"/>
      <c r="O13" s="23"/>
      <c r="P13" s="23"/>
      <c r="Q13" s="24"/>
      <c r="R13" s="24"/>
      <c r="S13" s="24"/>
      <c r="T13" s="24"/>
      <c r="U13" s="24"/>
      <c r="V13" s="24"/>
      <c r="W13" s="24"/>
      <c r="X13" s="24"/>
      <c r="Y13" s="24"/>
      <c r="Z13" s="25"/>
    </row>
    <row r="14" spans="1:26" ht="12.75" hidden="1" customHeight="1">
      <c r="A14" s="17" t="s">
        <v>46</v>
      </c>
      <c r="B14" s="27"/>
      <c r="C14" s="19"/>
      <c r="D14" s="27"/>
      <c r="E14" s="18" t="s">
        <v>47</v>
      </c>
      <c r="F14" s="20" t="s">
        <v>48</v>
      </c>
      <c r="G14" s="18"/>
      <c r="H14" s="18"/>
      <c r="I14" s="18">
        <v>1</v>
      </c>
      <c r="J14" s="21">
        <v>12894230</v>
      </c>
      <c r="K14" s="17" t="s">
        <v>20</v>
      </c>
      <c r="L14" s="17" t="s">
        <v>21</v>
      </c>
      <c r="M14" s="22" t="s">
        <v>22</v>
      </c>
      <c r="N14" s="23"/>
      <c r="O14" s="23"/>
      <c r="P14" s="23"/>
      <c r="Q14" s="24"/>
      <c r="R14" s="24"/>
      <c r="S14" s="24"/>
      <c r="T14" s="24"/>
      <c r="U14" s="24"/>
      <c r="V14" s="24"/>
      <c r="W14" s="24"/>
      <c r="X14" s="24"/>
      <c r="Y14" s="24"/>
      <c r="Z14" s="25"/>
    </row>
    <row r="15" spans="1:26" ht="12.75" hidden="1" customHeight="1">
      <c r="A15" s="17" t="s">
        <v>49</v>
      </c>
      <c r="B15" s="27"/>
      <c r="C15" s="19"/>
      <c r="D15" s="27"/>
      <c r="E15" s="18" t="s">
        <v>50</v>
      </c>
      <c r="F15" s="33" t="s">
        <v>51</v>
      </c>
      <c r="G15" s="18"/>
      <c r="H15" s="18"/>
      <c r="I15" s="18">
        <v>1</v>
      </c>
      <c r="J15" s="21">
        <v>0</v>
      </c>
      <c r="K15" s="17" t="s">
        <v>20</v>
      </c>
      <c r="L15" s="17" t="s">
        <v>21</v>
      </c>
      <c r="M15" s="22" t="s">
        <v>22</v>
      </c>
      <c r="N15" s="23"/>
      <c r="O15" s="23"/>
      <c r="P15" s="23"/>
      <c r="Q15" s="24"/>
      <c r="R15" s="24"/>
      <c r="S15" s="24"/>
      <c r="T15" s="24"/>
      <c r="U15" s="24"/>
      <c r="V15" s="24"/>
      <c r="W15" s="24"/>
      <c r="X15" s="24"/>
      <c r="Y15" s="24"/>
      <c r="Z15" s="25"/>
    </row>
    <row r="16" spans="1:26" ht="63.75" hidden="1" customHeight="1">
      <c r="A16" s="26">
        <v>5</v>
      </c>
      <c r="B16" s="27" t="s">
        <v>52</v>
      </c>
      <c r="C16" s="28">
        <v>40875</v>
      </c>
      <c r="D16" s="27"/>
      <c r="E16" s="27" t="s">
        <v>53</v>
      </c>
      <c r="F16" s="29" t="s">
        <v>54</v>
      </c>
      <c r="G16" s="27" t="s">
        <v>55</v>
      </c>
      <c r="H16" s="27" t="s">
        <v>19</v>
      </c>
      <c r="I16" s="27">
        <v>1</v>
      </c>
      <c r="J16" s="30">
        <v>367831511</v>
      </c>
      <c r="K16" s="26" t="s">
        <v>36</v>
      </c>
      <c r="L16" s="26" t="s">
        <v>56</v>
      </c>
      <c r="M16" s="31" t="s">
        <v>57</v>
      </c>
      <c r="N16" s="32"/>
      <c r="O16" s="32"/>
      <c r="P16" s="32"/>
      <c r="Q16" s="2"/>
      <c r="R16" s="2"/>
      <c r="S16" s="2"/>
      <c r="T16" s="2"/>
      <c r="U16" s="2"/>
      <c r="V16" s="2"/>
      <c r="W16" s="2"/>
      <c r="X16" s="2"/>
      <c r="Y16" s="2"/>
    </row>
    <row r="17" spans="1:25" ht="25.5" hidden="1" customHeight="1">
      <c r="A17" s="26">
        <v>6</v>
      </c>
      <c r="B17" s="27" t="s">
        <v>52</v>
      </c>
      <c r="C17" s="28">
        <v>40875</v>
      </c>
      <c r="D17" s="27"/>
      <c r="E17" s="27" t="s">
        <v>58</v>
      </c>
      <c r="F17" s="29" t="s">
        <v>59</v>
      </c>
      <c r="G17" s="27"/>
      <c r="H17" s="27" t="s">
        <v>19</v>
      </c>
      <c r="I17" s="27">
        <v>1</v>
      </c>
      <c r="J17" s="30">
        <v>317721303</v>
      </c>
      <c r="K17" s="26" t="s">
        <v>36</v>
      </c>
      <c r="L17" s="26" t="s">
        <v>56</v>
      </c>
      <c r="M17" s="31" t="s">
        <v>60</v>
      </c>
      <c r="N17" s="23"/>
      <c r="O17" s="23"/>
      <c r="P17" s="23"/>
      <c r="Q17" s="2"/>
      <c r="R17" s="2"/>
      <c r="S17" s="2"/>
      <c r="T17" s="2"/>
      <c r="U17" s="2"/>
      <c r="V17" s="2"/>
      <c r="W17" s="2"/>
      <c r="X17" s="2"/>
      <c r="Y17" s="2"/>
    </row>
    <row r="18" spans="1:25" ht="51" hidden="1" customHeight="1">
      <c r="A18" s="26" t="s">
        <v>61</v>
      </c>
      <c r="B18" s="27"/>
      <c r="C18" s="28"/>
      <c r="D18" s="27"/>
      <c r="E18" s="27" t="s">
        <v>62</v>
      </c>
      <c r="F18" s="29" t="s">
        <v>63</v>
      </c>
      <c r="G18" s="27"/>
      <c r="H18" s="27"/>
      <c r="I18" s="27">
        <v>1</v>
      </c>
      <c r="J18" s="30">
        <v>243712689</v>
      </c>
      <c r="K18" s="26" t="s">
        <v>36</v>
      </c>
      <c r="L18" s="26" t="s">
        <v>56</v>
      </c>
      <c r="M18" s="31"/>
      <c r="N18" s="23"/>
      <c r="O18" s="23"/>
      <c r="P18" s="23"/>
      <c r="Q18" s="2"/>
      <c r="R18" s="2"/>
      <c r="S18" s="2"/>
      <c r="T18" s="2"/>
      <c r="U18" s="2"/>
      <c r="V18" s="2"/>
      <c r="W18" s="2"/>
      <c r="X18" s="2"/>
      <c r="Y18" s="2"/>
    </row>
    <row r="19" spans="1:25" ht="12.75" hidden="1" customHeight="1">
      <c r="A19" s="26" t="s">
        <v>64</v>
      </c>
      <c r="B19" s="27"/>
      <c r="C19" s="28"/>
      <c r="D19" s="27"/>
      <c r="E19" s="27" t="s">
        <v>65</v>
      </c>
      <c r="F19" s="34" t="s">
        <v>66</v>
      </c>
      <c r="G19" s="27"/>
      <c r="H19" s="27"/>
      <c r="I19" s="27">
        <v>1</v>
      </c>
      <c r="J19" s="30">
        <v>8407751</v>
      </c>
      <c r="K19" s="26" t="s">
        <v>36</v>
      </c>
      <c r="L19" s="26" t="s">
        <v>56</v>
      </c>
      <c r="M19" s="31"/>
      <c r="N19" s="23"/>
      <c r="O19" s="23"/>
      <c r="P19" s="23"/>
      <c r="Q19" s="2"/>
      <c r="R19" s="2"/>
      <c r="S19" s="2"/>
      <c r="T19" s="2"/>
      <c r="U19" s="2"/>
      <c r="V19" s="2"/>
      <c r="W19" s="2"/>
      <c r="X19" s="2"/>
      <c r="Y19" s="2"/>
    </row>
    <row r="20" spans="1:25" ht="12.75" hidden="1" customHeight="1">
      <c r="A20" s="26">
        <v>7</v>
      </c>
      <c r="B20" s="27" t="s">
        <v>52</v>
      </c>
      <c r="C20" s="28">
        <v>40875</v>
      </c>
      <c r="D20" s="27"/>
      <c r="E20" s="27" t="s">
        <v>67</v>
      </c>
      <c r="F20" s="29" t="s">
        <v>68</v>
      </c>
      <c r="G20" s="27"/>
      <c r="H20" s="27" t="s">
        <v>19</v>
      </c>
      <c r="I20" s="27">
        <v>1</v>
      </c>
      <c r="J20" s="30">
        <v>339581457</v>
      </c>
      <c r="K20" s="26" t="s">
        <v>36</v>
      </c>
      <c r="L20" s="26" t="s">
        <v>56</v>
      </c>
      <c r="M20" s="31" t="s">
        <v>69</v>
      </c>
      <c r="N20" s="23"/>
      <c r="O20" s="23"/>
      <c r="P20" s="23"/>
      <c r="Q20" s="2"/>
      <c r="R20" s="2"/>
      <c r="S20" s="2"/>
      <c r="T20" s="2"/>
      <c r="U20" s="2"/>
      <c r="V20" s="2"/>
      <c r="W20" s="2"/>
      <c r="X20" s="2"/>
      <c r="Y20" s="2"/>
    </row>
    <row r="21" spans="1:25" ht="12.75" hidden="1" customHeight="1">
      <c r="A21" s="26" t="s">
        <v>70</v>
      </c>
      <c r="B21" s="27"/>
      <c r="C21" s="28"/>
      <c r="D21" s="27"/>
      <c r="E21" s="27" t="s">
        <v>71</v>
      </c>
      <c r="F21" s="29" t="s">
        <v>72</v>
      </c>
      <c r="G21" s="27"/>
      <c r="H21" s="27"/>
      <c r="I21" s="27">
        <v>1</v>
      </c>
      <c r="J21" s="30">
        <v>14573436</v>
      </c>
      <c r="K21" s="26" t="s">
        <v>36</v>
      </c>
      <c r="L21" s="26" t="s">
        <v>56</v>
      </c>
      <c r="M21" s="31"/>
      <c r="N21" s="23"/>
      <c r="O21" s="23"/>
      <c r="P21" s="23"/>
      <c r="Q21" s="2"/>
      <c r="R21" s="2"/>
      <c r="S21" s="2"/>
      <c r="T21" s="2"/>
      <c r="U21" s="2"/>
      <c r="V21" s="2"/>
      <c r="W21" s="2"/>
      <c r="X21" s="2"/>
      <c r="Y21" s="2"/>
    </row>
    <row r="22" spans="1:25" ht="38.25" hidden="1" customHeight="1">
      <c r="A22" s="26" t="s">
        <v>73</v>
      </c>
      <c r="B22" s="27"/>
      <c r="C22" s="28"/>
      <c r="D22" s="27"/>
      <c r="E22" s="27" t="s">
        <v>74</v>
      </c>
      <c r="F22" s="29" t="s">
        <v>75</v>
      </c>
      <c r="G22" s="27"/>
      <c r="H22" s="27"/>
      <c r="I22" s="27">
        <v>1</v>
      </c>
      <c r="J22" s="30">
        <v>166361375</v>
      </c>
      <c r="K22" s="26" t="s">
        <v>36</v>
      </c>
      <c r="L22" s="26" t="s">
        <v>56</v>
      </c>
      <c r="M22" s="31"/>
      <c r="N22" s="23"/>
      <c r="O22" s="23"/>
      <c r="P22" s="23"/>
      <c r="Q22" s="2"/>
      <c r="R22" s="2"/>
      <c r="S22" s="2"/>
      <c r="T22" s="2"/>
      <c r="U22" s="2"/>
      <c r="V22" s="2"/>
      <c r="W22" s="2"/>
      <c r="X22" s="2"/>
      <c r="Y22" s="2"/>
    </row>
    <row r="23" spans="1:25" ht="12.75" hidden="1" customHeight="1">
      <c r="A23" s="26">
        <v>8</v>
      </c>
      <c r="B23" s="27" t="s">
        <v>52</v>
      </c>
      <c r="C23" s="28">
        <v>40875</v>
      </c>
      <c r="D23" s="27"/>
      <c r="E23" s="27" t="s">
        <v>76</v>
      </c>
      <c r="F23" s="29" t="s">
        <v>68</v>
      </c>
      <c r="G23" s="27"/>
      <c r="H23" s="27" t="s">
        <v>19</v>
      </c>
      <c r="I23" s="27">
        <v>1</v>
      </c>
      <c r="J23" s="30">
        <v>339581457</v>
      </c>
      <c r="K23" s="26" t="s">
        <v>36</v>
      </c>
      <c r="L23" s="26" t="s">
        <v>56</v>
      </c>
      <c r="M23" s="31" t="s">
        <v>77</v>
      </c>
      <c r="N23" s="23"/>
      <c r="O23" s="23"/>
      <c r="P23" s="23"/>
      <c r="Q23" s="2"/>
      <c r="R23" s="2"/>
      <c r="S23" s="2"/>
      <c r="T23" s="2"/>
      <c r="U23" s="2"/>
      <c r="V23" s="2"/>
      <c r="W23" s="2"/>
      <c r="X23" s="2"/>
      <c r="Y23" s="2"/>
    </row>
    <row r="24" spans="1:25" ht="12.75" hidden="1" customHeight="1">
      <c r="A24" s="26" t="s">
        <v>78</v>
      </c>
      <c r="B24" s="27"/>
      <c r="C24" s="28"/>
      <c r="D24" s="27"/>
      <c r="E24" s="27" t="s">
        <v>79</v>
      </c>
      <c r="F24" s="29" t="s">
        <v>80</v>
      </c>
      <c r="G24" s="27"/>
      <c r="H24" s="27"/>
      <c r="I24" s="27">
        <v>1</v>
      </c>
      <c r="J24" s="30">
        <v>14573436</v>
      </c>
      <c r="K24" s="26" t="s">
        <v>36</v>
      </c>
      <c r="L24" s="26" t="s">
        <v>56</v>
      </c>
      <c r="M24" s="31"/>
      <c r="N24" s="23"/>
      <c r="O24" s="23"/>
      <c r="P24" s="23"/>
      <c r="Q24" s="2"/>
      <c r="R24" s="2"/>
      <c r="S24" s="2"/>
      <c r="T24" s="2"/>
      <c r="U24" s="2"/>
      <c r="V24" s="2"/>
      <c r="W24" s="2"/>
      <c r="X24" s="2"/>
      <c r="Y24" s="2"/>
    </row>
    <row r="25" spans="1:25" ht="38.25" hidden="1" customHeight="1">
      <c r="A25" s="26" t="s">
        <v>81</v>
      </c>
      <c r="B25" s="27"/>
      <c r="C25" s="28"/>
      <c r="D25" s="27"/>
      <c r="E25" s="27" t="s">
        <v>82</v>
      </c>
      <c r="F25" s="29" t="s">
        <v>83</v>
      </c>
      <c r="G25" s="27"/>
      <c r="H25" s="27"/>
      <c r="I25" s="27">
        <v>1</v>
      </c>
      <c r="J25" s="30">
        <v>166361375</v>
      </c>
      <c r="K25" s="26" t="s">
        <v>36</v>
      </c>
      <c r="L25" s="26" t="s">
        <v>56</v>
      </c>
      <c r="M25" s="31"/>
      <c r="N25" s="23"/>
      <c r="O25" s="23"/>
      <c r="P25" s="23"/>
      <c r="Q25" s="2"/>
      <c r="R25" s="2"/>
      <c r="S25" s="2"/>
      <c r="T25" s="2"/>
      <c r="U25" s="2"/>
      <c r="V25" s="2"/>
      <c r="W25" s="2"/>
      <c r="X25" s="2"/>
      <c r="Y25" s="2"/>
    </row>
    <row r="26" spans="1:25" ht="25.5" hidden="1" customHeight="1">
      <c r="A26" s="26">
        <v>9</v>
      </c>
      <c r="B26" s="27" t="s">
        <v>52</v>
      </c>
      <c r="C26" s="28">
        <v>40875</v>
      </c>
      <c r="D26" s="27"/>
      <c r="E26" s="27" t="s">
        <v>84</v>
      </c>
      <c r="F26" s="29" t="s">
        <v>85</v>
      </c>
      <c r="G26" s="27"/>
      <c r="H26" s="27" t="s">
        <v>19</v>
      </c>
      <c r="I26" s="27">
        <v>1</v>
      </c>
      <c r="J26" s="30">
        <v>209765774</v>
      </c>
      <c r="K26" s="26" t="s">
        <v>36</v>
      </c>
      <c r="L26" s="26" t="s">
        <v>56</v>
      </c>
      <c r="M26" s="31" t="s">
        <v>86</v>
      </c>
      <c r="N26" s="23"/>
      <c r="O26" s="23"/>
      <c r="P26" s="23"/>
      <c r="Q26" s="2"/>
      <c r="R26" s="2"/>
      <c r="S26" s="2"/>
      <c r="T26" s="2"/>
      <c r="U26" s="2"/>
      <c r="V26" s="2"/>
      <c r="W26" s="2"/>
      <c r="X26" s="2"/>
      <c r="Y26" s="2"/>
    </row>
    <row r="27" spans="1:25" ht="63.75" hidden="1" customHeight="1">
      <c r="A27" s="26" t="s">
        <v>87</v>
      </c>
      <c r="B27" s="27"/>
      <c r="C27" s="28"/>
      <c r="D27" s="27"/>
      <c r="E27" s="27" t="s">
        <v>88</v>
      </c>
      <c r="F27" s="34" t="s">
        <v>89</v>
      </c>
      <c r="G27" s="27"/>
      <c r="H27" s="27"/>
      <c r="I27" s="27">
        <v>1</v>
      </c>
      <c r="J27" s="30">
        <v>129591475</v>
      </c>
      <c r="K27" s="26" t="s">
        <v>36</v>
      </c>
      <c r="L27" s="26" t="s">
        <v>56</v>
      </c>
      <c r="M27" s="31"/>
      <c r="N27" s="23"/>
      <c r="O27" s="23"/>
      <c r="P27" s="23"/>
      <c r="Q27" s="2"/>
      <c r="R27" s="2"/>
      <c r="S27" s="2"/>
      <c r="T27" s="2"/>
      <c r="U27" s="2"/>
      <c r="V27" s="2"/>
      <c r="W27" s="2"/>
      <c r="X27" s="2"/>
      <c r="Y27" s="2"/>
    </row>
    <row r="28" spans="1:25" ht="12.75" hidden="1" customHeight="1">
      <c r="A28" s="26" t="s">
        <v>90</v>
      </c>
      <c r="B28" s="27"/>
      <c r="C28" s="28"/>
      <c r="D28" s="27"/>
      <c r="E28" s="27" t="s">
        <v>91</v>
      </c>
      <c r="F28" s="29" t="s">
        <v>92</v>
      </c>
      <c r="G28" s="27"/>
      <c r="H28" s="27"/>
      <c r="I28" s="27">
        <v>1</v>
      </c>
      <c r="J28" s="30">
        <v>14573436</v>
      </c>
      <c r="K28" s="26" t="s">
        <v>36</v>
      </c>
      <c r="L28" s="26" t="s">
        <v>56</v>
      </c>
      <c r="M28" s="31"/>
      <c r="N28" s="23"/>
      <c r="O28" s="23"/>
      <c r="P28" s="23"/>
      <c r="Q28" s="2"/>
      <c r="R28" s="2"/>
      <c r="S28" s="2"/>
      <c r="T28" s="2"/>
      <c r="U28" s="2"/>
      <c r="V28" s="2"/>
      <c r="W28" s="2"/>
      <c r="X28" s="2"/>
      <c r="Y28" s="2"/>
    </row>
    <row r="29" spans="1:25" ht="12.75" hidden="1" customHeight="1">
      <c r="A29" s="26">
        <v>10</v>
      </c>
      <c r="B29" s="27" t="s">
        <v>52</v>
      </c>
      <c r="C29" s="28">
        <v>40875</v>
      </c>
      <c r="D29" s="27"/>
      <c r="E29" s="27" t="s">
        <v>93</v>
      </c>
      <c r="F29" s="29" t="s">
        <v>85</v>
      </c>
      <c r="G29" s="27"/>
      <c r="H29" s="27" t="s">
        <v>19</v>
      </c>
      <c r="I29" s="27">
        <v>1</v>
      </c>
      <c r="J29" s="30">
        <v>209765774</v>
      </c>
      <c r="K29" s="26" t="s">
        <v>36</v>
      </c>
      <c r="L29" s="26" t="s">
        <v>56</v>
      </c>
      <c r="M29" s="31" t="s">
        <v>94</v>
      </c>
      <c r="N29" s="23"/>
      <c r="O29" s="23"/>
      <c r="P29" s="23"/>
      <c r="Q29" s="2"/>
      <c r="R29" s="2"/>
      <c r="S29" s="2"/>
      <c r="T29" s="2"/>
      <c r="U29" s="2"/>
      <c r="V29" s="2"/>
      <c r="W29" s="2"/>
      <c r="X29" s="2"/>
      <c r="Y29" s="2"/>
    </row>
    <row r="30" spans="1:25" ht="63.75" hidden="1" customHeight="1">
      <c r="A30" s="26" t="s">
        <v>95</v>
      </c>
      <c r="B30" s="27"/>
      <c r="C30" s="28"/>
      <c r="D30" s="27"/>
      <c r="E30" s="27" t="s">
        <v>96</v>
      </c>
      <c r="F30" s="34" t="s">
        <v>97</v>
      </c>
      <c r="G30" s="27"/>
      <c r="H30" s="27"/>
      <c r="I30" s="27">
        <v>1</v>
      </c>
      <c r="J30" s="30">
        <v>129591475</v>
      </c>
      <c r="K30" s="26" t="s">
        <v>36</v>
      </c>
      <c r="L30" s="26" t="s">
        <v>56</v>
      </c>
      <c r="M30" s="31"/>
      <c r="N30" s="23"/>
      <c r="O30" s="23"/>
      <c r="P30" s="23"/>
      <c r="Q30" s="2"/>
      <c r="R30" s="2"/>
      <c r="S30" s="2"/>
      <c r="T30" s="2"/>
      <c r="U30" s="2"/>
      <c r="V30" s="2"/>
      <c r="W30" s="2"/>
      <c r="X30" s="2"/>
      <c r="Y30" s="2"/>
    </row>
    <row r="31" spans="1:25" ht="12.75" hidden="1" customHeight="1">
      <c r="A31" s="26" t="s">
        <v>98</v>
      </c>
      <c r="B31" s="27"/>
      <c r="C31" s="28"/>
      <c r="D31" s="27"/>
      <c r="E31" s="27" t="s">
        <v>99</v>
      </c>
      <c r="F31" s="29" t="s">
        <v>100</v>
      </c>
      <c r="G31" s="27"/>
      <c r="H31" s="27"/>
      <c r="I31" s="27">
        <v>1</v>
      </c>
      <c r="J31" s="30">
        <v>14573436</v>
      </c>
      <c r="K31" s="26" t="s">
        <v>36</v>
      </c>
      <c r="L31" s="26" t="s">
        <v>56</v>
      </c>
      <c r="M31" s="31"/>
      <c r="N31" s="23"/>
      <c r="O31" s="23"/>
      <c r="P31" s="23"/>
      <c r="Q31" s="2"/>
      <c r="R31" s="2"/>
      <c r="S31" s="2"/>
      <c r="T31" s="2"/>
      <c r="U31" s="2"/>
      <c r="V31" s="2"/>
      <c r="W31" s="2"/>
      <c r="X31" s="2"/>
      <c r="Y31" s="2"/>
    </row>
    <row r="32" spans="1:25" ht="12.75" hidden="1" customHeight="1">
      <c r="A32" s="26">
        <v>11</v>
      </c>
      <c r="B32" s="27" t="s">
        <v>52</v>
      </c>
      <c r="C32" s="28">
        <v>40875</v>
      </c>
      <c r="D32" s="27"/>
      <c r="E32" s="27" t="s">
        <v>101</v>
      </c>
      <c r="F32" s="29" t="s">
        <v>85</v>
      </c>
      <c r="G32" s="27"/>
      <c r="H32" s="27" t="s">
        <v>19</v>
      </c>
      <c r="I32" s="27">
        <v>1</v>
      </c>
      <c r="J32" s="30">
        <v>209765774</v>
      </c>
      <c r="K32" s="26" t="s">
        <v>36</v>
      </c>
      <c r="L32" s="26" t="s">
        <v>56</v>
      </c>
      <c r="M32" s="31" t="s">
        <v>102</v>
      </c>
      <c r="N32" s="32"/>
      <c r="O32" s="32"/>
      <c r="P32" s="23"/>
      <c r="Q32" s="2"/>
      <c r="R32" s="2"/>
      <c r="S32" s="2"/>
      <c r="T32" s="2"/>
      <c r="U32" s="2"/>
      <c r="V32" s="2"/>
      <c r="W32" s="2"/>
      <c r="X32" s="2"/>
      <c r="Y32" s="2"/>
    </row>
    <row r="33" spans="1:25" ht="63.75" hidden="1" customHeight="1">
      <c r="A33" s="26" t="s">
        <v>103</v>
      </c>
      <c r="B33" s="27"/>
      <c r="C33" s="28"/>
      <c r="D33" s="27"/>
      <c r="E33" s="27" t="s">
        <v>104</v>
      </c>
      <c r="F33" s="34" t="s">
        <v>105</v>
      </c>
      <c r="G33" s="27"/>
      <c r="H33" s="27"/>
      <c r="I33" s="27">
        <v>1</v>
      </c>
      <c r="J33" s="30">
        <v>129591475</v>
      </c>
      <c r="K33" s="26" t="s">
        <v>36</v>
      </c>
      <c r="L33" s="26" t="s">
        <v>56</v>
      </c>
      <c r="M33" s="31"/>
      <c r="N33" s="23"/>
      <c r="O33" s="23"/>
      <c r="P33" s="23"/>
      <c r="Q33" s="2"/>
      <c r="R33" s="2"/>
      <c r="S33" s="2"/>
      <c r="T33" s="2"/>
      <c r="U33" s="2"/>
      <c r="V33" s="2"/>
      <c r="W33" s="2"/>
      <c r="X33" s="2"/>
      <c r="Y33" s="2"/>
    </row>
    <row r="34" spans="1:25" ht="12.75" hidden="1" customHeight="1">
      <c r="A34" s="26" t="s">
        <v>106</v>
      </c>
      <c r="B34" s="27"/>
      <c r="C34" s="28"/>
      <c r="D34" s="27"/>
      <c r="E34" s="27" t="s">
        <v>107</v>
      </c>
      <c r="F34" s="29" t="s">
        <v>108</v>
      </c>
      <c r="G34" s="27"/>
      <c r="H34" s="27"/>
      <c r="I34" s="27">
        <v>1</v>
      </c>
      <c r="J34" s="30">
        <v>14573436</v>
      </c>
      <c r="K34" s="26" t="s">
        <v>36</v>
      </c>
      <c r="L34" s="26" t="s">
        <v>56</v>
      </c>
      <c r="M34" s="31"/>
      <c r="N34" s="23"/>
      <c r="O34" s="23"/>
      <c r="P34" s="23"/>
      <c r="Q34" s="2"/>
      <c r="R34" s="2"/>
      <c r="S34" s="2"/>
      <c r="T34" s="2"/>
      <c r="U34" s="2"/>
      <c r="V34" s="2"/>
      <c r="W34" s="2"/>
      <c r="X34" s="2"/>
      <c r="Y34" s="2"/>
    </row>
    <row r="35" spans="1:25" ht="12.75" hidden="1" customHeight="1">
      <c r="A35" s="26">
        <v>12</v>
      </c>
      <c r="B35" s="27" t="s">
        <v>52</v>
      </c>
      <c r="C35" s="28">
        <v>40875</v>
      </c>
      <c r="D35" s="27"/>
      <c r="E35" s="27" t="s">
        <v>109</v>
      </c>
      <c r="F35" s="29" t="s">
        <v>85</v>
      </c>
      <c r="G35" s="27"/>
      <c r="H35" s="27" t="s">
        <v>19</v>
      </c>
      <c r="I35" s="27">
        <v>1</v>
      </c>
      <c r="J35" s="30">
        <v>209765774</v>
      </c>
      <c r="K35" s="26" t="s">
        <v>36</v>
      </c>
      <c r="L35" s="26" t="s">
        <v>56</v>
      </c>
      <c r="M35" s="31" t="s">
        <v>110</v>
      </c>
      <c r="N35" s="23"/>
      <c r="O35" s="23"/>
      <c r="P35" s="23"/>
      <c r="Q35" s="2"/>
      <c r="R35" s="2"/>
      <c r="S35" s="2"/>
      <c r="T35" s="2"/>
      <c r="U35" s="2"/>
      <c r="V35" s="2"/>
      <c r="W35" s="2"/>
      <c r="X35" s="2"/>
      <c r="Y35" s="2"/>
    </row>
    <row r="36" spans="1:25" ht="63.75" hidden="1" customHeight="1">
      <c r="A36" s="26" t="s">
        <v>111</v>
      </c>
      <c r="B36" s="27"/>
      <c r="C36" s="28"/>
      <c r="D36" s="27"/>
      <c r="E36" s="27" t="s">
        <v>112</v>
      </c>
      <c r="F36" s="34" t="s">
        <v>113</v>
      </c>
      <c r="G36" s="27"/>
      <c r="H36" s="27"/>
      <c r="I36" s="27">
        <v>1</v>
      </c>
      <c r="J36" s="30">
        <v>129591475</v>
      </c>
      <c r="K36" s="26" t="s">
        <v>36</v>
      </c>
      <c r="L36" s="26" t="s">
        <v>56</v>
      </c>
      <c r="M36" s="31"/>
      <c r="N36" s="23"/>
      <c r="O36" s="23"/>
      <c r="P36" s="23"/>
      <c r="Q36" s="2"/>
      <c r="R36" s="2"/>
      <c r="S36" s="2"/>
      <c r="T36" s="2"/>
      <c r="U36" s="2"/>
      <c r="V36" s="2"/>
      <c r="W36" s="2"/>
      <c r="X36" s="2"/>
      <c r="Y36" s="2"/>
    </row>
    <row r="37" spans="1:25" ht="12.75" hidden="1" customHeight="1">
      <c r="A37" s="26">
        <v>13</v>
      </c>
      <c r="B37" s="27" t="s">
        <v>52</v>
      </c>
      <c r="C37" s="28">
        <v>40875</v>
      </c>
      <c r="D37" s="27"/>
      <c r="E37" s="27" t="s">
        <v>114</v>
      </c>
      <c r="F37" s="29" t="s">
        <v>85</v>
      </c>
      <c r="G37" s="27"/>
      <c r="H37" s="27" t="s">
        <v>19</v>
      </c>
      <c r="I37" s="27">
        <v>1</v>
      </c>
      <c r="J37" s="30">
        <v>209765775</v>
      </c>
      <c r="K37" s="26" t="s">
        <v>36</v>
      </c>
      <c r="L37" s="26" t="s">
        <v>56</v>
      </c>
      <c r="M37" s="31" t="s">
        <v>110</v>
      </c>
      <c r="N37" s="23"/>
      <c r="O37" s="23"/>
      <c r="P37" s="23"/>
      <c r="Q37" s="2"/>
      <c r="R37" s="2"/>
      <c r="S37" s="2"/>
      <c r="T37" s="2"/>
      <c r="U37" s="2"/>
      <c r="V37" s="2"/>
      <c r="W37" s="2"/>
      <c r="X37" s="2"/>
      <c r="Y37" s="2"/>
    </row>
    <row r="38" spans="1:25" ht="63.75" hidden="1" customHeight="1">
      <c r="A38" s="26" t="s">
        <v>115</v>
      </c>
      <c r="B38" s="27"/>
      <c r="C38" s="28"/>
      <c r="D38" s="27"/>
      <c r="E38" s="27" t="s">
        <v>116</v>
      </c>
      <c r="F38" s="34" t="s">
        <v>117</v>
      </c>
      <c r="G38" s="27"/>
      <c r="H38" s="27"/>
      <c r="I38" s="27">
        <v>1</v>
      </c>
      <c r="J38" s="30">
        <v>129591475</v>
      </c>
      <c r="K38" s="26" t="s">
        <v>36</v>
      </c>
      <c r="L38" s="26" t="s">
        <v>56</v>
      </c>
      <c r="M38" s="31"/>
      <c r="N38" s="23"/>
      <c r="O38" s="23"/>
      <c r="P38" s="23"/>
      <c r="Q38" s="2"/>
      <c r="R38" s="2"/>
      <c r="S38" s="2"/>
      <c r="T38" s="2"/>
      <c r="U38" s="2"/>
      <c r="V38" s="2"/>
      <c r="W38" s="2"/>
      <c r="X38" s="2"/>
      <c r="Y38" s="2"/>
    </row>
    <row r="39" spans="1:25" ht="12.75" hidden="1" customHeight="1">
      <c r="A39" s="26">
        <v>14</v>
      </c>
      <c r="B39" s="27" t="s">
        <v>52</v>
      </c>
      <c r="C39" s="28">
        <v>40875</v>
      </c>
      <c r="D39" s="27"/>
      <c r="E39" s="27" t="s">
        <v>118</v>
      </c>
      <c r="F39" s="29" t="s">
        <v>85</v>
      </c>
      <c r="G39" s="27"/>
      <c r="H39" s="27" t="s">
        <v>19</v>
      </c>
      <c r="I39" s="27">
        <v>1</v>
      </c>
      <c r="J39" s="30">
        <v>105621760</v>
      </c>
      <c r="K39" s="26" t="s">
        <v>36</v>
      </c>
      <c r="L39" s="26" t="s">
        <v>56</v>
      </c>
      <c r="M39" s="31" t="s">
        <v>119</v>
      </c>
      <c r="N39" s="23"/>
      <c r="O39" s="23"/>
      <c r="P39" s="23"/>
      <c r="Q39" s="2"/>
      <c r="R39" s="2"/>
      <c r="S39" s="2"/>
      <c r="T39" s="2"/>
      <c r="U39" s="2"/>
      <c r="V39" s="2"/>
      <c r="W39" s="2"/>
      <c r="X39" s="2"/>
      <c r="Y39" s="2"/>
    </row>
    <row r="40" spans="1:25" ht="51" hidden="1" customHeight="1">
      <c r="A40" s="26" t="s">
        <v>120</v>
      </c>
      <c r="B40" s="27"/>
      <c r="C40" s="28"/>
      <c r="D40" s="27"/>
      <c r="E40" s="27" t="s">
        <v>121</v>
      </c>
      <c r="F40" s="29" t="s">
        <v>122</v>
      </c>
      <c r="G40" s="27"/>
      <c r="H40" s="27"/>
      <c r="I40" s="27">
        <v>1</v>
      </c>
      <c r="J40" s="30">
        <v>31613146</v>
      </c>
      <c r="K40" s="26" t="s">
        <v>36</v>
      </c>
      <c r="L40" s="26" t="s">
        <v>56</v>
      </c>
      <c r="M40" s="31"/>
      <c r="N40" s="23"/>
      <c r="O40" s="23"/>
      <c r="P40" s="23"/>
      <c r="Q40" s="2"/>
      <c r="R40" s="2"/>
      <c r="S40" s="2"/>
      <c r="T40" s="2"/>
      <c r="U40" s="2"/>
      <c r="V40" s="2"/>
      <c r="W40" s="2"/>
      <c r="X40" s="2"/>
      <c r="Y40" s="2"/>
    </row>
    <row r="41" spans="1:25" ht="25.5" hidden="1" customHeight="1">
      <c r="A41" s="26">
        <v>15</v>
      </c>
      <c r="B41" s="27" t="s">
        <v>52</v>
      </c>
      <c r="C41" s="28">
        <v>40875</v>
      </c>
      <c r="D41" s="27"/>
      <c r="E41" s="27" t="s">
        <v>123</v>
      </c>
      <c r="F41" s="29" t="s">
        <v>85</v>
      </c>
      <c r="G41" s="27"/>
      <c r="H41" s="27" t="s">
        <v>19</v>
      </c>
      <c r="I41" s="27">
        <v>1</v>
      </c>
      <c r="J41" s="30">
        <v>105621760</v>
      </c>
      <c r="K41" s="26" t="s">
        <v>36</v>
      </c>
      <c r="L41" s="26" t="s">
        <v>56</v>
      </c>
      <c r="M41" s="31" t="s">
        <v>124</v>
      </c>
      <c r="N41" s="23"/>
      <c r="O41" s="23"/>
      <c r="P41" s="23"/>
      <c r="Q41" s="2"/>
      <c r="R41" s="2"/>
      <c r="S41" s="2"/>
      <c r="T41" s="2"/>
      <c r="U41" s="2"/>
      <c r="V41" s="2"/>
      <c r="W41" s="2"/>
      <c r="X41" s="2"/>
      <c r="Y41" s="2"/>
    </row>
    <row r="42" spans="1:25" ht="51" hidden="1" customHeight="1">
      <c r="A42" s="26" t="s">
        <v>125</v>
      </c>
      <c r="B42" s="27"/>
      <c r="C42" s="28"/>
      <c r="D42" s="27"/>
      <c r="E42" s="27" t="s">
        <v>126</v>
      </c>
      <c r="F42" s="29" t="s">
        <v>127</v>
      </c>
      <c r="G42" s="27"/>
      <c r="H42" s="27"/>
      <c r="I42" s="27">
        <v>1</v>
      </c>
      <c r="J42" s="30">
        <v>31613146</v>
      </c>
      <c r="K42" s="26" t="s">
        <v>36</v>
      </c>
      <c r="L42" s="26" t="s">
        <v>56</v>
      </c>
      <c r="M42" s="31"/>
      <c r="N42" s="23"/>
      <c r="O42" s="23"/>
      <c r="P42" s="23"/>
      <c r="Q42" s="2"/>
      <c r="R42" s="2"/>
      <c r="S42" s="2"/>
      <c r="T42" s="2"/>
      <c r="U42" s="2"/>
      <c r="V42" s="2"/>
      <c r="W42" s="2"/>
      <c r="X42" s="2"/>
      <c r="Y42" s="2"/>
    </row>
    <row r="43" spans="1:25" ht="12.75" hidden="1" customHeight="1">
      <c r="A43" s="26" t="s">
        <v>128</v>
      </c>
      <c r="B43" s="27"/>
      <c r="C43" s="28"/>
      <c r="D43" s="27"/>
      <c r="E43" s="27" t="s">
        <v>129</v>
      </c>
      <c r="F43" s="34" t="s">
        <v>130</v>
      </c>
      <c r="G43" s="27"/>
      <c r="H43" s="27"/>
      <c r="I43" s="27">
        <v>1</v>
      </c>
      <c r="J43" s="30">
        <v>8407752</v>
      </c>
      <c r="K43" s="26" t="s">
        <v>36</v>
      </c>
      <c r="L43" s="26" t="s">
        <v>56</v>
      </c>
      <c r="M43" s="31"/>
      <c r="N43" s="23"/>
      <c r="O43" s="23"/>
      <c r="P43" s="23"/>
      <c r="Q43" s="2"/>
      <c r="R43" s="2"/>
      <c r="S43" s="2"/>
      <c r="T43" s="2"/>
      <c r="U43" s="2"/>
      <c r="V43" s="2"/>
      <c r="W43" s="2"/>
      <c r="X43" s="2"/>
      <c r="Y43" s="2"/>
    </row>
    <row r="44" spans="1:25" ht="12.75" hidden="1" customHeight="1">
      <c r="A44" s="26">
        <v>16</v>
      </c>
      <c r="B44" s="27" t="s">
        <v>52</v>
      </c>
      <c r="C44" s="28">
        <v>40875</v>
      </c>
      <c r="D44" s="27"/>
      <c r="E44" s="27" t="s">
        <v>131</v>
      </c>
      <c r="F44" s="29" t="s">
        <v>132</v>
      </c>
      <c r="G44" s="27"/>
      <c r="H44" s="27" t="s">
        <v>19</v>
      </c>
      <c r="I44" s="27">
        <v>1</v>
      </c>
      <c r="J44" s="30">
        <v>40020897</v>
      </c>
      <c r="K44" s="26" t="s">
        <v>36</v>
      </c>
      <c r="L44" s="26" t="s">
        <v>56</v>
      </c>
      <c r="M44" s="31" t="s">
        <v>133</v>
      </c>
      <c r="N44" s="23"/>
      <c r="O44" s="23"/>
      <c r="P44" s="23"/>
      <c r="Q44" s="2"/>
      <c r="R44" s="2"/>
      <c r="S44" s="2"/>
      <c r="T44" s="2"/>
      <c r="U44" s="2"/>
      <c r="V44" s="2"/>
      <c r="W44" s="2"/>
      <c r="X44" s="2"/>
      <c r="Y44" s="2"/>
    </row>
    <row r="45" spans="1:25" ht="51" hidden="1" customHeight="1">
      <c r="A45" s="26" t="s">
        <v>134</v>
      </c>
      <c r="B45" s="27"/>
      <c r="C45" s="28"/>
      <c r="D45" s="27"/>
      <c r="E45" s="27" t="s">
        <v>135</v>
      </c>
      <c r="F45" s="29" t="s">
        <v>136</v>
      </c>
      <c r="G45" s="27"/>
      <c r="H45" s="27"/>
      <c r="I45" s="27">
        <v>1</v>
      </c>
      <c r="J45" s="30">
        <v>31613145</v>
      </c>
      <c r="K45" s="26" t="s">
        <v>36</v>
      </c>
      <c r="L45" s="26" t="s">
        <v>56</v>
      </c>
      <c r="M45" s="31"/>
      <c r="N45" s="23"/>
      <c r="O45" s="23"/>
      <c r="P45" s="23"/>
      <c r="Q45" s="2"/>
      <c r="R45" s="2"/>
      <c r="S45" s="2"/>
      <c r="T45" s="2"/>
      <c r="U45" s="2"/>
      <c r="V45" s="2"/>
      <c r="W45" s="2"/>
      <c r="X45" s="2"/>
      <c r="Y45" s="2"/>
    </row>
    <row r="46" spans="1:25" ht="12.75" hidden="1" customHeight="1">
      <c r="A46" s="26" t="s">
        <v>137</v>
      </c>
      <c r="B46" s="27"/>
      <c r="C46" s="28"/>
      <c r="D46" s="27"/>
      <c r="E46" s="27" t="s">
        <v>138</v>
      </c>
      <c r="F46" s="34" t="s">
        <v>139</v>
      </c>
      <c r="G46" s="27"/>
      <c r="H46" s="27"/>
      <c r="I46" s="27">
        <v>1</v>
      </c>
      <c r="J46" s="30">
        <v>8407752</v>
      </c>
      <c r="K46" s="26" t="s">
        <v>36</v>
      </c>
      <c r="L46" s="26" t="s">
        <v>56</v>
      </c>
      <c r="M46" s="31"/>
      <c r="N46" s="23"/>
      <c r="O46" s="23"/>
      <c r="P46" s="23"/>
      <c r="Q46" s="2"/>
      <c r="R46" s="2"/>
      <c r="S46" s="2"/>
      <c r="T46" s="2"/>
      <c r="U46" s="2"/>
      <c r="V46" s="2"/>
      <c r="W46" s="2"/>
      <c r="X46" s="2"/>
      <c r="Y46" s="2"/>
    </row>
    <row r="47" spans="1:25" ht="12.75" hidden="1" customHeight="1">
      <c r="A47" s="26">
        <v>17</v>
      </c>
      <c r="B47" s="27" t="s">
        <v>52</v>
      </c>
      <c r="C47" s="28">
        <v>40875</v>
      </c>
      <c r="D47" s="27"/>
      <c r="E47" s="27" t="s">
        <v>140</v>
      </c>
      <c r="F47" s="29" t="s">
        <v>132</v>
      </c>
      <c r="G47" s="27"/>
      <c r="H47" s="27" t="s">
        <v>19</v>
      </c>
      <c r="I47" s="27">
        <v>1</v>
      </c>
      <c r="J47" s="30">
        <v>105621760</v>
      </c>
      <c r="K47" s="26" t="s">
        <v>36</v>
      </c>
      <c r="L47" s="26" t="s">
        <v>141</v>
      </c>
      <c r="M47" s="31" t="s">
        <v>110</v>
      </c>
      <c r="N47" s="23"/>
      <c r="O47" s="23"/>
      <c r="P47" s="23"/>
      <c r="Q47" s="2"/>
      <c r="R47" s="2"/>
      <c r="S47" s="2"/>
      <c r="T47" s="2"/>
      <c r="U47" s="2"/>
      <c r="V47" s="2"/>
      <c r="W47" s="2"/>
      <c r="X47" s="2"/>
      <c r="Y47" s="2"/>
    </row>
    <row r="48" spans="1:25" ht="51" hidden="1" customHeight="1">
      <c r="A48" s="26" t="s">
        <v>142</v>
      </c>
      <c r="B48" s="27"/>
      <c r="C48" s="28"/>
      <c r="D48" s="27"/>
      <c r="E48" s="27" t="s">
        <v>143</v>
      </c>
      <c r="F48" s="29" t="s">
        <v>144</v>
      </c>
      <c r="G48" s="27"/>
      <c r="H48" s="27"/>
      <c r="I48" s="27">
        <v>1</v>
      </c>
      <c r="J48" s="30">
        <v>31613145</v>
      </c>
      <c r="K48" s="26" t="s">
        <v>36</v>
      </c>
      <c r="L48" s="26" t="s">
        <v>141</v>
      </c>
      <c r="M48" s="31"/>
      <c r="N48" s="23"/>
      <c r="O48" s="23"/>
      <c r="P48" s="23"/>
      <c r="Q48" s="2"/>
      <c r="R48" s="2"/>
      <c r="S48" s="2"/>
      <c r="T48" s="2"/>
      <c r="U48" s="2"/>
      <c r="V48" s="2"/>
      <c r="W48" s="2"/>
      <c r="X48" s="2"/>
      <c r="Y48" s="2"/>
    </row>
    <row r="49" spans="1:25" ht="12.75" hidden="1" customHeight="1">
      <c r="A49" s="26" t="s">
        <v>145</v>
      </c>
      <c r="B49" s="27"/>
      <c r="C49" s="28"/>
      <c r="D49" s="27"/>
      <c r="E49" s="27" t="s">
        <v>146</v>
      </c>
      <c r="F49" s="34" t="s">
        <v>147</v>
      </c>
      <c r="G49" s="27"/>
      <c r="H49" s="27"/>
      <c r="I49" s="27">
        <v>1</v>
      </c>
      <c r="J49" s="30">
        <v>8407752</v>
      </c>
      <c r="K49" s="26" t="s">
        <v>36</v>
      </c>
      <c r="L49" s="26" t="s">
        <v>141</v>
      </c>
      <c r="M49" s="31"/>
      <c r="N49" s="23"/>
      <c r="O49" s="23"/>
      <c r="P49" s="23"/>
      <c r="Q49" s="2"/>
      <c r="R49" s="2"/>
      <c r="S49" s="2"/>
      <c r="T49" s="2"/>
      <c r="U49" s="2"/>
      <c r="V49" s="2"/>
      <c r="W49" s="2"/>
      <c r="X49" s="2"/>
      <c r="Y49" s="2"/>
    </row>
    <row r="50" spans="1:25" ht="12.75" hidden="1" customHeight="1">
      <c r="A50" s="26">
        <v>18</v>
      </c>
      <c r="B50" s="27" t="s">
        <v>52</v>
      </c>
      <c r="C50" s="28">
        <v>40875</v>
      </c>
      <c r="D50" s="27"/>
      <c r="E50" s="27" t="s">
        <v>148</v>
      </c>
      <c r="F50" s="29" t="s">
        <v>132</v>
      </c>
      <c r="G50" s="27"/>
      <c r="H50" s="27" t="s">
        <v>19</v>
      </c>
      <c r="I50" s="27">
        <v>1</v>
      </c>
      <c r="J50" s="30">
        <v>40020897</v>
      </c>
      <c r="K50" s="26" t="s">
        <v>36</v>
      </c>
      <c r="L50" s="26" t="s">
        <v>141</v>
      </c>
      <c r="M50" s="31" t="s">
        <v>102</v>
      </c>
      <c r="N50" s="23"/>
      <c r="O50" s="23"/>
      <c r="P50" s="23"/>
      <c r="Q50" s="2"/>
      <c r="R50" s="2"/>
      <c r="S50" s="2"/>
      <c r="T50" s="2"/>
      <c r="U50" s="2"/>
      <c r="V50" s="2"/>
      <c r="W50" s="2"/>
      <c r="X50" s="2"/>
      <c r="Y50" s="2"/>
    </row>
    <row r="51" spans="1:25" ht="51" hidden="1" customHeight="1">
      <c r="A51" s="26" t="s">
        <v>149</v>
      </c>
      <c r="B51" s="27"/>
      <c r="C51" s="28"/>
      <c r="D51" s="27"/>
      <c r="E51" s="27" t="s">
        <v>150</v>
      </c>
      <c r="F51" s="29" t="s">
        <v>151</v>
      </c>
      <c r="G51" s="27"/>
      <c r="H51" s="27"/>
      <c r="I51" s="27">
        <v>1</v>
      </c>
      <c r="J51" s="30">
        <v>31613145</v>
      </c>
      <c r="K51" s="26" t="s">
        <v>36</v>
      </c>
      <c r="L51" s="26" t="s">
        <v>141</v>
      </c>
      <c r="M51" s="31"/>
      <c r="N51" s="23"/>
      <c r="O51" s="23"/>
      <c r="P51" s="23"/>
      <c r="Q51" s="2"/>
      <c r="R51" s="2"/>
      <c r="S51" s="2"/>
      <c r="T51" s="2"/>
      <c r="U51" s="2"/>
      <c r="V51" s="2"/>
      <c r="W51" s="2"/>
      <c r="X51" s="2"/>
      <c r="Y51" s="2"/>
    </row>
    <row r="52" spans="1:25" ht="12.75" hidden="1" customHeight="1">
      <c r="A52" s="26" t="s">
        <v>152</v>
      </c>
      <c r="B52" s="27"/>
      <c r="C52" s="28"/>
      <c r="D52" s="27"/>
      <c r="E52" s="27" t="s">
        <v>153</v>
      </c>
      <c r="F52" s="34" t="s">
        <v>154</v>
      </c>
      <c r="G52" s="27"/>
      <c r="H52" s="27"/>
      <c r="I52" s="27">
        <v>1</v>
      </c>
      <c r="J52" s="30">
        <v>8407752</v>
      </c>
      <c r="K52" s="26" t="s">
        <v>36</v>
      </c>
      <c r="L52" s="26" t="s">
        <v>141</v>
      </c>
      <c r="M52" s="31"/>
      <c r="N52" s="23"/>
      <c r="O52" s="23"/>
      <c r="P52" s="23"/>
      <c r="Q52" s="2"/>
      <c r="R52" s="2"/>
      <c r="S52" s="2"/>
      <c r="T52" s="2"/>
      <c r="U52" s="2"/>
      <c r="V52" s="2"/>
      <c r="W52" s="2"/>
      <c r="X52" s="2"/>
      <c r="Y52" s="2"/>
    </row>
    <row r="53" spans="1:25" ht="76.5" hidden="1" customHeight="1">
      <c r="A53" s="26">
        <v>19</v>
      </c>
      <c r="B53" s="27" t="s">
        <v>52</v>
      </c>
      <c r="C53" s="28">
        <v>40875</v>
      </c>
      <c r="D53" s="27"/>
      <c r="E53" s="27" t="s">
        <v>155</v>
      </c>
      <c r="F53" s="29" t="s">
        <v>156</v>
      </c>
      <c r="G53" s="27"/>
      <c r="H53" s="27" t="s">
        <v>157</v>
      </c>
      <c r="I53" s="27">
        <v>1</v>
      </c>
      <c r="J53" s="30">
        <v>4296111982</v>
      </c>
      <c r="K53" s="26" t="s">
        <v>36</v>
      </c>
      <c r="L53" s="26" t="s">
        <v>141</v>
      </c>
      <c r="M53" s="31" t="s">
        <v>158</v>
      </c>
      <c r="N53" s="23"/>
      <c r="O53" s="23"/>
      <c r="P53" s="23"/>
      <c r="Q53" s="2"/>
      <c r="R53" s="2"/>
      <c r="S53" s="2"/>
      <c r="T53" s="2"/>
      <c r="U53" s="2"/>
      <c r="V53" s="2"/>
      <c r="W53" s="2"/>
      <c r="X53" s="2"/>
      <c r="Y53" s="2"/>
    </row>
    <row r="54" spans="1:25" ht="12.75" hidden="1" customHeight="1">
      <c r="A54" s="26">
        <v>20</v>
      </c>
      <c r="B54" s="27" t="s">
        <v>52</v>
      </c>
      <c r="C54" s="28">
        <v>40875</v>
      </c>
      <c r="D54" s="27"/>
      <c r="E54" s="27" t="s">
        <v>159</v>
      </c>
      <c r="F54" s="29" t="s">
        <v>160</v>
      </c>
      <c r="G54" s="27"/>
      <c r="H54" s="27" t="s">
        <v>19</v>
      </c>
      <c r="I54" s="27">
        <v>1</v>
      </c>
      <c r="J54" s="30">
        <v>105621760</v>
      </c>
      <c r="K54" s="26" t="s">
        <v>36</v>
      </c>
      <c r="L54" s="26" t="s">
        <v>141</v>
      </c>
      <c r="M54" s="31" t="s">
        <v>161</v>
      </c>
      <c r="N54" s="23"/>
      <c r="O54" s="23"/>
      <c r="P54" s="23"/>
      <c r="Q54" s="2"/>
      <c r="R54" s="2"/>
      <c r="S54" s="2"/>
      <c r="T54" s="2"/>
      <c r="U54" s="2"/>
      <c r="V54" s="2"/>
      <c r="W54" s="2"/>
      <c r="X54" s="2"/>
      <c r="Y54" s="2"/>
    </row>
    <row r="55" spans="1:25" ht="51" hidden="1" customHeight="1">
      <c r="A55" s="26" t="s">
        <v>162</v>
      </c>
      <c r="B55" s="27"/>
      <c r="C55" s="28"/>
      <c r="D55" s="27"/>
      <c r="E55" s="27" t="s">
        <v>163</v>
      </c>
      <c r="F55" s="29" t="s">
        <v>164</v>
      </c>
      <c r="G55" s="27"/>
      <c r="H55" s="27"/>
      <c r="I55" s="27">
        <v>1</v>
      </c>
      <c r="J55" s="30">
        <v>31613145</v>
      </c>
      <c r="K55" s="26" t="s">
        <v>36</v>
      </c>
      <c r="L55" s="26" t="s">
        <v>141</v>
      </c>
      <c r="M55" s="31"/>
      <c r="N55" s="23"/>
      <c r="O55" s="23"/>
      <c r="P55" s="23"/>
      <c r="Q55" s="2"/>
      <c r="R55" s="2"/>
      <c r="S55" s="2"/>
      <c r="T55" s="2"/>
      <c r="U55" s="2"/>
      <c r="V55" s="2"/>
      <c r="W55" s="2"/>
      <c r="X55" s="2"/>
      <c r="Y55" s="2"/>
    </row>
    <row r="56" spans="1:25" ht="12.75" hidden="1" customHeight="1">
      <c r="A56" s="26" t="s">
        <v>165</v>
      </c>
      <c r="B56" s="27"/>
      <c r="C56" s="28"/>
      <c r="D56" s="27"/>
      <c r="E56" s="27" t="s">
        <v>166</v>
      </c>
      <c r="F56" s="34" t="s">
        <v>167</v>
      </c>
      <c r="G56" s="27"/>
      <c r="H56" s="27"/>
      <c r="I56" s="27">
        <v>1</v>
      </c>
      <c r="J56" s="30">
        <v>8407752</v>
      </c>
      <c r="K56" s="26" t="s">
        <v>36</v>
      </c>
      <c r="L56" s="26" t="s">
        <v>141</v>
      </c>
      <c r="M56" s="31"/>
      <c r="N56" s="23"/>
      <c r="O56" s="23"/>
      <c r="P56" s="23"/>
      <c r="Q56" s="2"/>
      <c r="R56" s="2"/>
      <c r="S56" s="2"/>
      <c r="T56" s="2"/>
      <c r="U56" s="2"/>
      <c r="V56" s="2"/>
      <c r="W56" s="2"/>
      <c r="X56" s="2"/>
      <c r="Y56" s="2"/>
    </row>
    <row r="57" spans="1:25" ht="25.5" hidden="1" customHeight="1">
      <c r="A57" s="26">
        <v>21</v>
      </c>
      <c r="B57" s="27" t="s">
        <v>52</v>
      </c>
      <c r="C57" s="28">
        <v>40875</v>
      </c>
      <c r="D57" s="27"/>
      <c r="E57" s="27" t="s">
        <v>168</v>
      </c>
      <c r="F57" s="29" t="s">
        <v>160</v>
      </c>
      <c r="G57" s="27"/>
      <c r="H57" s="27" t="s">
        <v>19</v>
      </c>
      <c r="I57" s="27">
        <v>1</v>
      </c>
      <c r="J57" s="30">
        <v>105621760</v>
      </c>
      <c r="K57" s="26" t="s">
        <v>36</v>
      </c>
      <c r="L57" s="26" t="s">
        <v>169</v>
      </c>
      <c r="M57" s="31" t="s">
        <v>170</v>
      </c>
      <c r="N57" s="23"/>
      <c r="O57" s="23"/>
      <c r="P57" s="23"/>
      <c r="Q57" s="2"/>
      <c r="R57" s="2"/>
      <c r="S57" s="2"/>
      <c r="T57" s="2"/>
      <c r="U57" s="2"/>
      <c r="V57" s="2"/>
      <c r="W57" s="2"/>
      <c r="X57" s="2"/>
      <c r="Y57" s="2"/>
    </row>
    <row r="58" spans="1:25" ht="51" hidden="1" customHeight="1">
      <c r="A58" s="26" t="s">
        <v>171</v>
      </c>
      <c r="B58" s="27"/>
      <c r="C58" s="28"/>
      <c r="D58" s="27"/>
      <c r="E58" s="27" t="s">
        <v>172</v>
      </c>
      <c r="F58" s="29" t="s">
        <v>173</v>
      </c>
      <c r="G58" s="27"/>
      <c r="H58" s="27"/>
      <c r="I58" s="27">
        <v>1</v>
      </c>
      <c r="J58" s="30">
        <v>31613145</v>
      </c>
      <c r="K58" s="26" t="s">
        <v>36</v>
      </c>
      <c r="L58" s="26" t="s">
        <v>169</v>
      </c>
      <c r="M58" s="31"/>
      <c r="N58" s="23"/>
      <c r="O58" s="23"/>
      <c r="P58" s="23"/>
      <c r="Q58" s="2"/>
      <c r="R58" s="2"/>
      <c r="S58" s="2"/>
      <c r="T58" s="2"/>
      <c r="U58" s="2"/>
      <c r="V58" s="2"/>
      <c r="W58" s="2"/>
      <c r="X58" s="2"/>
      <c r="Y58" s="2"/>
    </row>
    <row r="59" spans="1:25" ht="12.75" hidden="1" customHeight="1">
      <c r="A59" s="26" t="s">
        <v>174</v>
      </c>
      <c r="B59" s="27"/>
      <c r="C59" s="28"/>
      <c r="D59" s="27"/>
      <c r="E59" s="27" t="s">
        <v>175</v>
      </c>
      <c r="F59" s="34" t="s">
        <v>176</v>
      </c>
      <c r="G59" s="27"/>
      <c r="H59" s="27"/>
      <c r="I59" s="27">
        <v>1</v>
      </c>
      <c r="J59" s="30">
        <v>8407752</v>
      </c>
      <c r="K59" s="26" t="s">
        <v>36</v>
      </c>
      <c r="L59" s="26" t="s">
        <v>169</v>
      </c>
      <c r="M59" s="31"/>
      <c r="N59" s="23"/>
      <c r="O59" s="23"/>
      <c r="P59" s="23"/>
      <c r="Q59" s="2"/>
      <c r="R59" s="2"/>
      <c r="S59" s="2"/>
      <c r="T59" s="2"/>
      <c r="U59" s="2"/>
      <c r="V59" s="2"/>
      <c r="W59" s="2"/>
      <c r="X59" s="2"/>
      <c r="Y59" s="2"/>
    </row>
    <row r="60" spans="1:25" ht="12.75" hidden="1" customHeight="1">
      <c r="A60" s="26">
        <v>22</v>
      </c>
      <c r="B60" s="27" t="s">
        <v>52</v>
      </c>
      <c r="C60" s="28">
        <v>40875</v>
      </c>
      <c r="D60" s="27"/>
      <c r="E60" s="27" t="s">
        <v>177</v>
      </c>
      <c r="F60" s="29" t="s">
        <v>160</v>
      </c>
      <c r="G60" s="27"/>
      <c r="H60" s="27" t="s">
        <v>19</v>
      </c>
      <c r="I60" s="27">
        <v>1</v>
      </c>
      <c r="J60" s="30">
        <v>105621760</v>
      </c>
      <c r="K60" s="26" t="s">
        <v>36</v>
      </c>
      <c r="L60" s="26" t="s">
        <v>169</v>
      </c>
      <c r="M60" s="31" t="s">
        <v>178</v>
      </c>
      <c r="N60" s="23"/>
      <c r="O60" s="23"/>
      <c r="P60" s="23"/>
      <c r="Q60" s="2"/>
      <c r="R60" s="2"/>
      <c r="S60" s="2"/>
      <c r="T60" s="2"/>
      <c r="U60" s="2"/>
      <c r="V60" s="2"/>
      <c r="W60" s="2"/>
      <c r="X60" s="2"/>
      <c r="Y60" s="2"/>
    </row>
    <row r="61" spans="1:25" ht="51" hidden="1" customHeight="1">
      <c r="A61" s="26" t="s">
        <v>179</v>
      </c>
      <c r="B61" s="27"/>
      <c r="C61" s="28"/>
      <c r="D61" s="27"/>
      <c r="E61" s="27" t="s">
        <v>180</v>
      </c>
      <c r="F61" s="29" t="s">
        <v>181</v>
      </c>
      <c r="G61" s="27"/>
      <c r="H61" s="27"/>
      <c r="I61" s="27">
        <v>1</v>
      </c>
      <c r="J61" s="30">
        <v>31613145</v>
      </c>
      <c r="K61" s="26" t="s">
        <v>36</v>
      </c>
      <c r="L61" s="26" t="s">
        <v>169</v>
      </c>
      <c r="M61" s="31"/>
      <c r="N61" s="23"/>
      <c r="O61" s="23"/>
      <c r="P61" s="23"/>
      <c r="Q61" s="2"/>
      <c r="R61" s="2"/>
      <c r="S61" s="2"/>
      <c r="T61" s="2"/>
      <c r="U61" s="2"/>
      <c r="V61" s="2"/>
      <c r="W61" s="2"/>
      <c r="X61" s="2"/>
      <c r="Y61" s="2"/>
    </row>
    <row r="62" spans="1:25" ht="12.75" hidden="1" customHeight="1">
      <c r="A62" s="26">
        <v>23</v>
      </c>
      <c r="B62" s="27" t="s">
        <v>52</v>
      </c>
      <c r="C62" s="28">
        <v>40875</v>
      </c>
      <c r="D62" s="27"/>
      <c r="E62" s="27" t="s">
        <v>182</v>
      </c>
      <c r="F62" s="29" t="s">
        <v>160</v>
      </c>
      <c r="G62" s="27"/>
      <c r="H62" s="27" t="s">
        <v>19</v>
      </c>
      <c r="I62" s="27">
        <v>1</v>
      </c>
      <c r="J62" s="30">
        <v>105621760</v>
      </c>
      <c r="K62" s="26" t="s">
        <v>36</v>
      </c>
      <c r="L62" s="26" t="s">
        <v>169</v>
      </c>
      <c r="M62" s="31" t="s">
        <v>178</v>
      </c>
      <c r="N62" s="23"/>
      <c r="O62" s="23"/>
      <c r="P62" s="23"/>
      <c r="Q62" s="2"/>
      <c r="R62" s="2"/>
      <c r="S62" s="2"/>
      <c r="T62" s="2"/>
      <c r="U62" s="2"/>
      <c r="V62" s="2"/>
      <c r="W62" s="2"/>
      <c r="X62" s="2"/>
      <c r="Y62" s="2"/>
    </row>
    <row r="63" spans="1:25" ht="51" hidden="1" customHeight="1">
      <c r="A63" s="26" t="s">
        <v>183</v>
      </c>
      <c r="B63" s="27"/>
      <c r="C63" s="28"/>
      <c r="D63" s="27"/>
      <c r="E63" s="27" t="s">
        <v>184</v>
      </c>
      <c r="F63" s="29" t="s">
        <v>185</v>
      </c>
      <c r="G63" s="27"/>
      <c r="H63" s="27"/>
      <c r="I63" s="27">
        <v>1</v>
      </c>
      <c r="J63" s="30">
        <v>31613145</v>
      </c>
      <c r="K63" s="26" t="s">
        <v>36</v>
      </c>
      <c r="L63" s="26" t="s">
        <v>169</v>
      </c>
      <c r="M63" s="31"/>
      <c r="N63" s="23"/>
      <c r="O63" s="23"/>
      <c r="P63" s="23"/>
      <c r="Q63" s="2"/>
      <c r="R63" s="2"/>
      <c r="S63" s="2"/>
      <c r="T63" s="2"/>
      <c r="U63" s="2"/>
      <c r="V63" s="2"/>
      <c r="W63" s="2"/>
      <c r="X63" s="2"/>
      <c r="Y63" s="2"/>
    </row>
    <row r="64" spans="1:25" ht="12.75" hidden="1" customHeight="1">
      <c r="A64" s="26" t="s">
        <v>186</v>
      </c>
      <c r="B64" s="27"/>
      <c r="C64" s="28"/>
      <c r="D64" s="27"/>
      <c r="E64" s="27" t="s">
        <v>187</v>
      </c>
      <c r="F64" s="34" t="s">
        <v>188</v>
      </c>
      <c r="G64" s="27"/>
      <c r="H64" s="27"/>
      <c r="I64" s="27">
        <v>1</v>
      </c>
      <c r="J64" s="30">
        <v>8407752</v>
      </c>
      <c r="K64" s="26" t="s">
        <v>36</v>
      </c>
      <c r="L64" s="26" t="s">
        <v>169</v>
      </c>
      <c r="M64" s="31"/>
      <c r="N64" s="23"/>
      <c r="O64" s="23"/>
      <c r="P64" s="23"/>
      <c r="Q64" s="2"/>
      <c r="R64" s="2"/>
      <c r="S64" s="2"/>
      <c r="T64" s="2"/>
      <c r="U64" s="2"/>
      <c r="V64" s="2"/>
      <c r="W64" s="2"/>
      <c r="X64" s="2"/>
      <c r="Y64" s="2"/>
    </row>
    <row r="65" spans="1:25" ht="12.75" hidden="1" customHeight="1">
      <c r="A65" s="26">
        <v>24</v>
      </c>
      <c r="B65" s="27" t="s">
        <v>52</v>
      </c>
      <c r="C65" s="28">
        <v>40875</v>
      </c>
      <c r="D65" s="27"/>
      <c r="E65" s="27" t="s">
        <v>189</v>
      </c>
      <c r="F65" s="29" t="s">
        <v>160</v>
      </c>
      <c r="G65" s="27"/>
      <c r="H65" s="27" t="s">
        <v>19</v>
      </c>
      <c r="I65" s="27">
        <v>1</v>
      </c>
      <c r="J65" s="30">
        <v>105621760</v>
      </c>
      <c r="K65" s="26" t="s">
        <v>36</v>
      </c>
      <c r="L65" s="26" t="s">
        <v>169</v>
      </c>
      <c r="M65" s="31" t="s">
        <v>190</v>
      </c>
      <c r="N65" s="23"/>
      <c r="O65" s="23"/>
      <c r="P65" s="23"/>
      <c r="Q65" s="2"/>
      <c r="R65" s="2"/>
      <c r="S65" s="2"/>
      <c r="T65" s="2"/>
      <c r="U65" s="2"/>
      <c r="V65" s="2"/>
      <c r="W65" s="2"/>
      <c r="X65" s="2"/>
      <c r="Y65" s="2"/>
    </row>
    <row r="66" spans="1:25" ht="51" hidden="1" customHeight="1">
      <c r="A66" s="26" t="s">
        <v>191</v>
      </c>
      <c r="B66" s="27"/>
      <c r="C66" s="28"/>
      <c r="D66" s="27"/>
      <c r="E66" s="27" t="s">
        <v>192</v>
      </c>
      <c r="F66" s="29" t="s">
        <v>193</v>
      </c>
      <c r="G66" s="27"/>
      <c r="H66" s="27"/>
      <c r="I66" s="27">
        <v>1</v>
      </c>
      <c r="J66" s="30">
        <v>31613145</v>
      </c>
      <c r="K66" s="26" t="s">
        <v>36</v>
      </c>
      <c r="L66" s="26" t="s">
        <v>169</v>
      </c>
      <c r="M66" s="31"/>
      <c r="N66" s="23"/>
      <c r="O66" s="23"/>
      <c r="P66" s="23"/>
      <c r="Q66" s="2"/>
      <c r="R66" s="2"/>
      <c r="S66" s="2"/>
      <c r="T66" s="2"/>
      <c r="U66" s="2"/>
      <c r="V66" s="2"/>
      <c r="W66" s="2"/>
      <c r="X66" s="2"/>
      <c r="Y66" s="2"/>
    </row>
    <row r="67" spans="1:25" ht="12.75" hidden="1" customHeight="1">
      <c r="A67" s="26" t="s">
        <v>194</v>
      </c>
      <c r="B67" s="27"/>
      <c r="C67" s="28"/>
      <c r="D67" s="27"/>
      <c r="E67" s="27" t="s">
        <v>195</v>
      </c>
      <c r="F67" s="34" t="s">
        <v>196</v>
      </c>
      <c r="G67" s="27"/>
      <c r="H67" s="27"/>
      <c r="I67" s="27">
        <v>1</v>
      </c>
      <c r="J67" s="30">
        <v>8407752</v>
      </c>
      <c r="K67" s="26" t="s">
        <v>36</v>
      </c>
      <c r="L67" s="26" t="s">
        <v>169</v>
      </c>
      <c r="M67" s="31"/>
      <c r="N67" s="23"/>
      <c r="O67" s="23"/>
      <c r="P67" s="23"/>
      <c r="Q67" s="2"/>
      <c r="R67" s="2"/>
      <c r="S67" s="2"/>
      <c r="T67" s="2"/>
      <c r="U67" s="2"/>
      <c r="V67" s="2"/>
      <c r="W67" s="2"/>
      <c r="X67" s="2"/>
      <c r="Y67" s="2"/>
    </row>
    <row r="68" spans="1:25" ht="25.5" hidden="1" customHeight="1">
      <c r="A68" s="26">
        <v>25</v>
      </c>
      <c r="B68" s="27" t="s">
        <v>197</v>
      </c>
      <c r="C68" s="28">
        <v>40948</v>
      </c>
      <c r="D68" s="27"/>
      <c r="E68" s="27" t="s">
        <v>198</v>
      </c>
      <c r="F68" s="29" t="s">
        <v>199</v>
      </c>
      <c r="G68" s="27" t="s">
        <v>35</v>
      </c>
      <c r="H68" s="27" t="s">
        <v>19</v>
      </c>
      <c r="I68" s="27">
        <v>1</v>
      </c>
      <c r="J68" s="30">
        <v>180121617</v>
      </c>
      <c r="K68" s="26" t="s">
        <v>36</v>
      </c>
      <c r="L68" s="26" t="s">
        <v>169</v>
      </c>
      <c r="M68" s="31" t="s">
        <v>200</v>
      </c>
      <c r="N68" s="23"/>
      <c r="O68" s="23"/>
      <c r="P68" s="23"/>
      <c r="Q68" s="2"/>
      <c r="R68" s="2"/>
      <c r="S68" s="2"/>
      <c r="T68" s="2"/>
      <c r="U68" s="2"/>
      <c r="V68" s="2"/>
      <c r="W68" s="2"/>
      <c r="X68" s="2"/>
      <c r="Y68" s="2"/>
    </row>
    <row r="69" spans="1:25" ht="12.75" hidden="1" customHeight="1">
      <c r="A69" s="26" t="s">
        <v>201</v>
      </c>
      <c r="B69" s="27"/>
      <c r="C69" s="28"/>
      <c r="D69" s="27"/>
      <c r="E69" s="27" t="s">
        <v>202</v>
      </c>
      <c r="F69" s="29" t="s">
        <v>203</v>
      </c>
      <c r="G69" s="27"/>
      <c r="H69" s="27"/>
      <c r="I69" s="27">
        <v>1</v>
      </c>
      <c r="J69" s="30">
        <v>0</v>
      </c>
      <c r="K69" s="26" t="s">
        <v>36</v>
      </c>
      <c r="L69" s="26" t="s">
        <v>169</v>
      </c>
      <c r="M69" s="31"/>
      <c r="N69" s="23"/>
      <c r="O69" s="23"/>
      <c r="P69" s="23"/>
      <c r="Q69" s="2"/>
      <c r="R69" s="2"/>
      <c r="S69" s="2"/>
      <c r="T69" s="2"/>
      <c r="U69" s="2"/>
      <c r="V69" s="2"/>
      <c r="W69" s="2"/>
      <c r="X69" s="2"/>
      <c r="Y69" s="2"/>
    </row>
    <row r="70" spans="1:25" ht="12.75" hidden="1" customHeight="1">
      <c r="A70" s="26">
        <v>26</v>
      </c>
      <c r="B70" s="27" t="s">
        <v>197</v>
      </c>
      <c r="C70" s="28">
        <v>40948</v>
      </c>
      <c r="D70" s="27"/>
      <c r="E70" s="27" t="s">
        <v>204</v>
      </c>
      <c r="F70" s="29" t="s">
        <v>205</v>
      </c>
      <c r="G70" s="27" t="s">
        <v>35</v>
      </c>
      <c r="H70" s="27" t="s">
        <v>19</v>
      </c>
      <c r="I70" s="27">
        <v>1</v>
      </c>
      <c r="J70" s="30">
        <v>180121617</v>
      </c>
      <c r="K70" s="26" t="s">
        <v>206</v>
      </c>
      <c r="L70" s="26" t="s">
        <v>207</v>
      </c>
      <c r="M70" s="31" t="s">
        <v>208</v>
      </c>
      <c r="N70" s="23"/>
      <c r="O70" s="23"/>
      <c r="P70" s="23"/>
      <c r="Q70" s="2"/>
      <c r="R70" s="2"/>
      <c r="S70" s="2"/>
      <c r="T70" s="2"/>
      <c r="U70" s="2"/>
      <c r="V70" s="2"/>
      <c r="W70" s="2"/>
      <c r="X70" s="2"/>
      <c r="Y70" s="2"/>
    </row>
    <row r="71" spans="1:25" ht="12.75" hidden="1" customHeight="1">
      <c r="A71" s="26" t="s">
        <v>209</v>
      </c>
      <c r="B71" s="27"/>
      <c r="C71" s="28"/>
      <c r="D71" s="27"/>
      <c r="E71" s="27" t="s">
        <v>210</v>
      </c>
      <c r="F71" s="29" t="s">
        <v>211</v>
      </c>
      <c r="G71" s="27"/>
      <c r="H71" s="27"/>
      <c r="I71" s="27">
        <v>1</v>
      </c>
      <c r="J71" s="30">
        <v>0</v>
      </c>
      <c r="K71" s="26" t="s">
        <v>206</v>
      </c>
      <c r="L71" s="26" t="s">
        <v>207</v>
      </c>
      <c r="M71" s="31"/>
      <c r="N71" s="23"/>
      <c r="O71" s="23"/>
      <c r="P71" s="23"/>
      <c r="Q71" s="2"/>
      <c r="R71" s="2"/>
      <c r="S71" s="2"/>
      <c r="T71" s="2"/>
      <c r="U71" s="2"/>
      <c r="V71" s="2"/>
      <c r="W71" s="2"/>
      <c r="X71" s="2"/>
      <c r="Y71" s="2"/>
    </row>
    <row r="72" spans="1:25" ht="12.75" hidden="1" customHeight="1">
      <c r="A72" s="26">
        <v>27</v>
      </c>
      <c r="B72" s="27" t="s">
        <v>212</v>
      </c>
      <c r="C72" s="28">
        <v>41512</v>
      </c>
      <c r="D72" s="27"/>
      <c r="E72" s="27" t="s">
        <v>213</v>
      </c>
      <c r="F72" s="29" t="s">
        <v>214</v>
      </c>
      <c r="G72" s="27" t="s">
        <v>35</v>
      </c>
      <c r="H72" s="27" t="s">
        <v>19</v>
      </c>
      <c r="I72" s="27">
        <v>1</v>
      </c>
      <c r="J72" s="30">
        <v>175328000</v>
      </c>
      <c r="K72" s="26" t="s">
        <v>206</v>
      </c>
      <c r="L72" s="26" t="s">
        <v>207</v>
      </c>
      <c r="M72" s="31" t="s">
        <v>215</v>
      </c>
      <c r="N72" s="23"/>
      <c r="O72" s="23"/>
      <c r="P72" s="23"/>
      <c r="Q72" s="2"/>
      <c r="R72" s="2"/>
      <c r="S72" s="2"/>
      <c r="T72" s="2"/>
      <c r="U72" s="2"/>
      <c r="V72" s="2"/>
      <c r="W72" s="2"/>
      <c r="X72" s="2"/>
      <c r="Y72" s="2"/>
    </row>
    <row r="73" spans="1:25" ht="12.75" hidden="1" customHeight="1">
      <c r="A73" s="26" t="s">
        <v>216</v>
      </c>
      <c r="B73" s="27"/>
      <c r="C73" s="28"/>
      <c r="D73" s="27"/>
      <c r="E73" s="27" t="s">
        <v>217</v>
      </c>
      <c r="F73" s="29" t="s">
        <v>218</v>
      </c>
      <c r="G73" s="27"/>
      <c r="H73" s="27"/>
      <c r="I73" s="27">
        <v>1</v>
      </c>
      <c r="J73" s="30">
        <v>0</v>
      </c>
      <c r="K73" s="26" t="s">
        <v>206</v>
      </c>
      <c r="L73" s="26" t="s">
        <v>207</v>
      </c>
      <c r="M73" s="31"/>
      <c r="N73" s="23"/>
      <c r="O73" s="23"/>
      <c r="P73" s="23"/>
      <c r="Q73" s="2"/>
      <c r="R73" s="2"/>
      <c r="S73" s="2"/>
      <c r="T73" s="2"/>
      <c r="U73" s="2"/>
      <c r="V73" s="2"/>
      <c r="W73" s="2"/>
      <c r="X73" s="2"/>
      <c r="Y73" s="2"/>
    </row>
    <row r="74" spans="1:25" ht="12.75" hidden="1" customHeight="1">
      <c r="A74" s="26">
        <v>28</v>
      </c>
      <c r="B74" s="27" t="s">
        <v>219</v>
      </c>
      <c r="C74" s="28">
        <v>41635</v>
      </c>
      <c r="D74" s="27"/>
      <c r="E74" s="27" t="s">
        <v>220</v>
      </c>
      <c r="F74" s="29" t="s">
        <v>221</v>
      </c>
      <c r="G74" s="27" t="s">
        <v>35</v>
      </c>
      <c r="H74" s="27" t="s">
        <v>19</v>
      </c>
      <c r="I74" s="27">
        <v>1</v>
      </c>
      <c r="J74" s="30">
        <v>254478351</v>
      </c>
      <c r="K74" s="26" t="s">
        <v>206</v>
      </c>
      <c r="L74" s="26" t="s">
        <v>207</v>
      </c>
      <c r="M74" s="31" t="s">
        <v>222</v>
      </c>
      <c r="N74" s="23"/>
      <c r="O74" s="23"/>
      <c r="P74" s="23"/>
      <c r="Q74" s="2"/>
      <c r="R74" s="2"/>
      <c r="S74" s="2"/>
      <c r="T74" s="2"/>
      <c r="U74" s="2"/>
      <c r="V74" s="2"/>
      <c r="W74" s="2"/>
      <c r="X74" s="2"/>
      <c r="Y74" s="2"/>
    </row>
    <row r="75" spans="1:25" ht="38.25" hidden="1" customHeight="1">
      <c r="A75" s="26" t="s">
        <v>223</v>
      </c>
      <c r="B75" s="27"/>
      <c r="C75" s="28"/>
      <c r="D75" s="27"/>
      <c r="E75" s="27" t="s">
        <v>224</v>
      </c>
      <c r="F75" s="29" t="s">
        <v>225</v>
      </c>
      <c r="G75" s="27"/>
      <c r="H75" s="27"/>
      <c r="I75" s="27">
        <v>1</v>
      </c>
      <c r="J75" s="30">
        <v>0</v>
      </c>
      <c r="K75" s="26" t="s">
        <v>206</v>
      </c>
      <c r="L75" s="26" t="s">
        <v>207</v>
      </c>
      <c r="M75" s="35" t="s">
        <v>226</v>
      </c>
      <c r="N75" s="23"/>
      <c r="O75" s="23"/>
      <c r="P75" s="23"/>
      <c r="Q75" s="2"/>
      <c r="R75" s="2"/>
      <c r="S75" s="2"/>
      <c r="T75" s="2"/>
      <c r="U75" s="2"/>
      <c r="V75" s="2"/>
      <c r="W75" s="2"/>
      <c r="X75" s="2"/>
      <c r="Y75" s="2"/>
    </row>
    <row r="76" spans="1:25" ht="25" hidden="1">
      <c r="A76" s="26">
        <v>29</v>
      </c>
      <c r="B76" s="27" t="s">
        <v>219</v>
      </c>
      <c r="C76" s="28">
        <v>41635</v>
      </c>
      <c r="D76" s="27"/>
      <c r="E76" s="27" t="s">
        <v>227</v>
      </c>
      <c r="F76" s="29" t="s">
        <v>228</v>
      </c>
      <c r="G76" s="27" t="s">
        <v>35</v>
      </c>
      <c r="H76" s="27" t="s">
        <v>19</v>
      </c>
      <c r="I76" s="27">
        <v>1</v>
      </c>
      <c r="J76" s="30">
        <v>254478351</v>
      </c>
      <c r="K76" s="26" t="s">
        <v>20</v>
      </c>
      <c r="L76" s="36" t="s">
        <v>229</v>
      </c>
      <c r="M76" s="31" t="str">
        <f>IFERROR(VLOOKUP(E76, TSCD_XUAN!$C$7:$K$1000, 9, 0), "Không tìm thấy")</f>
        <v>A2-R6 Linux</v>
      </c>
      <c r="N76" s="23"/>
      <c r="O76" s="23"/>
      <c r="P76" s="23"/>
      <c r="Q76" s="2"/>
      <c r="R76" s="2"/>
      <c r="S76" s="2"/>
      <c r="T76" s="2"/>
      <c r="U76" s="2"/>
      <c r="V76" s="2"/>
      <c r="W76" s="2"/>
      <c r="X76" s="2"/>
      <c r="Y76" s="2"/>
    </row>
    <row r="77" spans="1:25" ht="25.5" hidden="1" customHeight="1">
      <c r="A77" s="26" t="s">
        <v>230</v>
      </c>
      <c r="B77" s="27"/>
      <c r="C77" s="28"/>
      <c r="D77" s="27"/>
      <c r="E77" s="27" t="s">
        <v>231</v>
      </c>
      <c r="F77" s="29" t="s">
        <v>232</v>
      </c>
      <c r="G77" s="27"/>
      <c r="H77" s="27"/>
      <c r="I77" s="27">
        <v>1</v>
      </c>
      <c r="J77" s="30">
        <v>0</v>
      </c>
      <c r="K77" s="26" t="s">
        <v>20</v>
      </c>
      <c r="L77" s="26" t="s">
        <v>233</v>
      </c>
      <c r="M77" s="31" t="s">
        <v>234</v>
      </c>
      <c r="N77" s="23"/>
      <c r="O77" s="23"/>
      <c r="P77" s="23"/>
      <c r="Q77" s="2"/>
      <c r="R77" s="2"/>
      <c r="S77" s="2"/>
      <c r="T77" s="2"/>
      <c r="U77" s="2"/>
      <c r="V77" s="2"/>
      <c r="W77" s="2"/>
      <c r="X77" s="2"/>
      <c r="Y77" s="2"/>
    </row>
    <row r="78" spans="1:25" ht="12.75" hidden="1" customHeight="1">
      <c r="A78" s="26">
        <v>30</v>
      </c>
      <c r="B78" s="27" t="s">
        <v>219</v>
      </c>
      <c r="C78" s="28">
        <v>41635</v>
      </c>
      <c r="D78" s="27"/>
      <c r="E78" s="27" t="s">
        <v>235</v>
      </c>
      <c r="F78" s="29" t="s">
        <v>236</v>
      </c>
      <c r="G78" s="27" t="s">
        <v>35</v>
      </c>
      <c r="H78" s="27" t="s">
        <v>19</v>
      </c>
      <c r="I78" s="27">
        <v>1</v>
      </c>
      <c r="J78" s="30">
        <v>254478351</v>
      </c>
      <c r="K78" s="26" t="s">
        <v>206</v>
      </c>
      <c r="L78" s="26" t="s">
        <v>207</v>
      </c>
      <c r="M78" s="31" t="s">
        <v>237</v>
      </c>
      <c r="N78" s="23"/>
      <c r="O78" s="23"/>
      <c r="P78" s="23"/>
      <c r="Q78" s="2"/>
      <c r="R78" s="2"/>
      <c r="S78" s="2"/>
      <c r="T78" s="2"/>
      <c r="U78" s="2"/>
      <c r="V78" s="2"/>
      <c r="W78" s="2"/>
      <c r="X78" s="2"/>
      <c r="Y78" s="2"/>
    </row>
    <row r="79" spans="1:25" ht="12.75" hidden="1" customHeight="1">
      <c r="A79" s="26" t="s">
        <v>238</v>
      </c>
      <c r="B79" s="27"/>
      <c r="C79" s="28"/>
      <c r="D79" s="27"/>
      <c r="E79" s="27" t="s">
        <v>239</v>
      </c>
      <c r="F79" s="29" t="s">
        <v>240</v>
      </c>
      <c r="G79" s="27"/>
      <c r="H79" s="27"/>
      <c r="I79" s="27">
        <v>1</v>
      </c>
      <c r="J79" s="30">
        <v>0</v>
      </c>
      <c r="K79" s="26" t="s">
        <v>206</v>
      </c>
      <c r="L79" s="26" t="s">
        <v>207</v>
      </c>
      <c r="M79" s="31"/>
      <c r="N79" s="23"/>
      <c r="O79" s="23"/>
      <c r="P79" s="23"/>
      <c r="Q79" s="2"/>
      <c r="R79" s="2"/>
      <c r="S79" s="2"/>
      <c r="T79" s="2"/>
      <c r="U79" s="2"/>
      <c r="V79" s="2"/>
      <c r="W79" s="2"/>
      <c r="X79" s="2"/>
      <c r="Y79" s="2"/>
    </row>
    <row r="80" spans="1:25" ht="25.5" hidden="1" customHeight="1">
      <c r="A80" s="26">
        <v>31</v>
      </c>
      <c r="B80" s="27" t="s">
        <v>241</v>
      </c>
      <c r="C80" s="28">
        <v>42726</v>
      </c>
      <c r="D80" s="27"/>
      <c r="E80" s="27" t="s">
        <v>242</v>
      </c>
      <c r="F80" s="29" t="s">
        <v>243</v>
      </c>
      <c r="G80" s="27" t="s">
        <v>35</v>
      </c>
      <c r="H80" s="27" t="s">
        <v>19</v>
      </c>
      <c r="I80" s="27">
        <v>1</v>
      </c>
      <c r="J80" s="30">
        <v>180900000</v>
      </c>
      <c r="K80" s="26" t="s">
        <v>206</v>
      </c>
      <c r="L80" s="26" t="s">
        <v>207</v>
      </c>
      <c r="M80" s="31" t="s">
        <v>244</v>
      </c>
      <c r="N80" s="23"/>
      <c r="O80" s="23"/>
      <c r="P80" s="23"/>
      <c r="Q80" s="2"/>
      <c r="R80" s="2"/>
      <c r="S80" s="2"/>
      <c r="T80" s="2"/>
      <c r="U80" s="2"/>
      <c r="V80" s="2"/>
      <c r="W80" s="2"/>
      <c r="X80" s="2"/>
      <c r="Y80" s="2"/>
    </row>
    <row r="81" spans="1:25" ht="12.75" hidden="1" customHeight="1">
      <c r="A81" s="26" t="s">
        <v>245</v>
      </c>
      <c r="B81" s="27"/>
      <c r="C81" s="28"/>
      <c r="D81" s="27"/>
      <c r="E81" s="27" t="s">
        <v>246</v>
      </c>
      <c r="F81" s="29" t="s">
        <v>247</v>
      </c>
      <c r="G81" s="27" t="s">
        <v>248</v>
      </c>
      <c r="H81" s="27" t="s">
        <v>249</v>
      </c>
      <c r="I81" s="27">
        <v>1</v>
      </c>
      <c r="J81" s="30">
        <v>0</v>
      </c>
      <c r="K81" s="26" t="s">
        <v>206</v>
      </c>
      <c r="L81" s="26" t="s">
        <v>207</v>
      </c>
      <c r="M81" s="31"/>
      <c r="N81" s="23"/>
      <c r="O81" s="23"/>
      <c r="P81" s="23"/>
      <c r="Q81" s="2"/>
      <c r="R81" s="2"/>
      <c r="S81" s="2"/>
      <c r="T81" s="2"/>
      <c r="U81" s="2"/>
      <c r="V81" s="2"/>
      <c r="W81" s="2"/>
      <c r="X81" s="2"/>
      <c r="Y81" s="2"/>
    </row>
    <row r="82" spans="1:25" ht="25.5" hidden="1" customHeight="1">
      <c r="A82" s="26">
        <v>32</v>
      </c>
      <c r="B82" s="27" t="s">
        <v>241</v>
      </c>
      <c r="C82" s="28">
        <v>42726</v>
      </c>
      <c r="D82" s="27"/>
      <c r="E82" s="27" t="s">
        <v>250</v>
      </c>
      <c r="F82" s="29" t="s">
        <v>251</v>
      </c>
      <c r="G82" s="27" t="s">
        <v>35</v>
      </c>
      <c r="H82" s="27" t="s">
        <v>19</v>
      </c>
      <c r="I82" s="27">
        <v>1</v>
      </c>
      <c r="J82" s="30">
        <v>180900000</v>
      </c>
      <c r="K82" s="26" t="s">
        <v>206</v>
      </c>
      <c r="L82" s="26" t="s">
        <v>207</v>
      </c>
      <c r="M82" s="31" t="s">
        <v>252</v>
      </c>
      <c r="N82" s="32"/>
      <c r="O82" s="32"/>
      <c r="P82" s="23"/>
      <c r="Q82" s="2"/>
      <c r="R82" s="2"/>
      <c r="S82" s="2"/>
      <c r="T82" s="2"/>
      <c r="U82" s="2"/>
      <c r="V82" s="2"/>
      <c r="W82" s="2"/>
      <c r="X82" s="2"/>
      <c r="Y82" s="2"/>
    </row>
    <row r="83" spans="1:25" ht="12.75" hidden="1" customHeight="1">
      <c r="A83" s="26" t="s">
        <v>253</v>
      </c>
      <c r="B83" s="27"/>
      <c r="C83" s="28"/>
      <c r="D83" s="27"/>
      <c r="E83" s="27" t="s">
        <v>254</v>
      </c>
      <c r="F83" s="29" t="s">
        <v>255</v>
      </c>
      <c r="G83" s="27" t="s">
        <v>248</v>
      </c>
      <c r="H83" s="27" t="s">
        <v>249</v>
      </c>
      <c r="I83" s="27">
        <v>1</v>
      </c>
      <c r="J83" s="30">
        <v>0</v>
      </c>
      <c r="K83" s="26" t="s">
        <v>206</v>
      </c>
      <c r="L83" s="26" t="s">
        <v>207</v>
      </c>
      <c r="M83" s="31"/>
      <c r="N83" s="23"/>
      <c r="O83" s="23"/>
      <c r="P83" s="23"/>
      <c r="Q83" s="2"/>
      <c r="R83" s="2"/>
      <c r="S83" s="2"/>
      <c r="T83" s="2"/>
      <c r="U83" s="2"/>
      <c r="V83" s="2"/>
      <c r="W83" s="2"/>
      <c r="X83" s="2"/>
      <c r="Y83" s="2"/>
    </row>
    <row r="84" spans="1:25" ht="25.5" hidden="1" customHeight="1">
      <c r="A84" s="26">
        <v>33</v>
      </c>
      <c r="B84" s="27" t="s">
        <v>241</v>
      </c>
      <c r="C84" s="28">
        <v>42726</v>
      </c>
      <c r="D84" s="27"/>
      <c r="E84" s="27" t="s">
        <v>256</v>
      </c>
      <c r="F84" s="29" t="s">
        <v>257</v>
      </c>
      <c r="G84" s="27" t="s">
        <v>35</v>
      </c>
      <c r="H84" s="27" t="s">
        <v>19</v>
      </c>
      <c r="I84" s="27">
        <v>1</v>
      </c>
      <c r="J84" s="30">
        <v>180900000</v>
      </c>
      <c r="K84" s="26" t="s">
        <v>206</v>
      </c>
      <c r="L84" s="26" t="s">
        <v>207</v>
      </c>
      <c r="M84" s="31" t="s">
        <v>258</v>
      </c>
      <c r="N84" s="23"/>
      <c r="O84" s="23"/>
      <c r="P84" s="23"/>
      <c r="Q84" s="2"/>
      <c r="R84" s="2"/>
      <c r="S84" s="2"/>
      <c r="T84" s="2"/>
      <c r="U84" s="2"/>
      <c r="V84" s="2"/>
      <c r="W84" s="2"/>
      <c r="X84" s="2"/>
      <c r="Y84" s="2"/>
    </row>
    <row r="85" spans="1:25" ht="12.75" hidden="1" customHeight="1">
      <c r="A85" s="26" t="s">
        <v>259</v>
      </c>
      <c r="B85" s="27"/>
      <c r="C85" s="28"/>
      <c r="D85" s="27"/>
      <c r="E85" s="27" t="s">
        <v>260</v>
      </c>
      <c r="F85" s="29" t="s">
        <v>261</v>
      </c>
      <c r="G85" s="27" t="s">
        <v>248</v>
      </c>
      <c r="H85" s="27" t="s">
        <v>249</v>
      </c>
      <c r="I85" s="27">
        <v>1</v>
      </c>
      <c r="J85" s="30">
        <v>0</v>
      </c>
      <c r="K85" s="26" t="s">
        <v>206</v>
      </c>
      <c r="L85" s="26" t="s">
        <v>207</v>
      </c>
      <c r="M85" s="31"/>
      <c r="N85" s="23"/>
      <c r="O85" s="23"/>
      <c r="P85" s="23"/>
      <c r="Q85" s="2"/>
      <c r="R85" s="2"/>
      <c r="S85" s="2"/>
      <c r="T85" s="2"/>
      <c r="U85" s="2"/>
      <c r="V85" s="2"/>
      <c r="W85" s="2"/>
      <c r="X85" s="2"/>
      <c r="Y85" s="2"/>
    </row>
    <row r="86" spans="1:25" ht="25.5" hidden="1" customHeight="1">
      <c r="A86" s="26">
        <v>34</v>
      </c>
      <c r="B86" s="27" t="s">
        <v>241</v>
      </c>
      <c r="C86" s="28">
        <v>42726</v>
      </c>
      <c r="D86" s="27"/>
      <c r="E86" s="27" t="s">
        <v>262</v>
      </c>
      <c r="F86" s="29" t="s">
        <v>263</v>
      </c>
      <c r="G86" s="27" t="s">
        <v>35</v>
      </c>
      <c r="H86" s="27" t="s">
        <v>19</v>
      </c>
      <c r="I86" s="27">
        <v>1</v>
      </c>
      <c r="J86" s="30">
        <v>180900000</v>
      </c>
      <c r="K86" s="26" t="s">
        <v>206</v>
      </c>
      <c r="L86" s="26" t="s">
        <v>207</v>
      </c>
      <c r="M86" s="31" t="s">
        <v>264</v>
      </c>
      <c r="N86" s="23"/>
      <c r="O86" s="23"/>
      <c r="P86" s="23"/>
      <c r="Q86" s="2"/>
      <c r="R86" s="2"/>
      <c r="S86" s="2"/>
      <c r="T86" s="2"/>
      <c r="U86" s="2"/>
      <c r="V86" s="2"/>
      <c r="W86" s="2"/>
      <c r="X86" s="2"/>
      <c r="Y86" s="2"/>
    </row>
    <row r="87" spans="1:25" ht="12.75" hidden="1" customHeight="1">
      <c r="A87" s="26" t="s">
        <v>265</v>
      </c>
      <c r="B87" s="27"/>
      <c r="C87" s="28"/>
      <c r="D87" s="27"/>
      <c r="E87" s="27" t="s">
        <v>266</v>
      </c>
      <c r="F87" s="29" t="s">
        <v>267</v>
      </c>
      <c r="G87" s="27" t="s">
        <v>248</v>
      </c>
      <c r="H87" s="27" t="s">
        <v>249</v>
      </c>
      <c r="I87" s="27">
        <v>1</v>
      </c>
      <c r="J87" s="30">
        <v>0</v>
      </c>
      <c r="K87" s="26" t="s">
        <v>206</v>
      </c>
      <c r="L87" s="26" t="s">
        <v>207</v>
      </c>
      <c r="M87" s="31"/>
      <c r="N87" s="23"/>
      <c r="O87" s="23"/>
      <c r="P87" s="23"/>
      <c r="Q87" s="2"/>
      <c r="R87" s="2"/>
      <c r="S87" s="2"/>
      <c r="T87" s="2"/>
      <c r="U87" s="2"/>
      <c r="V87" s="2"/>
      <c r="W87" s="2"/>
      <c r="X87" s="2"/>
      <c r="Y87" s="2"/>
    </row>
    <row r="88" spans="1:25" ht="25.5" hidden="1" customHeight="1">
      <c r="A88" s="26">
        <v>35</v>
      </c>
      <c r="B88" s="27" t="s">
        <v>241</v>
      </c>
      <c r="C88" s="28">
        <v>42726</v>
      </c>
      <c r="D88" s="27"/>
      <c r="E88" s="27" t="s">
        <v>268</v>
      </c>
      <c r="F88" s="29" t="s">
        <v>269</v>
      </c>
      <c r="G88" s="27" t="s">
        <v>35</v>
      </c>
      <c r="H88" s="27" t="s">
        <v>19</v>
      </c>
      <c r="I88" s="27">
        <v>1</v>
      </c>
      <c r="J88" s="30">
        <v>180900000</v>
      </c>
      <c r="K88" s="26" t="s">
        <v>206</v>
      </c>
      <c r="L88" s="26" t="s">
        <v>207</v>
      </c>
      <c r="M88" s="31" t="s">
        <v>270</v>
      </c>
      <c r="N88" s="23"/>
      <c r="O88" s="23"/>
      <c r="P88" s="23"/>
      <c r="Q88" s="2"/>
      <c r="R88" s="2"/>
      <c r="S88" s="2"/>
      <c r="T88" s="2"/>
      <c r="U88" s="2"/>
      <c r="V88" s="2"/>
      <c r="W88" s="2"/>
      <c r="X88" s="2"/>
      <c r="Y88" s="2"/>
    </row>
    <row r="89" spans="1:25" ht="12.75" hidden="1" customHeight="1">
      <c r="A89" s="26" t="s">
        <v>271</v>
      </c>
      <c r="B89" s="27"/>
      <c r="C89" s="28"/>
      <c r="D89" s="27"/>
      <c r="E89" s="27" t="s">
        <v>272</v>
      </c>
      <c r="F89" s="29" t="s">
        <v>273</v>
      </c>
      <c r="G89" s="27" t="s">
        <v>248</v>
      </c>
      <c r="H89" s="27" t="s">
        <v>249</v>
      </c>
      <c r="I89" s="27">
        <v>1</v>
      </c>
      <c r="J89" s="30">
        <v>0</v>
      </c>
      <c r="K89" s="26" t="s">
        <v>206</v>
      </c>
      <c r="L89" s="26" t="s">
        <v>207</v>
      </c>
      <c r="M89" s="31"/>
      <c r="N89" s="23"/>
      <c r="O89" s="23"/>
      <c r="P89" s="23"/>
      <c r="Q89" s="2"/>
      <c r="R89" s="2"/>
      <c r="S89" s="2"/>
      <c r="T89" s="2"/>
      <c r="U89" s="2"/>
      <c r="V89" s="2"/>
      <c r="W89" s="2"/>
      <c r="X89" s="2"/>
      <c r="Y89" s="2"/>
    </row>
    <row r="90" spans="1:25" ht="25.5" hidden="1" customHeight="1">
      <c r="A90" s="26">
        <v>36</v>
      </c>
      <c r="B90" s="27" t="s">
        <v>274</v>
      </c>
      <c r="C90" s="28">
        <v>41542</v>
      </c>
      <c r="D90" s="27"/>
      <c r="E90" s="27" t="s">
        <v>275</v>
      </c>
      <c r="F90" s="29" t="s">
        <v>276</v>
      </c>
      <c r="G90" s="27" t="s">
        <v>35</v>
      </c>
      <c r="H90" s="27" t="s">
        <v>19</v>
      </c>
      <c r="I90" s="27">
        <v>1</v>
      </c>
      <c r="J90" s="30">
        <v>59900000</v>
      </c>
      <c r="K90" s="26" t="s">
        <v>20</v>
      </c>
      <c r="L90" s="26" t="s">
        <v>229</v>
      </c>
      <c r="M90" s="31" t="str">
        <f>IFERROR(VLOOKUP(E90, TSCD_XUAN!$C$7:$K$1000, 9, 0), "Không tìm thấy")</f>
        <v>phtkt bàn HA quản lý CPU, a Việt giữ màn hình</v>
      </c>
      <c r="N90" s="23"/>
      <c r="O90" s="23"/>
      <c r="P90" s="23"/>
      <c r="Q90" s="2"/>
      <c r="R90" s="2"/>
      <c r="S90" s="2"/>
      <c r="T90" s="2"/>
      <c r="U90" s="2"/>
      <c r="V90" s="2"/>
      <c r="W90" s="2"/>
      <c r="X90" s="2"/>
      <c r="Y90" s="2"/>
    </row>
    <row r="91" spans="1:25" ht="25.5" hidden="1" customHeight="1">
      <c r="A91" s="26" t="s">
        <v>277</v>
      </c>
      <c r="B91" s="27"/>
      <c r="C91" s="28"/>
      <c r="D91" s="27"/>
      <c r="E91" s="27" t="s">
        <v>278</v>
      </c>
      <c r="F91" s="29" t="s">
        <v>279</v>
      </c>
      <c r="G91" s="27"/>
      <c r="H91" s="27"/>
      <c r="I91" s="27">
        <v>1</v>
      </c>
      <c r="J91" s="30">
        <v>0</v>
      </c>
      <c r="K91" s="37" t="s">
        <v>206</v>
      </c>
      <c r="L91" s="37" t="s">
        <v>207</v>
      </c>
      <c r="M91" s="35" t="s">
        <v>280</v>
      </c>
      <c r="N91" s="23"/>
      <c r="O91" s="23"/>
      <c r="P91" s="23"/>
      <c r="Q91" s="2"/>
      <c r="R91" s="2"/>
      <c r="S91" s="2"/>
      <c r="T91" s="2"/>
      <c r="U91" s="2"/>
      <c r="V91" s="2"/>
      <c r="W91" s="2"/>
      <c r="X91" s="2"/>
      <c r="Y91" s="2"/>
    </row>
    <row r="92" spans="1:25" ht="12.75" hidden="1" customHeight="1">
      <c r="A92" s="26">
        <v>37</v>
      </c>
      <c r="B92" s="27" t="s">
        <v>281</v>
      </c>
      <c r="C92" s="28">
        <v>41044</v>
      </c>
      <c r="D92" s="27"/>
      <c r="E92" s="27" t="s">
        <v>282</v>
      </c>
      <c r="F92" s="29" t="s">
        <v>283</v>
      </c>
      <c r="G92" s="27" t="s">
        <v>248</v>
      </c>
      <c r="H92" s="27" t="s">
        <v>19</v>
      </c>
      <c r="I92" s="27">
        <v>1</v>
      </c>
      <c r="J92" s="30">
        <v>320390000</v>
      </c>
      <c r="K92" s="26" t="s">
        <v>20</v>
      </c>
      <c r="L92" s="26" t="s">
        <v>284</v>
      </c>
      <c r="M92" s="31" t="s">
        <v>285</v>
      </c>
      <c r="N92" s="23"/>
      <c r="O92" s="23"/>
      <c r="P92" s="23"/>
      <c r="Q92" s="2"/>
      <c r="R92" s="2"/>
      <c r="S92" s="2"/>
      <c r="T92" s="2"/>
      <c r="U92" s="2"/>
      <c r="V92" s="2"/>
      <c r="W92" s="2"/>
      <c r="X92" s="2"/>
      <c r="Y92" s="2"/>
    </row>
    <row r="93" spans="1:25" ht="25.5" hidden="1" customHeight="1">
      <c r="A93" s="26" t="s">
        <v>286</v>
      </c>
      <c r="B93" s="27"/>
      <c r="C93" s="28"/>
      <c r="D93" s="27"/>
      <c r="E93" s="27" t="s">
        <v>287</v>
      </c>
      <c r="F93" s="29" t="s">
        <v>288</v>
      </c>
      <c r="G93" s="27"/>
      <c r="H93" s="27"/>
      <c r="I93" s="27">
        <v>1</v>
      </c>
      <c r="J93" s="30">
        <v>0</v>
      </c>
      <c r="K93" s="26" t="s">
        <v>20</v>
      </c>
      <c r="L93" s="26" t="s">
        <v>284</v>
      </c>
      <c r="M93" s="31" t="s">
        <v>285</v>
      </c>
      <c r="N93" s="23"/>
      <c r="O93" s="23"/>
      <c r="P93" s="23"/>
      <c r="Q93" s="2"/>
      <c r="R93" s="2"/>
      <c r="S93" s="2"/>
      <c r="T93" s="2"/>
      <c r="U93" s="2"/>
      <c r="V93" s="2"/>
      <c r="W93" s="2"/>
      <c r="X93" s="2"/>
      <c r="Y93" s="2"/>
    </row>
    <row r="94" spans="1:25" ht="25" hidden="1">
      <c r="A94" s="26" t="s">
        <v>289</v>
      </c>
      <c r="B94" s="27"/>
      <c r="C94" s="28"/>
      <c r="D94" s="27"/>
      <c r="E94" s="27" t="s">
        <v>290</v>
      </c>
      <c r="F94" s="29" t="s">
        <v>291</v>
      </c>
      <c r="G94" s="27"/>
      <c r="H94" s="27"/>
      <c r="I94" s="27">
        <v>1</v>
      </c>
      <c r="J94" s="30">
        <v>0</v>
      </c>
      <c r="K94" s="26" t="s">
        <v>20</v>
      </c>
      <c r="L94" s="26" t="s">
        <v>284</v>
      </c>
      <c r="M94" s="31" t="s">
        <v>285</v>
      </c>
      <c r="N94" s="23"/>
      <c r="O94" s="23"/>
      <c r="P94" s="23"/>
      <c r="Q94" s="2"/>
      <c r="R94" s="2"/>
      <c r="S94" s="2"/>
      <c r="T94" s="2"/>
      <c r="U94" s="2"/>
      <c r="V94" s="2"/>
      <c r="W94" s="2"/>
      <c r="X94" s="2"/>
      <c r="Y94" s="2"/>
    </row>
    <row r="95" spans="1:25" ht="25.5" hidden="1" customHeight="1">
      <c r="A95" s="26">
        <v>38</v>
      </c>
      <c r="B95" s="27" t="s">
        <v>281</v>
      </c>
      <c r="C95" s="28">
        <v>41044</v>
      </c>
      <c r="D95" s="27"/>
      <c r="E95" s="27" t="s">
        <v>292</v>
      </c>
      <c r="F95" s="29" t="s">
        <v>293</v>
      </c>
      <c r="G95" s="27" t="s">
        <v>248</v>
      </c>
      <c r="H95" s="27" t="s">
        <v>19</v>
      </c>
      <c r="I95" s="27">
        <v>1</v>
      </c>
      <c r="J95" s="30">
        <v>320390000</v>
      </c>
      <c r="K95" s="26" t="s">
        <v>294</v>
      </c>
      <c r="L95" s="26" t="s">
        <v>295</v>
      </c>
      <c r="M95" s="31" t="s">
        <v>296</v>
      </c>
      <c r="N95" s="23"/>
      <c r="O95" s="23"/>
      <c r="P95" s="23"/>
      <c r="Q95" s="2"/>
      <c r="R95" s="2"/>
      <c r="S95" s="2"/>
      <c r="T95" s="2"/>
      <c r="U95" s="2"/>
      <c r="V95" s="2"/>
      <c r="W95" s="2"/>
      <c r="X95" s="2"/>
      <c r="Y95" s="2"/>
    </row>
    <row r="96" spans="1:25" ht="25.5" hidden="1" customHeight="1">
      <c r="A96" s="26" t="s">
        <v>297</v>
      </c>
      <c r="B96" s="27"/>
      <c r="C96" s="28"/>
      <c r="D96" s="27"/>
      <c r="E96" s="27" t="s">
        <v>298</v>
      </c>
      <c r="F96" s="29" t="s">
        <v>299</v>
      </c>
      <c r="G96" s="27"/>
      <c r="H96" s="27"/>
      <c r="I96" s="27">
        <v>1</v>
      </c>
      <c r="J96" s="30">
        <v>0</v>
      </c>
      <c r="K96" s="26" t="s">
        <v>294</v>
      </c>
      <c r="L96" s="26" t="s">
        <v>295</v>
      </c>
      <c r="M96" s="31" t="s">
        <v>296</v>
      </c>
      <c r="N96" s="23"/>
      <c r="O96" s="23"/>
      <c r="P96" s="23"/>
      <c r="Q96" s="2"/>
      <c r="R96" s="2"/>
      <c r="S96" s="2"/>
      <c r="T96" s="2"/>
      <c r="U96" s="2"/>
      <c r="V96" s="2"/>
      <c r="W96" s="2"/>
      <c r="X96" s="2"/>
      <c r="Y96" s="2"/>
    </row>
    <row r="97" spans="1:26" ht="38.25" hidden="1" customHeight="1">
      <c r="A97" s="26" t="s">
        <v>300</v>
      </c>
      <c r="B97" s="27"/>
      <c r="C97" s="28"/>
      <c r="D97" s="27"/>
      <c r="E97" s="27" t="s">
        <v>301</v>
      </c>
      <c r="F97" s="29" t="s">
        <v>302</v>
      </c>
      <c r="G97" s="27"/>
      <c r="H97" s="27"/>
      <c r="I97" s="27">
        <v>1</v>
      </c>
      <c r="J97" s="30">
        <v>0</v>
      </c>
      <c r="K97" s="26" t="s">
        <v>294</v>
      </c>
      <c r="L97" s="26" t="s">
        <v>295</v>
      </c>
      <c r="M97" s="31" t="s">
        <v>303</v>
      </c>
      <c r="N97" s="23"/>
      <c r="O97" s="23"/>
      <c r="P97" s="23"/>
      <c r="Q97" s="2"/>
      <c r="R97" s="2"/>
      <c r="S97" s="2"/>
      <c r="T97" s="2"/>
      <c r="U97" s="2"/>
      <c r="V97" s="2"/>
      <c r="W97" s="2"/>
      <c r="X97" s="2"/>
      <c r="Y97" s="2"/>
    </row>
    <row r="98" spans="1:26" ht="25.5" hidden="1" customHeight="1">
      <c r="A98" s="26">
        <v>39</v>
      </c>
      <c r="B98" s="27" t="s">
        <v>304</v>
      </c>
      <c r="C98" s="28">
        <v>41073</v>
      </c>
      <c r="D98" s="27"/>
      <c r="E98" s="27" t="s">
        <v>305</v>
      </c>
      <c r="F98" s="29" t="s">
        <v>306</v>
      </c>
      <c r="G98" s="27" t="s">
        <v>307</v>
      </c>
      <c r="H98" s="27" t="s">
        <v>19</v>
      </c>
      <c r="I98" s="27">
        <v>1</v>
      </c>
      <c r="J98" s="30">
        <v>199017590</v>
      </c>
      <c r="K98" s="26" t="s">
        <v>36</v>
      </c>
      <c r="L98" s="26" t="s">
        <v>169</v>
      </c>
      <c r="M98" s="31" t="s">
        <v>308</v>
      </c>
      <c r="N98" s="23"/>
      <c r="O98" s="23"/>
      <c r="P98" s="23"/>
      <c r="Q98" s="2"/>
      <c r="R98" s="2"/>
      <c r="S98" s="2"/>
      <c r="T98" s="2"/>
      <c r="U98" s="2"/>
      <c r="V98" s="2"/>
      <c r="W98" s="2"/>
      <c r="X98" s="2"/>
      <c r="Y98" s="2"/>
    </row>
    <row r="99" spans="1:26" ht="25.5" hidden="1" customHeight="1">
      <c r="A99" s="26">
        <v>40</v>
      </c>
      <c r="B99" s="27" t="s">
        <v>219</v>
      </c>
      <c r="C99" s="28">
        <v>41635</v>
      </c>
      <c r="D99" s="27"/>
      <c r="E99" s="27" t="s">
        <v>309</v>
      </c>
      <c r="F99" s="29" t="s">
        <v>310</v>
      </c>
      <c r="G99" s="27" t="s">
        <v>307</v>
      </c>
      <c r="H99" s="27" t="s">
        <v>19</v>
      </c>
      <c r="I99" s="27">
        <v>1</v>
      </c>
      <c r="J99" s="30">
        <v>236609694</v>
      </c>
      <c r="K99" s="26" t="s">
        <v>20</v>
      </c>
      <c r="L99" s="36" t="s">
        <v>229</v>
      </c>
      <c r="M99" s="31" t="str">
        <f>IFERROR(VLOOKUP(E99, TSCD_XUAN!$C$7:$K$1000, 9, 0), "Không tìm thấy")</f>
        <v>Mcr cũ - Wasp KC</v>
      </c>
      <c r="N99" s="23"/>
      <c r="O99" s="23"/>
      <c r="P99" s="23"/>
      <c r="Q99" s="2"/>
      <c r="R99" s="2"/>
      <c r="S99" s="2"/>
      <c r="T99" s="2"/>
      <c r="U99" s="2"/>
      <c r="V99" s="2"/>
      <c r="W99" s="2"/>
      <c r="X99" s="2"/>
      <c r="Y99" s="2"/>
    </row>
    <row r="100" spans="1:26" ht="25.5" hidden="1" customHeight="1">
      <c r="A100" s="17" t="s">
        <v>311</v>
      </c>
      <c r="B100" s="27"/>
      <c r="C100" s="19"/>
      <c r="D100" s="27"/>
      <c r="E100" s="18" t="s">
        <v>312</v>
      </c>
      <c r="F100" s="20" t="s">
        <v>313</v>
      </c>
      <c r="G100" s="18"/>
      <c r="H100" s="18"/>
      <c r="I100" s="18">
        <v>1</v>
      </c>
      <c r="J100" s="21">
        <v>0</v>
      </c>
      <c r="K100" s="17" t="s">
        <v>20</v>
      </c>
      <c r="L100" s="17" t="s">
        <v>21</v>
      </c>
      <c r="M100" s="22" t="s">
        <v>22</v>
      </c>
      <c r="N100" s="23"/>
      <c r="O100" s="23"/>
      <c r="P100" s="23"/>
      <c r="Q100" s="24"/>
      <c r="R100" s="24"/>
      <c r="S100" s="24"/>
      <c r="T100" s="24"/>
      <c r="U100" s="24"/>
      <c r="V100" s="24"/>
      <c r="W100" s="24"/>
      <c r="X100" s="24"/>
      <c r="Y100" s="24"/>
      <c r="Z100" s="25"/>
    </row>
    <row r="101" spans="1:26" ht="12.75" hidden="1" customHeight="1">
      <c r="A101" s="26">
        <v>41</v>
      </c>
      <c r="B101" s="27" t="s">
        <v>314</v>
      </c>
      <c r="C101" s="28">
        <v>41107</v>
      </c>
      <c r="D101" s="27"/>
      <c r="E101" s="27" t="s">
        <v>315</v>
      </c>
      <c r="F101" s="29" t="s">
        <v>316</v>
      </c>
      <c r="G101" s="27" t="s">
        <v>35</v>
      </c>
      <c r="H101" s="27" t="s">
        <v>19</v>
      </c>
      <c r="I101" s="27">
        <v>1</v>
      </c>
      <c r="J101" s="30">
        <v>48500000</v>
      </c>
      <c r="K101" s="26" t="s">
        <v>206</v>
      </c>
      <c r="L101" s="26" t="s">
        <v>207</v>
      </c>
      <c r="M101" s="31" t="s">
        <v>317</v>
      </c>
      <c r="N101" s="23"/>
      <c r="O101" s="23"/>
      <c r="P101" s="23"/>
      <c r="Q101" s="2"/>
      <c r="R101" s="2"/>
      <c r="S101" s="2"/>
      <c r="T101" s="2"/>
      <c r="U101" s="2"/>
      <c r="V101" s="2"/>
      <c r="W101" s="2"/>
      <c r="X101" s="2"/>
      <c r="Y101" s="2"/>
    </row>
    <row r="102" spans="1:26" ht="76.5" hidden="1" customHeight="1">
      <c r="A102" s="26">
        <v>42</v>
      </c>
      <c r="B102" s="27" t="s">
        <v>318</v>
      </c>
      <c r="C102" s="28">
        <v>41193</v>
      </c>
      <c r="D102" s="27"/>
      <c r="E102" s="27" t="s">
        <v>319</v>
      </c>
      <c r="F102" s="29" t="s">
        <v>320</v>
      </c>
      <c r="G102" s="27" t="s">
        <v>307</v>
      </c>
      <c r="H102" s="27" t="s">
        <v>19</v>
      </c>
      <c r="I102" s="27">
        <v>1</v>
      </c>
      <c r="J102" s="30">
        <v>932830700</v>
      </c>
      <c r="K102" s="26" t="s">
        <v>20</v>
      </c>
      <c r="L102" s="36" t="s">
        <v>229</v>
      </c>
      <c r="M102" s="31" t="str">
        <f>IFERROR(VLOOKUP(E102, TSCD_XUAN!$C$7:$K$1000, 9, 0), "Không tìm thấy")</f>
        <v>A2-R6, wasp server</v>
      </c>
      <c r="N102" s="23"/>
      <c r="O102" s="23"/>
      <c r="P102" s="23"/>
      <c r="Q102" s="2"/>
      <c r="R102" s="2"/>
      <c r="S102" s="2"/>
      <c r="T102" s="2"/>
      <c r="U102" s="2"/>
      <c r="V102" s="2"/>
      <c r="W102" s="2"/>
      <c r="X102" s="2"/>
      <c r="Y102" s="2"/>
    </row>
    <row r="103" spans="1:26" ht="12.75" hidden="1" customHeight="1">
      <c r="A103" s="26" t="s">
        <v>321</v>
      </c>
      <c r="B103" s="27"/>
      <c r="C103" s="28"/>
      <c r="D103" s="27"/>
      <c r="E103" s="27" t="s">
        <v>322</v>
      </c>
      <c r="F103" s="29" t="s">
        <v>323</v>
      </c>
      <c r="G103" s="27"/>
      <c r="H103" s="27"/>
      <c r="I103" s="27">
        <v>1</v>
      </c>
      <c r="J103" s="30">
        <v>0</v>
      </c>
      <c r="K103" s="26" t="s">
        <v>20</v>
      </c>
      <c r="L103" s="26" t="s">
        <v>284</v>
      </c>
      <c r="M103" s="31" t="s">
        <v>324</v>
      </c>
      <c r="N103" s="23"/>
      <c r="O103" s="23"/>
      <c r="P103" s="23"/>
      <c r="Q103" s="2"/>
      <c r="R103" s="2"/>
      <c r="S103" s="2"/>
      <c r="T103" s="2"/>
      <c r="U103" s="2"/>
      <c r="V103" s="2"/>
      <c r="W103" s="2"/>
      <c r="X103" s="2"/>
      <c r="Y103" s="2"/>
    </row>
    <row r="104" spans="1:26" ht="25.5" hidden="1" customHeight="1">
      <c r="A104" s="26">
        <v>43</v>
      </c>
      <c r="B104" s="27" t="s">
        <v>219</v>
      </c>
      <c r="C104" s="28">
        <v>41635</v>
      </c>
      <c r="D104" s="27"/>
      <c r="E104" s="27" t="s">
        <v>325</v>
      </c>
      <c r="F104" s="29" t="s">
        <v>326</v>
      </c>
      <c r="G104" s="27" t="s">
        <v>307</v>
      </c>
      <c r="H104" s="27" t="s">
        <v>19</v>
      </c>
      <c r="I104" s="27">
        <v>1</v>
      </c>
      <c r="J104" s="30">
        <v>910947323</v>
      </c>
      <c r="K104" s="26" t="s">
        <v>20</v>
      </c>
      <c r="L104" s="26" t="s">
        <v>284</v>
      </c>
      <c r="M104" s="31" t="s">
        <v>327</v>
      </c>
      <c r="N104" s="23"/>
      <c r="O104" s="23"/>
      <c r="P104" s="23"/>
      <c r="Q104" s="2"/>
      <c r="R104" s="2"/>
      <c r="S104" s="2"/>
      <c r="T104" s="2"/>
      <c r="U104" s="2"/>
      <c r="V104" s="2"/>
      <c r="W104" s="2"/>
      <c r="X104" s="2"/>
      <c r="Y104" s="2"/>
    </row>
    <row r="105" spans="1:26" ht="25.5" hidden="1" customHeight="1">
      <c r="A105" s="17" t="s">
        <v>328</v>
      </c>
      <c r="B105" s="27"/>
      <c r="C105" s="19"/>
      <c r="D105" s="27"/>
      <c r="E105" s="18" t="s">
        <v>329</v>
      </c>
      <c r="F105" s="20" t="s">
        <v>330</v>
      </c>
      <c r="G105" s="18"/>
      <c r="H105" s="18"/>
      <c r="I105" s="18">
        <v>1</v>
      </c>
      <c r="J105" s="21">
        <v>0</v>
      </c>
      <c r="K105" s="17" t="s">
        <v>20</v>
      </c>
      <c r="L105" s="17" t="s">
        <v>21</v>
      </c>
      <c r="M105" s="22" t="s">
        <v>22</v>
      </c>
      <c r="N105" s="23"/>
      <c r="O105" s="23"/>
      <c r="P105" s="23"/>
      <c r="Q105" s="24"/>
      <c r="R105" s="24"/>
      <c r="S105" s="24"/>
      <c r="T105" s="24"/>
      <c r="U105" s="24"/>
      <c r="V105" s="24"/>
      <c r="W105" s="24"/>
      <c r="X105" s="24"/>
      <c r="Y105" s="24"/>
      <c r="Z105" s="25"/>
    </row>
    <row r="106" spans="1:26" ht="89.25" hidden="1" customHeight="1">
      <c r="A106" s="26">
        <v>44</v>
      </c>
      <c r="B106" s="27" t="s">
        <v>318</v>
      </c>
      <c r="C106" s="28">
        <v>41193</v>
      </c>
      <c r="D106" s="27"/>
      <c r="E106" s="27" t="s">
        <v>331</v>
      </c>
      <c r="F106" s="29" t="s">
        <v>332</v>
      </c>
      <c r="G106" s="27" t="s">
        <v>307</v>
      </c>
      <c r="H106" s="27" t="s">
        <v>19</v>
      </c>
      <c r="I106" s="27">
        <v>1</v>
      </c>
      <c r="J106" s="30">
        <v>115933734</v>
      </c>
      <c r="K106" s="26" t="s">
        <v>20</v>
      </c>
      <c r="L106" s="36" t="s">
        <v>229</v>
      </c>
      <c r="M106" s="31" t="str">
        <f>IFERROR(VLOOKUP(E106, TSCD_XUAN!$C$7:$K$1000, 9, 0), "Không tìm thấy")</f>
        <v>A2-R6: Wasp client</v>
      </c>
      <c r="N106" s="23"/>
      <c r="O106" s="23"/>
      <c r="P106" s="23"/>
      <c r="Q106" s="2"/>
      <c r="R106" s="2"/>
      <c r="S106" s="2"/>
      <c r="T106" s="2"/>
      <c r="U106" s="2"/>
      <c r="V106" s="2"/>
      <c r="W106" s="2"/>
      <c r="X106" s="2"/>
      <c r="Y106" s="2"/>
    </row>
    <row r="107" spans="1:26" ht="25.5" hidden="1" customHeight="1">
      <c r="A107" s="17" t="s">
        <v>333</v>
      </c>
      <c r="B107" s="27"/>
      <c r="C107" s="19"/>
      <c r="D107" s="27"/>
      <c r="E107" s="18" t="s">
        <v>334</v>
      </c>
      <c r="F107" s="20" t="s">
        <v>335</v>
      </c>
      <c r="G107" s="18"/>
      <c r="H107" s="18"/>
      <c r="I107" s="18">
        <v>1</v>
      </c>
      <c r="J107" s="21">
        <v>0</v>
      </c>
      <c r="K107" s="17" t="s">
        <v>20</v>
      </c>
      <c r="L107" s="17" t="s">
        <v>21</v>
      </c>
      <c r="M107" s="22" t="s">
        <v>22</v>
      </c>
      <c r="N107" s="23"/>
      <c r="O107" s="23"/>
      <c r="P107" s="23"/>
      <c r="Q107" s="24"/>
      <c r="R107" s="24"/>
      <c r="S107" s="24"/>
      <c r="T107" s="24"/>
      <c r="U107" s="24"/>
      <c r="V107" s="24"/>
      <c r="W107" s="24"/>
      <c r="X107" s="24"/>
      <c r="Y107" s="24"/>
      <c r="Z107" s="25"/>
    </row>
    <row r="108" spans="1:26" ht="25.5" hidden="1" customHeight="1">
      <c r="A108" s="26">
        <v>45</v>
      </c>
      <c r="B108" s="27" t="s">
        <v>212</v>
      </c>
      <c r="C108" s="28">
        <v>41512</v>
      </c>
      <c r="D108" s="27"/>
      <c r="E108" s="27" t="s">
        <v>336</v>
      </c>
      <c r="F108" s="29" t="s">
        <v>337</v>
      </c>
      <c r="G108" s="27" t="s">
        <v>338</v>
      </c>
      <c r="H108" s="27" t="s">
        <v>19</v>
      </c>
      <c r="I108" s="27">
        <v>1</v>
      </c>
      <c r="J108" s="30">
        <v>102409248</v>
      </c>
      <c r="K108" s="26" t="s">
        <v>36</v>
      </c>
      <c r="L108" s="26" t="s">
        <v>141</v>
      </c>
      <c r="M108" s="31" t="s">
        <v>339</v>
      </c>
      <c r="N108" s="23"/>
      <c r="O108" s="23"/>
      <c r="P108" s="23"/>
      <c r="Q108" s="2"/>
      <c r="R108" s="2"/>
      <c r="S108" s="2"/>
      <c r="T108" s="2"/>
      <c r="U108" s="2"/>
      <c r="V108" s="2"/>
      <c r="W108" s="2"/>
      <c r="X108" s="2"/>
      <c r="Y108" s="2"/>
    </row>
    <row r="109" spans="1:26" ht="25.5" hidden="1" customHeight="1">
      <c r="A109" s="26">
        <v>46</v>
      </c>
      <c r="B109" s="27" t="s">
        <v>212</v>
      </c>
      <c r="C109" s="28">
        <v>41512</v>
      </c>
      <c r="D109" s="27"/>
      <c r="E109" s="27" t="s">
        <v>340</v>
      </c>
      <c r="F109" s="29" t="s">
        <v>341</v>
      </c>
      <c r="G109" s="27" t="s">
        <v>338</v>
      </c>
      <c r="H109" s="27" t="s">
        <v>19</v>
      </c>
      <c r="I109" s="27">
        <v>1</v>
      </c>
      <c r="J109" s="30">
        <v>102409247</v>
      </c>
      <c r="K109" s="26" t="s">
        <v>36</v>
      </c>
      <c r="L109" s="26" t="s">
        <v>141</v>
      </c>
      <c r="M109" s="31" t="s">
        <v>339</v>
      </c>
      <c r="N109" s="23"/>
      <c r="O109" s="23"/>
      <c r="P109" s="23"/>
      <c r="Q109" s="2"/>
      <c r="R109" s="2"/>
      <c r="S109" s="2"/>
      <c r="T109" s="2"/>
      <c r="U109" s="2"/>
      <c r="V109" s="2"/>
      <c r="W109" s="2"/>
      <c r="X109" s="2"/>
      <c r="Y109" s="2"/>
    </row>
    <row r="110" spans="1:26" ht="12.75" hidden="1" customHeight="1">
      <c r="A110" s="26">
        <v>47</v>
      </c>
      <c r="B110" s="27" t="s">
        <v>212</v>
      </c>
      <c r="C110" s="28">
        <v>41512</v>
      </c>
      <c r="D110" s="27"/>
      <c r="E110" s="27" t="s">
        <v>342</v>
      </c>
      <c r="F110" s="29" t="s">
        <v>343</v>
      </c>
      <c r="G110" s="27" t="s">
        <v>35</v>
      </c>
      <c r="H110" s="27" t="s">
        <v>19</v>
      </c>
      <c r="I110" s="27">
        <v>1</v>
      </c>
      <c r="J110" s="30">
        <v>140968000</v>
      </c>
      <c r="K110" s="26" t="s">
        <v>206</v>
      </c>
      <c r="L110" s="26" t="s">
        <v>207</v>
      </c>
      <c r="M110" s="31" t="s">
        <v>344</v>
      </c>
      <c r="N110" s="23"/>
      <c r="O110" s="23"/>
      <c r="P110" s="23"/>
      <c r="Q110" s="2"/>
      <c r="R110" s="2"/>
      <c r="S110" s="2"/>
      <c r="T110" s="2"/>
      <c r="U110" s="2"/>
      <c r="V110" s="2"/>
      <c r="W110" s="2"/>
      <c r="X110" s="2"/>
      <c r="Y110" s="2"/>
    </row>
    <row r="111" spans="1:26" ht="12.75" hidden="1" customHeight="1">
      <c r="A111" s="26" t="s">
        <v>345</v>
      </c>
      <c r="B111" s="27"/>
      <c r="C111" s="28"/>
      <c r="D111" s="27"/>
      <c r="E111" s="27" t="s">
        <v>346</v>
      </c>
      <c r="F111" s="29" t="s">
        <v>347</v>
      </c>
      <c r="G111" s="27"/>
      <c r="H111" s="27"/>
      <c r="I111" s="27">
        <v>1</v>
      </c>
      <c r="J111" s="30">
        <v>0</v>
      </c>
      <c r="K111" s="26" t="s">
        <v>206</v>
      </c>
      <c r="L111" s="26" t="s">
        <v>207</v>
      </c>
      <c r="M111" s="31"/>
      <c r="N111" s="23"/>
      <c r="O111" s="23"/>
      <c r="P111" s="23"/>
      <c r="Q111" s="2"/>
      <c r="R111" s="2"/>
      <c r="S111" s="2"/>
      <c r="T111" s="2"/>
      <c r="U111" s="2"/>
      <c r="V111" s="2"/>
      <c r="W111" s="2"/>
      <c r="X111" s="2"/>
      <c r="Y111" s="2"/>
    </row>
    <row r="112" spans="1:26" ht="12.75" hidden="1" customHeight="1">
      <c r="A112" s="26">
        <v>48</v>
      </c>
      <c r="B112" s="27" t="s">
        <v>212</v>
      </c>
      <c r="C112" s="28">
        <v>41512</v>
      </c>
      <c r="D112" s="27"/>
      <c r="E112" s="27" t="s">
        <v>348</v>
      </c>
      <c r="F112" s="29" t="s">
        <v>349</v>
      </c>
      <c r="G112" s="27" t="s">
        <v>35</v>
      </c>
      <c r="H112" s="27" t="s">
        <v>19</v>
      </c>
      <c r="I112" s="27">
        <v>1</v>
      </c>
      <c r="J112" s="30">
        <v>140968000</v>
      </c>
      <c r="K112" s="26" t="s">
        <v>206</v>
      </c>
      <c r="L112" s="26" t="s">
        <v>207</v>
      </c>
      <c r="M112" s="31" t="s">
        <v>350</v>
      </c>
      <c r="N112" s="23"/>
      <c r="O112" s="23"/>
      <c r="P112" s="23"/>
      <c r="Q112" s="2"/>
      <c r="R112" s="2"/>
      <c r="S112" s="2"/>
      <c r="T112" s="2"/>
      <c r="U112" s="2"/>
      <c r="V112" s="2"/>
      <c r="W112" s="2"/>
      <c r="X112" s="2"/>
      <c r="Y112" s="2"/>
    </row>
    <row r="113" spans="1:25" ht="12.75" hidden="1" customHeight="1">
      <c r="A113" s="26" t="s">
        <v>351</v>
      </c>
      <c r="B113" s="27"/>
      <c r="C113" s="28"/>
      <c r="D113" s="27"/>
      <c r="E113" s="27" t="s">
        <v>352</v>
      </c>
      <c r="F113" s="29" t="s">
        <v>353</v>
      </c>
      <c r="G113" s="27"/>
      <c r="H113" s="27"/>
      <c r="I113" s="27">
        <v>1</v>
      </c>
      <c r="J113" s="30">
        <v>0</v>
      </c>
      <c r="K113" s="26" t="s">
        <v>206</v>
      </c>
      <c r="L113" s="26" t="s">
        <v>207</v>
      </c>
      <c r="M113" s="31"/>
      <c r="N113" s="23"/>
      <c r="O113" s="23"/>
      <c r="P113" s="23"/>
      <c r="Q113" s="2"/>
      <c r="R113" s="2"/>
      <c r="S113" s="2"/>
      <c r="T113" s="2"/>
      <c r="U113" s="2"/>
      <c r="V113" s="2"/>
      <c r="W113" s="2"/>
      <c r="X113" s="2"/>
      <c r="Y113" s="2"/>
    </row>
    <row r="114" spans="1:25" ht="12.75" hidden="1" customHeight="1">
      <c r="A114" s="26">
        <v>49</v>
      </c>
      <c r="B114" s="27" t="s">
        <v>212</v>
      </c>
      <c r="C114" s="28">
        <v>41512</v>
      </c>
      <c r="D114" s="27"/>
      <c r="E114" s="27" t="s">
        <v>354</v>
      </c>
      <c r="F114" s="29" t="s">
        <v>355</v>
      </c>
      <c r="G114" s="27" t="s">
        <v>35</v>
      </c>
      <c r="H114" s="27" t="s">
        <v>19</v>
      </c>
      <c r="I114" s="27">
        <v>1</v>
      </c>
      <c r="J114" s="30">
        <v>140968000</v>
      </c>
      <c r="K114" s="26" t="s">
        <v>206</v>
      </c>
      <c r="L114" s="26" t="s">
        <v>207</v>
      </c>
      <c r="M114" s="31" t="s">
        <v>356</v>
      </c>
      <c r="N114" s="23"/>
      <c r="O114" s="23"/>
      <c r="P114" s="23"/>
      <c r="Q114" s="2"/>
      <c r="R114" s="2"/>
      <c r="S114" s="2"/>
      <c r="T114" s="2"/>
      <c r="U114" s="2"/>
      <c r="V114" s="2"/>
      <c r="W114" s="2"/>
      <c r="X114" s="2"/>
      <c r="Y114" s="2"/>
    </row>
    <row r="115" spans="1:25" ht="12.75" hidden="1" customHeight="1">
      <c r="A115" s="26" t="s">
        <v>357</v>
      </c>
      <c r="B115" s="27"/>
      <c r="C115" s="28"/>
      <c r="D115" s="27"/>
      <c r="E115" s="27" t="s">
        <v>358</v>
      </c>
      <c r="F115" s="29" t="s">
        <v>359</v>
      </c>
      <c r="G115" s="27"/>
      <c r="H115" s="27"/>
      <c r="I115" s="27">
        <v>1</v>
      </c>
      <c r="J115" s="30">
        <v>0</v>
      </c>
      <c r="K115" s="26" t="s">
        <v>206</v>
      </c>
      <c r="L115" s="26" t="s">
        <v>207</v>
      </c>
      <c r="M115" s="31"/>
      <c r="N115" s="23"/>
      <c r="O115" s="23"/>
      <c r="P115" s="23"/>
      <c r="Q115" s="2"/>
      <c r="R115" s="2"/>
      <c r="S115" s="2"/>
      <c r="T115" s="2"/>
      <c r="U115" s="2"/>
      <c r="V115" s="2"/>
      <c r="W115" s="2"/>
      <c r="X115" s="2"/>
      <c r="Y115" s="2"/>
    </row>
    <row r="116" spans="1:25" ht="12.75" hidden="1" customHeight="1">
      <c r="A116" s="38">
        <v>50</v>
      </c>
      <c r="B116" s="39" t="s">
        <v>212</v>
      </c>
      <c r="C116" s="40">
        <v>41512</v>
      </c>
      <c r="D116" s="39"/>
      <c r="E116" s="39" t="s">
        <v>360</v>
      </c>
      <c r="F116" s="41" t="s">
        <v>361</v>
      </c>
      <c r="G116" s="39" t="s">
        <v>35</v>
      </c>
      <c r="H116" s="39" t="s">
        <v>19</v>
      </c>
      <c r="I116" s="39">
        <v>1</v>
      </c>
      <c r="J116" s="42">
        <v>220034000</v>
      </c>
      <c r="K116" s="38" t="s">
        <v>206</v>
      </c>
      <c r="L116" s="38" t="s">
        <v>207</v>
      </c>
      <c r="M116" s="43" t="s">
        <v>362</v>
      </c>
      <c r="N116" s="32"/>
      <c r="O116" s="32"/>
      <c r="P116" s="32"/>
      <c r="Q116" s="44"/>
      <c r="R116" s="44"/>
      <c r="S116" s="2"/>
      <c r="T116" s="2"/>
      <c r="U116" s="2"/>
      <c r="V116" s="2"/>
      <c r="W116" s="2"/>
      <c r="X116" s="2"/>
      <c r="Y116" s="2"/>
    </row>
    <row r="117" spans="1:25" ht="12.75" hidden="1" customHeight="1">
      <c r="A117" s="38">
        <v>50.1</v>
      </c>
      <c r="B117" s="39"/>
      <c r="C117" s="40"/>
      <c r="D117" s="39"/>
      <c r="E117" s="39" t="s">
        <v>363</v>
      </c>
      <c r="F117" s="41" t="s">
        <v>364</v>
      </c>
      <c r="G117" s="39"/>
      <c r="H117" s="39"/>
      <c r="I117" s="39">
        <v>1</v>
      </c>
      <c r="J117" s="42">
        <v>0</v>
      </c>
      <c r="K117" s="38" t="s">
        <v>206</v>
      </c>
      <c r="L117" s="38" t="s">
        <v>207</v>
      </c>
      <c r="M117" s="43"/>
      <c r="N117" s="23"/>
      <c r="O117" s="23"/>
      <c r="P117" s="23"/>
      <c r="Q117" s="2"/>
      <c r="R117" s="2"/>
      <c r="S117" s="2"/>
      <c r="T117" s="2"/>
      <c r="U117" s="2"/>
      <c r="V117" s="2"/>
      <c r="W117" s="2"/>
      <c r="X117" s="2"/>
      <c r="Y117" s="2"/>
    </row>
    <row r="118" spans="1:25" ht="12.75" hidden="1" customHeight="1">
      <c r="A118" s="26">
        <v>51</v>
      </c>
      <c r="B118" s="27" t="s">
        <v>274</v>
      </c>
      <c r="C118" s="28">
        <v>41542</v>
      </c>
      <c r="D118" s="27"/>
      <c r="E118" s="27" t="s">
        <v>365</v>
      </c>
      <c r="F118" s="29" t="s">
        <v>366</v>
      </c>
      <c r="G118" s="27" t="s">
        <v>35</v>
      </c>
      <c r="H118" s="27" t="s">
        <v>19</v>
      </c>
      <c r="I118" s="27">
        <v>1</v>
      </c>
      <c r="J118" s="30">
        <v>327700776</v>
      </c>
      <c r="K118" s="26" t="s">
        <v>36</v>
      </c>
      <c r="L118" s="26" t="s">
        <v>141</v>
      </c>
      <c r="M118" s="31" t="s">
        <v>367</v>
      </c>
      <c r="N118" s="23"/>
      <c r="O118" s="23"/>
      <c r="P118" s="23"/>
      <c r="Q118" s="2"/>
      <c r="R118" s="2"/>
      <c r="S118" s="2"/>
      <c r="T118" s="2"/>
      <c r="U118" s="2"/>
      <c r="V118" s="2"/>
      <c r="W118" s="2"/>
      <c r="X118" s="2"/>
      <c r="Y118" s="2"/>
    </row>
    <row r="119" spans="1:25" ht="12.75" hidden="1" customHeight="1">
      <c r="A119" s="26" t="s">
        <v>368</v>
      </c>
      <c r="B119" s="27"/>
      <c r="C119" s="28"/>
      <c r="D119" s="27"/>
      <c r="E119" s="27" t="s">
        <v>369</v>
      </c>
      <c r="F119" s="29" t="s">
        <v>370</v>
      </c>
      <c r="G119" s="27"/>
      <c r="H119" s="27"/>
      <c r="I119" s="27">
        <v>1</v>
      </c>
      <c r="J119" s="30">
        <v>0</v>
      </c>
      <c r="K119" s="26" t="s">
        <v>36</v>
      </c>
      <c r="L119" s="26" t="s">
        <v>141</v>
      </c>
      <c r="M119" s="31"/>
      <c r="N119" s="23"/>
      <c r="O119" s="23"/>
      <c r="P119" s="23"/>
      <c r="Q119" s="2"/>
      <c r="R119" s="2"/>
      <c r="S119" s="2"/>
      <c r="T119" s="2"/>
      <c r="U119" s="2"/>
      <c r="V119" s="2"/>
      <c r="W119" s="2"/>
      <c r="X119" s="2"/>
      <c r="Y119" s="2"/>
    </row>
    <row r="120" spans="1:25" ht="12.75" hidden="1" customHeight="1">
      <c r="A120" s="26">
        <v>52</v>
      </c>
      <c r="B120" s="27" t="s">
        <v>274</v>
      </c>
      <c r="C120" s="28">
        <v>41542</v>
      </c>
      <c r="D120" s="27"/>
      <c r="E120" s="27" t="s">
        <v>371</v>
      </c>
      <c r="F120" s="29" t="s">
        <v>372</v>
      </c>
      <c r="G120" s="27" t="s">
        <v>35</v>
      </c>
      <c r="H120" s="27" t="s">
        <v>19</v>
      </c>
      <c r="I120" s="27">
        <v>1</v>
      </c>
      <c r="J120" s="30">
        <v>327700776</v>
      </c>
      <c r="K120" s="26" t="s">
        <v>36</v>
      </c>
      <c r="L120" s="26" t="s">
        <v>141</v>
      </c>
      <c r="M120" s="31" t="s">
        <v>339</v>
      </c>
      <c r="N120" s="23"/>
      <c r="O120" s="23"/>
      <c r="P120" s="23"/>
      <c r="Q120" s="2"/>
      <c r="R120" s="2"/>
      <c r="S120" s="2"/>
      <c r="T120" s="2"/>
      <c r="U120" s="2"/>
      <c r="V120" s="2"/>
      <c r="W120" s="2"/>
      <c r="X120" s="2"/>
      <c r="Y120" s="2"/>
    </row>
    <row r="121" spans="1:25" ht="12.75" hidden="1" customHeight="1">
      <c r="A121" s="26" t="s">
        <v>373</v>
      </c>
      <c r="B121" s="27"/>
      <c r="C121" s="28"/>
      <c r="D121" s="27"/>
      <c r="E121" s="27" t="s">
        <v>374</v>
      </c>
      <c r="F121" s="29" t="s">
        <v>375</v>
      </c>
      <c r="G121" s="27"/>
      <c r="H121" s="27"/>
      <c r="I121" s="27">
        <v>1</v>
      </c>
      <c r="J121" s="30">
        <v>0</v>
      </c>
      <c r="K121" s="26" t="s">
        <v>36</v>
      </c>
      <c r="L121" s="26" t="s">
        <v>141</v>
      </c>
      <c r="M121" s="31"/>
      <c r="N121" s="23"/>
      <c r="O121" s="23"/>
      <c r="P121" s="23"/>
      <c r="Q121" s="2"/>
      <c r="R121" s="2"/>
      <c r="S121" s="2"/>
      <c r="T121" s="2"/>
      <c r="U121" s="2"/>
      <c r="V121" s="2"/>
      <c r="W121" s="2"/>
      <c r="X121" s="2"/>
      <c r="Y121" s="2"/>
    </row>
    <row r="122" spans="1:25" ht="12.75" hidden="1" customHeight="1">
      <c r="A122" s="26">
        <v>53</v>
      </c>
      <c r="B122" s="27" t="s">
        <v>274</v>
      </c>
      <c r="C122" s="28">
        <v>41542</v>
      </c>
      <c r="D122" s="27"/>
      <c r="E122" s="27" t="s">
        <v>376</v>
      </c>
      <c r="F122" s="29" t="s">
        <v>377</v>
      </c>
      <c r="G122" s="27" t="s">
        <v>35</v>
      </c>
      <c r="H122" s="27" t="s">
        <v>19</v>
      </c>
      <c r="I122" s="27">
        <v>1</v>
      </c>
      <c r="J122" s="30">
        <v>154602654</v>
      </c>
      <c r="K122" s="26" t="s">
        <v>36</v>
      </c>
      <c r="L122" s="26" t="s">
        <v>141</v>
      </c>
      <c r="M122" s="31" t="s">
        <v>378</v>
      </c>
      <c r="N122" s="23"/>
      <c r="O122" s="23"/>
      <c r="P122" s="23"/>
      <c r="Q122" s="2"/>
      <c r="R122" s="2"/>
      <c r="S122" s="2"/>
      <c r="T122" s="2"/>
      <c r="U122" s="2"/>
      <c r="V122" s="2"/>
      <c r="W122" s="2"/>
      <c r="X122" s="2"/>
      <c r="Y122" s="2"/>
    </row>
    <row r="123" spans="1:25" ht="12.75" hidden="1" customHeight="1">
      <c r="A123" s="26" t="s">
        <v>379</v>
      </c>
      <c r="B123" s="27"/>
      <c r="C123" s="28"/>
      <c r="D123" s="27"/>
      <c r="E123" s="27" t="s">
        <v>380</v>
      </c>
      <c r="F123" s="29" t="s">
        <v>381</v>
      </c>
      <c r="G123" s="27"/>
      <c r="H123" s="27"/>
      <c r="I123" s="27">
        <v>1</v>
      </c>
      <c r="J123" s="30">
        <v>0</v>
      </c>
      <c r="K123" s="26" t="s">
        <v>36</v>
      </c>
      <c r="L123" s="26" t="s">
        <v>141</v>
      </c>
      <c r="M123" s="31"/>
      <c r="N123" s="23"/>
      <c r="O123" s="23"/>
      <c r="P123" s="23"/>
      <c r="Q123" s="2"/>
      <c r="R123" s="2"/>
      <c r="S123" s="2"/>
      <c r="T123" s="2"/>
      <c r="U123" s="2"/>
      <c r="V123" s="2"/>
      <c r="W123" s="2"/>
      <c r="X123" s="2"/>
      <c r="Y123" s="2"/>
    </row>
    <row r="124" spans="1:25" ht="12.75" hidden="1" customHeight="1">
      <c r="A124" s="26">
        <v>54</v>
      </c>
      <c r="B124" s="27" t="s">
        <v>274</v>
      </c>
      <c r="C124" s="28">
        <v>41542</v>
      </c>
      <c r="D124" s="27"/>
      <c r="E124" s="27" t="s">
        <v>382</v>
      </c>
      <c r="F124" s="29" t="s">
        <v>383</v>
      </c>
      <c r="G124" s="27" t="s">
        <v>35</v>
      </c>
      <c r="H124" s="27" t="s">
        <v>19</v>
      </c>
      <c r="I124" s="27">
        <v>1</v>
      </c>
      <c r="J124" s="30">
        <v>154602654</v>
      </c>
      <c r="K124" s="26" t="s">
        <v>36</v>
      </c>
      <c r="L124" s="45" t="s">
        <v>141</v>
      </c>
      <c r="M124" s="46" t="s">
        <v>384</v>
      </c>
      <c r="N124" s="23"/>
      <c r="O124" s="23"/>
      <c r="P124" s="23"/>
      <c r="Q124" s="2"/>
      <c r="R124" s="2"/>
      <c r="S124" s="2"/>
      <c r="T124" s="2"/>
      <c r="U124" s="2"/>
      <c r="V124" s="2"/>
      <c r="W124" s="2"/>
      <c r="X124" s="2"/>
      <c r="Y124" s="2"/>
    </row>
    <row r="125" spans="1:25" ht="12.75" hidden="1" customHeight="1">
      <c r="A125" s="26" t="s">
        <v>385</v>
      </c>
      <c r="B125" s="27"/>
      <c r="C125" s="28"/>
      <c r="D125" s="27"/>
      <c r="E125" s="27" t="s">
        <v>386</v>
      </c>
      <c r="F125" s="29" t="s">
        <v>387</v>
      </c>
      <c r="G125" s="27"/>
      <c r="H125" s="27"/>
      <c r="I125" s="27">
        <v>1</v>
      </c>
      <c r="J125" s="30">
        <v>0</v>
      </c>
      <c r="K125" s="26" t="s">
        <v>36</v>
      </c>
      <c r="L125" s="26" t="s">
        <v>141</v>
      </c>
      <c r="M125" s="31"/>
      <c r="N125" s="23"/>
      <c r="O125" s="23"/>
      <c r="P125" s="23"/>
      <c r="Q125" s="2"/>
      <c r="R125" s="2"/>
      <c r="S125" s="2"/>
      <c r="T125" s="2"/>
      <c r="U125" s="2"/>
      <c r="V125" s="2"/>
      <c r="W125" s="2"/>
      <c r="X125" s="2"/>
      <c r="Y125" s="2"/>
    </row>
    <row r="126" spans="1:25" ht="25.5" hidden="1" customHeight="1">
      <c r="A126" s="26">
        <v>55</v>
      </c>
      <c r="B126" s="27" t="s">
        <v>388</v>
      </c>
      <c r="C126" s="28">
        <v>41576</v>
      </c>
      <c r="D126" s="27"/>
      <c r="E126" s="27" t="s">
        <v>389</v>
      </c>
      <c r="F126" s="29" t="s">
        <v>390</v>
      </c>
      <c r="G126" s="27" t="s">
        <v>307</v>
      </c>
      <c r="H126" s="27" t="s">
        <v>19</v>
      </c>
      <c r="I126" s="27">
        <v>1</v>
      </c>
      <c r="J126" s="30">
        <v>181724537</v>
      </c>
      <c r="K126" s="26" t="s">
        <v>36</v>
      </c>
      <c r="L126" s="26" t="s">
        <v>141</v>
      </c>
      <c r="M126" s="31" t="s">
        <v>391</v>
      </c>
      <c r="N126" s="23"/>
      <c r="O126" s="23"/>
      <c r="P126" s="23"/>
      <c r="Q126" s="2"/>
      <c r="R126" s="2"/>
      <c r="S126" s="2"/>
      <c r="T126" s="2"/>
      <c r="U126" s="2"/>
      <c r="V126" s="2"/>
      <c r="W126" s="2"/>
      <c r="X126" s="2"/>
      <c r="Y126" s="2"/>
    </row>
    <row r="127" spans="1:25" ht="63.75" hidden="1" customHeight="1">
      <c r="A127" s="26">
        <v>56</v>
      </c>
      <c r="B127" s="27" t="s">
        <v>388</v>
      </c>
      <c r="C127" s="28">
        <v>41576</v>
      </c>
      <c r="D127" s="27"/>
      <c r="E127" s="27" t="s">
        <v>392</v>
      </c>
      <c r="F127" s="29" t="s">
        <v>393</v>
      </c>
      <c r="G127" s="27" t="s">
        <v>55</v>
      </c>
      <c r="H127" s="27" t="s">
        <v>19</v>
      </c>
      <c r="I127" s="27">
        <v>1</v>
      </c>
      <c r="J127" s="30">
        <v>1578228438</v>
      </c>
      <c r="K127" s="26" t="s">
        <v>36</v>
      </c>
      <c r="L127" s="26" t="s">
        <v>141</v>
      </c>
      <c r="M127" s="31" t="s">
        <v>394</v>
      </c>
      <c r="N127" s="23"/>
      <c r="O127" s="23"/>
      <c r="P127" s="23"/>
      <c r="Q127" s="2"/>
      <c r="R127" s="2"/>
      <c r="S127" s="2"/>
      <c r="T127" s="2"/>
      <c r="U127" s="2"/>
      <c r="V127" s="2"/>
      <c r="W127" s="2"/>
      <c r="X127" s="2"/>
      <c r="Y127" s="2"/>
    </row>
    <row r="128" spans="1:25" ht="12.75" hidden="1" customHeight="1">
      <c r="A128" s="26" t="s">
        <v>395</v>
      </c>
      <c r="B128" s="27"/>
      <c r="C128" s="28"/>
      <c r="D128" s="27"/>
      <c r="E128" s="27" t="s">
        <v>396</v>
      </c>
      <c r="F128" s="29" t="s">
        <v>397</v>
      </c>
      <c r="G128" s="27"/>
      <c r="H128" s="27"/>
      <c r="I128" s="27">
        <v>1</v>
      </c>
      <c r="J128" s="30">
        <v>0</v>
      </c>
      <c r="K128" s="26" t="s">
        <v>36</v>
      </c>
      <c r="L128" s="26" t="s">
        <v>141</v>
      </c>
      <c r="M128" s="31"/>
      <c r="N128" s="23"/>
      <c r="O128" s="23"/>
      <c r="P128" s="23"/>
      <c r="Q128" s="2"/>
      <c r="R128" s="2"/>
      <c r="S128" s="2"/>
      <c r="T128" s="2"/>
      <c r="U128" s="2"/>
      <c r="V128" s="2"/>
      <c r="W128" s="2"/>
      <c r="X128" s="2"/>
      <c r="Y128" s="2"/>
    </row>
    <row r="129" spans="1:26" ht="12.75" hidden="1" customHeight="1">
      <c r="A129" s="26" t="s">
        <v>398</v>
      </c>
      <c r="B129" s="27"/>
      <c r="C129" s="28"/>
      <c r="D129" s="27"/>
      <c r="E129" s="27" t="s">
        <v>399</v>
      </c>
      <c r="F129" s="29" t="s">
        <v>400</v>
      </c>
      <c r="G129" s="27"/>
      <c r="H129" s="27"/>
      <c r="I129" s="27">
        <v>1</v>
      </c>
      <c r="J129" s="30">
        <v>0</v>
      </c>
      <c r="K129" s="26" t="s">
        <v>36</v>
      </c>
      <c r="L129" s="26" t="s">
        <v>141</v>
      </c>
      <c r="M129" s="31"/>
      <c r="N129" s="23"/>
      <c r="O129" s="23"/>
      <c r="P129" s="23"/>
      <c r="Q129" s="2"/>
      <c r="R129" s="2"/>
      <c r="S129" s="2"/>
      <c r="T129" s="2"/>
      <c r="U129" s="2"/>
      <c r="V129" s="2"/>
      <c r="W129" s="2"/>
      <c r="X129" s="2"/>
      <c r="Y129" s="2"/>
    </row>
    <row r="130" spans="1:26" ht="25.5" hidden="1" customHeight="1">
      <c r="A130" s="26">
        <v>57</v>
      </c>
      <c r="B130" s="27" t="s">
        <v>388</v>
      </c>
      <c r="C130" s="28">
        <v>41576</v>
      </c>
      <c r="D130" s="27"/>
      <c r="E130" s="27" t="s">
        <v>401</v>
      </c>
      <c r="F130" s="29" t="s">
        <v>402</v>
      </c>
      <c r="G130" s="27" t="s">
        <v>55</v>
      </c>
      <c r="H130" s="27" t="s">
        <v>19</v>
      </c>
      <c r="I130" s="27">
        <v>1</v>
      </c>
      <c r="J130" s="30">
        <v>709294101</v>
      </c>
      <c r="K130" s="26" t="s">
        <v>36</v>
      </c>
      <c r="L130" s="26" t="s">
        <v>141</v>
      </c>
      <c r="M130" s="31" t="s">
        <v>394</v>
      </c>
      <c r="N130" s="23"/>
      <c r="O130" s="23"/>
      <c r="P130" s="23"/>
      <c r="Q130" s="2"/>
      <c r="R130" s="2"/>
      <c r="S130" s="2"/>
      <c r="T130" s="2"/>
      <c r="U130" s="2"/>
      <c r="V130" s="2"/>
      <c r="W130" s="2"/>
      <c r="X130" s="2"/>
      <c r="Y130" s="2"/>
    </row>
    <row r="131" spans="1:26" ht="25.5" hidden="1" customHeight="1">
      <c r="A131" s="26">
        <v>58</v>
      </c>
      <c r="B131" s="27" t="s">
        <v>388</v>
      </c>
      <c r="C131" s="28">
        <v>41576</v>
      </c>
      <c r="D131" s="27"/>
      <c r="E131" s="27" t="s">
        <v>403</v>
      </c>
      <c r="F131" s="29" t="s">
        <v>404</v>
      </c>
      <c r="G131" s="27" t="s">
        <v>55</v>
      </c>
      <c r="H131" s="27" t="s">
        <v>19</v>
      </c>
      <c r="I131" s="27">
        <v>1</v>
      </c>
      <c r="J131" s="30">
        <v>165083338</v>
      </c>
      <c r="K131" s="26" t="s">
        <v>36</v>
      </c>
      <c r="L131" s="26" t="s">
        <v>141</v>
      </c>
      <c r="M131" s="31" t="s">
        <v>394</v>
      </c>
      <c r="N131" s="23"/>
      <c r="O131" s="23"/>
      <c r="P131" s="23"/>
      <c r="Q131" s="2"/>
      <c r="R131" s="2"/>
      <c r="S131" s="2"/>
      <c r="T131" s="2"/>
      <c r="U131" s="2"/>
      <c r="V131" s="2"/>
      <c r="W131" s="2"/>
      <c r="X131" s="2"/>
      <c r="Y131" s="2"/>
    </row>
    <row r="132" spans="1:26" ht="25.5" hidden="1" customHeight="1">
      <c r="A132" s="26">
        <v>59</v>
      </c>
      <c r="B132" s="27" t="s">
        <v>388</v>
      </c>
      <c r="C132" s="28">
        <v>41576</v>
      </c>
      <c r="D132" s="27"/>
      <c r="E132" s="27" t="s">
        <v>405</v>
      </c>
      <c r="F132" s="29" t="s">
        <v>406</v>
      </c>
      <c r="G132" s="27" t="s">
        <v>407</v>
      </c>
      <c r="H132" s="27" t="s">
        <v>19</v>
      </c>
      <c r="I132" s="27">
        <v>1</v>
      </c>
      <c r="J132" s="30">
        <v>230680171</v>
      </c>
      <c r="K132" s="26" t="s">
        <v>36</v>
      </c>
      <c r="L132" s="26" t="s">
        <v>141</v>
      </c>
      <c r="M132" s="31" t="s">
        <v>394</v>
      </c>
      <c r="N132" s="23"/>
      <c r="O132" s="23"/>
      <c r="P132" s="23"/>
      <c r="Q132" s="2"/>
      <c r="R132" s="2"/>
      <c r="S132" s="2"/>
      <c r="T132" s="2"/>
      <c r="U132" s="2"/>
      <c r="V132" s="2"/>
      <c r="W132" s="2"/>
      <c r="X132" s="2"/>
      <c r="Y132" s="2"/>
    </row>
    <row r="133" spans="1:26" ht="12.75" hidden="1" customHeight="1">
      <c r="A133" s="26" t="s">
        <v>408</v>
      </c>
      <c r="B133" s="27"/>
      <c r="C133" s="28"/>
      <c r="D133" s="27"/>
      <c r="E133" s="27" t="s">
        <v>409</v>
      </c>
      <c r="F133" s="29" t="s">
        <v>410</v>
      </c>
      <c r="G133" s="27"/>
      <c r="H133" s="27"/>
      <c r="I133" s="27">
        <v>1</v>
      </c>
      <c r="J133" s="30">
        <v>0</v>
      </c>
      <c r="K133" s="26" t="s">
        <v>36</v>
      </c>
      <c r="L133" s="26" t="s">
        <v>141</v>
      </c>
      <c r="M133" s="31"/>
      <c r="N133" s="23"/>
      <c r="O133" s="23"/>
      <c r="P133" s="23"/>
      <c r="Q133" s="2"/>
      <c r="R133" s="2"/>
      <c r="S133" s="2"/>
      <c r="T133" s="2"/>
      <c r="U133" s="2"/>
      <c r="V133" s="2"/>
      <c r="W133" s="2"/>
      <c r="X133" s="2"/>
      <c r="Y133" s="2"/>
    </row>
    <row r="134" spans="1:26" ht="12.75" hidden="1" customHeight="1">
      <c r="A134" s="17">
        <v>60</v>
      </c>
      <c r="B134" s="27" t="s">
        <v>411</v>
      </c>
      <c r="C134" s="19">
        <v>41599</v>
      </c>
      <c r="D134" s="27"/>
      <c r="E134" s="18" t="s">
        <v>412</v>
      </c>
      <c r="F134" s="20" t="s">
        <v>413</v>
      </c>
      <c r="G134" s="18" t="s">
        <v>307</v>
      </c>
      <c r="H134" s="18" t="s">
        <v>19</v>
      </c>
      <c r="I134" s="18">
        <v>1</v>
      </c>
      <c r="J134" s="21">
        <v>4399153344</v>
      </c>
      <c r="K134" s="17" t="s">
        <v>20</v>
      </c>
      <c r="L134" s="17" t="s">
        <v>21</v>
      </c>
      <c r="M134" s="22" t="s">
        <v>22</v>
      </c>
      <c r="N134" s="23"/>
      <c r="O134" s="23"/>
      <c r="P134" s="23"/>
      <c r="Q134" s="24"/>
      <c r="R134" s="24"/>
      <c r="S134" s="24"/>
      <c r="T134" s="24"/>
      <c r="U134" s="24"/>
      <c r="V134" s="24"/>
      <c r="W134" s="24"/>
      <c r="X134" s="24"/>
      <c r="Y134" s="24"/>
      <c r="Z134" s="25"/>
    </row>
    <row r="135" spans="1:26" ht="12.75" hidden="1" customHeight="1">
      <c r="A135" s="17" t="s">
        <v>414</v>
      </c>
      <c r="B135" s="27"/>
      <c r="C135" s="19"/>
      <c r="D135" s="27"/>
      <c r="E135" s="18" t="s">
        <v>415</v>
      </c>
      <c r="F135" s="20" t="s">
        <v>416</v>
      </c>
      <c r="G135" s="18"/>
      <c r="H135" s="18"/>
      <c r="I135" s="18">
        <v>1</v>
      </c>
      <c r="J135" s="21">
        <v>0</v>
      </c>
      <c r="K135" s="17" t="s">
        <v>20</v>
      </c>
      <c r="L135" s="17" t="s">
        <v>21</v>
      </c>
      <c r="M135" s="22" t="s">
        <v>22</v>
      </c>
      <c r="N135" s="23"/>
      <c r="O135" s="23"/>
      <c r="P135" s="23"/>
      <c r="Q135" s="24"/>
      <c r="R135" s="24"/>
      <c r="S135" s="24"/>
      <c r="T135" s="24"/>
      <c r="U135" s="24"/>
      <c r="V135" s="24"/>
      <c r="W135" s="24"/>
      <c r="X135" s="24"/>
      <c r="Y135" s="24"/>
      <c r="Z135" s="25"/>
    </row>
    <row r="136" spans="1:26" ht="25.5" hidden="1" customHeight="1">
      <c r="A136" s="26" t="s">
        <v>417</v>
      </c>
      <c r="B136" s="27"/>
      <c r="C136" s="28"/>
      <c r="D136" s="27"/>
      <c r="E136" s="27" t="s">
        <v>418</v>
      </c>
      <c r="F136" s="29" t="s">
        <v>419</v>
      </c>
      <c r="G136" s="27"/>
      <c r="H136" s="27"/>
      <c r="I136" s="27">
        <v>1</v>
      </c>
      <c r="J136" s="30">
        <v>0</v>
      </c>
      <c r="K136" s="26" t="s">
        <v>20</v>
      </c>
      <c r="L136" s="36" t="s">
        <v>229</v>
      </c>
      <c r="M136" s="31" t="str">
        <f>IFERROR(VLOOKUP(E136, TSCD_XUAN!$C$7:$K$1000, 9, 0), "Không tìm thấy")</f>
        <v>A2-Control trên Rack: bộ làm trễ tiếng</v>
      </c>
      <c r="N136" s="23"/>
      <c r="O136" s="23"/>
      <c r="P136" s="23"/>
      <c r="Q136" s="2"/>
      <c r="R136" s="2"/>
      <c r="S136" s="2"/>
      <c r="T136" s="2"/>
      <c r="U136" s="2"/>
      <c r="V136" s="2"/>
      <c r="W136" s="2"/>
      <c r="X136" s="2"/>
      <c r="Y136" s="2"/>
    </row>
    <row r="137" spans="1:26" ht="25">
      <c r="A137" s="26" t="s">
        <v>420</v>
      </c>
      <c r="B137" s="27"/>
      <c r="C137" s="28"/>
      <c r="D137" s="27"/>
      <c r="E137" s="47" t="s">
        <v>421</v>
      </c>
      <c r="F137" s="29" t="s">
        <v>422</v>
      </c>
      <c r="G137" s="27"/>
      <c r="H137" s="27"/>
      <c r="I137" s="27">
        <v>1</v>
      </c>
      <c r="J137" s="30">
        <v>0</v>
      </c>
      <c r="K137" s="26" t="s">
        <v>20</v>
      </c>
      <c r="L137" s="26" t="s">
        <v>423</v>
      </c>
      <c r="M137" s="31" t="s">
        <v>424</v>
      </c>
      <c r="N137" s="7"/>
      <c r="O137" s="7" t="str">
        <f ca="1">IFERROR(__xludf.DUMMYFUNCTION("IFERROR(INDEX(Sheet1!$C:$C, MAX(FILTER(ROW(Sheet1!$B:$B), Sheet1!$B:$B=E137))), """")"),"")</f>
        <v/>
      </c>
      <c r="P137" s="7"/>
      <c r="Q137" s="2"/>
      <c r="R137" s="2"/>
      <c r="S137" s="2"/>
      <c r="T137" s="2"/>
      <c r="U137" s="2"/>
      <c r="V137" s="2"/>
      <c r="W137" s="2"/>
      <c r="X137" s="2"/>
      <c r="Y137" s="2"/>
    </row>
    <row r="138" spans="1:26" ht="12.75" hidden="1" customHeight="1">
      <c r="A138" s="26">
        <v>61</v>
      </c>
      <c r="B138" s="27" t="s">
        <v>219</v>
      </c>
      <c r="C138" s="28">
        <v>41635</v>
      </c>
      <c r="D138" s="27"/>
      <c r="E138" s="27" t="s">
        <v>425</v>
      </c>
      <c r="F138" s="29" t="s">
        <v>426</v>
      </c>
      <c r="G138" s="27" t="s">
        <v>35</v>
      </c>
      <c r="H138" s="27" t="s">
        <v>19</v>
      </c>
      <c r="I138" s="27">
        <v>1</v>
      </c>
      <c r="J138" s="30">
        <v>254478352</v>
      </c>
      <c r="K138" s="26" t="s">
        <v>206</v>
      </c>
      <c r="L138" s="26" t="s">
        <v>207</v>
      </c>
      <c r="M138" s="31" t="s">
        <v>427</v>
      </c>
      <c r="N138" s="23"/>
      <c r="O138" s="23"/>
      <c r="P138" s="23"/>
      <c r="Q138" s="2"/>
      <c r="R138" s="2"/>
      <c r="S138" s="2"/>
      <c r="T138" s="2"/>
      <c r="U138" s="2"/>
      <c r="V138" s="2"/>
      <c r="W138" s="2"/>
      <c r="X138" s="2"/>
      <c r="Y138" s="2"/>
    </row>
    <row r="139" spans="1:26" ht="12.75" hidden="1" customHeight="1">
      <c r="A139" s="26" t="s">
        <v>428</v>
      </c>
      <c r="B139" s="27"/>
      <c r="C139" s="28"/>
      <c r="D139" s="27"/>
      <c r="E139" s="27" t="s">
        <v>429</v>
      </c>
      <c r="F139" s="29" t="s">
        <v>430</v>
      </c>
      <c r="G139" s="27"/>
      <c r="H139" s="27"/>
      <c r="I139" s="27">
        <v>1</v>
      </c>
      <c r="J139" s="30">
        <v>0</v>
      </c>
      <c r="K139" s="26" t="s">
        <v>206</v>
      </c>
      <c r="L139" s="26" t="s">
        <v>207</v>
      </c>
      <c r="M139" s="31"/>
      <c r="N139" s="23"/>
      <c r="O139" s="23"/>
      <c r="P139" s="23"/>
      <c r="Q139" s="2"/>
      <c r="R139" s="2"/>
      <c r="S139" s="2"/>
      <c r="T139" s="2"/>
      <c r="U139" s="2"/>
      <c r="V139" s="2"/>
      <c r="W139" s="2"/>
      <c r="X139" s="2"/>
      <c r="Y139" s="2"/>
    </row>
    <row r="140" spans="1:26" ht="12.75" hidden="1" customHeight="1">
      <c r="A140" s="26" t="s">
        <v>431</v>
      </c>
      <c r="B140" s="27"/>
      <c r="C140" s="28"/>
      <c r="D140" s="27"/>
      <c r="E140" s="27" t="s">
        <v>432</v>
      </c>
      <c r="F140" s="29" t="s">
        <v>433</v>
      </c>
      <c r="G140" s="27"/>
      <c r="H140" s="27"/>
      <c r="I140" s="27">
        <v>1</v>
      </c>
      <c r="J140" s="30">
        <v>0</v>
      </c>
      <c r="K140" s="26" t="s">
        <v>206</v>
      </c>
      <c r="L140" s="26" t="s">
        <v>207</v>
      </c>
      <c r="M140" s="31"/>
      <c r="N140" s="23"/>
      <c r="O140" s="23"/>
      <c r="P140" s="23"/>
      <c r="Q140" s="2"/>
      <c r="R140" s="2"/>
      <c r="S140" s="2"/>
      <c r="T140" s="2"/>
      <c r="U140" s="2"/>
      <c r="V140" s="2"/>
      <c r="W140" s="2"/>
      <c r="X140" s="2"/>
      <c r="Y140" s="2"/>
    </row>
    <row r="141" spans="1:26" ht="12.75" hidden="1" customHeight="1">
      <c r="A141" s="26" t="s">
        <v>434</v>
      </c>
      <c r="B141" s="27"/>
      <c r="C141" s="28"/>
      <c r="D141" s="27"/>
      <c r="E141" s="27" t="s">
        <v>435</v>
      </c>
      <c r="F141" s="29" t="s">
        <v>436</v>
      </c>
      <c r="G141" s="27"/>
      <c r="H141" s="27"/>
      <c r="I141" s="27">
        <v>1</v>
      </c>
      <c r="J141" s="30">
        <v>0</v>
      </c>
      <c r="K141" s="26" t="s">
        <v>206</v>
      </c>
      <c r="L141" s="26" t="s">
        <v>207</v>
      </c>
      <c r="M141" s="31"/>
      <c r="N141" s="23"/>
      <c r="O141" s="23"/>
      <c r="P141" s="23"/>
      <c r="Q141" s="2"/>
      <c r="R141" s="2"/>
      <c r="S141" s="2"/>
      <c r="T141" s="2"/>
      <c r="U141" s="2"/>
      <c r="V141" s="2"/>
      <c r="W141" s="2"/>
      <c r="X141" s="2"/>
      <c r="Y141" s="2"/>
    </row>
    <row r="142" spans="1:26" ht="12.75" hidden="1" customHeight="1">
      <c r="A142" s="26">
        <v>62</v>
      </c>
      <c r="B142" s="27" t="s">
        <v>219</v>
      </c>
      <c r="C142" s="28">
        <v>41635</v>
      </c>
      <c r="D142" s="27"/>
      <c r="E142" s="27" t="s">
        <v>437</v>
      </c>
      <c r="F142" s="29" t="s">
        <v>438</v>
      </c>
      <c r="G142" s="27" t="s">
        <v>35</v>
      </c>
      <c r="H142" s="27" t="s">
        <v>19</v>
      </c>
      <c r="I142" s="27">
        <v>1</v>
      </c>
      <c r="J142" s="30">
        <v>254478352</v>
      </c>
      <c r="K142" s="26" t="s">
        <v>206</v>
      </c>
      <c r="L142" s="26" t="s">
        <v>207</v>
      </c>
      <c r="M142" s="31" t="s">
        <v>439</v>
      </c>
      <c r="N142" s="23"/>
      <c r="O142" s="23"/>
      <c r="P142" s="23"/>
      <c r="Q142" s="2"/>
      <c r="R142" s="2"/>
      <c r="S142" s="2"/>
      <c r="T142" s="2"/>
      <c r="U142" s="2"/>
      <c r="V142" s="2"/>
      <c r="W142" s="2"/>
      <c r="X142" s="2"/>
      <c r="Y142" s="2"/>
    </row>
    <row r="143" spans="1:26" ht="12.75" hidden="1" customHeight="1">
      <c r="A143" s="26" t="s">
        <v>440</v>
      </c>
      <c r="B143" s="27"/>
      <c r="C143" s="28"/>
      <c r="D143" s="27"/>
      <c r="E143" s="27" t="s">
        <v>441</v>
      </c>
      <c r="F143" s="29" t="s">
        <v>442</v>
      </c>
      <c r="G143" s="27"/>
      <c r="H143" s="27"/>
      <c r="I143" s="27">
        <v>1</v>
      </c>
      <c r="J143" s="30">
        <v>0</v>
      </c>
      <c r="K143" s="26" t="s">
        <v>206</v>
      </c>
      <c r="L143" s="26" t="s">
        <v>207</v>
      </c>
      <c r="M143" s="31"/>
      <c r="N143" s="23"/>
      <c r="O143" s="23"/>
      <c r="P143" s="23"/>
      <c r="Q143" s="2"/>
      <c r="R143" s="2"/>
      <c r="S143" s="2"/>
      <c r="T143" s="2"/>
      <c r="U143" s="2"/>
      <c r="V143" s="2"/>
      <c r="W143" s="2"/>
      <c r="X143" s="2"/>
      <c r="Y143" s="2"/>
    </row>
    <row r="144" spans="1:26" ht="12.75" hidden="1" customHeight="1">
      <c r="A144" s="26" t="s">
        <v>443</v>
      </c>
      <c r="B144" s="27"/>
      <c r="C144" s="28"/>
      <c r="D144" s="27"/>
      <c r="E144" s="27" t="s">
        <v>444</v>
      </c>
      <c r="F144" s="29" t="s">
        <v>445</v>
      </c>
      <c r="G144" s="27"/>
      <c r="H144" s="27"/>
      <c r="I144" s="27">
        <v>1</v>
      </c>
      <c r="J144" s="30">
        <v>0</v>
      </c>
      <c r="K144" s="26" t="s">
        <v>206</v>
      </c>
      <c r="L144" s="26" t="s">
        <v>207</v>
      </c>
      <c r="M144" s="31"/>
      <c r="N144" s="23"/>
      <c r="O144" s="23"/>
      <c r="P144" s="23"/>
      <c r="Q144" s="2"/>
      <c r="R144" s="2"/>
      <c r="S144" s="2"/>
      <c r="T144" s="2"/>
      <c r="U144" s="2"/>
      <c r="V144" s="2"/>
      <c r="W144" s="2"/>
      <c r="X144" s="2"/>
      <c r="Y144" s="2"/>
    </row>
    <row r="145" spans="1:25" ht="12.75" hidden="1" customHeight="1">
      <c r="A145" s="26" t="s">
        <v>446</v>
      </c>
      <c r="B145" s="27"/>
      <c r="C145" s="28"/>
      <c r="D145" s="27"/>
      <c r="E145" s="27" t="s">
        <v>447</v>
      </c>
      <c r="F145" s="29" t="s">
        <v>448</v>
      </c>
      <c r="G145" s="27"/>
      <c r="H145" s="27"/>
      <c r="I145" s="27">
        <v>1</v>
      </c>
      <c r="J145" s="30">
        <v>0</v>
      </c>
      <c r="K145" s="26" t="s">
        <v>206</v>
      </c>
      <c r="L145" s="26" t="s">
        <v>207</v>
      </c>
      <c r="M145" s="31"/>
      <c r="N145" s="23"/>
      <c r="O145" s="23"/>
      <c r="P145" s="23"/>
      <c r="Q145" s="2"/>
      <c r="R145" s="2"/>
      <c r="S145" s="2"/>
      <c r="T145" s="2"/>
      <c r="U145" s="2"/>
      <c r="V145" s="2"/>
      <c r="W145" s="2"/>
      <c r="X145" s="2"/>
      <c r="Y145" s="2"/>
    </row>
    <row r="146" spans="1:25" ht="12.75" hidden="1" customHeight="1">
      <c r="A146" s="26">
        <v>63</v>
      </c>
      <c r="B146" s="27" t="s">
        <v>219</v>
      </c>
      <c r="C146" s="28">
        <v>41635</v>
      </c>
      <c r="D146" s="27"/>
      <c r="E146" s="27" t="s">
        <v>449</v>
      </c>
      <c r="F146" s="29" t="s">
        <v>450</v>
      </c>
      <c r="G146" s="27" t="s">
        <v>35</v>
      </c>
      <c r="H146" s="27" t="s">
        <v>19</v>
      </c>
      <c r="I146" s="27">
        <v>1</v>
      </c>
      <c r="J146" s="30">
        <v>254478352</v>
      </c>
      <c r="K146" s="26" t="s">
        <v>206</v>
      </c>
      <c r="L146" s="26" t="s">
        <v>207</v>
      </c>
      <c r="M146" s="31" t="s">
        <v>451</v>
      </c>
      <c r="N146" s="23"/>
      <c r="O146" s="23"/>
      <c r="P146" s="23"/>
      <c r="Q146" s="2"/>
      <c r="R146" s="2"/>
      <c r="S146" s="2"/>
      <c r="T146" s="2"/>
      <c r="U146" s="2"/>
      <c r="V146" s="2"/>
      <c r="W146" s="2"/>
      <c r="X146" s="2"/>
      <c r="Y146" s="2"/>
    </row>
    <row r="147" spans="1:25" ht="12.75" hidden="1" customHeight="1">
      <c r="A147" s="26" t="s">
        <v>452</v>
      </c>
      <c r="B147" s="27"/>
      <c r="C147" s="28"/>
      <c r="D147" s="27"/>
      <c r="E147" s="27" t="s">
        <v>453</v>
      </c>
      <c r="F147" s="29" t="s">
        <v>454</v>
      </c>
      <c r="G147" s="27"/>
      <c r="H147" s="27"/>
      <c r="I147" s="27">
        <v>1</v>
      </c>
      <c r="J147" s="30">
        <v>0</v>
      </c>
      <c r="K147" s="26" t="s">
        <v>206</v>
      </c>
      <c r="L147" s="26" t="s">
        <v>207</v>
      </c>
      <c r="M147" s="31"/>
      <c r="N147" s="23"/>
      <c r="O147" s="23"/>
      <c r="P147" s="23"/>
      <c r="Q147" s="2"/>
      <c r="R147" s="2"/>
      <c r="S147" s="2"/>
      <c r="T147" s="2"/>
      <c r="U147" s="2"/>
      <c r="V147" s="2"/>
      <c r="W147" s="2"/>
      <c r="X147" s="2"/>
      <c r="Y147" s="2"/>
    </row>
    <row r="148" spans="1:25" ht="12.75" hidden="1" customHeight="1">
      <c r="A148" s="26">
        <v>64</v>
      </c>
      <c r="B148" s="27" t="s">
        <v>219</v>
      </c>
      <c r="C148" s="28">
        <v>41635</v>
      </c>
      <c r="D148" s="27"/>
      <c r="E148" s="27" t="s">
        <v>455</v>
      </c>
      <c r="F148" s="29" t="s">
        <v>456</v>
      </c>
      <c r="G148" s="27" t="s">
        <v>35</v>
      </c>
      <c r="H148" s="27" t="s">
        <v>19</v>
      </c>
      <c r="I148" s="27">
        <v>1</v>
      </c>
      <c r="J148" s="30">
        <v>254478352</v>
      </c>
      <c r="K148" s="26" t="s">
        <v>206</v>
      </c>
      <c r="L148" s="26" t="s">
        <v>207</v>
      </c>
      <c r="M148" s="31" t="s">
        <v>457</v>
      </c>
      <c r="N148" s="23"/>
      <c r="O148" s="23"/>
      <c r="P148" s="23"/>
      <c r="Q148" s="2"/>
      <c r="R148" s="2"/>
      <c r="S148" s="2"/>
      <c r="T148" s="2"/>
      <c r="U148" s="2"/>
      <c r="V148" s="2"/>
      <c r="W148" s="2"/>
      <c r="X148" s="2"/>
      <c r="Y148" s="2"/>
    </row>
    <row r="149" spans="1:25" ht="12.75" hidden="1" customHeight="1">
      <c r="A149" s="26" t="s">
        <v>458</v>
      </c>
      <c r="B149" s="27"/>
      <c r="C149" s="28"/>
      <c r="D149" s="27"/>
      <c r="E149" s="27" t="s">
        <v>459</v>
      </c>
      <c r="F149" s="29" t="s">
        <v>460</v>
      </c>
      <c r="G149" s="27"/>
      <c r="H149" s="27"/>
      <c r="I149" s="27">
        <v>1</v>
      </c>
      <c r="J149" s="30">
        <v>0</v>
      </c>
      <c r="K149" s="26" t="s">
        <v>206</v>
      </c>
      <c r="L149" s="26" t="s">
        <v>207</v>
      </c>
      <c r="M149" s="31"/>
      <c r="N149" s="23"/>
      <c r="O149" s="23"/>
      <c r="P149" s="23"/>
      <c r="Q149" s="2"/>
      <c r="R149" s="2"/>
      <c r="S149" s="2"/>
      <c r="T149" s="2"/>
      <c r="U149" s="2"/>
      <c r="V149" s="2"/>
      <c r="W149" s="2"/>
      <c r="X149" s="2"/>
      <c r="Y149" s="2"/>
    </row>
    <row r="150" spans="1:25" ht="25.5" hidden="1" customHeight="1">
      <c r="A150" s="26">
        <v>65</v>
      </c>
      <c r="B150" s="27" t="s">
        <v>461</v>
      </c>
      <c r="C150" s="28">
        <v>41841</v>
      </c>
      <c r="D150" s="27" t="s">
        <v>462</v>
      </c>
      <c r="E150" s="27" t="s">
        <v>463</v>
      </c>
      <c r="F150" s="29" t="s">
        <v>464</v>
      </c>
      <c r="G150" s="27" t="s">
        <v>307</v>
      </c>
      <c r="H150" s="27" t="s">
        <v>19</v>
      </c>
      <c r="I150" s="27">
        <v>1</v>
      </c>
      <c r="J150" s="30">
        <v>424846675</v>
      </c>
      <c r="K150" s="26" t="s">
        <v>36</v>
      </c>
      <c r="L150" s="26" t="s">
        <v>141</v>
      </c>
      <c r="M150" s="31" t="s">
        <v>465</v>
      </c>
      <c r="N150" s="23"/>
      <c r="O150" s="23"/>
      <c r="P150" s="23"/>
      <c r="Q150" s="2"/>
      <c r="R150" s="2"/>
      <c r="S150" s="2"/>
      <c r="T150" s="2"/>
      <c r="U150" s="2"/>
      <c r="V150" s="2"/>
      <c r="W150" s="2"/>
      <c r="X150" s="2"/>
      <c r="Y150" s="2"/>
    </row>
    <row r="151" spans="1:25" ht="25.5" hidden="1" customHeight="1">
      <c r="A151" s="26">
        <v>66</v>
      </c>
      <c r="B151" s="27" t="s">
        <v>466</v>
      </c>
      <c r="C151" s="28">
        <v>42626</v>
      </c>
      <c r="D151" s="27"/>
      <c r="E151" s="27" t="s">
        <v>467</v>
      </c>
      <c r="F151" s="29" t="s">
        <v>468</v>
      </c>
      <c r="G151" s="27" t="s">
        <v>307</v>
      </c>
      <c r="H151" s="27" t="s">
        <v>19</v>
      </c>
      <c r="I151" s="27">
        <v>1</v>
      </c>
      <c r="J151" s="30">
        <v>214830723</v>
      </c>
      <c r="K151" s="26" t="s">
        <v>36</v>
      </c>
      <c r="L151" s="26" t="s">
        <v>141</v>
      </c>
      <c r="M151" s="31" t="s">
        <v>469</v>
      </c>
      <c r="N151" s="23"/>
      <c r="O151" s="23"/>
      <c r="P151" s="23"/>
      <c r="Q151" s="2"/>
      <c r="R151" s="2"/>
      <c r="S151" s="2"/>
      <c r="T151" s="2"/>
      <c r="U151" s="2"/>
      <c r="V151" s="2"/>
      <c r="W151" s="2"/>
      <c r="X151" s="2"/>
      <c r="Y151" s="2"/>
    </row>
    <row r="152" spans="1:25" ht="25.5" hidden="1" customHeight="1">
      <c r="A152" s="26">
        <v>67</v>
      </c>
      <c r="B152" s="27" t="s">
        <v>470</v>
      </c>
      <c r="C152" s="28">
        <v>41983</v>
      </c>
      <c r="D152" s="27"/>
      <c r="E152" s="27" t="s">
        <v>471</v>
      </c>
      <c r="F152" s="29" t="s">
        <v>472</v>
      </c>
      <c r="G152" s="27" t="s">
        <v>307</v>
      </c>
      <c r="H152" s="27" t="s">
        <v>19</v>
      </c>
      <c r="I152" s="27">
        <v>1</v>
      </c>
      <c r="J152" s="30">
        <v>30913163</v>
      </c>
      <c r="K152" s="26" t="s">
        <v>20</v>
      </c>
      <c r="L152" s="26" t="s">
        <v>295</v>
      </c>
      <c r="M152" s="31" t="s">
        <v>473</v>
      </c>
      <c r="N152" s="23"/>
      <c r="O152" s="23"/>
      <c r="P152" s="23"/>
      <c r="Q152" s="2"/>
      <c r="R152" s="2"/>
      <c r="S152" s="2"/>
      <c r="T152" s="2"/>
      <c r="U152" s="2"/>
      <c r="V152" s="2"/>
      <c r="W152" s="2"/>
      <c r="X152" s="2"/>
      <c r="Y152" s="2"/>
    </row>
    <row r="153" spans="1:25" ht="25.5" customHeight="1">
      <c r="A153" s="26" t="s">
        <v>474</v>
      </c>
      <c r="B153" s="27"/>
      <c r="C153" s="28"/>
      <c r="D153" s="27"/>
      <c r="E153" s="47" t="s">
        <v>475</v>
      </c>
      <c r="F153" s="29" t="s">
        <v>476</v>
      </c>
      <c r="G153" s="27" t="s">
        <v>248</v>
      </c>
      <c r="H153" s="27" t="s">
        <v>249</v>
      </c>
      <c r="I153" s="27">
        <v>1</v>
      </c>
      <c r="J153" s="30">
        <v>0</v>
      </c>
      <c r="K153" s="26" t="s">
        <v>20</v>
      </c>
      <c r="L153" s="26" t="s">
        <v>423</v>
      </c>
      <c r="M153" s="31" t="s">
        <v>477</v>
      </c>
      <c r="N153" s="7"/>
      <c r="O153" s="7" t="str">
        <f ca="1">IFERROR(__xludf.DUMMYFUNCTION("IFERROR(INDEX(Sheet1!$C:$C, MAX(FILTER(ROW(Sheet1!$B:$B), Sheet1!$B:$B=E153))), """")"),"")</f>
        <v/>
      </c>
      <c r="P153" s="23"/>
      <c r="Q153" s="2"/>
      <c r="R153" s="2"/>
      <c r="S153" s="2"/>
      <c r="T153" s="2"/>
      <c r="U153" s="2"/>
      <c r="V153" s="2"/>
      <c r="W153" s="2"/>
      <c r="X153" s="2"/>
      <c r="Y153" s="2"/>
    </row>
    <row r="154" spans="1:25" ht="25.5" hidden="1" customHeight="1">
      <c r="A154" s="26">
        <v>68</v>
      </c>
      <c r="B154" s="27" t="s">
        <v>470</v>
      </c>
      <c r="C154" s="28">
        <v>41983</v>
      </c>
      <c r="D154" s="27"/>
      <c r="E154" s="27" t="s">
        <v>478</v>
      </c>
      <c r="F154" s="29" t="s">
        <v>479</v>
      </c>
      <c r="G154" s="27" t="s">
        <v>307</v>
      </c>
      <c r="H154" s="27" t="s">
        <v>19</v>
      </c>
      <c r="I154" s="27">
        <v>1</v>
      </c>
      <c r="J154" s="30">
        <v>30913163</v>
      </c>
      <c r="K154" s="26" t="s">
        <v>20</v>
      </c>
      <c r="L154" s="26" t="s">
        <v>233</v>
      </c>
      <c r="M154" s="31" t="s">
        <v>480</v>
      </c>
      <c r="N154" s="23"/>
      <c r="O154" s="23"/>
      <c r="P154" s="23"/>
      <c r="Q154" s="2"/>
      <c r="R154" s="2"/>
      <c r="S154" s="2"/>
      <c r="T154" s="2"/>
      <c r="U154" s="2"/>
      <c r="V154" s="2"/>
      <c r="W154" s="2"/>
      <c r="X154" s="2"/>
      <c r="Y154" s="2"/>
    </row>
    <row r="155" spans="1:25" ht="25.5" customHeight="1">
      <c r="A155" s="26" t="s">
        <v>481</v>
      </c>
      <c r="B155" s="27"/>
      <c r="C155" s="28"/>
      <c r="D155" s="27"/>
      <c r="E155" s="47" t="s">
        <v>482</v>
      </c>
      <c r="F155" s="29" t="s">
        <v>483</v>
      </c>
      <c r="G155" s="27" t="s">
        <v>248</v>
      </c>
      <c r="H155" s="27" t="s">
        <v>249</v>
      </c>
      <c r="I155" s="27">
        <v>1</v>
      </c>
      <c r="J155" s="30">
        <v>0</v>
      </c>
      <c r="K155" s="26" t="s">
        <v>20</v>
      </c>
      <c r="L155" s="26" t="s">
        <v>423</v>
      </c>
      <c r="M155" s="48" t="s">
        <v>484</v>
      </c>
      <c r="N155" s="7"/>
      <c r="O155" s="7" t="str">
        <f ca="1">IFERROR(__xludf.DUMMYFUNCTION("IFERROR(INDEX(Sheet1!$C:$C, MAX(FILTER(ROW(Sheet1!$B:$B), Sheet1!$B:$B=E155))), """")"),"")</f>
        <v/>
      </c>
      <c r="P155" s="23"/>
      <c r="Q155" s="2"/>
      <c r="R155" s="2"/>
      <c r="S155" s="2"/>
      <c r="T155" s="2"/>
      <c r="U155" s="2"/>
      <c r="V155" s="2"/>
      <c r="W155" s="2"/>
      <c r="X155" s="2"/>
      <c r="Y155" s="2"/>
    </row>
    <row r="156" spans="1:25" ht="25.5" customHeight="1">
      <c r="A156" s="49">
        <v>69</v>
      </c>
      <c r="B156" s="27" t="s">
        <v>470</v>
      </c>
      <c r="C156" s="50">
        <v>41983</v>
      </c>
      <c r="D156" s="27"/>
      <c r="E156" s="51" t="s">
        <v>485</v>
      </c>
      <c r="F156" s="52" t="s">
        <v>486</v>
      </c>
      <c r="G156" s="27" t="s">
        <v>307</v>
      </c>
      <c r="H156" s="27" t="s">
        <v>19</v>
      </c>
      <c r="I156" s="27">
        <v>1</v>
      </c>
      <c r="J156" s="30">
        <v>30913163</v>
      </c>
      <c r="K156" s="26" t="s">
        <v>20</v>
      </c>
      <c r="L156" s="49" t="s">
        <v>423</v>
      </c>
      <c r="M156" s="53" t="s">
        <v>487</v>
      </c>
      <c r="N156" s="7"/>
      <c r="O156" s="7" t="str">
        <f ca="1">IFERROR(__xludf.DUMMYFUNCTION("IFERROR(INDEX(Sheet1!$C:$C, MAX(FILTER(ROW(Sheet1!$B:$B), Sheet1!$B:$B=E156))), """")"),"")</f>
        <v/>
      </c>
      <c r="P156" s="23"/>
      <c r="Q156" s="2"/>
      <c r="R156" s="2"/>
      <c r="S156" s="2"/>
      <c r="T156" s="2"/>
      <c r="U156" s="2"/>
      <c r="V156" s="2"/>
      <c r="W156" s="2"/>
      <c r="X156" s="2"/>
      <c r="Y156" s="2"/>
    </row>
    <row r="157" spans="1:25" ht="12.75" customHeight="1">
      <c r="A157" s="49" t="s">
        <v>488</v>
      </c>
      <c r="B157" s="27"/>
      <c r="C157" s="50"/>
      <c r="D157" s="27"/>
      <c r="E157" s="51" t="s">
        <v>489</v>
      </c>
      <c r="F157" s="52" t="s">
        <v>490</v>
      </c>
      <c r="G157" s="27" t="s">
        <v>248</v>
      </c>
      <c r="H157" s="27" t="s">
        <v>249</v>
      </c>
      <c r="I157" s="27">
        <v>1</v>
      </c>
      <c r="J157" s="30">
        <v>0</v>
      </c>
      <c r="K157" s="26" t="s">
        <v>20</v>
      </c>
      <c r="L157" s="49" t="s">
        <v>423</v>
      </c>
      <c r="M157" s="54" t="s">
        <v>491</v>
      </c>
      <c r="N157" s="7"/>
      <c r="O157" s="7" t="str">
        <f ca="1">IFERROR(__xludf.DUMMYFUNCTION("IFERROR(INDEX(Sheet1!$C:$C, MAX(FILTER(ROW(Sheet1!$B:$B), Sheet1!$B:$B=E157))), """")"),"")</f>
        <v/>
      </c>
      <c r="P157" s="23"/>
      <c r="Q157" s="2"/>
      <c r="R157" s="2"/>
      <c r="S157" s="2"/>
      <c r="T157" s="2"/>
      <c r="U157" s="2"/>
      <c r="V157" s="2"/>
      <c r="W157" s="2"/>
      <c r="X157" s="2"/>
      <c r="Y157" s="2"/>
    </row>
    <row r="158" spans="1:25" ht="25.5" customHeight="1">
      <c r="A158" s="26">
        <v>70</v>
      </c>
      <c r="B158" s="27" t="s">
        <v>470</v>
      </c>
      <c r="C158" s="28">
        <v>41983</v>
      </c>
      <c r="D158" s="27"/>
      <c r="E158" s="47" t="s">
        <v>492</v>
      </c>
      <c r="F158" s="29" t="s">
        <v>493</v>
      </c>
      <c r="G158" s="27" t="s">
        <v>45</v>
      </c>
      <c r="H158" s="27" t="s">
        <v>19</v>
      </c>
      <c r="I158" s="27">
        <v>1</v>
      </c>
      <c r="J158" s="30">
        <v>1138634839</v>
      </c>
      <c r="K158" s="26" t="s">
        <v>20</v>
      </c>
      <c r="L158" s="26" t="s">
        <v>423</v>
      </c>
      <c r="M158" s="31" t="s">
        <v>494</v>
      </c>
      <c r="N158" s="55"/>
      <c r="O158" s="55"/>
      <c r="P158" s="32"/>
      <c r="Q158" s="2"/>
      <c r="R158" s="2"/>
      <c r="S158" s="2"/>
      <c r="T158" s="2"/>
      <c r="U158" s="2"/>
      <c r="V158" s="2"/>
      <c r="W158" s="2"/>
      <c r="X158" s="2"/>
      <c r="Y158" s="2"/>
    </row>
    <row r="159" spans="1:25" ht="12.75" customHeight="1">
      <c r="A159" s="26" t="s">
        <v>495</v>
      </c>
      <c r="B159" s="27"/>
      <c r="C159" s="28"/>
      <c r="D159" s="27"/>
      <c r="E159" s="56" t="s">
        <v>496</v>
      </c>
      <c r="F159" s="29" t="s">
        <v>497</v>
      </c>
      <c r="G159" s="27" t="s">
        <v>45</v>
      </c>
      <c r="H159" s="27" t="s">
        <v>19</v>
      </c>
      <c r="I159" s="27">
        <v>1</v>
      </c>
      <c r="J159" s="30">
        <v>0</v>
      </c>
      <c r="K159" s="26" t="s">
        <v>20</v>
      </c>
      <c r="L159" s="26" t="s">
        <v>423</v>
      </c>
      <c r="M159" s="48" t="s">
        <v>498</v>
      </c>
      <c r="N159" s="7"/>
      <c r="O159" s="7" t="str">
        <f ca="1">IFERROR(__xludf.DUMMYFUNCTION("IFERROR(INDEX(Sheet1!$C:$C, MAX(FILTER(ROW(Sheet1!$B:$B), Sheet1!$B:$B=E159))), """")"),"")</f>
        <v/>
      </c>
      <c r="P159" s="23"/>
      <c r="Q159" s="2"/>
      <c r="R159" s="2"/>
      <c r="S159" s="2"/>
      <c r="T159" s="2"/>
      <c r="U159" s="2"/>
      <c r="V159" s="2"/>
      <c r="W159" s="2"/>
      <c r="X159" s="2"/>
      <c r="Y159" s="2"/>
    </row>
    <row r="160" spans="1:25" ht="25.5" customHeight="1">
      <c r="A160" s="26" t="s">
        <v>499</v>
      </c>
      <c r="B160" s="27"/>
      <c r="C160" s="28"/>
      <c r="D160" s="27"/>
      <c r="E160" s="47" t="s">
        <v>500</v>
      </c>
      <c r="F160" s="29" t="s">
        <v>501</v>
      </c>
      <c r="G160" s="27" t="s">
        <v>45</v>
      </c>
      <c r="H160" s="27" t="s">
        <v>19</v>
      </c>
      <c r="I160" s="27">
        <v>1</v>
      </c>
      <c r="J160" s="30">
        <v>0</v>
      </c>
      <c r="K160" s="26" t="s">
        <v>20</v>
      </c>
      <c r="L160" s="26" t="s">
        <v>423</v>
      </c>
      <c r="M160" s="48" t="s">
        <v>502</v>
      </c>
      <c r="N160" s="7"/>
      <c r="O160" s="7" t="str">
        <f ca="1">IFERROR(__xludf.DUMMYFUNCTION("IFERROR(INDEX(Sheet1!$C:$C, MAX(FILTER(ROW(Sheet1!$B:$B), Sheet1!$B:$B=E160))), """")"),"")</f>
        <v/>
      </c>
      <c r="P160" s="23"/>
      <c r="Q160" s="2"/>
      <c r="R160" s="2"/>
      <c r="S160" s="2"/>
      <c r="T160" s="2"/>
      <c r="U160" s="2"/>
      <c r="V160" s="2"/>
      <c r="W160" s="2"/>
      <c r="X160" s="2"/>
      <c r="Y160" s="2"/>
    </row>
    <row r="161" spans="1:25" ht="25.5" customHeight="1">
      <c r="A161" s="26" t="s">
        <v>503</v>
      </c>
      <c r="B161" s="27"/>
      <c r="C161" s="28"/>
      <c r="D161" s="27"/>
      <c r="E161" s="47" t="s">
        <v>504</v>
      </c>
      <c r="F161" s="29" t="s">
        <v>505</v>
      </c>
      <c r="G161" s="27" t="s">
        <v>45</v>
      </c>
      <c r="H161" s="27" t="s">
        <v>19</v>
      </c>
      <c r="I161" s="27">
        <v>1</v>
      </c>
      <c r="J161" s="30">
        <v>0</v>
      </c>
      <c r="K161" s="26" t="s">
        <v>20</v>
      </c>
      <c r="L161" s="26" t="s">
        <v>423</v>
      </c>
      <c r="M161" s="48" t="s">
        <v>506</v>
      </c>
      <c r="N161" s="7"/>
      <c r="O161" s="7" t="str">
        <f ca="1">IFERROR(__xludf.DUMMYFUNCTION("IFERROR(INDEX(Sheet1!$C:$C, MAX(FILTER(ROW(Sheet1!$B:$B), Sheet1!$B:$B=E161))), """")"),"")</f>
        <v/>
      </c>
      <c r="P161" s="23"/>
      <c r="Q161" s="2"/>
      <c r="R161" s="2"/>
      <c r="S161" s="2"/>
      <c r="T161" s="2"/>
      <c r="U161" s="2"/>
      <c r="V161" s="2"/>
      <c r="W161" s="2"/>
      <c r="X161" s="2"/>
      <c r="Y161" s="2"/>
    </row>
    <row r="162" spans="1:25" ht="12.75" customHeight="1">
      <c r="A162" s="26" t="s">
        <v>507</v>
      </c>
      <c r="B162" s="27"/>
      <c r="C162" s="28"/>
      <c r="D162" s="27"/>
      <c r="E162" s="47" t="s">
        <v>508</v>
      </c>
      <c r="F162" s="29" t="s">
        <v>509</v>
      </c>
      <c r="G162" s="27" t="s">
        <v>45</v>
      </c>
      <c r="H162" s="27" t="s">
        <v>19</v>
      </c>
      <c r="I162" s="27">
        <v>1</v>
      </c>
      <c r="J162" s="30">
        <v>0</v>
      </c>
      <c r="K162" s="26" t="s">
        <v>20</v>
      </c>
      <c r="L162" s="26" t="s">
        <v>423</v>
      </c>
      <c r="M162" s="48" t="s">
        <v>510</v>
      </c>
      <c r="N162" s="7"/>
      <c r="O162" s="7" t="str">
        <f ca="1">IFERROR(__xludf.DUMMYFUNCTION("IFERROR(INDEX(Sheet1!$C:$C, MAX(FILTER(ROW(Sheet1!$B:$B), Sheet1!$B:$B=E162))), """")"),"")</f>
        <v/>
      </c>
      <c r="P162" s="23"/>
      <c r="Q162" s="2"/>
      <c r="R162" s="2"/>
      <c r="S162" s="2"/>
      <c r="T162" s="2"/>
      <c r="U162" s="2"/>
      <c r="V162" s="2"/>
      <c r="W162" s="2"/>
      <c r="X162" s="2"/>
      <c r="Y162" s="2"/>
    </row>
    <row r="163" spans="1:25" ht="12.75" customHeight="1">
      <c r="A163" s="49" t="s">
        <v>511</v>
      </c>
      <c r="B163" s="27"/>
      <c r="C163" s="50"/>
      <c r="D163" s="27"/>
      <c r="E163" s="51" t="s">
        <v>512</v>
      </c>
      <c r="F163" s="52" t="s">
        <v>513</v>
      </c>
      <c r="G163" s="27" t="s">
        <v>45</v>
      </c>
      <c r="H163" s="27" t="s">
        <v>19</v>
      </c>
      <c r="I163" s="27">
        <v>1</v>
      </c>
      <c r="J163" s="30">
        <v>0</v>
      </c>
      <c r="K163" s="26" t="s">
        <v>20</v>
      </c>
      <c r="L163" s="49" t="s">
        <v>423</v>
      </c>
      <c r="M163" s="54" t="s">
        <v>514</v>
      </c>
      <c r="N163" s="55"/>
      <c r="O163" s="55"/>
      <c r="P163" s="23"/>
      <c r="Q163" s="2"/>
      <c r="R163" s="2"/>
      <c r="S163" s="2"/>
      <c r="T163" s="2"/>
      <c r="U163" s="2"/>
      <c r="V163" s="2"/>
      <c r="W163" s="2"/>
      <c r="X163" s="2"/>
      <c r="Y163" s="2"/>
    </row>
    <row r="164" spans="1:25" ht="38.25" customHeight="1">
      <c r="A164" s="26" t="s">
        <v>515</v>
      </c>
      <c r="B164" s="27"/>
      <c r="C164" s="28"/>
      <c r="D164" s="27"/>
      <c r="E164" s="47" t="s">
        <v>516</v>
      </c>
      <c r="F164" s="29" t="s">
        <v>517</v>
      </c>
      <c r="G164" s="27" t="s">
        <v>248</v>
      </c>
      <c r="H164" s="27" t="s">
        <v>19</v>
      </c>
      <c r="I164" s="27">
        <v>1</v>
      </c>
      <c r="J164" s="30">
        <v>0</v>
      </c>
      <c r="K164" s="26" t="s">
        <v>20</v>
      </c>
      <c r="L164" s="26" t="s">
        <v>423</v>
      </c>
      <c r="M164" s="57" t="s">
        <v>518</v>
      </c>
      <c r="N164" s="55"/>
      <c r="O164" s="55"/>
      <c r="P164" s="32"/>
      <c r="Q164" s="2"/>
      <c r="R164" s="2"/>
      <c r="S164" s="2"/>
      <c r="T164" s="2"/>
      <c r="U164" s="2"/>
      <c r="V164" s="2"/>
      <c r="W164" s="2"/>
      <c r="X164" s="2"/>
      <c r="Y164" s="2"/>
    </row>
    <row r="165" spans="1:25" ht="12.75" customHeight="1">
      <c r="A165" s="26" t="s">
        <v>519</v>
      </c>
      <c r="B165" s="27"/>
      <c r="C165" s="28"/>
      <c r="D165" s="27"/>
      <c r="E165" s="47" t="s">
        <v>520</v>
      </c>
      <c r="F165" s="29" t="s">
        <v>521</v>
      </c>
      <c r="G165" s="27"/>
      <c r="H165" s="27" t="s">
        <v>522</v>
      </c>
      <c r="I165" s="27">
        <v>1</v>
      </c>
      <c r="J165" s="30">
        <v>0</v>
      </c>
      <c r="K165" s="26" t="s">
        <v>20</v>
      </c>
      <c r="L165" s="26" t="s">
        <v>423</v>
      </c>
      <c r="M165" s="31" t="s">
        <v>523</v>
      </c>
      <c r="N165" s="7"/>
      <c r="O165" s="7" t="str">
        <f ca="1">IFERROR(__xludf.DUMMYFUNCTION("IFERROR(INDEX(Sheet1!$C:$C, MAX(FILTER(ROW(Sheet1!$B:$B), Sheet1!$B:$B=E165))), """")"),"")</f>
        <v/>
      </c>
      <c r="P165" s="23"/>
      <c r="Q165" s="2"/>
      <c r="R165" s="2"/>
      <c r="S165" s="2"/>
      <c r="T165" s="2"/>
      <c r="U165" s="2"/>
      <c r="V165" s="2"/>
      <c r="W165" s="2"/>
      <c r="X165" s="2"/>
      <c r="Y165" s="2"/>
    </row>
    <row r="166" spans="1:25" ht="25.5" customHeight="1">
      <c r="A166" s="26">
        <v>71</v>
      </c>
      <c r="B166" s="27" t="s">
        <v>470</v>
      </c>
      <c r="C166" s="28">
        <v>41983</v>
      </c>
      <c r="D166" s="27"/>
      <c r="E166" s="47" t="s">
        <v>524</v>
      </c>
      <c r="F166" s="29" t="s">
        <v>525</v>
      </c>
      <c r="G166" s="27"/>
      <c r="H166" s="27"/>
      <c r="I166" s="27">
        <v>1</v>
      </c>
      <c r="J166" s="30">
        <v>849883068</v>
      </c>
      <c r="K166" s="26" t="s">
        <v>20</v>
      </c>
      <c r="L166" s="26" t="s">
        <v>423</v>
      </c>
      <c r="M166" s="31" t="s">
        <v>526</v>
      </c>
      <c r="N166" s="55"/>
      <c r="O166" s="55"/>
      <c r="P166" s="32"/>
      <c r="Q166" s="2"/>
      <c r="R166" s="2"/>
      <c r="S166" s="2"/>
      <c r="T166" s="2"/>
      <c r="U166" s="2"/>
      <c r="V166" s="2"/>
      <c r="W166" s="2"/>
      <c r="X166" s="2"/>
      <c r="Y166" s="2"/>
    </row>
    <row r="167" spans="1:25" ht="63.75" customHeight="1">
      <c r="A167" s="26" t="s">
        <v>527</v>
      </c>
      <c r="B167" s="27"/>
      <c r="C167" s="28"/>
      <c r="D167" s="27"/>
      <c r="E167" s="47" t="s">
        <v>528</v>
      </c>
      <c r="F167" s="29" t="s">
        <v>529</v>
      </c>
      <c r="G167" s="27" t="s">
        <v>307</v>
      </c>
      <c r="H167" s="27" t="s">
        <v>249</v>
      </c>
      <c r="I167" s="27">
        <v>1</v>
      </c>
      <c r="J167" s="30">
        <v>0</v>
      </c>
      <c r="K167" s="26" t="s">
        <v>20</v>
      </c>
      <c r="L167" s="26" t="s">
        <v>423</v>
      </c>
      <c r="M167" s="31" t="s">
        <v>526</v>
      </c>
      <c r="N167" s="55"/>
      <c r="O167" s="55"/>
      <c r="P167" s="32"/>
      <c r="Q167" s="2"/>
      <c r="R167" s="2"/>
      <c r="S167" s="2"/>
      <c r="T167" s="2"/>
      <c r="U167" s="2"/>
      <c r="V167" s="2"/>
      <c r="W167" s="2"/>
      <c r="X167" s="2"/>
      <c r="Y167" s="2"/>
    </row>
    <row r="168" spans="1:25" ht="12.75" customHeight="1">
      <c r="A168" s="49" t="s">
        <v>530</v>
      </c>
      <c r="B168" s="27"/>
      <c r="C168" s="50"/>
      <c r="D168" s="27"/>
      <c r="E168" s="51" t="s">
        <v>531</v>
      </c>
      <c r="F168" s="52" t="s">
        <v>532</v>
      </c>
      <c r="G168" s="27" t="s">
        <v>248</v>
      </c>
      <c r="H168" s="27" t="s">
        <v>249</v>
      </c>
      <c r="I168" s="27">
        <v>1</v>
      </c>
      <c r="J168" s="30">
        <v>0</v>
      </c>
      <c r="K168" s="26" t="s">
        <v>20</v>
      </c>
      <c r="L168" s="49" t="s">
        <v>423</v>
      </c>
      <c r="M168" s="58" t="s">
        <v>533</v>
      </c>
      <c r="N168" s="55"/>
      <c r="O168" s="7" t="str">
        <f ca="1">IFERROR(__xludf.DUMMYFUNCTION("IFERROR(INDEX(Sheet1!$C:$C, MAX(FILTER(ROW(Sheet1!$B:$B), Sheet1!$B:$B=E168))), """")"),"")</f>
        <v/>
      </c>
      <c r="P168" s="23"/>
      <c r="Q168" s="2"/>
      <c r="R168" s="2"/>
      <c r="S168" s="2"/>
      <c r="T168" s="2"/>
      <c r="U168" s="2"/>
      <c r="V168" s="2"/>
      <c r="W168" s="2"/>
      <c r="X168" s="2"/>
      <c r="Y168" s="2"/>
    </row>
    <row r="169" spans="1:25" ht="51" customHeight="1">
      <c r="A169" s="49" t="s">
        <v>534</v>
      </c>
      <c r="B169" s="27"/>
      <c r="C169" s="50"/>
      <c r="D169" s="27"/>
      <c r="E169" s="51" t="s">
        <v>535</v>
      </c>
      <c r="F169" s="52" t="s">
        <v>536</v>
      </c>
      <c r="G169" s="27" t="s">
        <v>307</v>
      </c>
      <c r="H169" s="27" t="s">
        <v>249</v>
      </c>
      <c r="I169" s="27">
        <v>1</v>
      </c>
      <c r="J169" s="30">
        <v>0</v>
      </c>
      <c r="K169" s="26" t="s">
        <v>20</v>
      </c>
      <c r="L169" s="49" t="s">
        <v>423</v>
      </c>
      <c r="M169" s="54" t="s">
        <v>537</v>
      </c>
      <c r="N169" s="7"/>
      <c r="O169" s="7" t="str">
        <f ca="1">IFERROR(__xludf.DUMMYFUNCTION("IFERROR(INDEX(Sheet1!$C:$C, MAX(FILTER(ROW(Sheet1!$B:$B), Sheet1!$B:$B=E169))), """")"),"")</f>
        <v/>
      </c>
      <c r="P169" s="23"/>
      <c r="Q169" s="2"/>
      <c r="R169" s="2"/>
      <c r="S169" s="2"/>
      <c r="T169" s="2"/>
      <c r="U169" s="2"/>
      <c r="V169" s="2"/>
      <c r="W169" s="2"/>
      <c r="X169" s="2"/>
      <c r="Y169" s="2"/>
    </row>
    <row r="170" spans="1:25" ht="25.5" hidden="1" customHeight="1">
      <c r="A170" s="26" t="s">
        <v>538</v>
      </c>
      <c r="B170" s="27"/>
      <c r="C170" s="28"/>
      <c r="D170" s="27"/>
      <c r="E170" s="27" t="s">
        <v>539</v>
      </c>
      <c r="F170" s="29" t="s">
        <v>540</v>
      </c>
      <c r="G170" s="27" t="s">
        <v>248</v>
      </c>
      <c r="H170" s="27" t="s">
        <v>249</v>
      </c>
      <c r="I170" s="27">
        <v>1</v>
      </c>
      <c r="J170" s="30">
        <v>0</v>
      </c>
      <c r="K170" s="26" t="s">
        <v>20</v>
      </c>
      <c r="L170" s="36" t="s">
        <v>229</v>
      </c>
      <c r="M170" s="31" t="str">
        <f>IFERROR(VLOOKUP(E170, TSCD_XUAN!$C$7:$K$1000, 9, 0), "Không tìm thấy")</f>
        <v>A2-Control trên rack -kho</v>
      </c>
      <c r="N170" s="23"/>
      <c r="O170" s="23"/>
      <c r="P170" s="23"/>
      <c r="Q170" s="2"/>
      <c r="R170" s="2"/>
      <c r="S170" s="2"/>
      <c r="T170" s="2"/>
      <c r="U170" s="2"/>
      <c r="V170" s="2"/>
      <c r="W170" s="2"/>
      <c r="X170" s="2"/>
      <c r="Y170" s="2"/>
    </row>
    <row r="171" spans="1:25" ht="25.5" customHeight="1">
      <c r="A171" s="49">
        <v>72</v>
      </c>
      <c r="B171" s="27" t="s">
        <v>470</v>
      </c>
      <c r="C171" s="50">
        <v>41983</v>
      </c>
      <c r="D171" s="27"/>
      <c r="E171" s="51" t="s">
        <v>541</v>
      </c>
      <c r="F171" s="52" t="s">
        <v>542</v>
      </c>
      <c r="G171" s="27" t="s">
        <v>35</v>
      </c>
      <c r="H171" s="27" t="s">
        <v>19</v>
      </c>
      <c r="I171" s="27">
        <v>1</v>
      </c>
      <c r="J171" s="30">
        <v>243687138</v>
      </c>
      <c r="K171" s="26" t="s">
        <v>20</v>
      </c>
      <c r="L171" s="49" t="s">
        <v>423</v>
      </c>
      <c r="M171" s="54" t="s">
        <v>543</v>
      </c>
      <c r="N171" s="7"/>
      <c r="O171" s="7" t="str">
        <f ca="1">IFERROR(__xludf.DUMMYFUNCTION("IFERROR(INDEX(Sheet1!$C:$C, MAX(FILTER(ROW(Sheet1!$B:$B), Sheet1!$B:$B=E171))), """")"),"")</f>
        <v/>
      </c>
      <c r="P171" s="23"/>
      <c r="Q171" s="2"/>
      <c r="R171" s="2"/>
      <c r="S171" s="2"/>
      <c r="T171" s="2"/>
      <c r="U171" s="2"/>
      <c r="V171" s="2"/>
      <c r="W171" s="2"/>
      <c r="X171" s="2"/>
      <c r="Y171" s="2"/>
    </row>
    <row r="172" spans="1:25" ht="12.75" customHeight="1">
      <c r="A172" s="26" t="s">
        <v>544</v>
      </c>
      <c r="B172" s="27"/>
      <c r="C172" s="28"/>
      <c r="D172" s="27"/>
      <c r="E172" s="56" t="s">
        <v>545</v>
      </c>
      <c r="F172" s="29" t="s">
        <v>546</v>
      </c>
      <c r="G172" s="27" t="s">
        <v>35</v>
      </c>
      <c r="H172" s="27" t="s">
        <v>249</v>
      </c>
      <c r="I172" s="27">
        <v>1</v>
      </c>
      <c r="J172" s="30">
        <v>0</v>
      </c>
      <c r="K172" s="26" t="s">
        <v>20</v>
      </c>
      <c r="L172" s="26" t="s">
        <v>423</v>
      </c>
      <c r="M172" s="57" t="s">
        <v>547</v>
      </c>
      <c r="N172" s="7"/>
      <c r="O172" s="7" t="str">
        <f ca="1">IFERROR(__xludf.DUMMYFUNCTION("IFERROR(INDEX(Sheet1!$C:$C, MAX(FILTER(ROW(Sheet1!$B:$B), Sheet1!$B:$B=E172))), """")"),"")</f>
        <v/>
      </c>
      <c r="P172" s="23"/>
      <c r="Q172" s="2"/>
      <c r="R172" s="2"/>
      <c r="S172" s="2"/>
      <c r="T172" s="2"/>
      <c r="U172" s="2"/>
      <c r="V172" s="2"/>
      <c r="W172" s="2"/>
      <c r="X172" s="2"/>
      <c r="Y172" s="2"/>
    </row>
    <row r="173" spans="1:25" ht="25.5" customHeight="1">
      <c r="A173" s="26">
        <v>73</v>
      </c>
      <c r="B173" s="27" t="s">
        <v>470</v>
      </c>
      <c r="C173" s="28">
        <v>41983</v>
      </c>
      <c r="D173" s="27"/>
      <c r="E173" s="47" t="s">
        <v>548</v>
      </c>
      <c r="F173" s="29" t="s">
        <v>549</v>
      </c>
      <c r="G173" s="27" t="s">
        <v>35</v>
      </c>
      <c r="H173" s="27" t="s">
        <v>19</v>
      </c>
      <c r="I173" s="27">
        <v>1</v>
      </c>
      <c r="J173" s="30">
        <v>243687138</v>
      </c>
      <c r="K173" s="26" t="s">
        <v>20</v>
      </c>
      <c r="L173" s="26" t="s">
        <v>423</v>
      </c>
      <c r="M173" s="31" t="s">
        <v>550</v>
      </c>
      <c r="N173" s="7"/>
      <c r="O173" s="7" t="str">
        <f ca="1">IFERROR(__xludf.DUMMYFUNCTION("IFERROR(INDEX(Sheet1!$C:$C, MAX(FILTER(ROW(Sheet1!$B:$B), Sheet1!$B:$B=E173))), """")"),"")</f>
        <v/>
      </c>
      <c r="P173" s="23"/>
      <c r="Q173" s="2"/>
      <c r="R173" s="2"/>
      <c r="S173" s="2"/>
      <c r="T173" s="2"/>
      <c r="U173" s="2"/>
      <c r="V173" s="2"/>
      <c r="W173" s="2"/>
      <c r="X173" s="2"/>
      <c r="Y173" s="2"/>
    </row>
    <row r="174" spans="1:25" ht="25">
      <c r="A174" s="26" t="s">
        <v>551</v>
      </c>
      <c r="B174" s="27"/>
      <c r="C174" s="28"/>
      <c r="D174" s="27"/>
      <c r="E174" s="47" t="s">
        <v>552</v>
      </c>
      <c r="F174" s="29" t="s">
        <v>553</v>
      </c>
      <c r="G174" s="27" t="s">
        <v>35</v>
      </c>
      <c r="H174" s="27" t="s">
        <v>249</v>
      </c>
      <c r="I174" s="27">
        <v>1</v>
      </c>
      <c r="J174" s="30">
        <v>0</v>
      </c>
      <c r="K174" s="26" t="s">
        <v>20</v>
      </c>
      <c r="L174" s="26" t="s">
        <v>423</v>
      </c>
      <c r="M174" s="31" t="s">
        <v>554</v>
      </c>
      <c r="N174" s="7"/>
      <c r="O174" s="7" t="str">
        <f ca="1">IFERROR(__xludf.DUMMYFUNCTION("IFERROR(INDEX(Sheet1!$C:$C, MAX(FILTER(ROW(Sheet1!$B:$B), Sheet1!$B:$B=E174))), """")"),"")</f>
        <v/>
      </c>
      <c r="P174" s="23"/>
      <c r="Q174" s="2"/>
      <c r="R174" s="2"/>
      <c r="S174" s="2"/>
      <c r="T174" s="2"/>
      <c r="U174" s="2"/>
      <c r="V174" s="2"/>
      <c r="W174" s="2"/>
      <c r="X174" s="2"/>
      <c r="Y174" s="2"/>
    </row>
    <row r="175" spans="1:25" ht="25.5" customHeight="1">
      <c r="A175" s="26">
        <v>74</v>
      </c>
      <c r="B175" s="27" t="s">
        <v>470</v>
      </c>
      <c r="C175" s="28">
        <v>41983</v>
      </c>
      <c r="D175" s="27"/>
      <c r="E175" s="47" t="s">
        <v>555</v>
      </c>
      <c r="F175" s="29" t="s">
        <v>556</v>
      </c>
      <c r="G175" s="27" t="s">
        <v>35</v>
      </c>
      <c r="H175" s="27" t="s">
        <v>19</v>
      </c>
      <c r="I175" s="27">
        <v>1</v>
      </c>
      <c r="J175" s="30">
        <v>243687119</v>
      </c>
      <c r="K175" s="26" t="s">
        <v>20</v>
      </c>
      <c r="L175" s="26" t="s">
        <v>423</v>
      </c>
      <c r="M175" s="31" t="s">
        <v>557</v>
      </c>
      <c r="N175" s="7"/>
      <c r="O175" s="7" t="str">
        <f ca="1">IFERROR(__xludf.DUMMYFUNCTION("IFERROR(INDEX(Sheet1!$C:$C, MAX(FILTER(ROW(Sheet1!$B:$B), Sheet1!$B:$B=E175))), """")"),"")</f>
        <v/>
      </c>
      <c r="P175" s="23"/>
      <c r="Q175" s="2"/>
      <c r="R175" s="2"/>
      <c r="S175" s="2"/>
      <c r="T175" s="2"/>
      <c r="U175" s="2"/>
      <c r="V175" s="2"/>
      <c r="W175" s="2"/>
      <c r="X175" s="2"/>
      <c r="Y175" s="2"/>
    </row>
    <row r="176" spans="1:25" ht="12.75" customHeight="1">
      <c r="A176" s="26" t="s">
        <v>558</v>
      </c>
      <c r="B176" s="27"/>
      <c r="C176" s="28"/>
      <c r="D176" s="27"/>
      <c r="E176" s="47" t="s">
        <v>559</v>
      </c>
      <c r="F176" s="29" t="s">
        <v>560</v>
      </c>
      <c r="G176" s="27" t="s">
        <v>35</v>
      </c>
      <c r="H176" s="27" t="s">
        <v>249</v>
      </c>
      <c r="I176" s="27">
        <v>1</v>
      </c>
      <c r="J176" s="30">
        <v>0</v>
      </c>
      <c r="K176" s="26" t="s">
        <v>20</v>
      </c>
      <c r="L176" s="26" t="s">
        <v>423</v>
      </c>
      <c r="M176" s="31" t="s">
        <v>561</v>
      </c>
      <c r="N176" s="7"/>
      <c r="O176" s="7" t="str">
        <f ca="1">IFERROR(__xludf.DUMMYFUNCTION("IFERROR(INDEX(Sheet1!$C:$C, MAX(FILTER(ROW(Sheet1!$B:$B), Sheet1!$B:$B=E176))), """")"),"")</f>
        <v/>
      </c>
      <c r="P176" s="23"/>
      <c r="Q176" s="2"/>
      <c r="R176" s="2"/>
      <c r="S176" s="2"/>
      <c r="T176" s="2"/>
      <c r="U176" s="2"/>
      <c r="V176" s="2"/>
      <c r="W176" s="2"/>
      <c r="X176" s="2"/>
      <c r="Y176" s="2"/>
    </row>
    <row r="177" spans="1:25" ht="63.75" hidden="1" customHeight="1">
      <c r="A177" s="26">
        <v>75</v>
      </c>
      <c r="B177" s="27" t="s">
        <v>562</v>
      </c>
      <c r="C177" s="28">
        <v>42446</v>
      </c>
      <c r="D177" s="27"/>
      <c r="E177" s="27" t="s">
        <v>563</v>
      </c>
      <c r="F177" s="29" t="s">
        <v>564</v>
      </c>
      <c r="G177" s="27" t="s">
        <v>307</v>
      </c>
      <c r="H177" s="27" t="s">
        <v>19</v>
      </c>
      <c r="I177" s="27">
        <v>1</v>
      </c>
      <c r="J177" s="30">
        <v>693052012</v>
      </c>
      <c r="K177" s="26" t="s">
        <v>36</v>
      </c>
      <c r="L177" s="26" t="s">
        <v>141</v>
      </c>
      <c r="M177" s="31" t="s">
        <v>565</v>
      </c>
      <c r="N177" s="23"/>
      <c r="O177" s="23"/>
      <c r="P177" s="23"/>
      <c r="Q177" s="2"/>
      <c r="R177" s="2"/>
      <c r="S177" s="2"/>
      <c r="T177" s="2"/>
      <c r="U177" s="2"/>
      <c r="V177" s="2"/>
      <c r="W177" s="2"/>
      <c r="X177" s="2"/>
      <c r="Y177" s="2"/>
    </row>
    <row r="178" spans="1:25" ht="25.5" hidden="1" customHeight="1">
      <c r="A178" s="26" t="s">
        <v>566</v>
      </c>
      <c r="B178" s="27"/>
      <c r="C178" s="28"/>
      <c r="D178" s="27"/>
      <c r="E178" s="27" t="s">
        <v>567</v>
      </c>
      <c r="F178" s="29" t="s">
        <v>568</v>
      </c>
      <c r="G178" s="27" t="s">
        <v>338</v>
      </c>
      <c r="H178" s="27" t="s">
        <v>569</v>
      </c>
      <c r="I178" s="27">
        <v>1</v>
      </c>
      <c r="J178" s="30">
        <v>201217281</v>
      </c>
      <c r="K178" s="26" t="s">
        <v>36</v>
      </c>
      <c r="L178" s="26" t="s">
        <v>141</v>
      </c>
      <c r="M178" s="31"/>
      <c r="N178" s="23"/>
      <c r="O178" s="23"/>
      <c r="P178" s="23"/>
      <c r="Q178" s="2"/>
      <c r="R178" s="2"/>
      <c r="S178" s="2"/>
      <c r="T178" s="2"/>
      <c r="U178" s="2"/>
      <c r="V178" s="2"/>
      <c r="W178" s="2"/>
      <c r="X178" s="2"/>
      <c r="Y178" s="2"/>
    </row>
    <row r="179" spans="1:25" ht="12.75" hidden="1" customHeight="1">
      <c r="A179" s="26" t="s">
        <v>570</v>
      </c>
      <c r="B179" s="27"/>
      <c r="C179" s="28"/>
      <c r="D179" s="27"/>
      <c r="E179" s="27" t="s">
        <v>571</v>
      </c>
      <c r="F179" s="29" t="s">
        <v>572</v>
      </c>
      <c r="G179" s="27" t="s">
        <v>573</v>
      </c>
      <c r="H179" s="27" t="s">
        <v>522</v>
      </c>
      <c r="I179" s="27">
        <v>1</v>
      </c>
      <c r="J179" s="30">
        <v>113333333</v>
      </c>
      <c r="K179" s="26" t="s">
        <v>36</v>
      </c>
      <c r="L179" s="26" t="s">
        <v>141</v>
      </c>
      <c r="M179" s="31"/>
      <c r="N179" s="23"/>
      <c r="O179" s="23"/>
      <c r="P179" s="23"/>
      <c r="Q179" s="2"/>
      <c r="R179" s="2"/>
      <c r="S179" s="2"/>
      <c r="T179" s="2"/>
      <c r="U179" s="2"/>
      <c r="V179" s="2"/>
      <c r="W179" s="2"/>
      <c r="X179" s="2"/>
      <c r="Y179" s="2"/>
    </row>
    <row r="180" spans="1:25" ht="63.75" hidden="1" customHeight="1">
      <c r="A180" s="26">
        <v>76</v>
      </c>
      <c r="B180" s="27" t="s">
        <v>562</v>
      </c>
      <c r="C180" s="28">
        <v>42446</v>
      </c>
      <c r="D180" s="27"/>
      <c r="E180" s="27" t="s">
        <v>574</v>
      </c>
      <c r="F180" s="29" t="s">
        <v>575</v>
      </c>
      <c r="G180" s="27" t="s">
        <v>307</v>
      </c>
      <c r="H180" s="27" t="s">
        <v>19</v>
      </c>
      <c r="I180" s="27">
        <v>1</v>
      </c>
      <c r="J180" s="30">
        <v>648752012</v>
      </c>
      <c r="K180" s="26" t="s">
        <v>36</v>
      </c>
      <c r="L180" s="26" t="s">
        <v>141</v>
      </c>
      <c r="M180" s="31" t="s">
        <v>576</v>
      </c>
      <c r="N180" s="23"/>
      <c r="O180" s="23"/>
      <c r="P180" s="23"/>
      <c r="Q180" s="2"/>
      <c r="R180" s="2"/>
      <c r="S180" s="2"/>
      <c r="T180" s="2"/>
      <c r="U180" s="2"/>
      <c r="V180" s="2"/>
      <c r="W180" s="2"/>
      <c r="X180" s="2"/>
      <c r="Y180" s="2"/>
    </row>
    <row r="181" spans="1:25" ht="25.5" hidden="1" customHeight="1">
      <c r="A181" s="26" t="s">
        <v>577</v>
      </c>
      <c r="B181" s="27"/>
      <c r="C181" s="28"/>
      <c r="D181" s="27"/>
      <c r="E181" s="27" t="s">
        <v>578</v>
      </c>
      <c r="F181" s="29" t="s">
        <v>579</v>
      </c>
      <c r="G181" s="27" t="s">
        <v>338</v>
      </c>
      <c r="H181" s="27" t="s">
        <v>569</v>
      </c>
      <c r="I181" s="27">
        <v>1</v>
      </c>
      <c r="J181" s="30">
        <v>201217281</v>
      </c>
      <c r="K181" s="26" t="s">
        <v>36</v>
      </c>
      <c r="L181" s="26" t="s">
        <v>141</v>
      </c>
      <c r="M181" s="31"/>
      <c r="N181" s="23"/>
      <c r="O181" s="23"/>
      <c r="P181" s="23"/>
      <c r="Q181" s="2"/>
      <c r="R181" s="2"/>
      <c r="S181" s="2"/>
      <c r="T181" s="2"/>
      <c r="U181" s="2"/>
      <c r="V181" s="2"/>
      <c r="W181" s="2"/>
      <c r="X181" s="2"/>
      <c r="Y181" s="2"/>
    </row>
    <row r="182" spans="1:25" ht="12.75" hidden="1" customHeight="1">
      <c r="A182" s="26" t="s">
        <v>580</v>
      </c>
      <c r="B182" s="27"/>
      <c r="C182" s="28"/>
      <c r="D182" s="27"/>
      <c r="E182" s="27" t="s">
        <v>581</v>
      </c>
      <c r="F182" s="29" t="s">
        <v>572</v>
      </c>
      <c r="G182" s="27" t="s">
        <v>573</v>
      </c>
      <c r="H182" s="27" t="s">
        <v>522</v>
      </c>
      <c r="I182" s="27">
        <v>1</v>
      </c>
      <c r="J182" s="30">
        <v>113333333</v>
      </c>
      <c r="K182" s="26" t="s">
        <v>36</v>
      </c>
      <c r="L182" s="26" t="s">
        <v>141</v>
      </c>
      <c r="M182" s="31"/>
      <c r="N182" s="23"/>
      <c r="O182" s="23"/>
      <c r="P182" s="23"/>
      <c r="Q182" s="2"/>
      <c r="R182" s="2"/>
      <c r="S182" s="2"/>
      <c r="T182" s="2"/>
      <c r="U182" s="2"/>
      <c r="V182" s="2"/>
      <c r="W182" s="2"/>
      <c r="X182" s="2"/>
      <c r="Y182" s="2"/>
    </row>
    <row r="183" spans="1:25" ht="63.75" hidden="1" customHeight="1">
      <c r="A183" s="26">
        <v>77</v>
      </c>
      <c r="B183" s="27" t="s">
        <v>562</v>
      </c>
      <c r="C183" s="28">
        <v>42446</v>
      </c>
      <c r="D183" s="27"/>
      <c r="E183" s="27" t="s">
        <v>582</v>
      </c>
      <c r="F183" s="29" t="s">
        <v>583</v>
      </c>
      <c r="G183" s="27" t="s">
        <v>307</v>
      </c>
      <c r="H183" s="27" t="s">
        <v>19</v>
      </c>
      <c r="I183" s="27">
        <v>1</v>
      </c>
      <c r="J183" s="30">
        <v>635942013</v>
      </c>
      <c r="K183" s="26" t="s">
        <v>36</v>
      </c>
      <c r="L183" s="26" t="s">
        <v>141</v>
      </c>
      <c r="M183" s="31" t="s">
        <v>584</v>
      </c>
      <c r="N183" s="23"/>
      <c r="O183" s="23"/>
      <c r="P183" s="23"/>
      <c r="Q183" s="2"/>
      <c r="R183" s="2"/>
      <c r="S183" s="2"/>
      <c r="T183" s="2"/>
      <c r="U183" s="2"/>
      <c r="V183" s="2"/>
      <c r="W183" s="2"/>
      <c r="X183" s="2"/>
      <c r="Y183" s="2"/>
    </row>
    <row r="184" spans="1:25" ht="25.5" hidden="1" customHeight="1">
      <c r="A184" s="26" t="s">
        <v>585</v>
      </c>
      <c r="B184" s="27"/>
      <c r="C184" s="28"/>
      <c r="D184" s="27"/>
      <c r="E184" s="27" t="s">
        <v>586</v>
      </c>
      <c r="F184" s="29" t="s">
        <v>587</v>
      </c>
      <c r="G184" s="27" t="s">
        <v>338</v>
      </c>
      <c r="H184" s="27" t="s">
        <v>569</v>
      </c>
      <c r="I184" s="27">
        <v>1</v>
      </c>
      <c r="J184" s="30">
        <v>201217281</v>
      </c>
      <c r="K184" s="26" t="s">
        <v>36</v>
      </c>
      <c r="L184" s="26" t="s">
        <v>141</v>
      </c>
      <c r="M184" s="31"/>
      <c r="N184" s="23"/>
      <c r="O184" s="23"/>
      <c r="P184" s="23"/>
      <c r="Q184" s="2"/>
      <c r="R184" s="2"/>
      <c r="S184" s="2"/>
      <c r="T184" s="2"/>
      <c r="U184" s="2"/>
      <c r="V184" s="2"/>
      <c r="W184" s="2"/>
      <c r="X184" s="2"/>
      <c r="Y184" s="2"/>
    </row>
    <row r="185" spans="1:25" ht="12.75" hidden="1" customHeight="1">
      <c r="A185" s="26" t="s">
        <v>588</v>
      </c>
      <c r="B185" s="27"/>
      <c r="C185" s="28"/>
      <c r="D185" s="27"/>
      <c r="E185" s="27" t="s">
        <v>589</v>
      </c>
      <c r="F185" s="29" t="s">
        <v>572</v>
      </c>
      <c r="G185" s="27" t="s">
        <v>573</v>
      </c>
      <c r="H185" s="27" t="s">
        <v>522</v>
      </c>
      <c r="I185" s="27">
        <v>1</v>
      </c>
      <c r="J185" s="30">
        <v>113333334</v>
      </c>
      <c r="K185" s="26" t="s">
        <v>36</v>
      </c>
      <c r="L185" s="26" t="s">
        <v>141</v>
      </c>
      <c r="M185" s="31"/>
      <c r="N185" s="23"/>
      <c r="O185" s="23"/>
      <c r="P185" s="23"/>
      <c r="Q185" s="2"/>
      <c r="R185" s="2"/>
      <c r="S185" s="2"/>
      <c r="T185" s="2"/>
      <c r="U185" s="2"/>
      <c r="V185" s="2"/>
      <c r="W185" s="2"/>
      <c r="X185" s="2"/>
      <c r="Y185" s="2"/>
    </row>
    <row r="186" spans="1:25" ht="51" hidden="1" customHeight="1">
      <c r="A186" s="26">
        <v>78</v>
      </c>
      <c r="B186" s="27" t="s">
        <v>562</v>
      </c>
      <c r="C186" s="28">
        <v>42446</v>
      </c>
      <c r="D186" s="27"/>
      <c r="E186" s="27" t="s">
        <v>590</v>
      </c>
      <c r="F186" s="29" t="s">
        <v>591</v>
      </c>
      <c r="G186" s="27" t="s">
        <v>307</v>
      </c>
      <c r="H186" s="27" t="s">
        <v>19</v>
      </c>
      <c r="I186" s="27">
        <v>1</v>
      </c>
      <c r="J186" s="30">
        <v>185491376</v>
      </c>
      <c r="K186" s="26" t="s">
        <v>36</v>
      </c>
      <c r="L186" s="26" t="s">
        <v>141</v>
      </c>
      <c r="M186" s="31" t="s">
        <v>592</v>
      </c>
      <c r="N186" s="23"/>
      <c r="O186" s="23"/>
      <c r="P186" s="23"/>
      <c r="Q186" s="2"/>
      <c r="R186" s="2"/>
      <c r="S186" s="2"/>
      <c r="T186" s="2"/>
      <c r="U186" s="2"/>
      <c r="V186" s="2"/>
      <c r="W186" s="2"/>
      <c r="X186" s="2"/>
      <c r="Y186" s="2"/>
    </row>
    <row r="187" spans="1:25" ht="51" hidden="1" customHeight="1">
      <c r="A187" s="26">
        <v>79</v>
      </c>
      <c r="B187" s="27" t="s">
        <v>562</v>
      </c>
      <c r="C187" s="28">
        <v>42446</v>
      </c>
      <c r="D187" s="27"/>
      <c r="E187" s="27" t="s">
        <v>593</v>
      </c>
      <c r="F187" s="29" t="s">
        <v>594</v>
      </c>
      <c r="G187" s="27" t="s">
        <v>307</v>
      </c>
      <c r="H187" s="27" t="s">
        <v>19</v>
      </c>
      <c r="I187" s="27">
        <v>1</v>
      </c>
      <c r="J187" s="30">
        <v>185491377</v>
      </c>
      <c r="K187" s="26" t="s">
        <v>36</v>
      </c>
      <c r="L187" s="26" t="s">
        <v>141</v>
      </c>
      <c r="M187" s="31" t="s">
        <v>595</v>
      </c>
      <c r="N187" s="23"/>
      <c r="O187" s="23"/>
      <c r="P187" s="23"/>
      <c r="Q187" s="2"/>
      <c r="R187" s="2"/>
      <c r="S187" s="2"/>
      <c r="T187" s="2"/>
      <c r="U187" s="2"/>
      <c r="V187" s="2"/>
      <c r="W187" s="2"/>
      <c r="X187" s="2"/>
      <c r="Y187" s="2"/>
    </row>
    <row r="188" spans="1:25" ht="25.5" hidden="1" customHeight="1">
      <c r="A188" s="26">
        <v>80</v>
      </c>
      <c r="B188" s="27" t="s">
        <v>466</v>
      </c>
      <c r="C188" s="28">
        <v>42626</v>
      </c>
      <c r="D188" s="27"/>
      <c r="E188" s="27" t="s">
        <v>596</v>
      </c>
      <c r="F188" s="29" t="s">
        <v>597</v>
      </c>
      <c r="G188" s="27" t="s">
        <v>307</v>
      </c>
      <c r="H188" s="27" t="s">
        <v>19</v>
      </c>
      <c r="I188" s="27">
        <v>1</v>
      </c>
      <c r="J188" s="30">
        <v>756075014</v>
      </c>
      <c r="K188" s="26" t="s">
        <v>36</v>
      </c>
      <c r="L188" s="26" t="s">
        <v>141</v>
      </c>
      <c r="M188" s="31" t="s">
        <v>598</v>
      </c>
      <c r="N188" s="23"/>
      <c r="O188" s="23"/>
      <c r="P188" s="23"/>
      <c r="Q188" s="2"/>
      <c r="R188" s="2"/>
      <c r="S188" s="2"/>
      <c r="T188" s="2"/>
      <c r="U188" s="2"/>
      <c r="V188" s="2"/>
      <c r="W188" s="2"/>
      <c r="X188" s="2"/>
      <c r="Y188" s="2"/>
    </row>
    <row r="189" spans="1:25" ht="25.5" hidden="1" customHeight="1">
      <c r="A189" s="26">
        <v>81</v>
      </c>
      <c r="B189" s="27" t="s">
        <v>599</v>
      </c>
      <c r="C189" s="28">
        <v>42671</v>
      </c>
      <c r="D189" s="27"/>
      <c r="E189" s="27" t="s">
        <v>600</v>
      </c>
      <c r="F189" s="29" t="s">
        <v>601</v>
      </c>
      <c r="G189" s="27" t="s">
        <v>307</v>
      </c>
      <c r="H189" s="27" t="s">
        <v>19</v>
      </c>
      <c r="I189" s="27">
        <v>1</v>
      </c>
      <c r="J189" s="30">
        <v>167514034</v>
      </c>
      <c r="K189" s="26" t="s">
        <v>36</v>
      </c>
      <c r="L189" s="26" t="s">
        <v>141</v>
      </c>
      <c r="M189" s="31" t="s">
        <v>602</v>
      </c>
      <c r="N189" s="23"/>
      <c r="O189" s="23"/>
      <c r="P189" s="23"/>
      <c r="Q189" s="2"/>
      <c r="R189" s="2"/>
      <c r="S189" s="2"/>
      <c r="T189" s="2"/>
      <c r="U189" s="2"/>
      <c r="V189" s="2"/>
      <c r="W189" s="2"/>
      <c r="X189" s="2"/>
      <c r="Y189" s="2"/>
    </row>
    <row r="190" spans="1:25" ht="25.5" hidden="1" customHeight="1">
      <c r="A190" s="26">
        <v>82</v>
      </c>
      <c r="B190" s="27" t="s">
        <v>599</v>
      </c>
      <c r="C190" s="28">
        <v>42671</v>
      </c>
      <c r="D190" s="27"/>
      <c r="E190" s="27" t="s">
        <v>603</v>
      </c>
      <c r="F190" s="29" t="s">
        <v>604</v>
      </c>
      <c r="G190" s="27" t="s">
        <v>307</v>
      </c>
      <c r="H190" s="27" t="s">
        <v>19</v>
      </c>
      <c r="I190" s="27">
        <v>1</v>
      </c>
      <c r="J190" s="30">
        <v>167514034</v>
      </c>
      <c r="K190" s="26" t="s">
        <v>36</v>
      </c>
      <c r="L190" s="26" t="s">
        <v>141</v>
      </c>
      <c r="M190" s="31" t="s">
        <v>605</v>
      </c>
      <c r="N190" s="23"/>
      <c r="O190" s="23"/>
      <c r="P190" s="23"/>
      <c r="Q190" s="2"/>
      <c r="R190" s="2"/>
      <c r="S190" s="2"/>
      <c r="T190" s="2"/>
      <c r="U190" s="2"/>
      <c r="V190" s="2"/>
      <c r="W190" s="2"/>
      <c r="X190" s="2"/>
      <c r="Y190" s="2"/>
    </row>
    <row r="191" spans="1:25" ht="25.5" hidden="1" customHeight="1">
      <c r="A191" s="26">
        <v>83</v>
      </c>
      <c r="B191" s="27" t="s">
        <v>599</v>
      </c>
      <c r="C191" s="28">
        <v>42671</v>
      </c>
      <c r="D191" s="27"/>
      <c r="E191" s="27" t="s">
        <v>606</v>
      </c>
      <c r="F191" s="29" t="s">
        <v>607</v>
      </c>
      <c r="G191" s="27" t="s">
        <v>307</v>
      </c>
      <c r="H191" s="27" t="s">
        <v>19</v>
      </c>
      <c r="I191" s="27">
        <v>1</v>
      </c>
      <c r="J191" s="30">
        <v>167514034</v>
      </c>
      <c r="K191" s="26" t="s">
        <v>36</v>
      </c>
      <c r="L191" s="26" t="s">
        <v>141</v>
      </c>
      <c r="M191" s="31" t="s">
        <v>608</v>
      </c>
      <c r="N191" s="23"/>
      <c r="O191" s="23"/>
      <c r="P191" s="23"/>
      <c r="Q191" s="2"/>
      <c r="R191" s="2"/>
      <c r="S191" s="2"/>
      <c r="T191" s="2"/>
      <c r="U191" s="2"/>
      <c r="V191" s="2"/>
      <c r="W191" s="2"/>
      <c r="X191" s="2"/>
      <c r="Y191" s="2"/>
    </row>
    <row r="192" spans="1:25" ht="25.5" hidden="1" customHeight="1">
      <c r="A192" s="26">
        <v>84</v>
      </c>
      <c r="B192" s="27" t="s">
        <v>599</v>
      </c>
      <c r="C192" s="28">
        <v>42671</v>
      </c>
      <c r="D192" s="27"/>
      <c r="E192" s="27" t="s">
        <v>609</v>
      </c>
      <c r="F192" s="29" t="s">
        <v>610</v>
      </c>
      <c r="G192" s="27" t="s">
        <v>307</v>
      </c>
      <c r="H192" s="27" t="s">
        <v>19</v>
      </c>
      <c r="I192" s="27">
        <v>1</v>
      </c>
      <c r="J192" s="30">
        <v>406714034</v>
      </c>
      <c r="K192" s="26" t="s">
        <v>36</v>
      </c>
      <c r="L192" s="26" t="s">
        <v>141</v>
      </c>
      <c r="M192" s="31" t="s">
        <v>611</v>
      </c>
      <c r="N192" s="23"/>
      <c r="O192" s="23"/>
      <c r="P192" s="23"/>
      <c r="Q192" s="2"/>
      <c r="R192" s="2"/>
      <c r="S192" s="2"/>
      <c r="T192" s="2"/>
      <c r="U192" s="2"/>
      <c r="V192" s="2"/>
      <c r="W192" s="2"/>
      <c r="X192" s="2"/>
      <c r="Y192" s="2"/>
    </row>
    <row r="193" spans="1:25" ht="25.5" hidden="1" customHeight="1">
      <c r="A193" s="26">
        <v>85</v>
      </c>
      <c r="B193" s="27" t="s">
        <v>599</v>
      </c>
      <c r="C193" s="28">
        <v>42671</v>
      </c>
      <c r="D193" s="27"/>
      <c r="E193" s="27" t="s">
        <v>612</v>
      </c>
      <c r="F193" s="29" t="s">
        <v>613</v>
      </c>
      <c r="G193" s="27" t="s">
        <v>307</v>
      </c>
      <c r="H193" s="27" t="s">
        <v>19</v>
      </c>
      <c r="I193" s="27">
        <v>1</v>
      </c>
      <c r="J193" s="30">
        <v>204198541</v>
      </c>
      <c r="K193" s="26" t="s">
        <v>36</v>
      </c>
      <c r="L193" s="26" t="s">
        <v>141</v>
      </c>
      <c r="M193" s="31" t="s">
        <v>614</v>
      </c>
      <c r="N193" s="23"/>
      <c r="O193" s="23"/>
      <c r="P193" s="23"/>
      <c r="Q193" s="2"/>
      <c r="R193" s="2"/>
      <c r="S193" s="2"/>
      <c r="T193" s="2"/>
      <c r="U193" s="2"/>
      <c r="V193" s="2"/>
      <c r="W193" s="2"/>
      <c r="X193" s="2"/>
      <c r="Y193" s="2"/>
    </row>
    <row r="194" spans="1:25" ht="25.5" hidden="1" customHeight="1">
      <c r="A194" s="26">
        <v>86</v>
      </c>
      <c r="B194" s="27" t="s">
        <v>599</v>
      </c>
      <c r="C194" s="28">
        <v>42671</v>
      </c>
      <c r="D194" s="27"/>
      <c r="E194" s="27" t="s">
        <v>615</v>
      </c>
      <c r="F194" s="29" t="s">
        <v>616</v>
      </c>
      <c r="G194" s="27" t="s">
        <v>307</v>
      </c>
      <c r="H194" s="27" t="s">
        <v>19</v>
      </c>
      <c r="I194" s="27">
        <v>1</v>
      </c>
      <c r="J194" s="30">
        <v>204198541</v>
      </c>
      <c r="K194" s="26" t="s">
        <v>36</v>
      </c>
      <c r="L194" s="26" t="s">
        <v>141</v>
      </c>
      <c r="M194" s="31" t="s">
        <v>617</v>
      </c>
      <c r="N194" s="23"/>
      <c r="O194" s="23"/>
      <c r="P194" s="23"/>
      <c r="Q194" s="2"/>
      <c r="R194" s="2"/>
      <c r="S194" s="2"/>
      <c r="T194" s="2"/>
      <c r="U194" s="2"/>
      <c r="V194" s="2"/>
      <c r="W194" s="2"/>
      <c r="X194" s="2"/>
      <c r="Y194" s="2"/>
    </row>
    <row r="195" spans="1:25" ht="25.5" hidden="1" customHeight="1">
      <c r="A195" s="26">
        <v>87</v>
      </c>
      <c r="B195" s="27" t="s">
        <v>599</v>
      </c>
      <c r="C195" s="28">
        <v>42671</v>
      </c>
      <c r="D195" s="27"/>
      <c r="E195" s="27" t="s">
        <v>618</v>
      </c>
      <c r="F195" s="29" t="s">
        <v>619</v>
      </c>
      <c r="G195" s="27" t="s">
        <v>307</v>
      </c>
      <c r="H195" s="27" t="s">
        <v>19</v>
      </c>
      <c r="I195" s="27">
        <v>1</v>
      </c>
      <c r="J195" s="30">
        <v>48437792</v>
      </c>
      <c r="K195" s="26" t="s">
        <v>36</v>
      </c>
      <c r="L195" s="26" t="s">
        <v>56</v>
      </c>
      <c r="M195" s="31" t="s">
        <v>620</v>
      </c>
      <c r="N195" s="23"/>
      <c r="O195" s="23"/>
      <c r="P195" s="23"/>
      <c r="Q195" s="2"/>
      <c r="R195" s="2"/>
      <c r="S195" s="2"/>
      <c r="T195" s="2"/>
      <c r="U195" s="2"/>
      <c r="V195" s="2"/>
      <c r="W195" s="2"/>
      <c r="X195" s="2"/>
      <c r="Y195" s="2"/>
    </row>
    <row r="196" spans="1:25" ht="12.75" hidden="1" customHeight="1">
      <c r="A196" s="26" t="s">
        <v>621</v>
      </c>
      <c r="B196" s="27"/>
      <c r="C196" s="28"/>
      <c r="D196" s="27"/>
      <c r="E196" s="27" t="s">
        <v>622</v>
      </c>
      <c r="F196" s="29" t="s">
        <v>623</v>
      </c>
      <c r="G196" s="27" t="s">
        <v>248</v>
      </c>
      <c r="H196" s="27" t="s">
        <v>249</v>
      </c>
      <c r="I196" s="27">
        <v>1</v>
      </c>
      <c r="J196" s="30">
        <v>0</v>
      </c>
      <c r="K196" s="26" t="s">
        <v>36</v>
      </c>
      <c r="L196" s="26" t="s">
        <v>56</v>
      </c>
      <c r="M196" s="31"/>
      <c r="N196" s="23"/>
      <c r="O196" s="23"/>
      <c r="P196" s="23"/>
      <c r="Q196" s="2"/>
      <c r="R196" s="2"/>
      <c r="S196" s="2"/>
      <c r="T196" s="2"/>
      <c r="U196" s="2"/>
      <c r="V196" s="2"/>
      <c r="W196" s="2"/>
      <c r="X196" s="2"/>
      <c r="Y196" s="2"/>
    </row>
    <row r="197" spans="1:25" ht="25.5" hidden="1" customHeight="1">
      <c r="A197" s="26">
        <v>88</v>
      </c>
      <c r="B197" s="27" t="s">
        <v>599</v>
      </c>
      <c r="C197" s="28">
        <v>42671</v>
      </c>
      <c r="D197" s="27"/>
      <c r="E197" s="27" t="s">
        <v>624</v>
      </c>
      <c r="F197" s="29" t="s">
        <v>625</v>
      </c>
      <c r="G197" s="27" t="s">
        <v>307</v>
      </c>
      <c r="H197" s="27" t="s">
        <v>19</v>
      </c>
      <c r="I197" s="27">
        <v>1</v>
      </c>
      <c r="J197" s="30">
        <v>64437792</v>
      </c>
      <c r="K197" s="26" t="s">
        <v>36</v>
      </c>
      <c r="L197" s="26" t="s">
        <v>56</v>
      </c>
      <c r="M197" s="31" t="s">
        <v>626</v>
      </c>
      <c r="N197" s="23"/>
      <c r="O197" s="23"/>
      <c r="P197" s="23"/>
      <c r="Q197" s="2"/>
      <c r="R197" s="2"/>
      <c r="S197" s="2"/>
      <c r="T197" s="2"/>
      <c r="U197" s="2"/>
      <c r="V197" s="2"/>
      <c r="W197" s="2"/>
      <c r="X197" s="2"/>
      <c r="Y197" s="2"/>
    </row>
    <row r="198" spans="1:25" ht="12.75" hidden="1" customHeight="1">
      <c r="A198" s="26" t="s">
        <v>627</v>
      </c>
      <c r="B198" s="27"/>
      <c r="C198" s="28"/>
      <c r="D198" s="27"/>
      <c r="E198" s="27" t="s">
        <v>628</v>
      </c>
      <c r="F198" s="29" t="s">
        <v>629</v>
      </c>
      <c r="G198" s="27" t="s">
        <v>248</v>
      </c>
      <c r="H198" s="27" t="s">
        <v>249</v>
      </c>
      <c r="I198" s="27">
        <v>1</v>
      </c>
      <c r="J198" s="30">
        <v>0</v>
      </c>
      <c r="K198" s="26" t="s">
        <v>36</v>
      </c>
      <c r="L198" s="26" t="s">
        <v>56</v>
      </c>
      <c r="M198" s="31"/>
      <c r="N198" s="23"/>
      <c r="O198" s="23"/>
      <c r="P198" s="23"/>
      <c r="Q198" s="2"/>
      <c r="R198" s="2"/>
      <c r="S198" s="2"/>
      <c r="T198" s="2"/>
      <c r="U198" s="2"/>
      <c r="V198" s="2"/>
      <c r="W198" s="2"/>
      <c r="X198" s="2"/>
      <c r="Y198" s="2"/>
    </row>
    <row r="199" spans="1:25" ht="25.5" hidden="1" customHeight="1">
      <c r="A199" s="26">
        <v>89</v>
      </c>
      <c r="B199" s="27" t="s">
        <v>599</v>
      </c>
      <c r="C199" s="28">
        <v>42671</v>
      </c>
      <c r="D199" s="27"/>
      <c r="E199" s="27" t="s">
        <v>630</v>
      </c>
      <c r="F199" s="29" t="s">
        <v>631</v>
      </c>
      <c r="G199" s="27" t="s">
        <v>307</v>
      </c>
      <c r="H199" s="27" t="s">
        <v>19</v>
      </c>
      <c r="I199" s="27">
        <v>1</v>
      </c>
      <c r="J199" s="30">
        <v>48437792</v>
      </c>
      <c r="K199" s="26" t="s">
        <v>36</v>
      </c>
      <c r="L199" s="26" t="s">
        <v>56</v>
      </c>
      <c r="M199" s="31" t="s">
        <v>632</v>
      </c>
      <c r="N199" s="23"/>
      <c r="O199" s="23"/>
      <c r="P199" s="23"/>
      <c r="Q199" s="2"/>
      <c r="R199" s="2"/>
      <c r="S199" s="2"/>
      <c r="T199" s="2"/>
      <c r="U199" s="2"/>
      <c r="V199" s="2"/>
      <c r="W199" s="2"/>
      <c r="X199" s="2"/>
      <c r="Y199" s="2"/>
    </row>
    <row r="200" spans="1:25" ht="12.75" hidden="1" customHeight="1">
      <c r="A200" s="26" t="s">
        <v>633</v>
      </c>
      <c r="B200" s="27"/>
      <c r="C200" s="28"/>
      <c r="D200" s="27"/>
      <c r="E200" s="27" t="s">
        <v>634</v>
      </c>
      <c r="F200" s="29" t="s">
        <v>635</v>
      </c>
      <c r="G200" s="27" t="s">
        <v>248</v>
      </c>
      <c r="H200" s="27" t="s">
        <v>249</v>
      </c>
      <c r="I200" s="27">
        <v>1</v>
      </c>
      <c r="J200" s="30">
        <v>0</v>
      </c>
      <c r="K200" s="26" t="s">
        <v>36</v>
      </c>
      <c r="L200" s="26" t="s">
        <v>56</v>
      </c>
      <c r="M200" s="31"/>
      <c r="N200" s="23"/>
      <c r="O200" s="23"/>
      <c r="P200" s="23"/>
      <c r="Q200" s="2"/>
      <c r="R200" s="2"/>
      <c r="S200" s="2"/>
      <c r="T200" s="2"/>
      <c r="U200" s="2"/>
      <c r="V200" s="2"/>
      <c r="W200" s="2"/>
      <c r="X200" s="2"/>
      <c r="Y200" s="2"/>
    </row>
    <row r="201" spans="1:25" ht="25.5" hidden="1" customHeight="1">
      <c r="A201" s="26">
        <v>90</v>
      </c>
      <c r="B201" s="27" t="s">
        <v>599</v>
      </c>
      <c r="C201" s="28">
        <v>42671</v>
      </c>
      <c r="D201" s="27"/>
      <c r="E201" s="27" t="s">
        <v>636</v>
      </c>
      <c r="F201" s="29" t="s">
        <v>637</v>
      </c>
      <c r="G201" s="27" t="s">
        <v>307</v>
      </c>
      <c r="H201" s="27" t="s">
        <v>19</v>
      </c>
      <c r="I201" s="27">
        <v>1</v>
      </c>
      <c r="J201" s="30">
        <v>48437792</v>
      </c>
      <c r="K201" s="26" t="s">
        <v>36</v>
      </c>
      <c r="L201" s="26" t="s">
        <v>56</v>
      </c>
      <c r="M201" s="31" t="s">
        <v>638</v>
      </c>
      <c r="N201" s="23"/>
      <c r="O201" s="23"/>
      <c r="P201" s="23"/>
      <c r="Q201" s="2"/>
      <c r="R201" s="2"/>
      <c r="S201" s="2"/>
      <c r="T201" s="2"/>
      <c r="U201" s="2"/>
      <c r="V201" s="2"/>
      <c r="W201" s="2"/>
      <c r="X201" s="2"/>
      <c r="Y201" s="2"/>
    </row>
    <row r="202" spans="1:25" ht="12.75" hidden="1" customHeight="1">
      <c r="A202" s="26" t="s">
        <v>639</v>
      </c>
      <c r="B202" s="27"/>
      <c r="C202" s="28"/>
      <c r="D202" s="27"/>
      <c r="E202" s="27" t="s">
        <v>640</v>
      </c>
      <c r="F202" s="29" t="s">
        <v>641</v>
      </c>
      <c r="G202" s="27" t="s">
        <v>248</v>
      </c>
      <c r="H202" s="27" t="s">
        <v>249</v>
      </c>
      <c r="I202" s="27">
        <v>1</v>
      </c>
      <c r="J202" s="30">
        <v>0</v>
      </c>
      <c r="K202" s="26" t="s">
        <v>36</v>
      </c>
      <c r="L202" s="26" t="s">
        <v>56</v>
      </c>
      <c r="M202" s="31"/>
      <c r="N202" s="23"/>
      <c r="O202" s="23"/>
      <c r="P202" s="23"/>
      <c r="Q202" s="2"/>
      <c r="R202" s="2"/>
      <c r="S202" s="2"/>
      <c r="T202" s="2"/>
      <c r="U202" s="2"/>
      <c r="V202" s="2"/>
      <c r="W202" s="2"/>
      <c r="X202" s="2"/>
      <c r="Y202" s="2"/>
    </row>
    <row r="203" spans="1:25" ht="25.5" hidden="1" customHeight="1">
      <c r="A203" s="26">
        <v>91</v>
      </c>
      <c r="B203" s="27" t="s">
        <v>599</v>
      </c>
      <c r="C203" s="28">
        <v>42671</v>
      </c>
      <c r="D203" s="27"/>
      <c r="E203" s="27" t="s">
        <v>642</v>
      </c>
      <c r="F203" s="29" t="s">
        <v>643</v>
      </c>
      <c r="G203" s="27" t="s">
        <v>307</v>
      </c>
      <c r="H203" s="27" t="s">
        <v>19</v>
      </c>
      <c r="I203" s="27">
        <v>1</v>
      </c>
      <c r="J203" s="30">
        <v>48437794</v>
      </c>
      <c r="K203" s="26" t="s">
        <v>36</v>
      </c>
      <c r="L203" s="26" t="s">
        <v>56</v>
      </c>
      <c r="M203" s="31" t="s">
        <v>644</v>
      </c>
      <c r="N203" s="23"/>
      <c r="O203" s="23"/>
      <c r="P203" s="23"/>
      <c r="Q203" s="2"/>
      <c r="R203" s="2"/>
      <c r="S203" s="2"/>
      <c r="T203" s="2"/>
      <c r="U203" s="2"/>
      <c r="V203" s="2"/>
      <c r="W203" s="2"/>
      <c r="X203" s="2"/>
      <c r="Y203" s="2"/>
    </row>
    <row r="204" spans="1:25" ht="12.75" hidden="1" customHeight="1">
      <c r="A204" s="26" t="s">
        <v>645</v>
      </c>
      <c r="B204" s="27"/>
      <c r="C204" s="28"/>
      <c r="D204" s="27"/>
      <c r="E204" s="27" t="s">
        <v>646</v>
      </c>
      <c r="F204" s="29" t="s">
        <v>647</v>
      </c>
      <c r="G204" s="27" t="s">
        <v>248</v>
      </c>
      <c r="H204" s="27" t="s">
        <v>249</v>
      </c>
      <c r="I204" s="27">
        <v>1</v>
      </c>
      <c r="J204" s="30">
        <v>0</v>
      </c>
      <c r="K204" s="26" t="s">
        <v>36</v>
      </c>
      <c r="L204" s="26" t="s">
        <v>56</v>
      </c>
      <c r="M204" s="31"/>
      <c r="N204" s="23"/>
      <c r="O204" s="23"/>
      <c r="P204" s="23"/>
      <c r="Q204" s="2"/>
      <c r="R204" s="2"/>
      <c r="S204" s="2"/>
      <c r="T204" s="2"/>
      <c r="U204" s="2"/>
      <c r="V204" s="2"/>
      <c r="W204" s="2"/>
      <c r="X204" s="2"/>
      <c r="Y204" s="2"/>
    </row>
    <row r="205" spans="1:25" ht="25.5" hidden="1" customHeight="1">
      <c r="A205" s="26">
        <v>92</v>
      </c>
      <c r="B205" s="27" t="s">
        <v>599</v>
      </c>
      <c r="C205" s="28">
        <v>42671</v>
      </c>
      <c r="D205" s="27"/>
      <c r="E205" s="27" t="s">
        <v>648</v>
      </c>
      <c r="F205" s="29" t="s">
        <v>649</v>
      </c>
      <c r="G205" s="27" t="s">
        <v>307</v>
      </c>
      <c r="H205" s="27" t="s">
        <v>19</v>
      </c>
      <c r="I205" s="27">
        <v>1</v>
      </c>
      <c r="J205" s="30">
        <v>47131872</v>
      </c>
      <c r="K205" s="26" t="s">
        <v>36</v>
      </c>
      <c r="L205" s="45" t="s">
        <v>56</v>
      </c>
      <c r="M205" s="46" t="s">
        <v>650</v>
      </c>
      <c r="N205" s="23"/>
      <c r="O205" s="23"/>
      <c r="P205" s="23"/>
      <c r="Q205" s="2"/>
      <c r="R205" s="2"/>
      <c r="S205" s="2"/>
      <c r="T205" s="2"/>
      <c r="U205" s="2"/>
      <c r="V205" s="2"/>
      <c r="W205" s="2"/>
      <c r="X205" s="2"/>
      <c r="Y205" s="2"/>
    </row>
    <row r="206" spans="1:25" ht="12.75" hidden="1" customHeight="1">
      <c r="A206" s="26" t="s">
        <v>651</v>
      </c>
      <c r="B206" s="27"/>
      <c r="C206" s="28"/>
      <c r="D206" s="27"/>
      <c r="E206" s="27" t="s">
        <v>652</v>
      </c>
      <c r="F206" s="29" t="s">
        <v>653</v>
      </c>
      <c r="G206" s="27" t="s">
        <v>248</v>
      </c>
      <c r="H206" s="27" t="s">
        <v>249</v>
      </c>
      <c r="I206" s="27">
        <v>1</v>
      </c>
      <c r="J206" s="30">
        <v>0</v>
      </c>
      <c r="K206" s="26" t="s">
        <v>36</v>
      </c>
      <c r="L206" s="26" t="s">
        <v>56</v>
      </c>
      <c r="M206" s="31"/>
      <c r="N206" s="23"/>
      <c r="O206" s="23"/>
      <c r="P206" s="23"/>
      <c r="Q206" s="2"/>
      <c r="R206" s="2"/>
      <c r="S206" s="2"/>
      <c r="T206" s="2"/>
      <c r="U206" s="2"/>
      <c r="V206" s="2"/>
      <c r="W206" s="2"/>
      <c r="X206" s="2"/>
      <c r="Y206" s="2"/>
    </row>
    <row r="207" spans="1:25" ht="25.5" hidden="1" customHeight="1">
      <c r="A207" s="26">
        <v>93</v>
      </c>
      <c r="B207" s="27" t="s">
        <v>599</v>
      </c>
      <c r="C207" s="28">
        <v>42671</v>
      </c>
      <c r="D207" s="27"/>
      <c r="E207" s="27" t="s">
        <v>654</v>
      </c>
      <c r="F207" s="29" t="s">
        <v>655</v>
      </c>
      <c r="G207" s="27" t="s">
        <v>307</v>
      </c>
      <c r="H207" s="27" t="s">
        <v>19</v>
      </c>
      <c r="I207" s="27">
        <v>1</v>
      </c>
      <c r="J207" s="30">
        <v>47131872</v>
      </c>
      <c r="K207" s="26" t="s">
        <v>36</v>
      </c>
      <c r="L207" s="26" t="s">
        <v>56</v>
      </c>
      <c r="M207" s="31" t="s">
        <v>656</v>
      </c>
      <c r="N207" s="23"/>
      <c r="O207" s="23"/>
      <c r="P207" s="23"/>
      <c r="Q207" s="2"/>
      <c r="R207" s="2"/>
      <c r="S207" s="2"/>
      <c r="T207" s="2"/>
      <c r="U207" s="2"/>
      <c r="V207" s="2"/>
      <c r="W207" s="2"/>
      <c r="X207" s="2"/>
      <c r="Y207" s="2"/>
    </row>
    <row r="208" spans="1:25" ht="12.75" hidden="1" customHeight="1">
      <c r="A208" s="26" t="s">
        <v>657</v>
      </c>
      <c r="B208" s="27"/>
      <c r="C208" s="28"/>
      <c r="D208" s="27"/>
      <c r="E208" s="27" t="s">
        <v>658</v>
      </c>
      <c r="F208" s="29" t="s">
        <v>659</v>
      </c>
      <c r="G208" s="27" t="s">
        <v>248</v>
      </c>
      <c r="H208" s="27" t="s">
        <v>249</v>
      </c>
      <c r="I208" s="27">
        <v>1</v>
      </c>
      <c r="J208" s="30">
        <v>0</v>
      </c>
      <c r="K208" s="26" t="s">
        <v>36</v>
      </c>
      <c r="L208" s="26" t="s">
        <v>56</v>
      </c>
      <c r="M208" s="31"/>
      <c r="N208" s="23"/>
      <c r="O208" s="23"/>
      <c r="P208" s="23"/>
      <c r="Q208" s="2"/>
      <c r="R208" s="2"/>
      <c r="S208" s="2"/>
      <c r="T208" s="2"/>
      <c r="U208" s="2"/>
      <c r="V208" s="2"/>
      <c r="W208" s="2"/>
      <c r="X208" s="2"/>
      <c r="Y208" s="2"/>
    </row>
    <row r="209" spans="1:25" ht="25.5" hidden="1" customHeight="1">
      <c r="A209" s="26">
        <v>94</v>
      </c>
      <c r="B209" s="27" t="s">
        <v>599</v>
      </c>
      <c r="C209" s="28">
        <v>42671</v>
      </c>
      <c r="D209" s="27"/>
      <c r="E209" s="27" t="s">
        <v>660</v>
      </c>
      <c r="F209" s="29" t="s">
        <v>661</v>
      </c>
      <c r="G209" s="27" t="s">
        <v>307</v>
      </c>
      <c r="H209" s="27" t="s">
        <v>19</v>
      </c>
      <c r="I209" s="27">
        <v>1</v>
      </c>
      <c r="J209" s="30">
        <v>47131872</v>
      </c>
      <c r="K209" s="26" t="s">
        <v>36</v>
      </c>
      <c r="L209" s="26" t="s">
        <v>56</v>
      </c>
      <c r="M209" s="31" t="s">
        <v>662</v>
      </c>
      <c r="N209" s="23"/>
      <c r="O209" s="23"/>
      <c r="P209" s="23"/>
      <c r="Q209" s="2"/>
      <c r="R209" s="2"/>
      <c r="S209" s="2"/>
      <c r="T209" s="2"/>
      <c r="U209" s="2"/>
      <c r="V209" s="2"/>
      <c r="W209" s="2"/>
      <c r="X209" s="2"/>
      <c r="Y209" s="2"/>
    </row>
    <row r="210" spans="1:25" ht="12.75" hidden="1" customHeight="1">
      <c r="A210" s="26" t="s">
        <v>663</v>
      </c>
      <c r="B210" s="27"/>
      <c r="C210" s="28"/>
      <c r="D210" s="27"/>
      <c r="E210" s="27" t="s">
        <v>664</v>
      </c>
      <c r="F210" s="29" t="s">
        <v>665</v>
      </c>
      <c r="G210" s="27" t="s">
        <v>248</v>
      </c>
      <c r="H210" s="27" t="s">
        <v>249</v>
      </c>
      <c r="I210" s="27">
        <v>1</v>
      </c>
      <c r="J210" s="30">
        <v>0</v>
      </c>
      <c r="K210" s="26" t="s">
        <v>36</v>
      </c>
      <c r="L210" s="26" t="s">
        <v>56</v>
      </c>
      <c r="M210" s="31"/>
      <c r="N210" s="23"/>
      <c r="O210" s="23"/>
      <c r="P210" s="23"/>
      <c r="Q210" s="2"/>
      <c r="R210" s="2"/>
      <c r="S210" s="2"/>
      <c r="T210" s="2"/>
      <c r="U210" s="2"/>
      <c r="V210" s="2"/>
      <c r="W210" s="2"/>
      <c r="X210" s="2"/>
      <c r="Y210" s="2"/>
    </row>
    <row r="211" spans="1:25" ht="25.5" hidden="1" customHeight="1">
      <c r="A211" s="26">
        <v>95</v>
      </c>
      <c r="B211" s="27" t="s">
        <v>599</v>
      </c>
      <c r="C211" s="28">
        <v>42671</v>
      </c>
      <c r="D211" s="27"/>
      <c r="E211" s="27" t="s">
        <v>666</v>
      </c>
      <c r="F211" s="29" t="s">
        <v>667</v>
      </c>
      <c r="G211" s="27" t="s">
        <v>307</v>
      </c>
      <c r="H211" s="27" t="s">
        <v>19</v>
      </c>
      <c r="I211" s="27">
        <v>1</v>
      </c>
      <c r="J211" s="30">
        <v>47131872</v>
      </c>
      <c r="K211" s="26" t="s">
        <v>36</v>
      </c>
      <c r="L211" s="26" t="s">
        <v>56</v>
      </c>
      <c r="M211" s="31" t="s">
        <v>668</v>
      </c>
      <c r="N211" s="23"/>
      <c r="O211" s="23"/>
      <c r="P211" s="23"/>
      <c r="Q211" s="2"/>
      <c r="R211" s="2"/>
      <c r="S211" s="2"/>
      <c r="T211" s="2"/>
      <c r="U211" s="2"/>
      <c r="V211" s="2"/>
      <c r="W211" s="2"/>
      <c r="X211" s="2"/>
      <c r="Y211" s="2"/>
    </row>
    <row r="212" spans="1:25" ht="12.75" hidden="1" customHeight="1">
      <c r="A212" s="26" t="s">
        <v>669</v>
      </c>
      <c r="B212" s="27"/>
      <c r="C212" s="28"/>
      <c r="D212" s="27"/>
      <c r="E212" s="27" t="s">
        <v>670</v>
      </c>
      <c r="F212" s="29" t="s">
        <v>671</v>
      </c>
      <c r="G212" s="27" t="s">
        <v>248</v>
      </c>
      <c r="H212" s="27" t="s">
        <v>249</v>
      </c>
      <c r="I212" s="27">
        <v>1</v>
      </c>
      <c r="J212" s="30">
        <v>0</v>
      </c>
      <c r="K212" s="26" t="s">
        <v>36</v>
      </c>
      <c r="L212" s="26" t="s">
        <v>56</v>
      </c>
      <c r="M212" s="31"/>
      <c r="N212" s="23"/>
      <c r="O212" s="23"/>
      <c r="P212" s="23"/>
      <c r="Q212" s="2"/>
      <c r="R212" s="2"/>
      <c r="S212" s="2"/>
      <c r="T212" s="2"/>
      <c r="U212" s="2"/>
      <c r="V212" s="2"/>
      <c r="W212" s="2"/>
      <c r="X212" s="2"/>
      <c r="Y212" s="2"/>
    </row>
    <row r="213" spans="1:25" ht="25.5" hidden="1" customHeight="1">
      <c r="A213" s="26">
        <v>96</v>
      </c>
      <c r="B213" s="27" t="s">
        <v>599</v>
      </c>
      <c r="C213" s="28">
        <v>42671</v>
      </c>
      <c r="D213" s="27"/>
      <c r="E213" s="27" t="s">
        <v>672</v>
      </c>
      <c r="F213" s="29" t="s">
        <v>673</v>
      </c>
      <c r="G213" s="27" t="s">
        <v>307</v>
      </c>
      <c r="H213" s="27" t="s">
        <v>19</v>
      </c>
      <c r="I213" s="27">
        <v>1</v>
      </c>
      <c r="J213" s="30">
        <v>47131872</v>
      </c>
      <c r="K213" s="26" t="s">
        <v>36</v>
      </c>
      <c r="L213" s="26" t="s">
        <v>674</v>
      </c>
      <c r="M213" s="31" t="s">
        <v>675</v>
      </c>
      <c r="N213" s="23"/>
      <c r="O213" s="23"/>
      <c r="P213" s="23"/>
      <c r="Q213" s="2"/>
      <c r="R213" s="2"/>
      <c r="S213" s="2"/>
      <c r="T213" s="2"/>
      <c r="U213" s="2"/>
      <c r="V213" s="2"/>
      <c r="W213" s="2"/>
      <c r="X213" s="2"/>
      <c r="Y213" s="2"/>
    </row>
    <row r="214" spans="1:25" ht="12.75" hidden="1" customHeight="1">
      <c r="A214" s="26" t="s">
        <v>676</v>
      </c>
      <c r="B214" s="27"/>
      <c r="C214" s="28"/>
      <c r="D214" s="27"/>
      <c r="E214" s="27" t="s">
        <v>677</v>
      </c>
      <c r="F214" s="29" t="s">
        <v>678</v>
      </c>
      <c r="G214" s="27" t="s">
        <v>248</v>
      </c>
      <c r="H214" s="27" t="s">
        <v>249</v>
      </c>
      <c r="I214" s="27">
        <v>1</v>
      </c>
      <c r="J214" s="30">
        <v>0</v>
      </c>
      <c r="K214" s="26" t="s">
        <v>36</v>
      </c>
      <c r="L214" s="26" t="s">
        <v>674</v>
      </c>
      <c r="M214" s="31"/>
      <c r="N214" s="23"/>
      <c r="O214" s="23"/>
      <c r="P214" s="23"/>
      <c r="Q214" s="2"/>
      <c r="R214" s="2"/>
      <c r="S214" s="2"/>
      <c r="T214" s="2"/>
      <c r="U214" s="2"/>
      <c r="V214" s="2"/>
      <c r="W214" s="2"/>
      <c r="X214" s="2"/>
      <c r="Y214" s="2"/>
    </row>
    <row r="215" spans="1:25" ht="25.5" hidden="1" customHeight="1">
      <c r="A215" s="26">
        <v>97</v>
      </c>
      <c r="B215" s="27" t="s">
        <v>599</v>
      </c>
      <c r="C215" s="28">
        <v>42671</v>
      </c>
      <c r="D215" s="27"/>
      <c r="E215" s="27" t="s">
        <v>679</v>
      </c>
      <c r="F215" s="29" t="s">
        <v>680</v>
      </c>
      <c r="G215" s="27" t="s">
        <v>307</v>
      </c>
      <c r="H215" s="27" t="s">
        <v>19</v>
      </c>
      <c r="I215" s="27">
        <v>1</v>
      </c>
      <c r="J215" s="30">
        <v>47131872</v>
      </c>
      <c r="K215" s="26" t="s">
        <v>36</v>
      </c>
      <c r="L215" s="26" t="s">
        <v>674</v>
      </c>
      <c r="M215" s="31" t="s">
        <v>681</v>
      </c>
      <c r="N215" s="23"/>
      <c r="O215" s="23"/>
      <c r="P215" s="23"/>
      <c r="Q215" s="2"/>
      <c r="R215" s="2"/>
      <c r="S215" s="2"/>
      <c r="T215" s="2"/>
      <c r="U215" s="2"/>
      <c r="V215" s="2"/>
      <c r="W215" s="2"/>
      <c r="X215" s="2"/>
      <c r="Y215" s="2"/>
    </row>
    <row r="216" spans="1:25" ht="12.75" hidden="1" customHeight="1">
      <c r="A216" s="26" t="s">
        <v>682</v>
      </c>
      <c r="B216" s="27"/>
      <c r="C216" s="28"/>
      <c r="D216" s="27"/>
      <c r="E216" s="27" t="s">
        <v>683</v>
      </c>
      <c r="F216" s="29" t="s">
        <v>684</v>
      </c>
      <c r="G216" s="27" t="s">
        <v>248</v>
      </c>
      <c r="H216" s="27" t="s">
        <v>249</v>
      </c>
      <c r="I216" s="27">
        <v>1</v>
      </c>
      <c r="J216" s="30">
        <v>0</v>
      </c>
      <c r="K216" s="26" t="s">
        <v>36</v>
      </c>
      <c r="L216" s="26" t="s">
        <v>674</v>
      </c>
      <c r="M216" s="31"/>
      <c r="N216" s="23"/>
      <c r="O216" s="23"/>
      <c r="P216" s="23"/>
      <c r="Q216" s="2"/>
      <c r="R216" s="2"/>
      <c r="S216" s="2"/>
      <c r="T216" s="2"/>
      <c r="U216" s="2"/>
      <c r="V216" s="2"/>
      <c r="W216" s="2"/>
      <c r="X216" s="2"/>
      <c r="Y216" s="2"/>
    </row>
    <row r="217" spans="1:25" ht="25.5" hidden="1" customHeight="1">
      <c r="A217" s="26">
        <v>98</v>
      </c>
      <c r="B217" s="27" t="s">
        <v>599</v>
      </c>
      <c r="C217" s="28">
        <v>42671</v>
      </c>
      <c r="D217" s="27"/>
      <c r="E217" s="27" t="s">
        <v>685</v>
      </c>
      <c r="F217" s="29" t="s">
        <v>686</v>
      </c>
      <c r="G217" s="27" t="s">
        <v>307</v>
      </c>
      <c r="H217" s="27" t="s">
        <v>19</v>
      </c>
      <c r="I217" s="27">
        <v>1</v>
      </c>
      <c r="J217" s="30">
        <v>47131872</v>
      </c>
      <c r="K217" s="26" t="s">
        <v>36</v>
      </c>
      <c r="L217" s="26" t="s">
        <v>674</v>
      </c>
      <c r="M217" s="31" t="s">
        <v>687</v>
      </c>
      <c r="N217" s="23"/>
      <c r="O217" s="23"/>
      <c r="P217" s="23"/>
      <c r="Q217" s="2"/>
      <c r="R217" s="2"/>
      <c r="S217" s="2"/>
      <c r="T217" s="2"/>
      <c r="U217" s="2"/>
      <c r="V217" s="2"/>
      <c r="W217" s="2"/>
      <c r="X217" s="2"/>
      <c r="Y217" s="2"/>
    </row>
    <row r="218" spans="1:25" ht="12.75" hidden="1" customHeight="1">
      <c r="A218" s="26" t="s">
        <v>688</v>
      </c>
      <c r="B218" s="27"/>
      <c r="C218" s="28"/>
      <c r="D218" s="27"/>
      <c r="E218" s="27" t="s">
        <v>689</v>
      </c>
      <c r="F218" s="29" t="s">
        <v>690</v>
      </c>
      <c r="G218" s="27" t="s">
        <v>248</v>
      </c>
      <c r="H218" s="27" t="s">
        <v>249</v>
      </c>
      <c r="I218" s="27">
        <v>1</v>
      </c>
      <c r="J218" s="30">
        <v>0</v>
      </c>
      <c r="K218" s="26" t="s">
        <v>36</v>
      </c>
      <c r="L218" s="26" t="s">
        <v>674</v>
      </c>
      <c r="M218" s="31"/>
      <c r="N218" s="23"/>
      <c r="O218" s="23"/>
      <c r="P218" s="23"/>
      <c r="Q218" s="2"/>
      <c r="R218" s="2"/>
      <c r="S218" s="2"/>
      <c r="T218" s="2"/>
      <c r="U218" s="2"/>
      <c r="V218" s="2"/>
      <c r="W218" s="2"/>
      <c r="X218" s="2"/>
      <c r="Y218" s="2"/>
    </row>
    <row r="219" spans="1:25" ht="25.5" hidden="1" customHeight="1">
      <c r="A219" s="26">
        <v>99</v>
      </c>
      <c r="B219" s="27" t="s">
        <v>599</v>
      </c>
      <c r="C219" s="28">
        <v>42671</v>
      </c>
      <c r="D219" s="27"/>
      <c r="E219" s="27" t="s">
        <v>691</v>
      </c>
      <c r="F219" s="29" t="s">
        <v>692</v>
      </c>
      <c r="G219" s="27" t="s">
        <v>307</v>
      </c>
      <c r="H219" s="27" t="s">
        <v>19</v>
      </c>
      <c r="I219" s="27">
        <v>1</v>
      </c>
      <c r="J219" s="30">
        <v>47131872</v>
      </c>
      <c r="K219" s="26" t="s">
        <v>36</v>
      </c>
      <c r="L219" s="26" t="s">
        <v>674</v>
      </c>
      <c r="M219" s="31" t="s">
        <v>693</v>
      </c>
      <c r="N219" s="23"/>
      <c r="O219" s="23"/>
      <c r="P219" s="23"/>
      <c r="Q219" s="2"/>
      <c r="R219" s="2"/>
      <c r="S219" s="2"/>
      <c r="T219" s="2"/>
      <c r="U219" s="2"/>
      <c r="V219" s="2"/>
      <c r="W219" s="2"/>
      <c r="X219" s="2"/>
      <c r="Y219" s="2"/>
    </row>
    <row r="220" spans="1:25" ht="12.75" hidden="1" customHeight="1">
      <c r="A220" s="26" t="s">
        <v>694</v>
      </c>
      <c r="B220" s="27"/>
      <c r="C220" s="28"/>
      <c r="D220" s="27"/>
      <c r="E220" s="27" t="s">
        <v>695</v>
      </c>
      <c r="F220" s="29" t="s">
        <v>696</v>
      </c>
      <c r="G220" s="27" t="s">
        <v>248</v>
      </c>
      <c r="H220" s="27" t="s">
        <v>249</v>
      </c>
      <c r="I220" s="27">
        <v>1</v>
      </c>
      <c r="J220" s="30">
        <v>0</v>
      </c>
      <c r="K220" s="26" t="s">
        <v>36</v>
      </c>
      <c r="L220" s="26" t="s">
        <v>674</v>
      </c>
      <c r="M220" s="31"/>
      <c r="N220" s="23"/>
      <c r="O220" s="23"/>
      <c r="P220" s="23"/>
      <c r="Q220" s="2"/>
      <c r="R220" s="2"/>
      <c r="S220" s="2"/>
      <c r="T220" s="2"/>
      <c r="U220" s="2"/>
      <c r="V220" s="2"/>
      <c r="W220" s="2"/>
      <c r="X220" s="2"/>
      <c r="Y220" s="2"/>
    </row>
    <row r="221" spans="1:25" ht="25.5" hidden="1" customHeight="1">
      <c r="A221" s="26">
        <v>100</v>
      </c>
      <c r="B221" s="27" t="s">
        <v>599</v>
      </c>
      <c r="C221" s="28">
        <v>42671</v>
      </c>
      <c r="D221" s="27"/>
      <c r="E221" s="27" t="s">
        <v>697</v>
      </c>
      <c r="F221" s="29" t="s">
        <v>698</v>
      </c>
      <c r="G221" s="27" t="s">
        <v>307</v>
      </c>
      <c r="H221" s="27" t="s">
        <v>19</v>
      </c>
      <c r="I221" s="27">
        <v>1</v>
      </c>
      <c r="J221" s="30">
        <v>47131872</v>
      </c>
      <c r="K221" s="26" t="s">
        <v>36</v>
      </c>
      <c r="L221" s="26" t="s">
        <v>674</v>
      </c>
      <c r="M221" s="31" t="s">
        <v>699</v>
      </c>
      <c r="N221" s="23"/>
      <c r="O221" s="23"/>
      <c r="P221" s="23"/>
      <c r="Q221" s="2"/>
      <c r="R221" s="2"/>
      <c r="S221" s="2"/>
      <c r="T221" s="2"/>
      <c r="U221" s="2"/>
      <c r="V221" s="2"/>
      <c r="W221" s="2"/>
      <c r="X221" s="2"/>
      <c r="Y221" s="2"/>
    </row>
    <row r="222" spans="1:25" ht="12.75" hidden="1" customHeight="1">
      <c r="A222" s="26" t="s">
        <v>700</v>
      </c>
      <c r="B222" s="27"/>
      <c r="C222" s="28"/>
      <c r="D222" s="27"/>
      <c r="E222" s="27" t="s">
        <v>701</v>
      </c>
      <c r="F222" s="29" t="s">
        <v>702</v>
      </c>
      <c r="G222" s="27" t="s">
        <v>248</v>
      </c>
      <c r="H222" s="27" t="s">
        <v>249</v>
      </c>
      <c r="I222" s="27">
        <v>1</v>
      </c>
      <c r="J222" s="30">
        <v>0</v>
      </c>
      <c r="K222" s="26" t="s">
        <v>36</v>
      </c>
      <c r="L222" s="26" t="s">
        <v>674</v>
      </c>
      <c r="M222" s="31"/>
      <c r="N222" s="23"/>
      <c r="O222" s="23"/>
      <c r="P222" s="23"/>
      <c r="Q222" s="2"/>
      <c r="R222" s="2"/>
      <c r="S222" s="2"/>
      <c r="T222" s="2"/>
      <c r="U222" s="2"/>
      <c r="V222" s="2"/>
      <c r="W222" s="2"/>
      <c r="X222" s="2"/>
      <c r="Y222" s="2"/>
    </row>
    <row r="223" spans="1:25" ht="25.5" hidden="1" customHeight="1">
      <c r="A223" s="26">
        <v>101</v>
      </c>
      <c r="B223" s="27" t="s">
        <v>599</v>
      </c>
      <c r="C223" s="28">
        <v>42671</v>
      </c>
      <c r="D223" s="27"/>
      <c r="E223" s="27" t="s">
        <v>703</v>
      </c>
      <c r="F223" s="29" t="s">
        <v>704</v>
      </c>
      <c r="G223" s="27" t="s">
        <v>307</v>
      </c>
      <c r="H223" s="27" t="s">
        <v>19</v>
      </c>
      <c r="I223" s="27">
        <v>1</v>
      </c>
      <c r="J223" s="30">
        <v>47131872</v>
      </c>
      <c r="K223" s="26" t="s">
        <v>36</v>
      </c>
      <c r="L223" s="26" t="s">
        <v>674</v>
      </c>
      <c r="M223" s="31" t="s">
        <v>705</v>
      </c>
      <c r="N223" s="23"/>
      <c r="O223" s="23"/>
      <c r="P223" s="23"/>
      <c r="Q223" s="2"/>
      <c r="R223" s="2"/>
      <c r="S223" s="2"/>
      <c r="T223" s="2"/>
      <c r="U223" s="2"/>
      <c r="V223" s="2"/>
      <c r="W223" s="2"/>
      <c r="X223" s="2"/>
      <c r="Y223" s="2"/>
    </row>
    <row r="224" spans="1:25" ht="12.75" hidden="1" customHeight="1">
      <c r="A224" s="26" t="s">
        <v>706</v>
      </c>
      <c r="B224" s="27"/>
      <c r="C224" s="28"/>
      <c r="D224" s="27"/>
      <c r="E224" s="27" t="s">
        <v>707</v>
      </c>
      <c r="F224" s="29" t="s">
        <v>708</v>
      </c>
      <c r="G224" s="27" t="s">
        <v>248</v>
      </c>
      <c r="H224" s="27" t="s">
        <v>249</v>
      </c>
      <c r="I224" s="27">
        <v>1</v>
      </c>
      <c r="J224" s="30">
        <v>0</v>
      </c>
      <c r="K224" s="26" t="s">
        <v>36</v>
      </c>
      <c r="L224" s="26" t="s">
        <v>674</v>
      </c>
      <c r="M224" s="31"/>
      <c r="N224" s="23"/>
      <c r="O224" s="23"/>
      <c r="P224" s="23"/>
      <c r="Q224" s="2"/>
      <c r="R224" s="2"/>
      <c r="S224" s="2"/>
      <c r="T224" s="2"/>
      <c r="U224" s="2"/>
      <c r="V224" s="2"/>
      <c r="W224" s="2"/>
      <c r="X224" s="2"/>
      <c r="Y224" s="2"/>
    </row>
    <row r="225" spans="1:25" ht="25.5" hidden="1" customHeight="1">
      <c r="A225" s="26">
        <v>102</v>
      </c>
      <c r="B225" s="27" t="s">
        <v>599</v>
      </c>
      <c r="C225" s="28">
        <v>42671</v>
      </c>
      <c r="D225" s="27"/>
      <c r="E225" s="27" t="s">
        <v>709</v>
      </c>
      <c r="F225" s="29" t="s">
        <v>710</v>
      </c>
      <c r="G225" s="27" t="s">
        <v>307</v>
      </c>
      <c r="H225" s="27" t="s">
        <v>19</v>
      </c>
      <c r="I225" s="27">
        <v>1</v>
      </c>
      <c r="J225" s="30">
        <v>47131872</v>
      </c>
      <c r="K225" s="26" t="s">
        <v>36</v>
      </c>
      <c r="L225" s="26" t="s">
        <v>674</v>
      </c>
      <c r="M225" s="31" t="s">
        <v>711</v>
      </c>
      <c r="N225" s="23"/>
      <c r="O225" s="23"/>
      <c r="P225" s="23"/>
      <c r="Q225" s="2"/>
      <c r="R225" s="2"/>
      <c r="S225" s="2"/>
      <c r="T225" s="2"/>
      <c r="U225" s="2"/>
      <c r="V225" s="2"/>
      <c r="W225" s="2"/>
      <c r="X225" s="2"/>
      <c r="Y225" s="2"/>
    </row>
    <row r="226" spans="1:25" ht="12.75" hidden="1" customHeight="1">
      <c r="A226" s="26" t="s">
        <v>712</v>
      </c>
      <c r="B226" s="27"/>
      <c r="C226" s="28"/>
      <c r="D226" s="27"/>
      <c r="E226" s="27" t="s">
        <v>713</v>
      </c>
      <c r="F226" s="29" t="s">
        <v>714</v>
      </c>
      <c r="G226" s="27" t="s">
        <v>248</v>
      </c>
      <c r="H226" s="27" t="s">
        <v>249</v>
      </c>
      <c r="I226" s="27">
        <v>1</v>
      </c>
      <c r="J226" s="30">
        <v>0</v>
      </c>
      <c r="K226" s="26" t="s">
        <v>36</v>
      </c>
      <c r="L226" s="26" t="s">
        <v>674</v>
      </c>
      <c r="M226" s="31"/>
      <c r="N226" s="23"/>
      <c r="O226" s="23"/>
      <c r="P226" s="23"/>
      <c r="Q226" s="2"/>
      <c r="R226" s="2"/>
      <c r="S226" s="2"/>
      <c r="T226" s="2"/>
      <c r="U226" s="2"/>
      <c r="V226" s="2"/>
      <c r="W226" s="2"/>
      <c r="X226" s="2"/>
      <c r="Y226" s="2"/>
    </row>
    <row r="227" spans="1:25" ht="25.5" hidden="1" customHeight="1">
      <c r="A227" s="26">
        <v>103</v>
      </c>
      <c r="B227" s="27" t="s">
        <v>599</v>
      </c>
      <c r="C227" s="28">
        <v>42671</v>
      </c>
      <c r="D227" s="27"/>
      <c r="E227" s="27" t="s">
        <v>715</v>
      </c>
      <c r="F227" s="29" t="s">
        <v>716</v>
      </c>
      <c r="G227" s="27" t="s">
        <v>307</v>
      </c>
      <c r="H227" s="27" t="s">
        <v>19</v>
      </c>
      <c r="I227" s="27">
        <v>1</v>
      </c>
      <c r="J227" s="30">
        <v>47131872</v>
      </c>
      <c r="K227" s="26" t="s">
        <v>36</v>
      </c>
      <c r="L227" s="26" t="s">
        <v>674</v>
      </c>
      <c r="M227" s="31" t="s">
        <v>717</v>
      </c>
      <c r="N227" s="23"/>
      <c r="O227" s="23"/>
      <c r="P227" s="23"/>
      <c r="Q227" s="2"/>
      <c r="R227" s="2"/>
      <c r="S227" s="2"/>
      <c r="T227" s="2"/>
      <c r="U227" s="2"/>
      <c r="V227" s="2"/>
      <c r="W227" s="2"/>
      <c r="X227" s="2"/>
      <c r="Y227" s="2"/>
    </row>
    <row r="228" spans="1:25" ht="12.75" hidden="1" customHeight="1">
      <c r="A228" s="26" t="s">
        <v>718</v>
      </c>
      <c r="B228" s="27"/>
      <c r="C228" s="28"/>
      <c r="D228" s="27"/>
      <c r="E228" s="27" t="s">
        <v>719</v>
      </c>
      <c r="F228" s="29" t="s">
        <v>720</v>
      </c>
      <c r="G228" s="27" t="s">
        <v>248</v>
      </c>
      <c r="H228" s="27" t="s">
        <v>249</v>
      </c>
      <c r="I228" s="27">
        <v>1</v>
      </c>
      <c r="J228" s="30">
        <v>0</v>
      </c>
      <c r="K228" s="26" t="s">
        <v>36</v>
      </c>
      <c r="L228" s="26" t="s">
        <v>674</v>
      </c>
      <c r="M228" s="31"/>
      <c r="N228" s="23"/>
      <c r="O228" s="23"/>
      <c r="P228" s="23"/>
      <c r="Q228" s="2"/>
      <c r="R228" s="2"/>
      <c r="S228" s="2"/>
      <c r="T228" s="2"/>
      <c r="U228" s="2"/>
      <c r="V228" s="2"/>
      <c r="W228" s="2"/>
      <c r="X228" s="2"/>
      <c r="Y228" s="2"/>
    </row>
    <row r="229" spans="1:25" ht="25.5" hidden="1" customHeight="1">
      <c r="A229" s="26">
        <v>104</v>
      </c>
      <c r="B229" s="27" t="s">
        <v>599</v>
      </c>
      <c r="C229" s="28">
        <v>42671</v>
      </c>
      <c r="D229" s="27"/>
      <c r="E229" s="27" t="s">
        <v>721</v>
      </c>
      <c r="F229" s="29" t="s">
        <v>722</v>
      </c>
      <c r="G229" s="27" t="s">
        <v>307</v>
      </c>
      <c r="H229" s="27" t="s">
        <v>19</v>
      </c>
      <c r="I229" s="27">
        <v>1</v>
      </c>
      <c r="J229" s="30">
        <v>47131872</v>
      </c>
      <c r="K229" s="26" t="s">
        <v>36</v>
      </c>
      <c r="L229" s="26" t="s">
        <v>674</v>
      </c>
      <c r="M229" s="31" t="s">
        <v>705</v>
      </c>
      <c r="N229" s="23"/>
      <c r="O229" s="23"/>
      <c r="P229" s="23"/>
      <c r="Q229" s="2"/>
      <c r="R229" s="2"/>
      <c r="S229" s="2"/>
      <c r="T229" s="2"/>
      <c r="U229" s="2"/>
      <c r="V229" s="2"/>
      <c r="W229" s="2"/>
      <c r="X229" s="2"/>
      <c r="Y229" s="2"/>
    </row>
    <row r="230" spans="1:25" ht="12.75" hidden="1" customHeight="1">
      <c r="A230" s="26" t="s">
        <v>723</v>
      </c>
      <c r="B230" s="27"/>
      <c r="C230" s="28"/>
      <c r="D230" s="27"/>
      <c r="E230" s="27" t="s">
        <v>724</v>
      </c>
      <c r="F230" s="29" t="s">
        <v>725</v>
      </c>
      <c r="G230" s="27" t="s">
        <v>248</v>
      </c>
      <c r="H230" s="27" t="s">
        <v>249</v>
      </c>
      <c r="I230" s="27">
        <v>1</v>
      </c>
      <c r="J230" s="30">
        <v>0</v>
      </c>
      <c r="K230" s="26" t="s">
        <v>36</v>
      </c>
      <c r="L230" s="26" t="s">
        <v>674</v>
      </c>
      <c r="M230" s="31"/>
      <c r="N230" s="23"/>
      <c r="O230" s="23"/>
      <c r="P230" s="23"/>
      <c r="Q230" s="2"/>
      <c r="R230" s="2"/>
      <c r="S230" s="2"/>
      <c r="T230" s="2"/>
      <c r="U230" s="2"/>
      <c r="V230" s="2"/>
      <c r="W230" s="2"/>
      <c r="X230" s="2"/>
      <c r="Y230" s="2"/>
    </row>
    <row r="231" spans="1:25" ht="25.5" hidden="1" customHeight="1">
      <c r="A231" s="26">
        <v>105</v>
      </c>
      <c r="B231" s="27" t="s">
        <v>599</v>
      </c>
      <c r="C231" s="28">
        <v>42671</v>
      </c>
      <c r="D231" s="27"/>
      <c r="E231" s="27" t="s">
        <v>726</v>
      </c>
      <c r="F231" s="29" t="s">
        <v>727</v>
      </c>
      <c r="G231" s="27" t="s">
        <v>307</v>
      </c>
      <c r="H231" s="27" t="s">
        <v>19</v>
      </c>
      <c r="I231" s="27">
        <v>1</v>
      </c>
      <c r="J231" s="30">
        <v>47131872</v>
      </c>
      <c r="K231" s="26" t="s">
        <v>36</v>
      </c>
      <c r="L231" s="26" t="s">
        <v>674</v>
      </c>
      <c r="M231" s="31" t="s">
        <v>705</v>
      </c>
      <c r="N231" s="23"/>
      <c r="O231" s="23"/>
      <c r="P231" s="23"/>
      <c r="Q231" s="2"/>
      <c r="R231" s="2"/>
      <c r="S231" s="2"/>
      <c r="T231" s="2"/>
      <c r="U231" s="2"/>
      <c r="V231" s="2"/>
      <c r="W231" s="2"/>
      <c r="X231" s="2"/>
      <c r="Y231" s="2"/>
    </row>
    <row r="232" spans="1:25" ht="12.75" hidden="1" customHeight="1">
      <c r="A232" s="26" t="s">
        <v>728</v>
      </c>
      <c r="B232" s="27"/>
      <c r="C232" s="28"/>
      <c r="D232" s="27"/>
      <c r="E232" s="27" t="s">
        <v>729</v>
      </c>
      <c r="F232" s="29" t="s">
        <v>730</v>
      </c>
      <c r="G232" s="27" t="s">
        <v>248</v>
      </c>
      <c r="H232" s="27" t="s">
        <v>249</v>
      </c>
      <c r="I232" s="27">
        <v>1</v>
      </c>
      <c r="J232" s="30">
        <v>0</v>
      </c>
      <c r="K232" s="26" t="s">
        <v>36</v>
      </c>
      <c r="L232" s="26" t="s">
        <v>674</v>
      </c>
      <c r="M232" s="31"/>
      <c r="N232" s="23"/>
      <c r="O232" s="23"/>
      <c r="P232" s="23"/>
      <c r="Q232" s="2"/>
      <c r="R232" s="2"/>
      <c r="S232" s="2"/>
      <c r="T232" s="2"/>
      <c r="U232" s="2"/>
      <c r="V232" s="2"/>
      <c r="W232" s="2"/>
      <c r="X232" s="2"/>
      <c r="Y232" s="2"/>
    </row>
    <row r="233" spans="1:25" ht="25.5" hidden="1" customHeight="1">
      <c r="A233" s="26">
        <v>106</v>
      </c>
      <c r="B233" s="27" t="s">
        <v>599</v>
      </c>
      <c r="C233" s="28">
        <v>42671</v>
      </c>
      <c r="D233" s="27"/>
      <c r="E233" s="27" t="s">
        <v>731</v>
      </c>
      <c r="F233" s="29" t="s">
        <v>732</v>
      </c>
      <c r="G233" s="27" t="s">
        <v>307</v>
      </c>
      <c r="H233" s="27" t="s">
        <v>19</v>
      </c>
      <c r="I233" s="27">
        <v>1</v>
      </c>
      <c r="J233" s="30">
        <v>47131872</v>
      </c>
      <c r="K233" s="26" t="s">
        <v>36</v>
      </c>
      <c r="L233" s="26" t="s">
        <v>674</v>
      </c>
      <c r="M233" s="31" t="s">
        <v>733</v>
      </c>
      <c r="N233" s="23"/>
      <c r="O233" s="23"/>
      <c r="P233" s="23"/>
      <c r="Q233" s="2"/>
      <c r="R233" s="2"/>
      <c r="S233" s="2"/>
      <c r="T233" s="2"/>
      <c r="U233" s="2"/>
      <c r="V233" s="2"/>
      <c r="W233" s="2"/>
      <c r="X233" s="2"/>
      <c r="Y233" s="2"/>
    </row>
    <row r="234" spans="1:25" ht="12.75" hidden="1" customHeight="1">
      <c r="A234" s="26" t="s">
        <v>734</v>
      </c>
      <c r="B234" s="27"/>
      <c r="C234" s="28"/>
      <c r="D234" s="27"/>
      <c r="E234" s="27" t="s">
        <v>735</v>
      </c>
      <c r="F234" s="29" t="s">
        <v>736</v>
      </c>
      <c r="G234" s="27" t="s">
        <v>248</v>
      </c>
      <c r="H234" s="27" t="s">
        <v>249</v>
      </c>
      <c r="I234" s="27">
        <v>1</v>
      </c>
      <c r="J234" s="30">
        <v>0</v>
      </c>
      <c r="K234" s="26" t="s">
        <v>36</v>
      </c>
      <c r="L234" s="26" t="s">
        <v>674</v>
      </c>
      <c r="M234" s="31"/>
      <c r="N234" s="23"/>
      <c r="O234" s="23"/>
      <c r="P234" s="23"/>
      <c r="Q234" s="2"/>
      <c r="R234" s="2"/>
      <c r="S234" s="2"/>
      <c r="T234" s="2"/>
      <c r="U234" s="2"/>
      <c r="V234" s="2"/>
      <c r="W234" s="2"/>
      <c r="X234" s="2"/>
      <c r="Y234" s="2"/>
    </row>
    <row r="235" spans="1:25" ht="25.5" hidden="1" customHeight="1">
      <c r="A235" s="26">
        <v>107</v>
      </c>
      <c r="B235" s="27" t="s">
        <v>599</v>
      </c>
      <c r="C235" s="28">
        <v>42671</v>
      </c>
      <c r="D235" s="27"/>
      <c r="E235" s="27" t="s">
        <v>737</v>
      </c>
      <c r="F235" s="29" t="s">
        <v>738</v>
      </c>
      <c r="G235" s="27" t="s">
        <v>307</v>
      </c>
      <c r="H235" s="27" t="s">
        <v>19</v>
      </c>
      <c r="I235" s="27">
        <v>1</v>
      </c>
      <c r="J235" s="30">
        <v>47131872</v>
      </c>
      <c r="K235" s="26" t="s">
        <v>36</v>
      </c>
      <c r="L235" s="26" t="s">
        <v>674</v>
      </c>
      <c r="M235" s="31" t="s">
        <v>739</v>
      </c>
      <c r="N235" s="23"/>
      <c r="O235" s="23"/>
      <c r="P235" s="23"/>
      <c r="Q235" s="2"/>
      <c r="R235" s="2"/>
      <c r="S235" s="2"/>
      <c r="T235" s="2"/>
      <c r="U235" s="2"/>
      <c r="V235" s="2"/>
      <c r="W235" s="2"/>
      <c r="X235" s="2"/>
      <c r="Y235" s="2"/>
    </row>
    <row r="236" spans="1:25" ht="12.75" hidden="1" customHeight="1">
      <c r="A236" s="26" t="s">
        <v>740</v>
      </c>
      <c r="B236" s="27"/>
      <c r="C236" s="28"/>
      <c r="D236" s="27"/>
      <c r="E236" s="27" t="s">
        <v>741</v>
      </c>
      <c r="F236" s="29" t="s">
        <v>742</v>
      </c>
      <c r="G236" s="27" t="s">
        <v>248</v>
      </c>
      <c r="H236" s="27" t="s">
        <v>249</v>
      </c>
      <c r="I236" s="27">
        <v>1</v>
      </c>
      <c r="J236" s="30">
        <v>0</v>
      </c>
      <c r="K236" s="26" t="s">
        <v>36</v>
      </c>
      <c r="L236" s="26" t="s">
        <v>674</v>
      </c>
      <c r="M236" s="31"/>
      <c r="N236" s="23"/>
      <c r="O236" s="23"/>
      <c r="P236" s="23"/>
      <c r="Q236" s="2"/>
      <c r="R236" s="2"/>
      <c r="S236" s="2"/>
      <c r="T236" s="2"/>
      <c r="U236" s="2"/>
      <c r="V236" s="2"/>
      <c r="W236" s="2"/>
      <c r="X236" s="2"/>
      <c r="Y236" s="2"/>
    </row>
    <row r="237" spans="1:25" ht="25.5" hidden="1" customHeight="1">
      <c r="A237" s="26">
        <v>108</v>
      </c>
      <c r="B237" s="27" t="s">
        <v>599</v>
      </c>
      <c r="C237" s="28">
        <v>42671</v>
      </c>
      <c r="D237" s="27"/>
      <c r="E237" s="27" t="s">
        <v>743</v>
      </c>
      <c r="F237" s="29" t="s">
        <v>744</v>
      </c>
      <c r="G237" s="27" t="s">
        <v>307</v>
      </c>
      <c r="H237" s="27" t="s">
        <v>19</v>
      </c>
      <c r="I237" s="27">
        <v>1</v>
      </c>
      <c r="J237" s="30">
        <v>47131872</v>
      </c>
      <c r="K237" s="26" t="s">
        <v>36</v>
      </c>
      <c r="L237" s="26" t="s">
        <v>674</v>
      </c>
      <c r="M237" s="31" t="s">
        <v>745</v>
      </c>
      <c r="N237" s="23"/>
      <c r="O237" s="23"/>
      <c r="P237" s="23"/>
      <c r="Q237" s="2"/>
      <c r="R237" s="2"/>
      <c r="S237" s="2"/>
      <c r="T237" s="2"/>
      <c r="U237" s="2"/>
      <c r="V237" s="2"/>
      <c r="W237" s="2"/>
      <c r="X237" s="2"/>
      <c r="Y237" s="2"/>
    </row>
    <row r="238" spans="1:25" ht="12.75" hidden="1" customHeight="1">
      <c r="A238" s="26" t="s">
        <v>746</v>
      </c>
      <c r="B238" s="27"/>
      <c r="C238" s="28"/>
      <c r="D238" s="27"/>
      <c r="E238" s="27" t="s">
        <v>747</v>
      </c>
      <c r="F238" s="29" t="s">
        <v>748</v>
      </c>
      <c r="G238" s="27" t="s">
        <v>248</v>
      </c>
      <c r="H238" s="27" t="s">
        <v>249</v>
      </c>
      <c r="I238" s="27">
        <v>1</v>
      </c>
      <c r="J238" s="30">
        <v>0</v>
      </c>
      <c r="K238" s="26" t="s">
        <v>36</v>
      </c>
      <c r="L238" s="26" t="s">
        <v>674</v>
      </c>
      <c r="M238" s="31"/>
      <c r="N238" s="23"/>
      <c r="O238" s="23"/>
      <c r="P238" s="23"/>
      <c r="Q238" s="2"/>
      <c r="R238" s="2"/>
      <c r="S238" s="2"/>
      <c r="T238" s="2"/>
      <c r="U238" s="2"/>
      <c r="V238" s="2"/>
      <c r="W238" s="2"/>
      <c r="X238" s="2"/>
      <c r="Y238" s="2"/>
    </row>
    <row r="239" spans="1:25" ht="25.5" hidden="1" customHeight="1">
      <c r="A239" s="26">
        <v>109</v>
      </c>
      <c r="B239" s="27" t="s">
        <v>599</v>
      </c>
      <c r="C239" s="28">
        <v>42671</v>
      </c>
      <c r="D239" s="27"/>
      <c r="E239" s="27" t="s">
        <v>749</v>
      </c>
      <c r="F239" s="29" t="s">
        <v>750</v>
      </c>
      <c r="G239" s="27" t="s">
        <v>307</v>
      </c>
      <c r="H239" s="27" t="s">
        <v>19</v>
      </c>
      <c r="I239" s="27">
        <v>1</v>
      </c>
      <c r="J239" s="30">
        <v>47131872</v>
      </c>
      <c r="K239" s="26" t="s">
        <v>36</v>
      </c>
      <c r="L239" s="26" t="s">
        <v>674</v>
      </c>
      <c r="M239" s="31" t="s">
        <v>751</v>
      </c>
      <c r="N239" s="23"/>
      <c r="O239" s="23"/>
      <c r="P239" s="23"/>
      <c r="Q239" s="2"/>
      <c r="R239" s="2"/>
      <c r="S239" s="2"/>
      <c r="T239" s="2"/>
      <c r="U239" s="2"/>
      <c r="V239" s="2"/>
      <c r="W239" s="2"/>
      <c r="X239" s="2"/>
      <c r="Y239" s="2"/>
    </row>
    <row r="240" spans="1:25" ht="12.75" hidden="1" customHeight="1">
      <c r="A240" s="26" t="s">
        <v>752</v>
      </c>
      <c r="B240" s="27"/>
      <c r="C240" s="28"/>
      <c r="D240" s="27"/>
      <c r="E240" s="27" t="s">
        <v>753</v>
      </c>
      <c r="F240" s="29" t="s">
        <v>754</v>
      </c>
      <c r="G240" s="27" t="s">
        <v>248</v>
      </c>
      <c r="H240" s="27" t="s">
        <v>249</v>
      </c>
      <c r="I240" s="27">
        <v>1</v>
      </c>
      <c r="J240" s="30">
        <v>0</v>
      </c>
      <c r="K240" s="26" t="s">
        <v>36</v>
      </c>
      <c r="L240" s="26" t="s">
        <v>674</v>
      </c>
      <c r="M240" s="31"/>
      <c r="N240" s="23"/>
      <c r="O240" s="23"/>
      <c r="P240" s="23"/>
      <c r="Q240" s="2"/>
      <c r="R240" s="2"/>
      <c r="S240" s="2"/>
      <c r="T240" s="2"/>
      <c r="U240" s="2"/>
      <c r="V240" s="2"/>
      <c r="W240" s="2"/>
      <c r="X240" s="2"/>
      <c r="Y240" s="2"/>
    </row>
    <row r="241" spans="1:25" ht="25.5" hidden="1" customHeight="1">
      <c r="A241" s="26">
        <v>110</v>
      </c>
      <c r="B241" s="27" t="s">
        <v>599</v>
      </c>
      <c r="C241" s="28">
        <v>42671</v>
      </c>
      <c r="D241" s="27"/>
      <c r="E241" s="27" t="s">
        <v>755</v>
      </c>
      <c r="F241" s="29" t="s">
        <v>756</v>
      </c>
      <c r="G241" s="27" t="s">
        <v>307</v>
      </c>
      <c r="H241" s="27" t="s">
        <v>19</v>
      </c>
      <c r="I241" s="27">
        <v>1</v>
      </c>
      <c r="J241" s="30">
        <v>47131872</v>
      </c>
      <c r="K241" s="26" t="s">
        <v>36</v>
      </c>
      <c r="L241" s="26" t="s">
        <v>674</v>
      </c>
      <c r="M241" s="31" t="s">
        <v>757</v>
      </c>
      <c r="N241" s="23"/>
      <c r="O241" s="23"/>
      <c r="P241" s="23"/>
      <c r="Q241" s="2"/>
      <c r="R241" s="2"/>
      <c r="S241" s="2"/>
      <c r="T241" s="2"/>
      <c r="U241" s="2"/>
      <c r="V241" s="2"/>
      <c r="W241" s="2"/>
      <c r="X241" s="2"/>
      <c r="Y241" s="2"/>
    </row>
    <row r="242" spans="1:25" ht="12.75" hidden="1" customHeight="1">
      <c r="A242" s="26" t="s">
        <v>758</v>
      </c>
      <c r="B242" s="27"/>
      <c r="C242" s="28"/>
      <c r="D242" s="27"/>
      <c r="E242" s="27" t="s">
        <v>759</v>
      </c>
      <c r="F242" s="29" t="s">
        <v>760</v>
      </c>
      <c r="G242" s="27" t="s">
        <v>248</v>
      </c>
      <c r="H242" s="27" t="s">
        <v>249</v>
      </c>
      <c r="I242" s="27">
        <v>1</v>
      </c>
      <c r="J242" s="30">
        <v>0</v>
      </c>
      <c r="K242" s="26" t="s">
        <v>36</v>
      </c>
      <c r="L242" s="26" t="s">
        <v>674</v>
      </c>
      <c r="M242" s="31"/>
      <c r="N242" s="23"/>
      <c r="O242" s="23"/>
      <c r="P242" s="23"/>
      <c r="Q242" s="2"/>
      <c r="R242" s="2"/>
      <c r="S242" s="2"/>
      <c r="T242" s="2"/>
      <c r="U242" s="2"/>
      <c r="V242" s="2"/>
      <c r="W242" s="2"/>
      <c r="X242" s="2"/>
      <c r="Y242" s="2"/>
    </row>
    <row r="243" spans="1:25" ht="25.5" hidden="1" customHeight="1">
      <c r="A243" s="26">
        <v>111</v>
      </c>
      <c r="B243" s="27" t="s">
        <v>599</v>
      </c>
      <c r="C243" s="28">
        <v>42671</v>
      </c>
      <c r="D243" s="27"/>
      <c r="E243" s="27" t="s">
        <v>761</v>
      </c>
      <c r="F243" s="29" t="s">
        <v>762</v>
      </c>
      <c r="G243" s="27" t="s">
        <v>307</v>
      </c>
      <c r="H243" s="27" t="s">
        <v>19</v>
      </c>
      <c r="I243" s="27">
        <v>1</v>
      </c>
      <c r="J243" s="30">
        <v>47131872</v>
      </c>
      <c r="K243" s="26" t="s">
        <v>36</v>
      </c>
      <c r="L243" s="26" t="s">
        <v>674</v>
      </c>
      <c r="M243" s="31" t="s">
        <v>763</v>
      </c>
      <c r="N243" s="23"/>
      <c r="O243" s="23"/>
      <c r="P243" s="23"/>
      <c r="Q243" s="2"/>
      <c r="R243" s="2"/>
      <c r="S243" s="2"/>
      <c r="T243" s="2"/>
      <c r="U243" s="2"/>
      <c r="V243" s="2"/>
      <c r="W243" s="2"/>
      <c r="X243" s="2"/>
      <c r="Y243" s="2"/>
    </row>
    <row r="244" spans="1:25" ht="12.75" hidden="1" customHeight="1">
      <c r="A244" s="26" t="s">
        <v>764</v>
      </c>
      <c r="B244" s="27"/>
      <c r="C244" s="28"/>
      <c r="D244" s="27"/>
      <c r="E244" s="27" t="s">
        <v>765</v>
      </c>
      <c r="F244" s="29" t="s">
        <v>766</v>
      </c>
      <c r="G244" s="27" t="s">
        <v>248</v>
      </c>
      <c r="H244" s="27" t="s">
        <v>249</v>
      </c>
      <c r="I244" s="27">
        <v>1</v>
      </c>
      <c r="J244" s="30">
        <v>0</v>
      </c>
      <c r="K244" s="26" t="s">
        <v>36</v>
      </c>
      <c r="L244" s="26" t="s">
        <v>674</v>
      </c>
      <c r="M244" s="31"/>
      <c r="N244" s="23"/>
      <c r="O244" s="23"/>
      <c r="P244" s="23"/>
      <c r="Q244" s="2"/>
      <c r="R244" s="2"/>
      <c r="S244" s="2"/>
      <c r="T244" s="2"/>
      <c r="U244" s="2"/>
      <c r="V244" s="2"/>
      <c r="W244" s="2"/>
      <c r="X244" s="2"/>
      <c r="Y244" s="2"/>
    </row>
    <row r="245" spans="1:25" ht="25.5" hidden="1" customHeight="1">
      <c r="A245" s="26">
        <v>112</v>
      </c>
      <c r="B245" s="27" t="s">
        <v>599</v>
      </c>
      <c r="C245" s="28">
        <v>42671</v>
      </c>
      <c r="D245" s="27"/>
      <c r="E245" s="27" t="s">
        <v>767</v>
      </c>
      <c r="F245" s="29" t="s">
        <v>768</v>
      </c>
      <c r="G245" s="27" t="s">
        <v>307</v>
      </c>
      <c r="H245" s="27" t="s">
        <v>19</v>
      </c>
      <c r="I245" s="27">
        <v>1</v>
      </c>
      <c r="J245" s="30">
        <v>37278105</v>
      </c>
      <c r="K245" s="26" t="s">
        <v>36</v>
      </c>
      <c r="L245" s="26" t="s">
        <v>674</v>
      </c>
      <c r="M245" s="31" t="s">
        <v>769</v>
      </c>
      <c r="N245" s="23"/>
      <c r="O245" s="23"/>
      <c r="P245" s="23"/>
      <c r="Q245" s="2"/>
      <c r="R245" s="2"/>
      <c r="S245" s="2"/>
      <c r="T245" s="2"/>
      <c r="U245" s="2"/>
      <c r="V245" s="2"/>
      <c r="W245" s="2"/>
      <c r="X245" s="2"/>
      <c r="Y245" s="2"/>
    </row>
    <row r="246" spans="1:25" ht="12.75" hidden="1" customHeight="1">
      <c r="A246" s="26" t="s">
        <v>770</v>
      </c>
      <c r="B246" s="27"/>
      <c r="C246" s="28"/>
      <c r="D246" s="27"/>
      <c r="E246" s="27" t="s">
        <v>771</v>
      </c>
      <c r="F246" s="29" t="s">
        <v>772</v>
      </c>
      <c r="G246" s="27" t="s">
        <v>248</v>
      </c>
      <c r="H246" s="27" t="s">
        <v>249</v>
      </c>
      <c r="I246" s="27">
        <v>1</v>
      </c>
      <c r="J246" s="30">
        <v>0</v>
      </c>
      <c r="K246" s="26" t="s">
        <v>36</v>
      </c>
      <c r="L246" s="26" t="s">
        <v>674</v>
      </c>
      <c r="M246" s="31"/>
      <c r="N246" s="23"/>
      <c r="O246" s="23"/>
      <c r="P246" s="23"/>
      <c r="Q246" s="2"/>
      <c r="R246" s="2"/>
      <c r="S246" s="2"/>
      <c r="T246" s="2"/>
      <c r="U246" s="2"/>
      <c r="V246" s="2"/>
      <c r="W246" s="2"/>
      <c r="X246" s="2"/>
      <c r="Y246" s="2"/>
    </row>
    <row r="247" spans="1:25" ht="25.5" hidden="1" customHeight="1">
      <c r="A247" s="26">
        <v>113</v>
      </c>
      <c r="B247" s="27" t="s">
        <v>599</v>
      </c>
      <c r="C247" s="28">
        <v>42671</v>
      </c>
      <c r="D247" s="27"/>
      <c r="E247" s="27" t="s">
        <v>773</v>
      </c>
      <c r="F247" s="29" t="s">
        <v>774</v>
      </c>
      <c r="G247" s="27" t="s">
        <v>307</v>
      </c>
      <c r="H247" s="27" t="s">
        <v>19</v>
      </c>
      <c r="I247" s="27">
        <v>1</v>
      </c>
      <c r="J247" s="30">
        <v>37278105</v>
      </c>
      <c r="K247" s="26" t="s">
        <v>36</v>
      </c>
      <c r="L247" s="26" t="s">
        <v>674</v>
      </c>
      <c r="M247" s="31" t="s">
        <v>775</v>
      </c>
      <c r="N247" s="23"/>
      <c r="O247" s="23"/>
      <c r="P247" s="23"/>
      <c r="Q247" s="2"/>
      <c r="R247" s="2"/>
      <c r="S247" s="2"/>
      <c r="T247" s="2"/>
      <c r="U247" s="2"/>
      <c r="V247" s="2"/>
      <c r="W247" s="2"/>
      <c r="X247" s="2"/>
      <c r="Y247" s="2"/>
    </row>
    <row r="248" spans="1:25" ht="12.75" hidden="1" customHeight="1">
      <c r="A248" s="26" t="s">
        <v>776</v>
      </c>
      <c r="B248" s="27"/>
      <c r="C248" s="28"/>
      <c r="D248" s="27"/>
      <c r="E248" s="27" t="s">
        <v>777</v>
      </c>
      <c r="F248" s="29" t="s">
        <v>778</v>
      </c>
      <c r="G248" s="27" t="s">
        <v>248</v>
      </c>
      <c r="H248" s="27" t="s">
        <v>249</v>
      </c>
      <c r="I248" s="27">
        <v>1</v>
      </c>
      <c r="J248" s="30">
        <v>0</v>
      </c>
      <c r="K248" s="26" t="s">
        <v>36</v>
      </c>
      <c r="L248" s="26" t="s">
        <v>674</v>
      </c>
      <c r="M248" s="31"/>
      <c r="N248" s="23"/>
      <c r="O248" s="23"/>
      <c r="P248" s="23"/>
      <c r="Q248" s="2"/>
      <c r="R248" s="2"/>
      <c r="S248" s="2"/>
      <c r="T248" s="2"/>
      <c r="U248" s="2"/>
      <c r="V248" s="2"/>
      <c r="W248" s="2"/>
      <c r="X248" s="2"/>
      <c r="Y248" s="2"/>
    </row>
    <row r="249" spans="1:25" ht="25.5" hidden="1" customHeight="1">
      <c r="A249" s="26">
        <v>114</v>
      </c>
      <c r="B249" s="27" t="s">
        <v>599</v>
      </c>
      <c r="C249" s="28">
        <v>42671</v>
      </c>
      <c r="D249" s="27"/>
      <c r="E249" s="27" t="s">
        <v>779</v>
      </c>
      <c r="F249" s="29" t="s">
        <v>780</v>
      </c>
      <c r="G249" s="27" t="s">
        <v>307</v>
      </c>
      <c r="H249" s="27" t="s">
        <v>19</v>
      </c>
      <c r="I249" s="27">
        <v>1</v>
      </c>
      <c r="J249" s="30">
        <v>37278105</v>
      </c>
      <c r="K249" s="26" t="s">
        <v>36</v>
      </c>
      <c r="L249" s="26" t="s">
        <v>674</v>
      </c>
      <c r="M249" s="31" t="s">
        <v>781</v>
      </c>
      <c r="N249" s="23"/>
      <c r="O249" s="23"/>
      <c r="P249" s="23"/>
      <c r="Q249" s="2"/>
      <c r="R249" s="2"/>
      <c r="S249" s="2"/>
      <c r="T249" s="2"/>
      <c r="U249" s="2"/>
      <c r="V249" s="2"/>
      <c r="W249" s="2"/>
      <c r="X249" s="2"/>
      <c r="Y249" s="2"/>
    </row>
    <row r="250" spans="1:25" ht="12.75" hidden="1" customHeight="1">
      <c r="A250" s="26" t="s">
        <v>782</v>
      </c>
      <c r="B250" s="27"/>
      <c r="C250" s="28"/>
      <c r="D250" s="27"/>
      <c r="E250" s="27" t="s">
        <v>783</v>
      </c>
      <c r="F250" s="29" t="s">
        <v>784</v>
      </c>
      <c r="G250" s="27" t="s">
        <v>248</v>
      </c>
      <c r="H250" s="27" t="s">
        <v>249</v>
      </c>
      <c r="I250" s="27">
        <v>1</v>
      </c>
      <c r="J250" s="30">
        <v>0</v>
      </c>
      <c r="K250" s="26" t="s">
        <v>36</v>
      </c>
      <c r="L250" s="26" t="s">
        <v>674</v>
      </c>
      <c r="M250" s="31"/>
      <c r="N250" s="23"/>
      <c r="O250" s="23"/>
      <c r="P250" s="23"/>
      <c r="Q250" s="2"/>
      <c r="R250" s="2"/>
      <c r="S250" s="2"/>
      <c r="T250" s="2"/>
      <c r="U250" s="2"/>
      <c r="V250" s="2"/>
      <c r="W250" s="2"/>
      <c r="X250" s="2"/>
      <c r="Y250" s="2"/>
    </row>
    <row r="251" spans="1:25" ht="25.5" hidden="1" customHeight="1">
      <c r="A251" s="26">
        <v>115</v>
      </c>
      <c r="B251" s="27" t="s">
        <v>599</v>
      </c>
      <c r="C251" s="28">
        <v>42671</v>
      </c>
      <c r="D251" s="27"/>
      <c r="E251" s="27" t="s">
        <v>785</v>
      </c>
      <c r="F251" s="29" t="s">
        <v>786</v>
      </c>
      <c r="G251" s="27" t="s">
        <v>307</v>
      </c>
      <c r="H251" s="27" t="s">
        <v>19</v>
      </c>
      <c r="I251" s="27">
        <v>1</v>
      </c>
      <c r="J251" s="30">
        <v>37278108</v>
      </c>
      <c r="K251" s="26" t="s">
        <v>36</v>
      </c>
      <c r="L251" s="26" t="s">
        <v>674</v>
      </c>
      <c r="M251" s="31" t="s">
        <v>787</v>
      </c>
      <c r="N251" s="23"/>
      <c r="O251" s="23"/>
      <c r="P251" s="23"/>
      <c r="Q251" s="2"/>
      <c r="R251" s="2"/>
      <c r="S251" s="2"/>
      <c r="T251" s="2"/>
      <c r="U251" s="2"/>
      <c r="V251" s="2"/>
      <c r="W251" s="2"/>
      <c r="X251" s="2"/>
      <c r="Y251" s="2"/>
    </row>
    <row r="252" spans="1:25" ht="12.75" hidden="1" customHeight="1">
      <c r="A252" s="26" t="s">
        <v>788</v>
      </c>
      <c r="B252" s="27"/>
      <c r="C252" s="28"/>
      <c r="D252" s="27"/>
      <c r="E252" s="27" t="s">
        <v>789</v>
      </c>
      <c r="F252" s="29" t="s">
        <v>790</v>
      </c>
      <c r="G252" s="27" t="s">
        <v>248</v>
      </c>
      <c r="H252" s="27" t="s">
        <v>249</v>
      </c>
      <c r="I252" s="27">
        <v>1</v>
      </c>
      <c r="J252" s="30">
        <v>0</v>
      </c>
      <c r="K252" s="26" t="s">
        <v>36</v>
      </c>
      <c r="L252" s="26" t="s">
        <v>674</v>
      </c>
      <c r="M252" s="31"/>
      <c r="N252" s="23"/>
      <c r="O252" s="23"/>
      <c r="P252" s="23"/>
      <c r="Q252" s="2"/>
      <c r="R252" s="2"/>
      <c r="S252" s="2"/>
      <c r="T252" s="2"/>
      <c r="U252" s="2"/>
      <c r="V252" s="2"/>
      <c r="W252" s="2"/>
      <c r="X252" s="2"/>
      <c r="Y252" s="2"/>
    </row>
    <row r="253" spans="1:25" ht="25.5" hidden="1" customHeight="1">
      <c r="A253" s="26">
        <v>116</v>
      </c>
      <c r="B253" s="27" t="s">
        <v>599</v>
      </c>
      <c r="C253" s="28">
        <v>42671</v>
      </c>
      <c r="D253" s="27"/>
      <c r="E253" s="27" t="s">
        <v>791</v>
      </c>
      <c r="F253" s="29" t="s">
        <v>792</v>
      </c>
      <c r="G253" s="27" t="s">
        <v>307</v>
      </c>
      <c r="H253" s="27" t="s">
        <v>19</v>
      </c>
      <c r="I253" s="27">
        <v>1</v>
      </c>
      <c r="J253" s="30">
        <v>37278108</v>
      </c>
      <c r="K253" s="26" t="s">
        <v>36</v>
      </c>
      <c r="L253" s="26" t="s">
        <v>674</v>
      </c>
      <c r="M253" s="31" t="s">
        <v>793</v>
      </c>
      <c r="N253" s="23"/>
      <c r="O253" s="23"/>
      <c r="P253" s="23"/>
      <c r="Q253" s="2"/>
      <c r="R253" s="2"/>
      <c r="S253" s="2"/>
      <c r="T253" s="2"/>
      <c r="U253" s="2"/>
      <c r="V253" s="2"/>
      <c r="W253" s="2"/>
      <c r="X253" s="2"/>
      <c r="Y253" s="2"/>
    </row>
    <row r="254" spans="1:25" ht="12.75" hidden="1" customHeight="1">
      <c r="A254" s="26" t="s">
        <v>794</v>
      </c>
      <c r="B254" s="27"/>
      <c r="C254" s="28"/>
      <c r="D254" s="27"/>
      <c r="E254" s="27" t="s">
        <v>795</v>
      </c>
      <c r="F254" s="29" t="s">
        <v>796</v>
      </c>
      <c r="G254" s="27" t="s">
        <v>248</v>
      </c>
      <c r="H254" s="27" t="s">
        <v>249</v>
      </c>
      <c r="I254" s="27">
        <v>1</v>
      </c>
      <c r="J254" s="30">
        <v>0</v>
      </c>
      <c r="K254" s="26" t="s">
        <v>36</v>
      </c>
      <c r="L254" s="26" t="s">
        <v>674</v>
      </c>
      <c r="M254" s="31"/>
      <c r="N254" s="23"/>
      <c r="O254" s="23"/>
      <c r="P254" s="23"/>
      <c r="Q254" s="2"/>
      <c r="R254" s="2"/>
      <c r="S254" s="2"/>
      <c r="T254" s="2"/>
      <c r="U254" s="2"/>
      <c r="V254" s="2"/>
      <c r="W254" s="2"/>
      <c r="X254" s="2"/>
      <c r="Y254" s="2"/>
    </row>
    <row r="255" spans="1:25" ht="25.5" hidden="1" customHeight="1">
      <c r="A255" s="26">
        <v>117</v>
      </c>
      <c r="B255" s="27" t="s">
        <v>797</v>
      </c>
      <c r="C255" s="28">
        <v>42671</v>
      </c>
      <c r="D255" s="27"/>
      <c r="E255" s="27" t="s">
        <v>798</v>
      </c>
      <c r="F255" s="29" t="s">
        <v>799</v>
      </c>
      <c r="G255" s="27" t="s">
        <v>307</v>
      </c>
      <c r="H255" s="27" t="s">
        <v>19</v>
      </c>
      <c r="I255" s="27">
        <v>1</v>
      </c>
      <c r="J255" s="30">
        <v>121401381</v>
      </c>
      <c r="K255" s="26" t="s">
        <v>206</v>
      </c>
      <c r="L255" s="26" t="s">
        <v>207</v>
      </c>
      <c r="M255" s="31" t="s">
        <v>800</v>
      </c>
      <c r="N255" s="23"/>
      <c r="O255" s="23"/>
      <c r="P255" s="23"/>
      <c r="Q255" s="2"/>
      <c r="R255" s="2"/>
      <c r="S255" s="2"/>
      <c r="T255" s="2"/>
      <c r="U255" s="2"/>
      <c r="V255" s="2"/>
      <c r="W255" s="2"/>
      <c r="X255" s="2"/>
      <c r="Y255" s="2"/>
    </row>
    <row r="256" spans="1:25" ht="12.75" hidden="1" customHeight="1">
      <c r="A256" s="26" t="s">
        <v>801</v>
      </c>
      <c r="B256" s="27"/>
      <c r="C256" s="28"/>
      <c r="D256" s="27"/>
      <c r="E256" s="27" t="s">
        <v>802</v>
      </c>
      <c r="F256" s="29" t="s">
        <v>803</v>
      </c>
      <c r="G256" s="27" t="s">
        <v>248</v>
      </c>
      <c r="H256" s="27" t="s">
        <v>249</v>
      </c>
      <c r="I256" s="27">
        <v>1</v>
      </c>
      <c r="J256" s="30">
        <v>0</v>
      </c>
      <c r="K256" s="26" t="s">
        <v>206</v>
      </c>
      <c r="L256" s="26" t="s">
        <v>207</v>
      </c>
      <c r="M256" s="31"/>
      <c r="N256" s="23"/>
      <c r="O256" s="23"/>
      <c r="P256" s="23"/>
      <c r="Q256" s="2"/>
      <c r="R256" s="2"/>
      <c r="S256" s="2"/>
      <c r="T256" s="2"/>
      <c r="U256" s="2"/>
      <c r="V256" s="2"/>
      <c r="W256" s="2"/>
      <c r="X256" s="2"/>
      <c r="Y256" s="2"/>
    </row>
    <row r="257" spans="1:26" ht="25.5" hidden="1" customHeight="1">
      <c r="A257" s="26">
        <v>118</v>
      </c>
      <c r="B257" s="27" t="s">
        <v>797</v>
      </c>
      <c r="C257" s="28">
        <v>42671</v>
      </c>
      <c r="D257" s="27"/>
      <c r="E257" s="27" t="s">
        <v>804</v>
      </c>
      <c r="F257" s="29" t="s">
        <v>805</v>
      </c>
      <c r="G257" s="27" t="s">
        <v>307</v>
      </c>
      <c r="H257" s="27" t="s">
        <v>19</v>
      </c>
      <c r="I257" s="27">
        <v>1</v>
      </c>
      <c r="J257" s="30">
        <v>121401381</v>
      </c>
      <c r="K257" s="26" t="s">
        <v>206</v>
      </c>
      <c r="L257" s="45" t="s">
        <v>207</v>
      </c>
      <c r="M257" s="46" t="s">
        <v>806</v>
      </c>
      <c r="N257" s="32"/>
      <c r="O257" s="32"/>
      <c r="P257" s="23"/>
      <c r="Q257" s="2"/>
      <c r="R257" s="2"/>
      <c r="S257" s="2"/>
      <c r="T257" s="2"/>
      <c r="U257" s="2"/>
      <c r="V257" s="2"/>
      <c r="W257" s="2"/>
      <c r="X257" s="2"/>
      <c r="Y257" s="2"/>
    </row>
    <row r="258" spans="1:26" ht="12.75" hidden="1" customHeight="1">
      <c r="A258" s="26" t="s">
        <v>807</v>
      </c>
      <c r="B258" s="27"/>
      <c r="C258" s="28"/>
      <c r="D258" s="27"/>
      <c r="E258" s="27" t="s">
        <v>808</v>
      </c>
      <c r="F258" s="29" t="s">
        <v>809</v>
      </c>
      <c r="G258" s="27" t="s">
        <v>248</v>
      </c>
      <c r="H258" s="27" t="s">
        <v>249</v>
      </c>
      <c r="I258" s="27">
        <v>1</v>
      </c>
      <c r="J258" s="30">
        <v>0</v>
      </c>
      <c r="K258" s="26" t="s">
        <v>206</v>
      </c>
      <c r="L258" s="26" t="s">
        <v>207</v>
      </c>
      <c r="M258" s="31"/>
      <c r="N258" s="23"/>
      <c r="O258" s="23"/>
      <c r="P258" s="23"/>
      <c r="Q258" s="2"/>
      <c r="R258" s="2"/>
      <c r="S258" s="2"/>
      <c r="T258" s="2"/>
      <c r="U258" s="2"/>
      <c r="V258" s="2"/>
      <c r="W258" s="2"/>
      <c r="X258" s="2"/>
      <c r="Y258" s="2"/>
    </row>
    <row r="259" spans="1:26" ht="25.5" hidden="1" customHeight="1">
      <c r="A259" s="26">
        <v>119</v>
      </c>
      <c r="B259" s="27" t="s">
        <v>810</v>
      </c>
      <c r="C259" s="28">
        <v>43644</v>
      </c>
      <c r="D259" s="27"/>
      <c r="E259" s="27" t="s">
        <v>811</v>
      </c>
      <c r="F259" s="29" t="s">
        <v>812</v>
      </c>
      <c r="G259" s="27" t="s">
        <v>35</v>
      </c>
      <c r="H259" s="27" t="s">
        <v>19</v>
      </c>
      <c r="I259" s="27">
        <v>1</v>
      </c>
      <c r="J259" s="30">
        <v>215000000</v>
      </c>
      <c r="K259" s="59" t="s">
        <v>206</v>
      </c>
      <c r="L259" s="59" t="s">
        <v>207</v>
      </c>
      <c r="M259" s="31" t="s">
        <v>206</v>
      </c>
      <c r="N259" s="23"/>
      <c r="O259" s="23"/>
      <c r="P259" s="23"/>
      <c r="Q259" s="2"/>
      <c r="R259" s="2"/>
      <c r="S259" s="2"/>
      <c r="T259" s="2"/>
      <c r="U259" s="2"/>
      <c r="V259" s="2"/>
      <c r="W259" s="2"/>
      <c r="X259" s="2"/>
      <c r="Y259" s="2"/>
    </row>
    <row r="260" spans="1:26" ht="25.5" hidden="1" customHeight="1">
      <c r="A260" s="26">
        <v>120</v>
      </c>
      <c r="B260" s="27" t="s">
        <v>810</v>
      </c>
      <c r="C260" s="28">
        <v>43644</v>
      </c>
      <c r="D260" s="27"/>
      <c r="E260" s="27" t="s">
        <v>813</v>
      </c>
      <c r="F260" s="29" t="s">
        <v>814</v>
      </c>
      <c r="G260" s="27" t="s">
        <v>35</v>
      </c>
      <c r="H260" s="27" t="s">
        <v>19</v>
      </c>
      <c r="I260" s="27">
        <v>1</v>
      </c>
      <c r="J260" s="30">
        <v>215000000</v>
      </c>
      <c r="K260" s="59" t="s">
        <v>206</v>
      </c>
      <c r="L260" s="59" t="s">
        <v>207</v>
      </c>
      <c r="M260" s="31" t="s">
        <v>206</v>
      </c>
      <c r="N260" s="23"/>
      <c r="O260" s="23"/>
      <c r="P260" s="23"/>
      <c r="Q260" s="2"/>
      <c r="R260" s="2"/>
      <c r="S260" s="2"/>
      <c r="T260" s="2"/>
      <c r="U260" s="2"/>
      <c r="V260" s="2"/>
      <c r="W260" s="2"/>
      <c r="X260" s="2"/>
      <c r="Y260" s="2"/>
    </row>
    <row r="261" spans="1:26" ht="12.75" hidden="1" customHeight="1">
      <c r="A261" s="26">
        <v>121</v>
      </c>
      <c r="B261" s="27" t="s">
        <v>815</v>
      </c>
      <c r="C261" s="28">
        <v>39813</v>
      </c>
      <c r="D261" s="27"/>
      <c r="E261" s="27" t="s">
        <v>816</v>
      </c>
      <c r="F261" s="29" t="s">
        <v>817</v>
      </c>
      <c r="G261" s="27"/>
      <c r="H261" s="27" t="s">
        <v>19</v>
      </c>
      <c r="I261" s="27">
        <v>1</v>
      </c>
      <c r="J261" s="30">
        <v>169655834</v>
      </c>
      <c r="K261" s="26" t="s">
        <v>206</v>
      </c>
      <c r="L261" s="26" t="s">
        <v>207</v>
      </c>
      <c r="M261" s="31" t="s">
        <v>818</v>
      </c>
      <c r="N261" s="23"/>
      <c r="O261" s="23"/>
      <c r="P261" s="23"/>
      <c r="Q261" s="2"/>
      <c r="R261" s="2"/>
      <c r="S261" s="2"/>
      <c r="T261" s="2"/>
      <c r="U261" s="2"/>
      <c r="V261" s="2"/>
      <c r="W261" s="2"/>
      <c r="X261" s="2"/>
      <c r="Y261" s="2"/>
    </row>
    <row r="262" spans="1:26" ht="25.5" hidden="1" customHeight="1">
      <c r="A262" s="26" t="s">
        <v>819</v>
      </c>
      <c r="B262" s="27"/>
      <c r="C262" s="28"/>
      <c r="D262" s="27"/>
      <c r="E262" s="27" t="s">
        <v>820</v>
      </c>
      <c r="F262" s="29" t="s">
        <v>821</v>
      </c>
      <c r="G262" s="27"/>
      <c r="H262" s="27"/>
      <c r="I262" s="27">
        <v>1</v>
      </c>
      <c r="J262" s="30">
        <v>0</v>
      </c>
      <c r="K262" s="26" t="s">
        <v>206</v>
      </c>
      <c r="L262" s="26" t="s">
        <v>207</v>
      </c>
      <c r="M262" s="31"/>
      <c r="N262" s="23"/>
      <c r="O262" s="23"/>
      <c r="P262" s="23"/>
      <c r="Q262" s="2"/>
      <c r="R262" s="2"/>
      <c r="S262" s="2"/>
      <c r="T262" s="2"/>
      <c r="U262" s="2"/>
      <c r="V262" s="2"/>
      <c r="W262" s="2"/>
      <c r="X262" s="2"/>
      <c r="Y262" s="2"/>
    </row>
    <row r="263" spans="1:26" ht="12.75" hidden="1" customHeight="1">
      <c r="A263" s="26" t="s">
        <v>822</v>
      </c>
      <c r="B263" s="27"/>
      <c r="C263" s="28"/>
      <c r="D263" s="27"/>
      <c r="E263" s="27" t="s">
        <v>823</v>
      </c>
      <c r="F263" s="29" t="s">
        <v>824</v>
      </c>
      <c r="G263" s="27"/>
      <c r="H263" s="27"/>
      <c r="I263" s="27">
        <v>1</v>
      </c>
      <c r="J263" s="30">
        <v>0</v>
      </c>
      <c r="K263" s="26" t="s">
        <v>206</v>
      </c>
      <c r="L263" s="26" t="s">
        <v>207</v>
      </c>
      <c r="M263" s="31"/>
      <c r="N263" s="23"/>
      <c r="O263" s="23"/>
      <c r="P263" s="23"/>
      <c r="Q263" s="2"/>
      <c r="R263" s="2"/>
      <c r="S263" s="2"/>
      <c r="T263" s="2"/>
      <c r="U263" s="2"/>
      <c r="V263" s="2"/>
      <c r="W263" s="2"/>
      <c r="X263" s="2"/>
      <c r="Y263" s="2"/>
    </row>
    <row r="264" spans="1:26" ht="12.75" hidden="1" customHeight="1">
      <c r="A264" s="38">
        <v>122</v>
      </c>
      <c r="B264" s="27" t="s">
        <v>815</v>
      </c>
      <c r="C264" s="40">
        <v>39813</v>
      </c>
      <c r="D264" s="27"/>
      <c r="E264" s="39" t="s">
        <v>825</v>
      </c>
      <c r="F264" s="41" t="s">
        <v>817</v>
      </c>
      <c r="G264" s="27"/>
      <c r="H264" s="27" t="s">
        <v>19</v>
      </c>
      <c r="I264" s="27">
        <v>1</v>
      </c>
      <c r="J264" s="42">
        <v>169655834</v>
      </c>
      <c r="K264" s="38" t="s">
        <v>206</v>
      </c>
      <c r="L264" s="38" t="s">
        <v>207</v>
      </c>
      <c r="M264" s="43" t="s">
        <v>826</v>
      </c>
      <c r="N264" s="23"/>
      <c r="O264" s="23"/>
      <c r="P264" s="23"/>
      <c r="Q264" s="2"/>
      <c r="R264" s="2"/>
      <c r="S264" s="2"/>
      <c r="T264" s="2"/>
      <c r="U264" s="2"/>
      <c r="V264" s="2"/>
      <c r="W264" s="2"/>
      <c r="X264" s="2"/>
      <c r="Y264" s="2"/>
    </row>
    <row r="265" spans="1:26" ht="25.5" hidden="1" customHeight="1">
      <c r="A265" s="38" t="s">
        <v>827</v>
      </c>
      <c r="B265" s="39"/>
      <c r="C265" s="40"/>
      <c r="D265" s="39"/>
      <c r="E265" s="39" t="s">
        <v>828</v>
      </c>
      <c r="F265" s="41" t="s">
        <v>829</v>
      </c>
      <c r="G265" s="39"/>
      <c r="H265" s="39"/>
      <c r="I265" s="39">
        <v>1</v>
      </c>
      <c r="J265" s="42">
        <v>0</v>
      </c>
      <c r="K265" s="38" t="s">
        <v>206</v>
      </c>
      <c r="L265" s="38" t="s">
        <v>207</v>
      </c>
      <c r="M265" s="43"/>
      <c r="N265" s="23"/>
      <c r="O265" s="23"/>
      <c r="P265" s="23"/>
      <c r="Q265" s="2"/>
      <c r="R265" s="2"/>
      <c r="S265" s="2"/>
      <c r="T265" s="2"/>
      <c r="U265" s="2"/>
      <c r="V265" s="2"/>
      <c r="W265" s="2"/>
      <c r="X265" s="2"/>
      <c r="Y265" s="2"/>
    </row>
    <row r="266" spans="1:26" ht="12.75" hidden="1" customHeight="1">
      <c r="A266" s="38" t="s">
        <v>830</v>
      </c>
      <c r="B266" s="39"/>
      <c r="C266" s="40"/>
      <c r="D266" s="39"/>
      <c r="E266" s="39" t="s">
        <v>831</v>
      </c>
      <c r="F266" s="41" t="s">
        <v>832</v>
      </c>
      <c r="G266" s="39"/>
      <c r="H266" s="39"/>
      <c r="I266" s="39">
        <v>1</v>
      </c>
      <c r="J266" s="42">
        <v>0</v>
      </c>
      <c r="K266" s="38" t="s">
        <v>206</v>
      </c>
      <c r="L266" s="38" t="s">
        <v>207</v>
      </c>
      <c r="M266" s="43"/>
      <c r="N266" s="23"/>
      <c r="O266" s="23"/>
      <c r="P266" s="23"/>
      <c r="Q266" s="2"/>
      <c r="R266" s="2"/>
      <c r="S266" s="2"/>
      <c r="T266" s="2"/>
      <c r="U266" s="2"/>
      <c r="V266" s="2"/>
      <c r="W266" s="2"/>
      <c r="X266" s="2"/>
      <c r="Y266" s="2"/>
    </row>
    <row r="267" spans="1:26" ht="12.75" hidden="1" customHeight="1">
      <c r="A267" s="38">
        <v>124</v>
      </c>
      <c r="B267" s="27" t="s">
        <v>815</v>
      </c>
      <c r="C267" s="40">
        <v>39813</v>
      </c>
      <c r="D267" s="27"/>
      <c r="E267" s="39" t="s">
        <v>833</v>
      </c>
      <c r="F267" s="41" t="s">
        <v>834</v>
      </c>
      <c r="G267" s="27" t="s">
        <v>35</v>
      </c>
      <c r="H267" s="27" t="s">
        <v>249</v>
      </c>
      <c r="I267" s="27">
        <v>1</v>
      </c>
      <c r="J267" s="42">
        <v>222056404</v>
      </c>
      <c r="K267" s="38" t="s">
        <v>206</v>
      </c>
      <c r="L267" s="38" t="s">
        <v>207</v>
      </c>
      <c r="M267" s="43" t="s">
        <v>835</v>
      </c>
      <c r="N267" s="23"/>
      <c r="O267" s="23"/>
      <c r="P267" s="23"/>
      <c r="Q267" s="2"/>
      <c r="R267" s="2"/>
      <c r="S267" s="2"/>
      <c r="T267" s="2"/>
      <c r="U267" s="2"/>
      <c r="V267" s="2"/>
      <c r="W267" s="2"/>
      <c r="X267" s="2"/>
      <c r="Y267" s="2"/>
    </row>
    <row r="268" spans="1:26" ht="12.75" hidden="1" customHeight="1">
      <c r="A268" s="38" t="s">
        <v>836</v>
      </c>
      <c r="B268" s="27"/>
      <c r="C268" s="40"/>
      <c r="D268" s="27"/>
      <c r="E268" s="39" t="s">
        <v>837</v>
      </c>
      <c r="F268" s="41" t="s">
        <v>838</v>
      </c>
      <c r="G268" s="27"/>
      <c r="H268" s="27"/>
      <c r="I268" s="27">
        <v>1</v>
      </c>
      <c r="J268" s="42">
        <v>0</v>
      </c>
      <c r="K268" s="38" t="s">
        <v>206</v>
      </c>
      <c r="L268" s="38" t="s">
        <v>207</v>
      </c>
      <c r="M268" s="43"/>
      <c r="N268" s="23"/>
      <c r="O268" s="23"/>
      <c r="P268" s="23"/>
      <c r="Q268" s="2"/>
      <c r="R268" s="2"/>
      <c r="S268" s="2"/>
      <c r="T268" s="2"/>
      <c r="U268" s="2"/>
      <c r="V268" s="2"/>
      <c r="W268" s="2"/>
      <c r="X268" s="2"/>
      <c r="Y268" s="2"/>
    </row>
    <row r="269" spans="1:26" ht="12.75" hidden="1" customHeight="1">
      <c r="A269" s="38">
        <v>125</v>
      </c>
      <c r="B269" s="27" t="s">
        <v>815</v>
      </c>
      <c r="C269" s="40">
        <v>39813</v>
      </c>
      <c r="D269" s="27"/>
      <c r="E269" s="39" t="s">
        <v>839</v>
      </c>
      <c r="F269" s="41" t="s">
        <v>840</v>
      </c>
      <c r="G269" s="27" t="s">
        <v>35</v>
      </c>
      <c r="H269" s="27" t="s">
        <v>249</v>
      </c>
      <c r="I269" s="27">
        <v>1</v>
      </c>
      <c r="J269" s="42">
        <v>222056404</v>
      </c>
      <c r="K269" s="38" t="s">
        <v>206</v>
      </c>
      <c r="L269" s="38" t="s">
        <v>841</v>
      </c>
      <c r="M269" s="43" t="s">
        <v>842</v>
      </c>
      <c r="N269" s="23"/>
      <c r="O269" s="23"/>
      <c r="P269" s="23"/>
      <c r="Q269" s="2"/>
      <c r="R269" s="2"/>
      <c r="S269" s="2"/>
      <c r="T269" s="2"/>
      <c r="U269" s="2"/>
      <c r="V269" s="2"/>
      <c r="W269" s="2"/>
      <c r="X269" s="2"/>
      <c r="Y269" s="2"/>
    </row>
    <row r="270" spans="1:26" ht="12.75" hidden="1" customHeight="1">
      <c r="A270" s="38" t="s">
        <v>843</v>
      </c>
      <c r="B270" s="27"/>
      <c r="C270" s="40"/>
      <c r="D270" s="27"/>
      <c r="E270" s="39" t="s">
        <v>844</v>
      </c>
      <c r="F270" s="41" t="s">
        <v>845</v>
      </c>
      <c r="G270" s="27"/>
      <c r="H270" s="27"/>
      <c r="I270" s="27">
        <v>1</v>
      </c>
      <c r="J270" s="42">
        <v>0</v>
      </c>
      <c r="K270" s="38" t="s">
        <v>206</v>
      </c>
      <c r="L270" s="38" t="s">
        <v>841</v>
      </c>
      <c r="M270" s="43"/>
      <c r="N270" s="23"/>
      <c r="O270" s="23"/>
      <c r="P270" s="23"/>
      <c r="Q270" s="2"/>
      <c r="R270" s="2"/>
      <c r="S270" s="2"/>
      <c r="T270" s="2"/>
      <c r="U270" s="2"/>
      <c r="V270" s="2"/>
      <c r="W270" s="2"/>
      <c r="X270" s="2"/>
      <c r="Y270" s="2"/>
    </row>
    <row r="271" spans="1:26" ht="25.5" hidden="1" customHeight="1">
      <c r="A271" s="17">
        <v>126</v>
      </c>
      <c r="B271" s="27" t="s">
        <v>846</v>
      </c>
      <c r="C271" s="19">
        <v>40743</v>
      </c>
      <c r="D271" s="27"/>
      <c r="E271" s="18" t="s">
        <v>847</v>
      </c>
      <c r="F271" s="20" t="s">
        <v>848</v>
      </c>
      <c r="G271" s="18" t="s">
        <v>35</v>
      </c>
      <c r="H271" s="18" t="s">
        <v>19</v>
      </c>
      <c r="I271" s="18">
        <v>1</v>
      </c>
      <c r="J271" s="21">
        <v>127345777</v>
      </c>
      <c r="K271" s="17" t="s">
        <v>20</v>
      </c>
      <c r="L271" s="17" t="s">
        <v>21</v>
      </c>
      <c r="M271" s="22" t="s">
        <v>22</v>
      </c>
      <c r="N271" s="23"/>
      <c r="O271" s="23"/>
      <c r="P271" s="23"/>
      <c r="Q271" s="24"/>
      <c r="R271" s="24"/>
      <c r="S271" s="24"/>
      <c r="T271" s="24"/>
      <c r="U271" s="24"/>
      <c r="V271" s="24"/>
      <c r="W271" s="24"/>
      <c r="X271" s="24"/>
      <c r="Y271" s="24"/>
      <c r="Z271" s="25"/>
    </row>
    <row r="272" spans="1:26" ht="12.75" hidden="1" customHeight="1">
      <c r="A272" s="17" t="s">
        <v>849</v>
      </c>
      <c r="B272" s="27"/>
      <c r="C272" s="19"/>
      <c r="D272" s="27"/>
      <c r="E272" s="18" t="s">
        <v>850</v>
      </c>
      <c r="F272" s="20" t="s">
        <v>851</v>
      </c>
      <c r="G272" s="18"/>
      <c r="H272" s="18"/>
      <c r="I272" s="18">
        <v>1</v>
      </c>
      <c r="J272" s="21">
        <v>0</v>
      </c>
      <c r="K272" s="17" t="s">
        <v>20</v>
      </c>
      <c r="L272" s="17" t="s">
        <v>21</v>
      </c>
      <c r="M272" s="22" t="s">
        <v>22</v>
      </c>
      <c r="N272" s="23"/>
      <c r="O272" s="23"/>
      <c r="P272" s="23"/>
      <c r="Q272" s="24"/>
      <c r="R272" s="24"/>
      <c r="S272" s="24"/>
      <c r="T272" s="24"/>
      <c r="U272" s="24"/>
      <c r="V272" s="24"/>
      <c r="W272" s="24"/>
      <c r="X272" s="24"/>
      <c r="Y272" s="24"/>
      <c r="Z272" s="25"/>
    </row>
    <row r="273" spans="1:25" ht="12.75" hidden="1" customHeight="1">
      <c r="A273" s="38">
        <v>127</v>
      </c>
      <c r="B273" s="27" t="s">
        <v>852</v>
      </c>
      <c r="C273" s="40">
        <v>40403</v>
      </c>
      <c r="D273" s="27"/>
      <c r="E273" s="39" t="s">
        <v>853</v>
      </c>
      <c r="F273" s="41" t="s">
        <v>854</v>
      </c>
      <c r="G273" s="27" t="s">
        <v>35</v>
      </c>
      <c r="H273" s="27" t="s">
        <v>19</v>
      </c>
      <c r="I273" s="27">
        <v>1</v>
      </c>
      <c r="J273" s="42">
        <v>141885251</v>
      </c>
      <c r="K273" s="38" t="s">
        <v>206</v>
      </c>
      <c r="L273" s="38" t="s">
        <v>841</v>
      </c>
      <c r="M273" s="43" t="s">
        <v>855</v>
      </c>
      <c r="N273" s="23"/>
      <c r="O273" s="23"/>
      <c r="P273" s="23"/>
      <c r="Q273" s="2"/>
      <c r="R273" s="2"/>
      <c r="S273" s="2"/>
      <c r="T273" s="2"/>
      <c r="U273" s="2"/>
      <c r="V273" s="2"/>
      <c r="W273" s="2"/>
      <c r="X273" s="2"/>
      <c r="Y273" s="2"/>
    </row>
    <row r="274" spans="1:25" ht="12.75" hidden="1" customHeight="1">
      <c r="A274" s="38" t="s">
        <v>856</v>
      </c>
      <c r="B274" s="27"/>
      <c r="C274" s="40"/>
      <c r="D274" s="27"/>
      <c r="E274" s="39" t="s">
        <v>857</v>
      </c>
      <c r="F274" s="41" t="s">
        <v>858</v>
      </c>
      <c r="G274" s="27"/>
      <c r="H274" s="27"/>
      <c r="I274" s="27">
        <v>1</v>
      </c>
      <c r="J274" s="42">
        <v>0</v>
      </c>
      <c r="K274" s="38" t="s">
        <v>206</v>
      </c>
      <c r="L274" s="38" t="s">
        <v>841</v>
      </c>
      <c r="M274" s="43"/>
      <c r="N274" s="23"/>
      <c r="O274" s="23"/>
      <c r="P274" s="23"/>
      <c r="Q274" s="2"/>
      <c r="R274" s="2"/>
      <c r="S274" s="2"/>
      <c r="T274" s="2"/>
      <c r="U274" s="2"/>
      <c r="V274" s="2"/>
      <c r="W274" s="2"/>
      <c r="X274" s="2"/>
      <c r="Y274" s="2"/>
    </row>
    <row r="275" spans="1:25" ht="12.75" hidden="1" customHeight="1">
      <c r="A275" s="26">
        <v>128</v>
      </c>
      <c r="B275" s="27" t="s">
        <v>852</v>
      </c>
      <c r="C275" s="28">
        <v>40403</v>
      </c>
      <c r="D275" s="27"/>
      <c r="E275" s="27" t="s">
        <v>859</v>
      </c>
      <c r="F275" s="29" t="s">
        <v>860</v>
      </c>
      <c r="G275" s="27" t="s">
        <v>35</v>
      </c>
      <c r="H275" s="27" t="s">
        <v>19</v>
      </c>
      <c r="I275" s="27">
        <v>1</v>
      </c>
      <c r="J275" s="30">
        <v>141885250</v>
      </c>
      <c r="K275" s="26" t="s">
        <v>206</v>
      </c>
      <c r="L275" s="26" t="s">
        <v>841</v>
      </c>
      <c r="M275" s="31" t="s">
        <v>861</v>
      </c>
      <c r="N275" s="23"/>
      <c r="O275" s="23"/>
      <c r="P275" s="23"/>
      <c r="Q275" s="2"/>
      <c r="R275" s="2"/>
      <c r="S275" s="2"/>
      <c r="T275" s="2"/>
      <c r="U275" s="2"/>
      <c r="V275" s="2"/>
      <c r="W275" s="2"/>
      <c r="X275" s="2"/>
      <c r="Y275" s="2"/>
    </row>
    <row r="276" spans="1:25" ht="12.75" hidden="1" customHeight="1">
      <c r="A276" s="26" t="s">
        <v>862</v>
      </c>
      <c r="B276" s="27"/>
      <c r="C276" s="28"/>
      <c r="D276" s="27"/>
      <c r="E276" s="27" t="s">
        <v>863</v>
      </c>
      <c r="F276" s="29" t="s">
        <v>864</v>
      </c>
      <c r="G276" s="27"/>
      <c r="H276" s="27"/>
      <c r="I276" s="27">
        <v>1</v>
      </c>
      <c r="J276" s="30">
        <v>0</v>
      </c>
      <c r="K276" s="26" t="s">
        <v>206</v>
      </c>
      <c r="L276" s="26" t="s">
        <v>841</v>
      </c>
      <c r="M276" s="31"/>
      <c r="N276" s="23"/>
      <c r="O276" s="23"/>
      <c r="P276" s="23"/>
      <c r="Q276" s="2"/>
      <c r="R276" s="2"/>
      <c r="S276" s="2"/>
      <c r="T276" s="2"/>
      <c r="U276" s="2"/>
      <c r="V276" s="2"/>
      <c r="W276" s="2"/>
      <c r="X276" s="2"/>
      <c r="Y276" s="2"/>
    </row>
    <row r="277" spans="1:25" ht="25.5" hidden="1" customHeight="1">
      <c r="A277" s="26">
        <v>129</v>
      </c>
      <c r="B277" s="27" t="s">
        <v>852</v>
      </c>
      <c r="C277" s="28">
        <v>40403</v>
      </c>
      <c r="D277" s="27"/>
      <c r="E277" s="27" t="s">
        <v>865</v>
      </c>
      <c r="F277" s="29" t="s">
        <v>866</v>
      </c>
      <c r="G277" s="27" t="s">
        <v>35</v>
      </c>
      <c r="H277" s="27" t="s">
        <v>19</v>
      </c>
      <c r="I277" s="27">
        <v>1</v>
      </c>
      <c r="J277" s="30">
        <v>46565025</v>
      </c>
      <c r="K277" s="26" t="s">
        <v>206</v>
      </c>
      <c r="L277" s="26" t="s">
        <v>841</v>
      </c>
      <c r="M277" s="31" t="s">
        <v>867</v>
      </c>
      <c r="N277" s="23"/>
      <c r="O277" s="23"/>
      <c r="P277" s="23"/>
      <c r="Q277" s="2"/>
      <c r="R277" s="2"/>
      <c r="S277" s="2"/>
      <c r="T277" s="2"/>
      <c r="U277" s="2"/>
      <c r="V277" s="2"/>
      <c r="W277" s="2"/>
      <c r="X277" s="2"/>
      <c r="Y277" s="2"/>
    </row>
    <row r="278" spans="1:25" ht="12.75" hidden="1" customHeight="1">
      <c r="A278" s="26" t="s">
        <v>868</v>
      </c>
      <c r="B278" s="27"/>
      <c r="C278" s="28"/>
      <c r="D278" s="27"/>
      <c r="E278" s="27" t="s">
        <v>869</v>
      </c>
      <c r="F278" s="29" t="s">
        <v>870</v>
      </c>
      <c r="G278" s="27"/>
      <c r="H278" s="27"/>
      <c r="I278" s="27">
        <v>1</v>
      </c>
      <c r="J278" s="30">
        <v>0</v>
      </c>
      <c r="K278" s="26" t="s">
        <v>206</v>
      </c>
      <c r="L278" s="26" t="s">
        <v>841</v>
      </c>
      <c r="M278" s="31"/>
      <c r="N278" s="23"/>
      <c r="O278" s="23"/>
      <c r="P278" s="23"/>
      <c r="Q278" s="2"/>
      <c r="R278" s="2"/>
      <c r="S278" s="2"/>
      <c r="T278" s="2"/>
      <c r="U278" s="2"/>
      <c r="V278" s="2"/>
      <c r="W278" s="2"/>
      <c r="X278" s="2"/>
      <c r="Y278" s="2"/>
    </row>
    <row r="279" spans="1:25" ht="25.5" hidden="1" customHeight="1">
      <c r="A279" s="26">
        <v>130</v>
      </c>
      <c r="B279" s="27" t="s">
        <v>852</v>
      </c>
      <c r="C279" s="28">
        <v>40403</v>
      </c>
      <c r="D279" s="27"/>
      <c r="E279" s="27" t="s">
        <v>871</v>
      </c>
      <c r="F279" s="29" t="s">
        <v>872</v>
      </c>
      <c r="G279" s="27" t="s">
        <v>35</v>
      </c>
      <c r="H279" s="27" t="s">
        <v>19</v>
      </c>
      <c r="I279" s="27">
        <v>1</v>
      </c>
      <c r="J279" s="30">
        <v>46565025</v>
      </c>
      <c r="K279" s="26" t="s">
        <v>206</v>
      </c>
      <c r="L279" s="26" t="s">
        <v>841</v>
      </c>
      <c r="M279" s="31" t="s">
        <v>873</v>
      </c>
      <c r="N279" s="23"/>
      <c r="O279" s="23"/>
      <c r="P279" s="23"/>
      <c r="Q279" s="2"/>
      <c r="R279" s="2"/>
      <c r="S279" s="2"/>
      <c r="T279" s="2"/>
      <c r="U279" s="2"/>
      <c r="V279" s="2"/>
      <c r="W279" s="2"/>
      <c r="X279" s="2"/>
      <c r="Y279" s="2"/>
    </row>
    <row r="280" spans="1:25" ht="12.75" hidden="1" customHeight="1">
      <c r="A280" s="26" t="s">
        <v>874</v>
      </c>
      <c r="B280" s="27"/>
      <c r="C280" s="28"/>
      <c r="D280" s="27"/>
      <c r="E280" s="27" t="s">
        <v>875</v>
      </c>
      <c r="F280" s="29" t="s">
        <v>876</v>
      </c>
      <c r="G280" s="27"/>
      <c r="H280" s="27"/>
      <c r="I280" s="27">
        <v>1</v>
      </c>
      <c r="J280" s="30">
        <v>0</v>
      </c>
      <c r="K280" s="26" t="s">
        <v>206</v>
      </c>
      <c r="L280" s="26" t="s">
        <v>841</v>
      </c>
      <c r="M280" s="31"/>
      <c r="N280" s="23"/>
      <c r="O280" s="23"/>
      <c r="P280" s="23"/>
      <c r="Q280" s="2"/>
      <c r="R280" s="2"/>
      <c r="S280" s="2"/>
      <c r="T280" s="2"/>
      <c r="U280" s="2"/>
      <c r="V280" s="2"/>
      <c r="W280" s="2"/>
      <c r="X280" s="2"/>
      <c r="Y280" s="2"/>
    </row>
    <row r="281" spans="1:25" ht="25.5" hidden="1" customHeight="1">
      <c r="A281" s="26">
        <v>131</v>
      </c>
      <c r="B281" s="27" t="s">
        <v>877</v>
      </c>
      <c r="C281" s="28">
        <v>41981</v>
      </c>
      <c r="D281" s="27"/>
      <c r="E281" s="27" t="s">
        <v>878</v>
      </c>
      <c r="F281" s="29" t="s">
        <v>879</v>
      </c>
      <c r="G281" s="27" t="s">
        <v>35</v>
      </c>
      <c r="H281" s="27" t="s">
        <v>19</v>
      </c>
      <c r="I281" s="27">
        <v>1</v>
      </c>
      <c r="J281" s="30">
        <v>170000000</v>
      </c>
      <c r="K281" s="59" t="s">
        <v>206</v>
      </c>
      <c r="L281" s="59" t="s">
        <v>841</v>
      </c>
      <c r="M281" s="31" t="s">
        <v>880</v>
      </c>
      <c r="N281" s="23"/>
      <c r="O281" s="23"/>
      <c r="P281" s="23"/>
      <c r="Q281" s="2"/>
      <c r="R281" s="2"/>
      <c r="S281" s="2"/>
      <c r="T281" s="2"/>
      <c r="U281" s="2"/>
      <c r="V281" s="2"/>
      <c r="W281" s="2"/>
      <c r="X281" s="2"/>
      <c r="Y281" s="2"/>
    </row>
    <row r="282" spans="1:25" ht="12.75" hidden="1" customHeight="1">
      <c r="A282" s="26" t="s">
        <v>881</v>
      </c>
      <c r="B282" s="27"/>
      <c r="C282" s="28"/>
      <c r="D282" s="27"/>
      <c r="E282" s="27" t="s">
        <v>882</v>
      </c>
      <c r="F282" s="29" t="s">
        <v>883</v>
      </c>
      <c r="G282" s="27" t="s">
        <v>248</v>
      </c>
      <c r="H282" s="27" t="s">
        <v>249</v>
      </c>
      <c r="I282" s="27">
        <v>1</v>
      </c>
      <c r="J282" s="30">
        <v>0</v>
      </c>
      <c r="K282" s="59" t="s">
        <v>206</v>
      </c>
      <c r="L282" s="59" t="s">
        <v>841</v>
      </c>
      <c r="M282" s="31"/>
      <c r="N282" s="23"/>
      <c r="O282" s="23"/>
      <c r="P282" s="23"/>
      <c r="Q282" s="2"/>
      <c r="R282" s="2"/>
      <c r="S282" s="2"/>
      <c r="T282" s="2"/>
      <c r="U282" s="2"/>
      <c r="V282" s="2"/>
      <c r="W282" s="2"/>
      <c r="X282" s="2"/>
      <c r="Y282" s="2"/>
    </row>
    <row r="283" spans="1:25" ht="25.5" hidden="1" customHeight="1">
      <c r="A283" s="26">
        <v>132</v>
      </c>
      <c r="B283" s="27" t="s">
        <v>884</v>
      </c>
      <c r="C283" s="28">
        <v>40639</v>
      </c>
      <c r="D283" s="27"/>
      <c r="E283" s="27" t="s">
        <v>885</v>
      </c>
      <c r="F283" s="29" t="s">
        <v>886</v>
      </c>
      <c r="G283" s="27" t="s">
        <v>248</v>
      </c>
      <c r="H283" s="27" t="s">
        <v>19</v>
      </c>
      <c r="I283" s="27">
        <v>1</v>
      </c>
      <c r="J283" s="30">
        <v>72605134</v>
      </c>
      <c r="K283" s="26" t="s">
        <v>887</v>
      </c>
      <c r="L283" s="26" t="s">
        <v>888</v>
      </c>
      <c r="M283" s="31" t="s">
        <v>889</v>
      </c>
      <c r="N283" s="23"/>
      <c r="O283" s="23"/>
      <c r="P283" s="23"/>
      <c r="Q283" s="2"/>
      <c r="R283" s="2"/>
      <c r="S283" s="2"/>
      <c r="T283" s="2"/>
      <c r="U283" s="2"/>
      <c r="V283" s="2"/>
      <c r="W283" s="2"/>
      <c r="X283" s="2"/>
      <c r="Y283" s="2"/>
    </row>
    <row r="284" spans="1:25" ht="12.75" hidden="1" customHeight="1">
      <c r="A284" s="26" t="s">
        <v>890</v>
      </c>
      <c r="B284" s="27"/>
      <c r="C284" s="28"/>
      <c r="D284" s="27"/>
      <c r="E284" s="27" t="s">
        <v>891</v>
      </c>
      <c r="F284" s="29" t="s">
        <v>892</v>
      </c>
      <c r="G284" s="27"/>
      <c r="H284" s="27"/>
      <c r="I284" s="27">
        <v>1</v>
      </c>
      <c r="J284" s="30">
        <v>0</v>
      </c>
      <c r="K284" s="26" t="s">
        <v>887</v>
      </c>
      <c r="L284" s="26" t="s">
        <v>888</v>
      </c>
      <c r="M284" s="31" t="s">
        <v>889</v>
      </c>
      <c r="N284" s="23"/>
      <c r="O284" s="23"/>
      <c r="P284" s="23"/>
      <c r="Q284" s="2"/>
      <c r="R284" s="2"/>
      <c r="S284" s="2"/>
      <c r="T284" s="2"/>
      <c r="U284" s="2"/>
      <c r="V284" s="2"/>
      <c r="W284" s="2"/>
      <c r="X284" s="2"/>
      <c r="Y284" s="2"/>
    </row>
    <row r="285" spans="1:25" ht="12.75" hidden="1" customHeight="1">
      <c r="A285" s="38">
        <v>133</v>
      </c>
      <c r="B285" s="27" t="s">
        <v>893</v>
      </c>
      <c r="C285" s="40">
        <v>40715</v>
      </c>
      <c r="D285" s="27"/>
      <c r="E285" s="39" t="s">
        <v>894</v>
      </c>
      <c r="F285" s="41" t="s">
        <v>895</v>
      </c>
      <c r="G285" s="27" t="s">
        <v>35</v>
      </c>
      <c r="H285" s="27" t="s">
        <v>19</v>
      </c>
      <c r="I285" s="27">
        <v>1</v>
      </c>
      <c r="J285" s="42">
        <v>69080000</v>
      </c>
      <c r="K285" s="38" t="s">
        <v>206</v>
      </c>
      <c r="L285" s="38" t="s">
        <v>841</v>
      </c>
      <c r="M285" s="43" t="s">
        <v>896</v>
      </c>
      <c r="N285" s="23"/>
      <c r="O285" s="23"/>
      <c r="P285" s="23"/>
      <c r="Q285" s="2"/>
      <c r="R285" s="2"/>
      <c r="S285" s="2"/>
      <c r="T285" s="2"/>
      <c r="U285" s="2"/>
      <c r="V285" s="2"/>
      <c r="W285" s="2"/>
      <c r="X285" s="2"/>
      <c r="Y285" s="2"/>
    </row>
    <row r="286" spans="1:25" ht="25.5" hidden="1" customHeight="1">
      <c r="A286" s="38" t="s">
        <v>897</v>
      </c>
      <c r="B286" s="27"/>
      <c r="C286" s="40"/>
      <c r="D286" s="27"/>
      <c r="E286" s="39" t="s">
        <v>898</v>
      </c>
      <c r="F286" s="41" t="s">
        <v>899</v>
      </c>
      <c r="G286" s="27"/>
      <c r="H286" s="27"/>
      <c r="I286" s="27">
        <v>1</v>
      </c>
      <c r="J286" s="42">
        <v>0</v>
      </c>
      <c r="K286" s="38" t="s">
        <v>206</v>
      </c>
      <c r="L286" s="38" t="s">
        <v>841</v>
      </c>
      <c r="M286" s="43"/>
      <c r="N286" s="23"/>
      <c r="O286" s="23"/>
      <c r="P286" s="23"/>
      <c r="Q286" s="2"/>
      <c r="R286" s="2"/>
      <c r="S286" s="2"/>
      <c r="T286" s="2"/>
      <c r="U286" s="2"/>
      <c r="V286" s="2"/>
      <c r="W286" s="2"/>
      <c r="X286" s="2"/>
      <c r="Y286" s="2"/>
    </row>
    <row r="287" spans="1:25" ht="25.5" hidden="1" customHeight="1">
      <c r="A287" s="26">
        <v>134</v>
      </c>
      <c r="B287" s="27" t="s">
        <v>846</v>
      </c>
      <c r="C287" s="28">
        <v>40743</v>
      </c>
      <c r="D287" s="27"/>
      <c r="E287" s="27" t="s">
        <v>900</v>
      </c>
      <c r="F287" s="29" t="s">
        <v>901</v>
      </c>
      <c r="G287" s="27" t="s">
        <v>35</v>
      </c>
      <c r="H287" s="27" t="s">
        <v>19</v>
      </c>
      <c r="I287" s="27">
        <v>1</v>
      </c>
      <c r="J287" s="30">
        <v>185230680</v>
      </c>
      <c r="K287" s="26" t="s">
        <v>206</v>
      </c>
      <c r="L287" s="26" t="s">
        <v>841</v>
      </c>
      <c r="M287" s="31" t="s">
        <v>902</v>
      </c>
      <c r="N287" s="23"/>
      <c r="O287" s="23"/>
      <c r="P287" s="23"/>
      <c r="Q287" s="2"/>
      <c r="R287" s="2"/>
      <c r="S287" s="2"/>
      <c r="T287" s="2"/>
      <c r="U287" s="2"/>
      <c r="V287" s="2"/>
      <c r="W287" s="2"/>
      <c r="X287" s="2"/>
      <c r="Y287" s="2"/>
    </row>
    <row r="288" spans="1:25" ht="12.75" hidden="1" customHeight="1">
      <c r="A288" s="26" t="s">
        <v>903</v>
      </c>
      <c r="B288" s="27"/>
      <c r="C288" s="28"/>
      <c r="D288" s="27"/>
      <c r="E288" s="27" t="s">
        <v>904</v>
      </c>
      <c r="F288" s="29" t="s">
        <v>905</v>
      </c>
      <c r="G288" s="27"/>
      <c r="H288" s="27"/>
      <c r="I288" s="27">
        <v>1</v>
      </c>
      <c r="J288" s="30">
        <v>0</v>
      </c>
      <c r="K288" s="26" t="s">
        <v>206</v>
      </c>
      <c r="L288" s="26" t="s">
        <v>841</v>
      </c>
      <c r="M288" s="31"/>
      <c r="N288" s="23"/>
      <c r="O288" s="23"/>
      <c r="P288" s="23"/>
      <c r="Q288" s="2"/>
      <c r="R288" s="2"/>
      <c r="S288" s="2"/>
      <c r="T288" s="2"/>
      <c r="U288" s="2"/>
      <c r="V288" s="2"/>
      <c r="W288" s="2"/>
      <c r="X288" s="2"/>
      <c r="Y288" s="2"/>
    </row>
    <row r="289" spans="1:25" ht="76.5" hidden="1" customHeight="1">
      <c r="A289" s="26">
        <v>135</v>
      </c>
      <c r="B289" s="27" t="s">
        <v>52</v>
      </c>
      <c r="C289" s="28">
        <v>40875</v>
      </c>
      <c r="D289" s="27"/>
      <c r="E289" s="27" t="s">
        <v>906</v>
      </c>
      <c r="F289" s="29" t="s">
        <v>907</v>
      </c>
      <c r="G289" s="27"/>
      <c r="H289" s="27" t="s">
        <v>19</v>
      </c>
      <c r="I289" s="27">
        <v>1</v>
      </c>
      <c r="J289" s="30">
        <v>1115847648</v>
      </c>
      <c r="K289" s="26" t="s">
        <v>36</v>
      </c>
      <c r="L289" s="26" t="s">
        <v>674</v>
      </c>
      <c r="M289" s="31" t="s">
        <v>908</v>
      </c>
      <c r="N289" s="23"/>
      <c r="O289" s="23"/>
      <c r="P289" s="23"/>
      <c r="Q289" s="2"/>
      <c r="R289" s="2"/>
      <c r="S289" s="2"/>
      <c r="T289" s="2"/>
      <c r="U289" s="2"/>
      <c r="V289" s="2"/>
      <c r="W289" s="2"/>
      <c r="X289" s="2"/>
      <c r="Y289" s="2"/>
    </row>
    <row r="290" spans="1:25" ht="12.75" hidden="1" customHeight="1">
      <c r="A290" s="26">
        <v>136</v>
      </c>
      <c r="B290" s="27" t="s">
        <v>909</v>
      </c>
      <c r="C290" s="28">
        <v>41999</v>
      </c>
      <c r="D290" s="27"/>
      <c r="E290" s="27" t="s">
        <v>910</v>
      </c>
      <c r="F290" s="29" t="s">
        <v>911</v>
      </c>
      <c r="G290" s="27" t="s">
        <v>35</v>
      </c>
      <c r="H290" s="27" t="s">
        <v>19</v>
      </c>
      <c r="I290" s="27">
        <v>1</v>
      </c>
      <c r="J290" s="30">
        <v>257780511</v>
      </c>
      <c r="K290" s="26" t="s">
        <v>20</v>
      </c>
      <c r="L290" s="26" t="s">
        <v>233</v>
      </c>
      <c r="M290" s="31" t="s">
        <v>543</v>
      </c>
      <c r="N290" s="23"/>
      <c r="O290" s="23"/>
      <c r="P290" s="23"/>
      <c r="Q290" s="2"/>
      <c r="R290" s="2"/>
      <c r="S290" s="2"/>
      <c r="T290" s="2"/>
      <c r="U290" s="2"/>
      <c r="V290" s="2"/>
      <c r="W290" s="2"/>
      <c r="X290" s="2"/>
      <c r="Y290" s="2"/>
    </row>
    <row r="291" spans="1:25" ht="12.75" hidden="1" customHeight="1">
      <c r="A291" s="26" t="s">
        <v>912</v>
      </c>
      <c r="B291" s="27"/>
      <c r="C291" s="28"/>
      <c r="D291" s="27"/>
      <c r="E291" s="60" t="s">
        <v>913</v>
      </c>
      <c r="F291" s="29" t="s">
        <v>914</v>
      </c>
      <c r="G291" s="27" t="s">
        <v>248</v>
      </c>
      <c r="H291" s="27" t="s">
        <v>249</v>
      </c>
      <c r="I291" s="27">
        <v>1</v>
      </c>
      <c r="J291" s="30">
        <v>0</v>
      </c>
      <c r="K291" s="26" t="s">
        <v>20</v>
      </c>
      <c r="L291" s="26" t="s">
        <v>233</v>
      </c>
      <c r="M291" s="31" t="s">
        <v>915</v>
      </c>
      <c r="N291" s="23"/>
      <c r="O291" s="23"/>
      <c r="P291" s="23"/>
      <c r="Q291" s="2"/>
      <c r="R291" s="2"/>
      <c r="S291" s="2"/>
      <c r="T291" s="2"/>
      <c r="U291" s="2"/>
      <c r="V291" s="2"/>
      <c r="W291" s="2"/>
      <c r="X291" s="2"/>
      <c r="Y291" s="2"/>
    </row>
    <row r="292" spans="1:25" ht="12.75" hidden="1" customHeight="1">
      <c r="A292" s="26">
        <v>137</v>
      </c>
      <c r="B292" s="27" t="s">
        <v>909</v>
      </c>
      <c r="C292" s="28">
        <v>41999</v>
      </c>
      <c r="D292" s="27"/>
      <c r="E292" s="27" t="s">
        <v>916</v>
      </c>
      <c r="F292" s="29" t="s">
        <v>917</v>
      </c>
      <c r="G292" s="27" t="s">
        <v>35</v>
      </c>
      <c r="H292" s="27" t="s">
        <v>19</v>
      </c>
      <c r="I292" s="27">
        <v>1</v>
      </c>
      <c r="J292" s="30">
        <v>221261606</v>
      </c>
      <c r="K292" s="26" t="s">
        <v>20</v>
      </c>
      <c r="L292" s="26" t="s">
        <v>233</v>
      </c>
      <c r="M292" s="31" t="s">
        <v>918</v>
      </c>
      <c r="N292" s="23"/>
      <c r="O292" s="23"/>
      <c r="P292" s="23"/>
      <c r="Q292" s="2"/>
      <c r="R292" s="2"/>
      <c r="S292" s="2"/>
      <c r="T292" s="2"/>
      <c r="U292" s="2"/>
      <c r="V292" s="2"/>
      <c r="W292" s="2"/>
      <c r="X292" s="2"/>
      <c r="Y292" s="2"/>
    </row>
    <row r="293" spans="1:25" ht="25" hidden="1">
      <c r="A293" s="26" t="s">
        <v>919</v>
      </c>
      <c r="B293" s="27"/>
      <c r="C293" s="28"/>
      <c r="D293" s="27"/>
      <c r="E293" s="60" t="s">
        <v>920</v>
      </c>
      <c r="F293" s="29" t="s">
        <v>921</v>
      </c>
      <c r="G293" s="27" t="s">
        <v>248</v>
      </c>
      <c r="H293" s="27" t="s">
        <v>249</v>
      </c>
      <c r="I293" s="27">
        <v>1</v>
      </c>
      <c r="J293" s="30">
        <v>0</v>
      </c>
      <c r="K293" s="26" t="s">
        <v>20</v>
      </c>
      <c r="L293" s="61" t="s">
        <v>233</v>
      </c>
      <c r="M293" s="31" t="s">
        <v>922</v>
      </c>
      <c r="N293" s="6"/>
      <c r="O293" s="6" t="s">
        <v>923</v>
      </c>
      <c r="P293" s="23"/>
      <c r="Q293" s="2"/>
      <c r="R293" s="2"/>
      <c r="S293" s="2"/>
      <c r="T293" s="2"/>
      <c r="U293" s="2"/>
      <c r="V293" s="2"/>
      <c r="W293" s="2"/>
      <c r="X293" s="2"/>
      <c r="Y293" s="2"/>
    </row>
    <row r="294" spans="1:25" ht="25.5" hidden="1" customHeight="1">
      <c r="A294" s="26">
        <v>138</v>
      </c>
      <c r="B294" s="27" t="s">
        <v>924</v>
      </c>
      <c r="C294" s="28">
        <v>42209</v>
      </c>
      <c r="D294" s="27"/>
      <c r="E294" s="27" t="s">
        <v>925</v>
      </c>
      <c r="F294" s="29" t="s">
        <v>926</v>
      </c>
      <c r="G294" s="27" t="s">
        <v>35</v>
      </c>
      <c r="H294" s="27" t="s">
        <v>19</v>
      </c>
      <c r="I294" s="27">
        <v>1</v>
      </c>
      <c r="J294" s="30">
        <v>275540455</v>
      </c>
      <c r="K294" s="62" t="s">
        <v>36</v>
      </c>
      <c r="L294" s="27" t="s">
        <v>674</v>
      </c>
      <c r="M294" s="63" t="s">
        <v>927</v>
      </c>
      <c r="N294" s="6"/>
      <c r="O294" s="6"/>
      <c r="P294" s="23"/>
      <c r="Q294" s="2"/>
      <c r="R294" s="2"/>
      <c r="S294" s="2"/>
      <c r="T294" s="2"/>
      <c r="U294" s="2"/>
      <c r="V294" s="2"/>
      <c r="W294" s="2"/>
      <c r="X294" s="2"/>
      <c r="Y294" s="2"/>
    </row>
    <row r="295" spans="1:25" ht="12.75" hidden="1" customHeight="1">
      <c r="A295" s="26" t="s">
        <v>928</v>
      </c>
      <c r="B295" s="27"/>
      <c r="C295" s="28"/>
      <c r="D295" s="27"/>
      <c r="E295" s="27" t="s">
        <v>929</v>
      </c>
      <c r="F295" s="29" t="s">
        <v>930</v>
      </c>
      <c r="G295" s="27" t="s">
        <v>248</v>
      </c>
      <c r="H295" s="27" t="s">
        <v>249</v>
      </c>
      <c r="I295" s="27">
        <v>1</v>
      </c>
      <c r="J295" s="30">
        <v>0</v>
      </c>
      <c r="K295" s="62" t="s">
        <v>36</v>
      </c>
      <c r="L295" s="27" t="s">
        <v>674</v>
      </c>
      <c r="M295" s="63" t="s">
        <v>931</v>
      </c>
      <c r="N295" s="6"/>
      <c r="O295" s="6"/>
      <c r="P295" s="23"/>
      <c r="Q295" s="2"/>
      <c r="R295" s="2"/>
      <c r="S295" s="2"/>
      <c r="T295" s="2"/>
      <c r="U295" s="2"/>
      <c r="V295" s="2"/>
      <c r="W295" s="2"/>
      <c r="X295" s="2"/>
      <c r="Y295" s="2"/>
    </row>
    <row r="296" spans="1:25" ht="25.5" hidden="1" customHeight="1">
      <c r="A296" s="26">
        <v>139</v>
      </c>
      <c r="B296" s="27" t="s">
        <v>924</v>
      </c>
      <c r="C296" s="28">
        <v>42209</v>
      </c>
      <c r="D296" s="27"/>
      <c r="E296" s="27" t="s">
        <v>932</v>
      </c>
      <c r="F296" s="29" t="s">
        <v>933</v>
      </c>
      <c r="G296" s="27" t="s">
        <v>35</v>
      </c>
      <c r="H296" s="27" t="s">
        <v>19</v>
      </c>
      <c r="I296" s="27">
        <v>1</v>
      </c>
      <c r="J296" s="30">
        <v>269670455</v>
      </c>
      <c r="K296" s="26" t="s">
        <v>206</v>
      </c>
      <c r="L296" s="64" t="s">
        <v>841</v>
      </c>
      <c r="M296" s="31" t="s">
        <v>934</v>
      </c>
      <c r="N296" s="6"/>
      <c r="O296" s="6"/>
      <c r="P296" s="23"/>
      <c r="Q296" s="2"/>
      <c r="R296" s="2"/>
      <c r="S296" s="2"/>
      <c r="T296" s="2"/>
      <c r="U296" s="2"/>
      <c r="V296" s="2"/>
      <c r="W296" s="2"/>
      <c r="X296" s="2"/>
      <c r="Y296" s="2"/>
    </row>
    <row r="297" spans="1:25" ht="12.75" hidden="1" customHeight="1">
      <c r="A297" s="26" t="s">
        <v>935</v>
      </c>
      <c r="B297" s="27"/>
      <c r="C297" s="28"/>
      <c r="D297" s="27"/>
      <c r="E297" s="27" t="s">
        <v>936</v>
      </c>
      <c r="F297" s="29" t="s">
        <v>937</v>
      </c>
      <c r="G297" s="27" t="s">
        <v>248</v>
      </c>
      <c r="H297" s="27" t="s">
        <v>249</v>
      </c>
      <c r="I297" s="27">
        <v>1</v>
      </c>
      <c r="J297" s="30">
        <v>0</v>
      </c>
      <c r="K297" s="26" t="s">
        <v>206</v>
      </c>
      <c r="L297" s="26" t="s">
        <v>841</v>
      </c>
      <c r="M297" s="31"/>
      <c r="N297" s="6"/>
      <c r="O297" s="6"/>
      <c r="P297" s="23"/>
      <c r="Q297" s="2"/>
      <c r="R297" s="2"/>
      <c r="S297" s="2"/>
      <c r="T297" s="2"/>
      <c r="U297" s="2"/>
      <c r="V297" s="2"/>
      <c r="W297" s="2"/>
      <c r="X297" s="2"/>
      <c r="Y297" s="2"/>
    </row>
    <row r="298" spans="1:25" ht="25.5" hidden="1" customHeight="1">
      <c r="A298" s="26">
        <v>140</v>
      </c>
      <c r="B298" s="27" t="s">
        <v>938</v>
      </c>
      <c r="C298" s="28">
        <v>42368</v>
      </c>
      <c r="D298" s="27"/>
      <c r="E298" s="27" t="s">
        <v>939</v>
      </c>
      <c r="F298" s="29" t="s">
        <v>940</v>
      </c>
      <c r="G298" s="27" t="s">
        <v>307</v>
      </c>
      <c r="H298" s="27" t="s">
        <v>19</v>
      </c>
      <c r="I298" s="27">
        <v>1</v>
      </c>
      <c r="J298" s="30">
        <v>1027688696</v>
      </c>
      <c r="K298" s="26" t="s">
        <v>20</v>
      </c>
      <c r="L298" s="26" t="s">
        <v>233</v>
      </c>
      <c r="M298" s="31" t="s">
        <v>941</v>
      </c>
      <c r="N298" s="6"/>
      <c r="O298" s="6"/>
      <c r="P298" s="23"/>
      <c r="Q298" s="2"/>
      <c r="R298" s="2"/>
      <c r="S298" s="2"/>
      <c r="T298" s="2"/>
      <c r="U298" s="2"/>
      <c r="V298" s="2"/>
      <c r="W298" s="2"/>
      <c r="X298" s="2"/>
      <c r="Y298" s="2"/>
    </row>
    <row r="299" spans="1:25" ht="25.5" hidden="1" customHeight="1">
      <c r="A299" s="26" t="s">
        <v>942</v>
      </c>
      <c r="B299" s="27"/>
      <c r="C299" s="28"/>
      <c r="D299" s="27"/>
      <c r="E299" s="27" t="s">
        <v>943</v>
      </c>
      <c r="F299" s="29" t="s">
        <v>944</v>
      </c>
      <c r="G299" s="27" t="s">
        <v>248</v>
      </c>
      <c r="H299" s="27" t="s">
        <v>249</v>
      </c>
      <c r="I299" s="27">
        <v>1</v>
      </c>
      <c r="J299" s="30">
        <v>0</v>
      </c>
      <c r="K299" s="26" t="s">
        <v>20</v>
      </c>
      <c r="L299" s="26" t="s">
        <v>284</v>
      </c>
      <c r="M299" s="31" t="s">
        <v>945</v>
      </c>
      <c r="N299" s="6"/>
      <c r="O299" s="6"/>
      <c r="P299" s="23"/>
      <c r="Q299" s="2"/>
      <c r="R299" s="2"/>
      <c r="S299" s="2"/>
      <c r="T299" s="2"/>
      <c r="U299" s="2"/>
      <c r="V299" s="2"/>
      <c r="W299" s="2"/>
      <c r="X299" s="2"/>
      <c r="Y299" s="2"/>
    </row>
    <row r="300" spans="1:25" ht="25.5" hidden="1" customHeight="1">
      <c r="A300" s="26">
        <v>141</v>
      </c>
      <c r="B300" s="27" t="s">
        <v>938</v>
      </c>
      <c r="C300" s="28">
        <v>42368</v>
      </c>
      <c r="D300" s="27"/>
      <c r="E300" s="27" t="s">
        <v>946</v>
      </c>
      <c r="F300" s="29" t="s">
        <v>947</v>
      </c>
      <c r="G300" s="27" t="s">
        <v>307</v>
      </c>
      <c r="H300" s="27" t="s">
        <v>19</v>
      </c>
      <c r="I300" s="27">
        <v>1</v>
      </c>
      <c r="J300" s="30">
        <v>95403547</v>
      </c>
      <c r="K300" s="26" t="s">
        <v>20</v>
      </c>
      <c r="L300" s="26" t="s">
        <v>233</v>
      </c>
      <c r="M300" s="31" t="s">
        <v>948</v>
      </c>
      <c r="N300" s="6"/>
      <c r="O300" s="6"/>
      <c r="P300" s="23"/>
      <c r="Q300" s="2"/>
      <c r="R300" s="2"/>
      <c r="S300" s="2"/>
      <c r="T300" s="2"/>
      <c r="U300" s="2"/>
      <c r="V300" s="2"/>
      <c r="W300" s="2"/>
      <c r="X300" s="2"/>
      <c r="Y300" s="2"/>
    </row>
    <row r="301" spans="1:25" ht="25.5" customHeight="1">
      <c r="A301" s="26" t="s">
        <v>949</v>
      </c>
      <c r="B301" s="27"/>
      <c r="C301" s="28"/>
      <c r="D301" s="27"/>
      <c r="E301" s="47" t="s">
        <v>950</v>
      </c>
      <c r="F301" s="29" t="s">
        <v>951</v>
      </c>
      <c r="G301" s="27" t="s">
        <v>248</v>
      </c>
      <c r="H301" s="27" t="s">
        <v>249</v>
      </c>
      <c r="I301" s="27">
        <v>1</v>
      </c>
      <c r="J301" s="30">
        <v>0</v>
      </c>
      <c r="K301" s="26" t="s">
        <v>20</v>
      </c>
      <c r="L301" s="26" t="s">
        <v>423</v>
      </c>
      <c r="M301" s="31" t="s">
        <v>952</v>
      </c>
      <c r="N301" s="7"/>
      <c r="O301" s="7" t="str">
        <f ca="1">IFERROR(__xludf.DUMMYFUNCTION("IFERROR(INDEX(Sheet1!$C:$C, MAX(FILTER(ROW(Sheet1!$B:$B), Sheet1!$B:$B=E301))), """")"),"")</f>
        <v/>
      </c>
      <c r="P301" s="23"/>
      <c r="Q301" s="2"/>
      <c r="R301" s="2"/>
      <c r="S301" s="2"/>
      <c r="T301" s="2"/>
      <c r="U301" s="2"/>
      <c r="V301" s="2"/>
      <c r="W301" s="2"/>
      <c r="X301" s="2"/>
      <c r="Y301" s="2"/>
    </row>
    <row r="302" spans="1:25" ht="25.5" customHeight="1">
      <c r="A302" s="26">
        <v>142</v>
      </c>
      <c r="B302" s="27" t="s">
        <v>953</v>
      </c>
      <c r="C302" s="28">
        <v>43256</v>
      </c>
      <c r="D302" s="27"/>
      <c r="E302" s="47" t="s">
        <v>954</v>
      </c>
      <c r="F302" s="29" t="s">
        <v>955</v>
      </c>
      <c r="G302" s="27" t="s">
        <v>307</v>
      </c>
      <c r="H302" s="27" t="s">
        <v>19</v>
      </c>
      <c r="I302" s="27">
        <v>1</v>
      </c>
      <c r="J302" s="30">
        <v>389452666</v>
      </c>
      <c r="K302" s="26" t="s">
        <v>20</v>
      </c>
      <c r="L302" s="26" t="s">
        <v>423</v>
      </c>
      <c r="M302" s="31" t="s">
        <v>956</v>
      </c>
      <c r="N302" s="7"/>
      <c r="O302" s="7" t="str">
        <f ca="1">IFERROR(__xludf.DUMMYFUNCTION("IFERROR(INDEX(Sheet1!$C:$C, MAX(FILTER(ROW(Sheet1!$B:$B), Sheet1!$B:$B=E302))), """")"),"")</f>
        <v/>
      </c>
      <c r="P302" s="23"/>
      <c r="Q302" s="2"/>
      <c r="R302" s="2"/>
      <c r="S302" s="2"/>
      <c r="T302" s="2"/>
      <c r="U302" s="2"/>
      <c r="V302" s="2"/>
      <c r="W302" s="2"/>
      <c r="X302" s="2"/>
      <c r="Y302" s="2"/>
    </row>
    <row r="303" spans="1:25" ht="25.5" customHeight="1">
      <c r="A303" s="49" t="s">
        <v>957</v>
      </c>
      <c r="B303" s="27"/>
      <c r="C303" s="50"/>
      <c r="D303" s="27"/>
      <c r="E303" s="51" t="s">
        <v>958</v>
      </c>
      <c r="F303" s="52" t="s">
        <v>959</v>
      </c>
      <c r="G303" s="27" t="s">
        <v>248</v>
      </c>
      <c r="H303" s="27" t="s">
        <v>249</v>
      </c>
      <c r="I303" s="27">
        <v>1</v>
      </c>
      <c r="J303" s="30">
        <v>14892045</v>
      </c>
      <c r="K303" s="26" t="s">
        <v>20</v>
      </c>
      <c r="L303" s="49" t="s">
        <v>423</v>
      </c>
      <c r="M303" s="54" t="s">
        <v>960</v>
      </c>
      <c r="N303" s="7"/>
      <c r="O303" s="7" t="str">
        <f ca="1">IFERROR(__xludf.DUMMYFUNCTION("IFERROR(INDEX(Sheet1!$C:$C, MAX(FILTER(ROW(Sheet1!$B:$B), Sheet1!$B:$B=E303))), """")"),"")</f>
        <v/>
      </c>
      <c r="P303" s="23"/>
      <c r="Q303" s="2"/>
      <c r="R303" s="2"/>
      <c r="S303" s="2"/>
      <c r="T303" s="2"/>
      <c r="U303" s="2"/>
      <c r="V303" s="2"/>
      <c r="W303" s="2"/>
      <c r="X303" s="2"/>
      <c r="Y303" s="2"/>
    </row>
    <row r="304" spans="1:25" ht="12.75" customHeight="1">
      <c r="A304" s="26" t="s">
        <v>961</v>
      </c>
      <c r="B304" s="27"/>
      <c r="C304" s="28"/>
      <c r="D304" s="27"/>
      <c r="E304" s="47" t="s">
        <v>962</v>
      </c>
      <c r="F304" s="29" t="s">
        <v>963</v>
      </c>
      <c r="G304" s="27" t="s">
        <v>55</v>
      </c>
      <c r="H304" s="27" t="s">
        <v>249</v>
      </c>
      <c r="I304" s="27">
        <v>1</v>
      </c>
      <c r="J304" s="30">
        <v>102395650</v>
      </c>
      <c r="K304" s="26" t="s">
        <v>20</v>
      </c>
      <c r="L304" s="26" t="s">
        <v>423</v>
      </c>
      <c r="M304" s="31" t="s">
        <v>964</v>
      </c>
      <c r="N304" s="7"/>
      <c r="O304" s="7" t="str">
        <f ca="1">IFERROR(__xludf.DUMMYFUNCTION("IFERROR(INDEX(Sheet1!$C:$C, MAX(FILTER(ROW(Sheet1!$B:$B), Sheet1!$B:$B=E304))), """")"),"")</f>
        <v/>
      </c>
      <c r="P304" s="23"/>
      <c r="Q304" s="2"/>
      <c r="R304" s="2"/>
      <c r="S304" s="2"/>
      <c r="T304" s="2"/>
      <c r="U304" s="2"/>
      <c r="V304" s="2"/>
      <c r="W304" s="2"/>
      <c r="X304" s="2"/>
      <c r="Y304" s="2"/>
    </row>
    <row r="305" spans="1:25" ht="25.5" hidden="1" customHeight="1">
      <c r="A305" s="26">
        <v>143</v>
      </c>
      <c r="B305" s="27" t="s">
        <v>953</v>
      </c>
      <c r="C305" s="28">
        <v>43256</v>
      </c>
      <c r="D305" s="27"/>
      <c r="E305" s="27" t="s">
        <v>965</v>
      </c>
      <c r="F305" s="29" t="s">
        <v>966</v>
      </c>
      <c r="G305" s="27" t="s">
        <v>307</v>
      </c>
      <c r="H305" s="27" t="s">
        <v>19</v>
      </c>
      <c r="I305" s="27">
        <v>1</v>
      </c>
      <c r="J305" s="30">
        <v>389452666</v>
      </c>
      <c r="K305" s="26" t="s">
        <v>20</v>
      </c>
      <c r="L305" s="36" t="s">
        <v>229</v>
      </c>
      <c r="M305" s="31" t="str">
        <f>IFERROR(VLOOKUP(E305, TSCD_XUAN!$C$7:$K$1000, 9, 0), "Không tìm thấy")</f>
        <v>F1 Infinity</v>
      </c>
      <c r="N305" s="6"/>
      <c r="O305" s="6"/>
      <c r="P305" s="23"/>
      <c r="Q305" s="2"/>
      <c r="R305" s="2"/>
      <c r="S305" s="2"/>
      <c r="T305" s="2"/>
      <c r="U305" s="2"/>
      <c r="V305" s="2"/>
      <c r="W305" s="2"/>
      <c r="X305" s="2"/>
      <c r="Y305" s="2"/>
    </row>
    <row r="306" spans="1:25" ht="25.5" hidden="1" customHeight="1">
      <c r="A306" s="26" t="s">
        <v>967</v>
      </c>
      <c r="B306" s="27"/>
      <c r="C306" s="28"/>
      <c r="D306" s="27"/>
      <c r="E306" s="27" t="s">
        <v>968</v>
      </c>
      <c r="F306" s="29" t="s">
        <v>969</v>
      </c>
      <c r="G306" s="27" t="s">
        <v>248</v>
      </c>
      <c r="H306" s="27" t="s">
        <v>249</v>
      </c>
      <c r="I306" s="27">
        <v>1</v>
      </c>
      <c r="J306" s="30">
        <v>14892045</v>
      </c>
      <c r="K306" s="26" t="s">
        <v>20</v>
      </c>
      <c r="L306" s="36" t="s">
        <v>229</v>
      </c>
      <c r="M306" s="31" t="str">
        <f>IFERROR(VLOOKUP(E306, TSCD_XUAN!$C$7:$K$1000, 9, 0), "Không tìm thấy")</f>
        <v>pHTKT: màn hình Hàn</v>
      </c>
      <c r="N306" s="6"/>
      <c r="O306" s="6"/>
      <c r="P306" s="23"/>
      <c r="Q306" s="2"/>
      <c r="R306" s="2"/>
      <c r="S306" s="2"/>
      <c r="T306" s="2"/>
      <c r="U306" s="2"/>
      <c r="V306" s="2"/>
      <c r="W306" s="2"/>
      <c r="X306" s="2"/>
      <c r="Y306" s="2"/>
    </row>
    <row r="307" spans="1:25" ht="38.25" hidden="1" customHeight="1">
      <c r="A307" s="26" t="s">
        <v>970</v>
      </c>
      <c r="B307" s="27"/>
      <c r="C307" s="28"/>
      <c r="D307" s="27"/>
      <c r="E307" s="27" t="s">
        <v>971</v>
      </c>
      <c r="F307" s="29" t="s">
        <v>972</v>
      </c>
      <c r="G307" s="27" t="s">
        <v>55</v>
      </c>
      <c r="H307" s="27" t="s">
        <v>249</v>
      </c>
      <c r="I307" s="27">
        <v>1</v>
      </c>
      <c r="J307" s="30">
        <v>102395650</v>
      </c>
      <c r="K307" s="26" t="s">
        <v>20</v>
      </c>
      <c r="L307" s="36" t="s">
        <v>229</v>
      </c>
      <c r="M307" s="31" t="str">
        <f>IFERROR(VLOOKUP(E307, TSCD_XUAN!$C$7:$K$1000, 9, 0), "Không tìm thấy")</f>
        <v>F1 Infinity card trong CPU</v>
      </c>
      <c r="N307" s="6"/>
      <c r="O307" s="6"/>
      <c r="P307" s="23"/>
      <c r="Q307" s="2"/>
      <c r="R307" s="2"/>
      <c r="S307" s="2"/>
      <c r="T307" s="2"/>
      <c r="U307" s="2"/>
      <c r="V307" s="2"/>
      <c r="W307" s="2"/>
      <c r="X307" s="2"/>
      <c r="Y307" s="2"/>
    </row>
    <row r="308" spans="1:25" ht="76.5" hidden="1" customHeight="1">
      <c r="A308" s="26">
        <v>144</v>
      </c>
      <c r="B308" s="27" t="s">
        <v>973</v>
      </c>
      <c r="C308" s="28">
        <v>43799</v>
      </c>
      <c r="D308" s="27"/>
      <c r="E308" s="27" t="s">
        <v>974</v>
      </c>
      <c r="F308" s="29" t="s">
        <v>975</v>
      </c>
      <c r="G308" s="27" t="s">
        <v>976</v>
      </c>
      <c r="H308" s="27" t="s">
        <v>19</v>
      </c>
      <c r="I308" s="27">
        <v>1</v>
      </c>
      <c r="J308" s="30">
        <v>124760666</v>
      </c>
      <c r="K308" s="26" t="s">
        <v>20</v>
      </c>
      <c r="L308" s="26" t="s">
        <v>295</v>
      </c>
      <c r="M308" s="31" t="s">
        <v>977</v>
      </c>
      <c r="N308" s="6"/>
      <c r="O308" s="6"/>
      <c r="P308" s="23"/>
      <c r="Q308" s="2"/>
      <c r="R308" s="2"/>
      <c r="S308" s="2"/>
      <c r="T308" s="2"/>
      <c r="U308" s="2"/>
      <c r="V308" s="2"/>
      <c r="W308" s="2"/>
      <c r="X308" s="2"/>
      <c r="Y308" s="2"/>
    </row>
    <row r="309" spans="1:25" ht="25.5" hidden="1" customHeight="1">
      <c r="A309" s="26" t="s">
        <v>978</v>
      </c>
      <c r="B309" s="27"/>
      <c r="C309" s="28"/>
      <c r="D309" s="27"/>
      <c r="E309" s="27" t="s">
        <v>979</v>
      </c>
      <c r="F309" s="29" t="s">
        <v>980</v>
      </c>
      <c r="G309" s="27" t="s">
        <v>248</v>
      </c>
      <c r="H309" s="27" t="s">
        <v>249</v>
      </c>
      <c r="I309" s="27">
        <v>1</v>
      </c>
      <c r="J309" s="30">
        <v>9950237</v>
      </c>
      <c r="K309" s="26" t="s">
        <v>20</v>
      </c>
      <c r="L309" s="26" t="s">
        <v>295</v>
      </c>
      <c r="M309" s="31" t="s">
        <v>981</v>
      </c>
      <c r="N309" s="6"/>
      <c r="O309" s="6"/>
      <c r="P309" s="23"/>
      <c r="Q309" s="2"/>
      <c r="R309" s="2"/>
      <c r="S309" s="2"/>
      <c r="T309" s="2"/>
      <c r="U309" s="2"/>
      <c r="V309" s="2"/>
      <c r="W309" s="2"/>
      <c r="X309" s="2"/>
      <c r="Y309" s="2"/>
    </row>
    <row r="310" spans="1:25" ht="25.5" hidden="1" customHeight="1">
      <c r="A310" s="26">
        <v>145</v>
      </c>
      <c r="B310" s="27" t="s">
        <v>973</v>
      </c>
      <c r="C310" s="28">
        <v>43799</v>
      </c>
      <c r="D310" s="27"/>
      <c r="E310" s="27" t="s">
        <v>982</v>
      </c>
      <c r="F310" s="29" t="s">
        <v>983</v>
      </c>
      <c r="G310" s="27" t="s">
        <v>976</v>
      </c>
      <c r="H310" s="27" t="s">
        <v>19</v>
      </c>
      <c r="I310" s="27">
        <v>1</v>
      </c>
      <c r="J310" s="30">
        <v>124377965</v>
      </c>
      <c r="K310" s="26" t="s">
        <v>20</v>
      </c>
      <c r="L310" s="26" t="s">
        <v>295</v>
      </c>
      <c r="M310" s="31" t="s">
        <v>984</v>
      </c>
      <c r="N310" s="6"/>
      <c r="O310" s="6"/>
      <c r="P310" s="23"/>
      <c r="Q310" s="2"/>
      <c r="R310" s="2"/>
      <c r="S310" s="2"/>
      <c r="T310" s="2"/>
      <c r="U310" s="2"/>
      <c r="V310" s="2"/>
      <c r="W310" s="2"/>
      <c r="X310" s="2"/>
      <c r="Y310" s="2"/>
    </row>
    <row r="311" spans="1:25" ht="25.5" hidden="1" customHeight="1">
      <c r="A311" s="26" t="s">
        <v>985</v>
      </c>
      <c r="B311" s="27"/>
      <c r="C311" s="28"/>
      <c r="D311" s="27"/>
      <c r="E311" s="27" t="s">
        <v>986</v>
      </c>
      <c r="F311" s="29" t="s">
        <v>987</v>
      </c>
      <c r="G311" s="27" t="s">
        <v>248</v>
      </c>
      <c r="H311" s="27" t="s">
        <v>249</v>
      </c>
      <c r="I311" s="27">
        <v>1</v>
      </c>
      <c r="J311" s="30">
        <v>9950237</v>
      </c>
      <c r="K311" s="26" t="s">
        <v>20</v>
      </c>
      <c r="L311" s="26" t="s">
        <v>295</v>
      </c>
      <c r="M311" s="31" t="s">
        <v>988</v>
      </c>
      <c r="N311" s="6"/>
      <c r="O311" s="6"/>
      <c r="P311" s="23"/>
      <c r="Q311" s="2"/>
      <c r="R311" s="2"/>
      <c r="S311" s="2"/>
      <c r="T311" s="2"/>
      <c r="U311" s="2"/>
      <c r="V311" s="2"/>
      <c r="W311" s="2"/>
      <c r="X311" s="2"/>
      <c r="Y311" s="2"/>
    </row>
    <row r="312" spans="1:25" ht="25.5" hidden="1" customHeight="1">
      <c r="A312" s="26" t="s">
        <v>989</v>
      </c>
      <c r="B312" s="27" t="s">
        <v>973</v>
      </c>
      <c r="C312" s="28">
        <v>43799</v>
      </c>
      <c r="D312" s="27"/>
      <c r="E312" s="27" t="s">
        <v>990</v>
      </c>
      <c r="F312" s="29" t="s">
        <v>991</v>
      </c>
      <c r="G312" s="27" t="s">
        <v>976</v>
      </c>
      <c r="H312" s="27" t="s">
        <v>19</v>
      </c>
      <c r="I312" s="27">
        <v>1</v>
      </c>
      <c r="J312" s="30">
        <v>831737785</v>
      </c>
      <c r="K312" s="26" t="s">
        <v>20</v>
      </c>
      <c r="L312" s="26" t="s">
        <v>295</v>
      </c>
      <c r="M312" s="31" t="s">
        <v>992</v>
      </c>
      <c r="N312" s="6"/>
      <c r="O312" s="6"/>
      <c r="P312" s="23"/>
      <c r="Q312" s="2"/>
      <c r="R312" s="2"/>
      <c r="S312" s="2"/>
      <c r="T312" s="2"/>
      <c r="U312" s="2"/>
      <c r="V312" s="2"/>
      <c r="W312" s="2"/>
      <c r="X312" s="2"/>
      <c r="Y312" s="2"/>
    </row>
    <row r="313" spans="1:25" ht="12.75" hidden="1" customHeight="1">
      <c r="A313" s="26" t="s">
        <v>993</v>
      </c>
      <c r="B313" s="27"/>
      <c r="C313" s="28"/>
      <c r="D313" s="27"/>
      <c r="E313" s="27" t="s">
        <v>994</v>
      </c>
      <c r="F313" s="29" t="s">
        <v>995</v>
      </c>
      <c r="G313" s="27" t="s">
        <v>248</v>
      </c>
      <c r="H313" s="27" t="s">
        <v>249</v>
      </c>
      <c r="I313" s="27">
        <v>1</v>
      </c>
      <c r="J313" s="30">
        <v>9950237</v>
      </c>
      <c r="K313" s="26" t="s">
        <v>20</v>
      </c>
      <c r="L313" s="26" t="s">
        <v>295</v>
      </c>
      <c r="M313" s="31" t="s">
        <v>996</v>
      </c>
      <c r="N313" s="6"/>
      <c r="O313" s="6"/>
      <c r="P313" s="23"/>
      <c r="Q313" s="2"/>
      <c r="R313" s="2"/>
      <c r="S313" s="2"/>
      <c r="T313" s="2"/>
      <c r="U313" s="2"/>
      <c r="V313" s="2"/>
      <c r="W313" s="2"/>
      <c r="X313" s="2"/>
      <c r="Y313" s="2"/>
    </row>
    <row r="314" spans="1:25" ht="12.75" hidden="1" customHeight="1">
      <c r="A314" s="26" t="s">
        <v>997</v>
      </c>
      <c r="B314" s="27"/>
      <c r="C314" s="28"/>
      <c r="D314" s="27"/>
      <c r="E314" s="27" t="s">
        <v>998</v>
      </c>
      <c r="F314" s="29" t="s">
        <v>999</v>
      </c>
      <c r="G314" s="27" t="s">
        <v>248</v>
      </c>
      <c r="H314" s="27" t="s">
        <v>249</v>
      </c>
      <c r="I314" s="27">
        <v>1</v>
      </c>
      <c r="J314" s="30">
        <v>9950237</v>
      </c>
      <c r="K314" s="26" t="s">
        <v>20</v>
      </c>
      <c r="L314" s="26" t="s">
        <v>295</v>
      </c>
      <c r="M314" s="31" t="s">
        <v>1000</v>
      </c>
      <c r="N314" s="6"/>
      <c r="O314" s="6"/>
      <c r="P314" s="23"/>
      <c r="Q314" s="2"/>
      <c r="R314" s="2"/>
      <c r="S314" s="2"/>
      <c r="T314" s="2"/>
      <c r="U314" s="2"/>
      <c r="V314" s="2"/>
      <c r="W314" s="2"/>
      <c r="X314" s="2"/>
      <c r="Y314" s="2"/>
    </row>
    <row r="315" spans="1:25" ht="12.75" hidden="1" customHeight="1">
      <c r="A315" s="26">
        <v>147</v>
      </c>
      <c r="B315" s="27" t="s">
        <v>893</v>
      </c>
      <c r="C315" s="28">
        <v>40715</v>
      </c>
      <c r="D315" s="27"/>
      <c r="E315" s="27" t="s">
        <v>1001</v>
      </c>
      <c r="F315" s="29" t="s">
        <v>1002</v>
      </c>
      <c r="G315" s="27" t="s">
        <v>248</v>
      </c>
      <c r="H315" s="27" t="s">
        <v>19</v>
      </c>
      <c r="I315" s="27">
        <v>1</v>
      </c>
      <c r="J315" s="30">
        <v>30650000</v>
      </c>
      <c r="K315" s="26" t="s">
        <v>294</v>
      </c>
      <c r="L315" s="26" t="s">
        <v>1003</v>
      </c>
      <c r="M315" s="31" t="s">
        <v>1004</v>
      </c>
      <c r="N315" s="6"/>
      <c r="O315" s="6"/>
      <c r="P315" s="23"/>
      <c r="Q315" s="2"/>
      <c r="R315" s="2"/>
      <c r="S315" s="2"/>
      <c r="T315" s="2"/>
      <c r="U315" s="2"/>
      <c r="V315" s="2"/>
      <c r="W315" s="2"/>
      <c r="X315" s="2"/>
      <c r="Y315" s="2"/>
    </row>
    <row r="316" spans="1:25" ht="25.5" hidden="1" customHeight="1">
      <c r="A316" s="26">
        <v>148</v>
      </c>
      <c r="B316" s="27" t="s">
        <v>1005</v>
      </c>
      <c r="C316" s="28">
        <v>39994</v>
      </c>
      <c r="D316" s="27"/>
      <c r="E316" s="27" t="s">
        <v>1006</v>
      </c>
      <c r="F316" s="29" t="s">
        <v>1007</v>
      </c>
      <c r="G316" s="27" t="s">
        <v>1008</v>
      </c>
      <c r="H316" s="27" t="s">
        <v>569</v>
      </c>
      <c r="I316" s="27">
        <v>1</v>
      </c>
      <c r="J316" s="30">
        <v>103874900</v>
      </c>
      <c r="K316" s="26" t="s">
        <v>206</v>
      </c>
      <c r="L316" s="26" t="s">
        <v>841</v>
      </c>
      <c r="M316" s="31" t="s">
        <v>1009</v>
      </c>
      <c r="N316" s="6"/>
      <c r="O316" s="6"/>
      <c r="P316" s="23"/>
      <c r="Q316" s="2"/>
      <c r="R316" s="2"/>
      <c r="S316" s="2"/>
      <c r="T316" s="2"/>
      <c r="U316" s="2"/>
      <c r="V316" s="2"/>
      <c r="W316" s="2"/>
      <c r="X316" s="2"/>
      <c r="Y316" s="2"/>
    </row>
    <row r="317" spans="1:25" ht="25.5" hidden="1" customHeight="1">
      <c r="A317" s="26">
        <v>149</v>
      </c>
      <c r="B317" s="27" t="s">
        <v>1005</v>
      </c>
      <c r="C317" s="28">
        <v>39994</v>
      </c>
      <c r="D317" s="27"/>
      <c r="E317" s="27" t="s">
        <v>1010</v>
      </c>
      <c r="F317" s="29" t="s">
        <v>1011</v>
      </c>
      <c r="G317" s="27" t="s">
        <v>1008</v>
      </c>
      <c r="H317" s="27" t="s">
        <v>569</v>
      </c>
      <c r="I317" s="27">
        <v>1</v>
      </c>
      <c r="J317" s="30">
        <v>103874900</v>
      </c>
      <c r="K317" s="26" t="s">
        <v>206</v>
      </c>
      <c r="L317" s="26" t="s">
        <v>841</v>
      </c>
      <c r="M317" s="31" t="s">
        <v>1009</v>
      </c>
      <c r="N317" s="6"/>
      <c r="O317" s="6"/>
      <c r="P317" s="23"/>
      <c r="Q317" s="2"/>
      <c r="R317" s="2"/>
      <c r="S317" s="2"/>
      <c r="T317" s="2"/>
      <c r="U317" s="2"/>
      <c r="V317" s="2"/>
      <c r="W317" s="2"/>
      <c r="X317" s="2"/>
      <c r="Y317" s="2"/>
    </row>
    <row r="318" spans="1:25" ht="25.5" hidden="1" customHeight="1">
      <c r="A318" s="26">
        <v>150</v>
      </c>
      <c r="B318" s="27" t="s">
        <v>212</v>
      </c>
      <c r="C318" s="28">
        <v>41512</v>
      </c>
      <c r="D318" s="27"/>
      <c r="E318" s="27" t="s">
        <v>1012</v>
      </c>
      <c r="F318" s="29" t="s">
        <v>1013</v>
      </c>
      <c r="G318" s="27" t="s">
        <v>338</v>
      </c>
      <c r="H318" s="27" t="s">
        <v>249</v>
      </c>
      <c r="I318" s="27">
        <v>1</v>
      </c>
      <c r="J318" s="30">
        <v>59321536</v>
      </c>
      <c r="K318" s="26" t="s">
        <v>36</v>
      </c>
      <c r="L318" s="26" t="s">
        <v>674</v>
      </c>
      <c r="M318" s="31" t="s">
        <v>161</v>
      </c>
      <c r="N318" s="6"/>
      <c r="O318" s="6"/>
      <c r="P318" s="23"/>
      <c r="Q318" s="2"/>
      <c r="R318" s="2"/>
      <c r="S318" s="2"/>
      <c r="T318" s="2"/>
      <c r="U318" s="2"/>
      <c r="V318" s="2"/>
      <c r="W318" s="2"/>
      <c r="X318" s="2"/>
      <c r="Y318" s="2"/>
    </row>
    <row r="319" spans="1:25" ht="25.5" hidden="1" customHeight="1">
      <c r="A319" s="26">
        <v>151</v>
      </c>
      <c r="B319" s="27" t="s">
        <v>212</v>
      </c>
      <c r="C319" s="28">
        <v>41512</v>
      </c>
      <c r="D319" s="27"/>
      <c r="E319" s="27" t="s">
        <v>1014</v>
      </c>
      <c r="F319" s="29" t="s">
        <v>1015</v>
      </c>
      <c r="G319" s="27" t="s">
        <v>338</v>
      </c>
      <c r="H319" s="27" t="s">
        <v>249</v>
      </c>
      <c r="I319" s="27">
        <v>1</v>
      </c>
      <c r="J319" s="30">
        <v>59321536</v>
      </c>
      <c r="K319" s="26" t="s">
        <v>36</v>
      </c>
      <c r="L319" s="26" t="s">
        <v>674</v>
      </c>
      <c r="M319" s="31" t="s">
        <v>161</v>
      </c>
      <c r="N319" s="6"/>
      <c r="O319" s="6"/>
      <c r="P319" s="23"/>
      <c r="Q319" s="2"/>
      <c r="R319" s="2"/>
      <c r="S319" s="2"/>
      <c r="T319" s="2"/>
      <c r="U319" s="2"/>
      <c r="V319" s="2"/>
      <c r="W319" s="2"/>
      <c r="X319" s="2"/>
      <c r="Y319" s="2"/>
    </row>
    <row r="320" spans="1:25" ht="12.75" hidden="1" customHeight="1">
      <c r="A320" s="26">
        <v>152</v>
      </c>
      <c r="B320" s="27" t="s">
        <v>599</v>
      </c>
      <c r="C320" s="28">
        <v>42671</v>
      </c>
      <c r="D320" s="27"/>
      <c r="E320" s="27" t="s">
        <v>1016</v>
      </c>
      <c r="F320" s="29" t="s">
        <v>1017</v>
      </c>
      <c r="G320" s="27" t="s">
        <v>307</v>
      </c>
      <c r="H320" s="27" t="s">
        <v>19</v>
      </c>
      <c r="I320" s="27">
        <v>1</v>
      </c>
      <c r="J320" s="30">
        <v>217139027</v>
      </c>
      <c r="K320" s="26" t="s">
        <v>36</v>
      </c>
      <c r="L320" s="26" t="s">
        <v>674</v>
      </c>
      <c r="M320" s="31" t="s">
        <v>1018</v>
      </c>
      <c r="N320" s="6"/>
      <c r="O320" s="6"/>
      <c r="P320" s="23"/>
      <c r="Q320" s="2"/>
      <c r="R320" s="2"/>
      <c r="S320" s="2"/>
      <c r="T320" s="2"/>
      <c r="U320" s="2"/>
      <c r="V320" s="2"/>
      <c r="W320" s="2"/>
      <c r="X320" s="2"/>
      <c r="Y320" s="2"/>
    </row>
    <row r="321" spans="1:25" ht="12.75" hidden="1" customHeight="1">
      <c r="A321" s="26">
        <v>153</v>
      </c>
      <c r="B321" s="27" t="s">
        <v>599</v>
      </c>
      <c r="C321" s="28">
        <v>42671</v>
      </c>
      <c r="D321" s="27"/>
      <c r="E321" s="27" t="s">
        <v>1019</v>
      </c>
      <c r="F321" s="29" t="s">
        <v>1020</v>
      </c>
      <c r="G321" s="27" t="s">
        <v>307</v>
      </c>
      <c r="H321" s="27" t="s">
        <v>19</v>
      </c>
      <c r="I321" s="27">
        <v>1</v>
      </c>
      <c r="J321" s="30">
        <v>217139027</v>
      </c>
      <c r="K321" s="26" t="s">
        <v>36</v>
      </c>
      <c r="L321" s="26" t="s">
        <v>674</v>
      </c>
      <c r="M321" s="31" t="s">
        <v>1021</v>
      </c>
      <c r="N321" s="6"/>
      <c r="O321" s="6"/>
      <c r="P321" s="23"/>
      <c r="Q321" s="2"/>
      <c r="R321" s="2"/>
      <c r="S321" s="2"/>
      <c r="T321" s="2"/>
      <c r="U321" s="2"/>
      <c r="V321" s="2"/>
      <c r="W321" s="2"/>
      <c r="X321" s="2"/>
      <c r="Y321" s="2"/>
    </row>
    <row r="322" spans="1:25" ht="12.75" hidden="1" customHeight="1">
      <c r="A322" s="26">
        <v>154</v>
      </c>
      <c r="B322" s="27" t="s">
        <v>599</v>
      </c>
      <c r="C322" s="28">
        <v>42671</v>
      </c>
      <c r="D322" s="27"/>
      <c r="E322" s="27" t="s">
        <v>1022</v>
      </c>
      <c r="F322" s="29" t="s">
        <v>1023</v>
      </c>
      <c r="G322" s="27" t="s">
        <v>307</v>
      </c>
      <c r="H322" s="27" t="s">
        <v>19</v>
      </c>
      <c r="I322" s="27">
        <v>1</v>
      </c>
      <c r="J322" s="30">
        <v>253823533</v>
      </c>
      <c r="K322" s="26" t="s">
        <v>36</v>
      </c>
      <c r="L322" s="26" t="s">
        <v>674</v>
      </c>
      <c r="M322" s="31" t="s">
        <v>1024</v>
      </c>
      <c r="N322" s="6"/>
      <c r="O322" s="6"/>
      <c r="P322" s="23"/>
      <c r="Q322" s="2"/>
      <c r="R322" s="2"/>
      <c r="S322" s="2"/>
      <c r="T322" s="2"/>
      <c r="U322" s="2"/>
      <c r="V322" s="2"/>
      <c r="W322" s="2"/>
      <c r="X322" s="2"/>
      <c r="Y322" s="2"/>
    </row>
    <row r="323" spans="1:25" ht="12.75" hidden="1" customHeight="1">
      <c r="A323" s="26">
        <v>155</v>
      </c>
      <c r="B323" s="27" t="s">
        <v>599</v>
      </c>
      <c r="C323" s="28">
        <v>42671</v>
      </c>
      <c r="D323" s="27"/>
      <c r="E323" s="27" t="s">
        <v>1025</v>
      </c>
      <c r="F323" s="29" t="s">
        <v>1026</v>
      </c>
      <c r="G323" s="27" t="s">
        <v>307</v>
      </c>
      <c r="H323" s="27" t="s">
        <v>19</v>
      </c>
      <c r="I323" s="27">
        <v>1</v>
      </c>
      <c r="J323" s="30">
        <v>253823533</v>
      </c>
      <c r="K323" s="26" t="s">
        <v>36</v>
      </c>
      <c r="L323" s="26" t="s">
        <v>674</v>
      </c>
      <c r="M323" s="31" t="s">
        <v>1027</v>
      </c>
      <c r="N323" s="6"/>
      <c r="O323" s="6"/>
      <c r="P323" s="23"/>
      <c r="Q323" s="2"/>
      <c r="R323" s="2"/>
      <c r="S323" s="2"/>
      <c r="T323" s="2"/>
      <c r="U323" s="2"/>
      <c r="V323" s="2"/>
      <c r="W323" s="2"/>
      <c r="X323" s="2"/>
      <c r="Y323" s="2"/>
    </row>
    <row r="324" spans="1:25" ht="12.75" hidden="1" customHeight="1">
      <c r="A324" s="26">
        <v>156</v>
      </c>
      <c r="B324" s="27" t="s">
        <v>599</v>
      </c>
      <c r="C324" s="28">
        <v>42671</v>
      </c>
      <c r="D324" s="27"/>
      <c r="E324" s="27" t="s">
        <v>1028</v>
      </c>
      <c r="F324" s="29" t="s">
        <v>1029</v>
      </c>
      <c r="G324" s="27" t="s">
        <v>307</v>
      </c>
      <c r="H324" s="27" t="s">
        <v>19</v>
      </c>
      <c r="I324" s="27">
        <v>1</v>
      </c>
      <c r="J324" s="30">
        <v>194819653</v>
      </c>
      <c r="K324" s="26" t="s">
        <v>36</v>
      </c>
      <c r="L324" s="26" t="s">
        <v>674</v>
      </c>
      <c r="M324" s="31" t="s">
        <v>1030</v>
      </c>
      <c r="N324" s="6"/>
      <c r="O324" s="6"/>
      <c r="P324" s="23"/>
      <c r="Q324" s="2"/>
      <c r="R324" s="2"/>
      <c r="S324" s="2"/>
      <c r="T324" s="2"/>
      <c r="U324" s="2"/>
      <c r="V324" s="2"/>
      <c r="W324" s="2"/>
      <c r="X324" s="2"/>
      <c r="Y324" s="2"/>
    </row>
    <row r="325" spans="1:25" ht="12.75" hidden="1" customHeight="1">
      <c r="A325" s="26">
        <v>157</v>
      </c>
      <c r="B325" s="27" t="s">
        <v>599</v>
      </c>
      <c r="C325" s="28">
        <v>42671</v>
      </c>
      <c r="D325" s="27"/>
      <c r="E325" s="27" t="s">
        <v>1031</v>
      </c>
      <c r="F325" s="29" t="s">
        <v>1032</v>
      </c>
      <c r="G325" s="27" t="s">
        <v>307</v>
      </c>
      <c r="H325" s="27" t="s">
        <v>19</v>
      </c>
      <c r="I325" s="27">
        <v>1</v>
      </c>
      <c r="J325" s="30">
        <v>194819653</v>
      </c>
      <c r="K325" s="26" t="s">
        <v>36</v>
      </c>
      <c r="L325" s="26" t="s">
        <v>674</v>
      </c>
      <c r="M325" s="31" t="s">
        <v>1033</v>
      </c>
      <c r="N325" s="6"/>
      <c r="O325" s="6"/>
      <c r="P325" s="23"/>
      <c r="Q325" s="2"/>
      <c r="R325" s="2"/>
      <c r="S325" s="2"/>
      <c r="T325" s="2"/>
      <c r="U325" s="2"/>
      <c r="V325" s="2"/>
      <c r="W325" s="2"/>
      <c r="X325" s="2"/>
      <c r="Y325" s="2"/>
    </row>
    <row r="326" spans="1:25" ht="12.75" hidden="1" customHeight="1">
      <c r="A326" s="26">
        <v>158</v>
      </c>
      <c r="B326" s="27" t="s">
        <v>599</v>
      </c>
      <c r="C326" s="28">
        <v>42671</v>
      </c>
      <c r="D326" s="27"/>
      <c r="E326" s="27" t="s">
        <v>1034</v>
      </c>
      <c r="F326" s="29" t="s">
        <v>1035</v>
      </c>
      <c r="G326" s="27" t="s">
        <v>307</v>
      </c>
      <c r="H326" s="27" t="s">
        <v>19</v>
      </c>
      <c r="I326" s="27">
        <v>1</v>
      </c>
      <c r="J326" s="30">
        <v>194819653</v>
      </c>
      <c r="K326" s="26" t="s">
        <v>36</v>
      </c>
      <c r="L326" s="26" t="s">
        <v>674</v>
      </c>
      <c r="M326" s="31" t="s">
        <v>1036</v>
      </c>
      <c r="N326" s="6"/>
      <c r="O326" s="6"/>
      <c r="P326" s="23"/>
      <c r="Q326" s="2"/>
      <c r="R326" s="2"/>
      <c r="S326" s="2"/>
      <c r="T326" s="2"/>
      <c r="U326" s="2"/>
      <c r="V326" s="2"/>
      <c r="W326" s="2"/>
      <c r="X326" s="2"/>
      <c r="Y326" s="2"/>
    </row>
    <row r="327" spans="1:25" ht="38.25" hidden="1" customHeight="1">
      <c r="A327" s="26">
        <v>159</v>
      </c>
      <c r="B327" s="27" t="s">
        <v>1037</v>
      </c>
      <c r="C327" s="28">
        <v>43799</v>
      </c>
      <c r="D327" s="27"/>
      <c r="E327" s="27" t="s">
        <v>1038</v>
      </c>
      <c r="F327" s="29" t="s">
        <v>1039</v>
      </c>
      <c r="G327" s="27" t="s">
        <v>55</v>
      </c>
      <c r="H327" s="27" t="s">
        <v>249</v>
      </c>
      <c r="I327" s="27">
        <v>1</v>
      </c>
      <c r="J327" s="30">
        <v>2095302472</v>
      </c>
      <c r="K327" s="59" t="s">
        <v>206</v>
      </c>
      <c r="L327" s="59" t="s">
        <v>1040</v>
      </c>
      <c r="M327" s="31" t="s">
        <v>1041</v>
      </c>
      <c r="N327" s="6"/>
      <c r="O327" s="6"/>
      <c r="P327" s="23"/>
      <c r="Q327" s="2"/>
      <c r="R327" s="2"/>
      <c r="S327" s="2"/>
      <c r="T327" s="2"/>
      <c r="U327" s="2"/>
      <c r="V327" s="2"/>
      <c r="W327" s="2"/>
      <c r="X327" s="2"/>
      <c r="Y327" s="2"/>
    </row>
    <row r="328" spans="1:25" ht="38.25" hidden="1" customHeight="1">
      <c r="A328" s="26">
        <v>160</v>
      </c>
      <c r="B328" s="27" t="s">
        <v>1037</v>
      </c>
      <c r="C328" s="28">
        <v>43799</v>
      </c>
      <c r="D328" s="27"/>
      <c r="E328" s="27" t="s">
        <v>1042</v>
      </c>
      <c r="F328" s="29" t="s">
        <v>1043</v>
      </c>
      <c r="G328" s="27" t="s">
        <v>55</v>
      </c>
      <c r="H328" s="27" t="s">
        <v>249</v>
      </c>
      <c r="I328" s="27">
        <v>1</v>
      </c>
      <c r="J328" s="30">
        <v>2095302472</v>
      </c>
      <c r="K328" s="59" t="s">
        <v>206</v>
      </c>
      <c r="L328" s="59" t="s">
        <v>1040</v>
      </c>
      <c r="M328" s="31" t="s">
        <v>1041</v>
      </c>
      <c r="N328" s="6"/>
      <c r="O328" s="6"/>
      <c r="P328" s="23"/>
      <c r="Q328" s="2"/>
      <c r="R328" s="2"/>
      <c r="S328" s="2"/>
      <c r="T328" s="2"/>
      <c r="U328" s="2"/>
      <c r="V328" s="2"/>
      <c r="W328" s="2"/>
      <c r="X328" s="2"/>
      <c r="Y328" s="2"/>
    </row>
    <row r="329" spans="1:25" ht="51" hidden="1" customHeight="1">
      <c r="A329" s="26">
        <v>161</v>
      </c>
      <c r="B329" s="27" t="s">
        <v>1037</v>
      </c>
      <c r="C329" s="28">
        <v>43799</v>
      </c>
      <c r="D329" s="27"/>
      <c r="E329" s="27" t="s">
        <v>1044</v>
      </c>
      <c r="F329" s="29" t="s">
        <v>1045</v>
      </c>
      <c r="G329" s="27"/>
      <c r="H329" s="27"/>
      <c r="I329" s="27">
        <v>1</v>
      </c>
      <c r="J329" s="30">
        <v>1113818683</v>
      </c>
      <c r="K329" s="59" t="s">
        <v>206</v>
      </c>
      <c r="L329" s="59" t="s">
        <v>1040</v>
      </c>
      <c r="M329" s="31" t="s">
        <v>1041</v>
      </c>
      <c r="N329" s="6"/>
      <c r="O329" s="6"/>
      <c r="P329" s="23"/>
      <c r="Q329" s="2"/>
      <c r="R329" s="2"/>
      <c r="S329" s="2"/>
      <c r="T329" s="2"/>
      <c r="U329" s="2"/>
      <c r="V329" s="2"/>
      <c r="W329" s="2"/>
      <c r="X329" s="2"/>
      <c r="Y329" s="2"/>
    </row>
    <row r="330" spans="1:25" ht="25.5" hidden="1" customHeight="1">
      <c r="A330" s="26">
        <v>162</v>
      </c>
      <c r="B330" s="27" t="s">
        <v>1037</v>
      </c>
      <c r="C330" s="28">
        <v>43799</v>
      </c>
      <c r="D330" s="27"/>
      <c r="E330" s="27" t="s">
        <v>1046</v>
      </c>
      <c r="F330" s="29" t="s">
        <v>1047</v>
      </c>
      <c r="G330" s="27"/>
      <c r="H330" s="27" t="s">
        <v>19</v>
      </c>
      <c r="I330" s="27">
        <v>1</v>
      </c>
      <c r="J330" s="30">
        <v>524928409</v>
      </c>
      <c r="K330" s="26" t="s">
        <v>20</v>
      </c>
      <c r="L330" s="26" t="s">
        <v>295</v>
      </c>
      <c r="M330" s="31" t="s">
        <v>1048</v>
      </c>
      <c r="N330" s="6"/>
      <c r="O330" s="6"/>
      <c r="P330" s="23"/>
      <c r="Q330" s="2"/>
      <c r="R330" s="2"/>
      <c r="S330" s="2"/>
      <c r="T330" s="2"/>
      <c r="U330" s="2"/>
      <c r="V330" s="2"/>
      <c r="W330" s="2"/>
      <c r="X330" s="2"/>
      <c r="Y330" s="2"/>
    </row>
    <row r="331" spans="1:25" ht="63.75" hidden="1" customHeight="1">
      <c r="A331" s="26">
        <v>163</v>
      </c>
      <c r="B331" s="27" t="s">
        <v>973</v>
      </c>
      <c r="C331" s="28">
        <v>43799</v>
      </c>
      <c r="D331" s="27"/>
      <c r="E331" s="27" t="s">
        <v>1049</v>
      </c>
      <c r="F331" s="29" t="s">
        <v>1050</v>
      </c>
      <c r="G331" s="27" t="s">
        <v>976</v>
      </c>
      <c r="H331" s="27" t="s">
        <v>19</v>
      </c>
      <c r="I331" s="27">
        <v>1</v>
      </c>
      <c r="J331" s="30">
        <v>265339662</v>
      </c>
      <c r="K331" s="26" t="s">
        <v>20</v>
      </c>
      <c r="L331" s="26" t="s">
        <v>295</v>
      </c>
      <c r="M331" s="31" t="s">
        <v>1051</v>
      </c>
      <c r="N331" s="6"/>
      <c r="O331" s="6"/>
      <c r="P331" s="23"/>
      <c r="Q331" s="2"/>
      <c r="R331" s="2"/>
      <c r="S331" s="2"/>
      <c r="T331" s="2"/>
      <c r="U331" s="2"/>
      <c r="V331" s="2"/>
      <c r="W331" s="2"/>
      <c r="X331" s="2"/>
      <c r="Y331" s="2"/>
    </row>
    <row r="332" spans="1:25" ht="63.75" hidden="1" customHeight="1">
      <c r="A332" s="26">
        <v>164</v>
      </c>
      <c r="B332" s="27" t="s">
        <v>973</v>
      </c>
      <c r="C332" s="28">
        <v>43799</v>
      </c>
      <c r="D332" s="27"/>
      <c r="E332" s="27" t="s">
        <v>1052</v>
      </c>
      <c r="F332" s="29" t="s">
        <v>1053</v>
      </c>
      <c r="G332" s="27" t="s">
        <v>976</v>
      </c>
      <c r="H332" s="27" t="s">
        <v>19</v>
      </c>
      <c r="I332" s="27">
        <v>1</v>
      </c>
      <c r="J332" s="30">
        <v>261512647</v>
      </c>
      <c r="K332" s="26" t="s">
        <v>20</v>
      </c>
      <c r="L332" s="26" t="s">
        <v>295</v>
      </c>
      <c r="M332" s="31" t="s">
        <v>1054</v>
      </c>
      <c r="N332" s="6"/>
      <c r="O332" s="6"/>
      <c r="P332" s="23"/>
      <c r="Q332" s="2"/>
      <c r="R332" s="2"/>
      <c r="S332" s="2"/>
      <c r="T332" s="2"/>
      <c r="U332" s="2"/>
      <c r="V332" s="2"/>
      <c r="W332" s="2"/>
      <c r="X332" s="2"/>
      <c r="Y332" s="2"/>
    </row>
    <row r="333" spans="1:25" ht="25.5" hidden="1" customHeight="1">
      <c r="A333" s="26">
        <v>165</v>
      </c>
      <c r="B333" s="27" t="s">
        <v>973</v>
      </c>
      <c r="C333" s="28">
        <v>43799</v>
      </c>
      <c r="D333" s="27"/>
      <c r="E333" s="27" t="s">
        <v>1055</v>
      </c>
      <c r="F333" s="29" t="s">
        <v>1056</v>
      </c>
      <c r="G333" s="27" t="s">
        <v>976</v>
      </c>
      <c r="H333" s="27" t="s">
        <v>19</v>
      </c>
      <c r="I333" s="27">
        <v>1</v>
      </c>
      <c r="J333" s="30">
        <v>437938009</v>
      </c>
      <c r="K333" s="26" t="s">
        <v>20</v>
      </c>
      <c r="L333" s="26" t="s">
        <v>295</v>
      </c>
      <c r="M333" s="31" t="s">
        <v>1057</v>
      </c>
      <c r="N333" s="6"/>
      <c r="O333" s="6"/>
      <c r="P333" s="23"/>
      <c r="Q333" s="2"/>
      <c r="R333" s="2"/>
      <c r="S333" s="2"/>
      <c r="T333" s="2"/>
      <c r="U333" s="2"/>
      <c r="V333" s="2"/>
      <c r="W333" s="2"/>
      <c r="X333" s="2"/>
      <c r="Y333" s="2"/>
    </row>
    <row r="334" spans="1:25" ht="25.5" hidden="1" customHeight="1">
      <c r="A334" s="26">
        <v>166</v>
      </c>
      <c r="B334" s="27" t="s">
        <v>973</v>
      </c>
      <c r="C334" s="28">
        <v>43799</v>
      </c>
      <c r="D334" s="27"/>
      <c r="E334" s="27" t="s">
        <v>1058</v>
      </c>
      <c r="F334" s="29" t="s">
        <v>1059</v>
      </c>
      <c r="G334" s="27" t="s">
        <v>976</v>
      </c>
      <c r="H334" s="27" t="s">
        <v>19</v>
      </c>
      <c r="I334" s="27">
        <v>1</v>
      </c>
      <c r="J334" s="30">
        <v>437938009</v>
      </c>
      <c r="K334" s="26" t="s">
        <v>20</v>
      </c>
      <c r="L334" s="26" t="s">
        <v>295</v>
      </c>
      <c r="M334" s="31" t="s">
        <v>1060</v>
      </c>
      <c r="N334" s="6"/>
      <c r="O334" s="6"/>
      <c r="P334" s="23"/>
      <c r="Q334" s="2"/>
      <c r="R334" s="2"/>
      <c r="S334" s="2"/>
      <c r="T334" s="2"/>
      <c r="U334" s="2"/>
      <c r="V334" s="2"/>
      <c r="W334" s="2"/>
      <c r="X334" s="2"/>
      <c r="Y334" s="2"/>
    </row>
    <row r="335" spans="1:25" ht="25.5" hidden="1" customHeight="1">
      <c r="A335" s="26">
        <v>167</v>
      </c>
      <c r="B335" s="27" t="s">
        <v>973</v>
      </c>
      <c r="C335" s="28">
        <v>43799</v>
      </c>
      <c r="D335" s="27"/>
      <c r="E335" s="27" t="s">
        <v>1061</v>
      </c>
      <c r="F335" s="29" t="s">
        <v>1062</v>
      </c>
      <c r="G335" s="27" t="s">
        <v>976</v>
      </c>
      <c r="H335" s="27" t="s">
        <v>249</v>
      </c>
      <c r="I335" s="27">
        <v>1</v>
      </c>
      <c r="J335" s="30">
        <v>106773700</v>
      </c>
      <c r="K335" s="26" t="s">
        <v>20</v>
      </c>
      <c r="L335" s="26" t="s">
        <v>295</v>
      </c>
      <c r="M335" s="31" t="s">
        <v>1063</v>
      </c>
      <c r="N335" s="6"/>
      <c r="O335" s="6"/>
      <c r="P335" s="23"/>
      <c r="Q335" s="2"/>
      <c r="R335" s="2"/>
      <c r="S335" s="2"/>
      <c r="T335" s="2"/>
      <c r="U335" s="2"/>
      <c r="V335" s="2"/>
      <c r="W335" s="2"/>
      <c r="X335" s="2"/>
      <c r="Y335" s="2"/>
    </row>
    <row r="336" spans="1:25" ht="12.75" hidden="1" customHeight="1">
      <c r="A336" s="26">
        <v>168</v>
      </c>
      <c r="B336" s="27" t="s">
        <v>1064</v>
      </c>
      <c r="C336" s="28">
        <v>39963</v>
      </c>
      <c r="D336" s="27"/>
      <c r="E336" s="27" t="s">
        <v>1065</v>
      </c>
      <c r="F336" s="29" t="s">
        <v>1066</v>
      </c>
      <c r="G336" s="27"/>
      <c r="H336" s="27" t="s">
        <v>249</v>
      </c>
      <c r="I336" s="27">
        <v>1</v>
      </c>
      <c r="J336" s="30">
        <v>34033610</v>
      </c>
      <c r="K336" s="26" t="s">
        <v>20</v>
      </c>
      <c r="L336" s="26" t="s">
        <v>295</v>
      </c>
      <c r="M336" s="31" t="s">
        <v>1067</v>
      </c>
      <c r="N336" s="6"/>
      <c r="O336" s="6"/>
      <c r="P336" s="23"/>
      <c r="Q336" s="2"/>
      <c r="R336" s="2"/>
      <c r="S336" s="2"/>
      <c r="T336" s="2"/>
      <c r="U336" s="2"/>
      <c r="V336" s="2"/>
      <c r="W336" s="2"/>
      <c r="X336" s="2"/>
      <c r="Y336" s="2"/>
    </row>
    <row r="337" spans="1:26" ht="12.75" hidden="1" customHeight="1">
      <c r="A337" s="26">
        <v>169</v>
      </c>
      <c r="B337" s="27" t="s">
        <v>52</v>
      </c>
      <c r="C337" s="28">
        <v>40875</v>
      </c>
      <c r="D337" s="27"/>
      <c r="E337" s="27" t="s">
        <v>1068</v>
      </c>
      <c r="F337" s="29" t="s">
        <v>1069</v>
      </c>
      <c r="G337" s="27"/>
      <c r="H337" s="27" t="s">
        <v>19</v>
      </c>
      <c r="I337" s="27">
        <v>1</v>
      </c>
      <c r="J337" s="30">
        <v>99099364</v>
      </c>
      <c r="K337" s="26" t="s">
        <v>36</v>
      </c>
      <c r="L337" s="26" t="s">
        <v>37</v>
      </c>
      <c r="M337" s="31" t="s">
        <v>1070</v>
      </c>
      <c r="N337" s="6"/>
      <c r="O337" s="6"/>
      <c r="P337" s="23"/>
      <c r="Q337" s="2"/>
      <c r="R337" s="2"/>
      <c r="S337" s="2"/>
      <c r="T337" s="2"/>
      <c r="U337" s="2"/>
      <c r="V337" s="2"/>
      <c r="W337" s="2"/>
      <c r="X337" s="2"/>
      <c r="Y337" s="2"/>
    </row>
    <row r="338" spans="1:26" ht="12.75" hidden="1" customHeight="1">
      <c r="A338" s="26">
        <v>170</v>
      </c>
      <c r="B338" s="27" t="s">
        <v>52</v>
      </c>
      <c r="C338" s="28">
        <v>40875</v>
      </c>
      <c r="D338" s="27"/>
      <c r="E338" s="27" t="s">
        <v>1071</v>
      </c>
      <c r="F338" s="29" t="s">
        <v>1072</v>
      </c>
      <c r="G338" s="27"/>
      <c r="H338" s="27" t="s">
        <v>569</v>
      </c>
      <c r="I338" s="27">
        <v>1</v>
      </c>
      <c r="J338" s="30">
        <v>36994107</v>
      </c>
      <c r="K338" s="26" t="s">
        <v>36</v>
      </c>
      <c r="L338" s="26" t="s">
        <v>37</v>
      </c>
      <c r="M338" s="31" t="s">
        <v>1073</v>
      </c>
      <c r="N338" s="6"/>
      <c r="O338" s="6"/>
      <c r="P338" s="23"/>
      <c r="Q338" s="2"/>
      <c r="R338" s="2"/>
      <c r="S338" s="2"/>
      <c r="T338" s="2"/>
      <c r="U338" s="2"/>
      <c r="V338" s="2"/>
      <c r="W338" s="2"/>
      <c r="X338" s="2"/>
      <c r="Y338" s="2"/>
    </row>
    <row r="339" spans="1:26" ht="25.5" hidden="1" customHeight="1">
      <c r="A339" s="26">
        <v>171</v>
      </c>
      <c r="B339" s="27" t="s">
        <v>599</v>
      </c>
      <c r="C339" s="28">
        <v>42671</v>
      </c>
      <c r="D339" s="27"/>
      <c r="E339" s="27" t="s">
        <v>1074</v>
      </c>
      <c r="F339" s="29" t="s">
        <v>1075</v>
      </c>
      <c r="G339" s="27" t="s">
        <v>1076</v>
      </c>
      <c r="H339" s="27" t="s">
        <v>249</v>
      </c>
      <c r="I339" s="27">
        <v>1</v>
      </c>
      <c r="J339" s="30">
        <v>68046802</v>
      </c>
      <c r="K339" s="26" t="s">
        <v>36</v>
      </c>
      <c r="L339" s="26" t="s">
        <v>169</v>
      </c>
      <c r="M339" s="31" t="s">
        <v>1077</v>
      </c>
      <c r="N339" s="6"/>
      <c r="O339" s="6"/>
      <c r="P339" s="23"/>
      <c r="Q339" s="2"/>
      <c r="R339" s="2"/>
      <c r="S339" s="2"/>
      <c r="T339" s="2"/>
      <c r="U339" s="2"/>
      <c r="V339" s="2"/>
      <c r="W339" s="2"/>
      <c r="X339" s="2"/>
      <c r="Y339" s="2"/>
    </row>
    <row r="340" spans="1:26" ht="25.5" hidden="1" customHeight="1">
      <c r="A340" s="26">
        <v>172</v>
      </c>
      <c r="B340" s="27" t="s">
        <v>599</v>
      </c>
      <c r="C340" s="28">
        <v>42671</v>
      </c>
      <c r="D340" s="27"/>
      <c r="E340" s="27" t="s">
        <v>1078</v>
      </c>
      <c r="F340" s="29" t="s">
        <v>1079</v>
      </c>
      <c r="G340" s="27" t="s">
        <v>1076</v>
      </c>
      <c r="H340" s="27" t="s">
        <v>249</v>
      </c>
      <c r="I340" s="27">
        <v>1</v>
      </c>
      <c r="J340" s="30">
        <v>68046803</v>
      </c>
      <c r="K340" s="26" t="s">
        <v>36</v>
      </c>
      <c r="L340" s="26" t="s">
        <v>169</v>
      </c>
      <c r="M340" s="31" t="s">
        <v>1077</v>
      </c>
      <c r="N340" s="6"/>
      <c r="O340" s="6"/>
      <c r="P340" s="23"/>
      <c r="Q340" s="2"/>
      <c r="R340" s="2"/>
      <c r="S340" s="2"/>
      <c r="T340" s="2"/>
      <c r="U340" s="2"/>
      <c r="V340" s="2"/>
      <c r="W340" s="2"/>
      <c r="X340" s="2"/>
      <c r="Y340" s="2"/>
    </row>
    <row r="341" spans="1:26" ht="25.5" hidden="1" customHeight="1">
      <c r="A341" s="26">
        <v>173</v>
      </c>
      <c r="B341" s="27" t="s">
        <v>953</v>
      </c>
      <c r="C341" s="28">
        <v>43256</v>
      </c>
      <c r="D341" s="27"/>
      <c r="E341" s="27" t="s">
        <v>1080</v>
      </c>
      <c r="F341" s="29" t="s">
        <v>1081</v>
      </c>
      <c r="G341" s="27" t="s">
        <v>248</v>
      </c>
      <c r="H341" s="27" t="s">
        <v>249</v>
      </c>
      <c r="I341" s="27">
        <v>1</v>
      </c>
      <c r="J341" s="30">
        <v>34611169</v>
      </c>
      <c r="K341" s="26" t="s">
        <v>20</v>
      </c>
      <c r="L341" s="36" t="s">
        <v>229</v>
      </c>
      <c r="M341" s="31" t="str">
        <f>IFERROR(VLOOKUP(E341, TSCD_XUAN!$C$7:$K$1000, 9, 0), "Không tìm thấy")</f>
        <v>A2-R6</v>
      </c>
      <c r="N341" s="6"/>
      <c r="O341" s="6"/>
      <c r="P341" s="23"/>
      <c r="Q341" s="2"/>
      <c r="R341" s="2"/>
      <c r="S341" s="2"/>
      <c r="T341" s="2"/>
      <c r="U341" s="2"/>
      <c r="V341" s="2"/>
      <c r="W341" s="2"/>
      <c r="X341" s="2"/>
      <c r="Y341" s="2"/>
    </row>
    <row r="342" spans="1:26" ht="25.5" hidden="1" customHeight="1">
      <c r="A342" s="26">
        <v>174</v>
      </c>
      <c r="B342" s="27" t="s">
        <v>1037</v>
      </c>
      <c r="C342" s="28">
        <v>43799</v>
      </c>
      <c r="D342" s="27"/>
      <c r="E342" s="27" t="s">
        <v>1082</v>
      </c>
      <c r="F342" s="29" t="s">
        <v>1083</v>
      </c>
      <c r="G342" s="27" t="s">
        <v>248</v>
      </c>
      <c r="H342" s="27" t="s">
        <v>19</v>
      </c>
      <c r="I342" s="27">
        <v>1</v>
      </c>
      <c r="J342" s="30">
        <v>299959091</v>
      </c>
      <c r="K342" s="59" t="s">
        <v>206</v>
      </c>
      <c r="L342" s="59" t="s">
        <v>1040</v>
      </c>
      <c r="M342" s="31" t="s">
        <v>1041</v>
      </c>
      <c r="N342" s="6"/>
      <c r="O342" s="6"/>
      <c r="P342" s="23"/>
      <c r="Q342" s="2"/>
      <c r="R342" s="2"/>
      <c r="S342" s="2"/>
      <c r="T342" s="2"/>
      <c r="U342" s="2"/>
      <c r="V342" s="2"/>
      <c r="W342" s="2"/>
      <c r="X342" s="2"/>
      <c r="Y342" s="2"/>
    </row>
    <row r="343" spans="1:26" ht="25.5" hidden="1" customHeight="1">
      <c r="A343" s="26">
        <v>175</v>
      </c>
      <c r="B343" s="27" t="s">
        <v>1037</v>
      </c>
      <c r="C343" s="28">
        <v>43799</v>
      </c>
      <c r="D343" s="27"/>
      <c r="E343" s="27" t="s">
        <v>1084</v>
      </c>
      <c r="F343" s="29" t="s">
        <v>1085</v>
      </c>
      <c r="G343" s="27" t="s">
        <v>248</v>
      </c>
      <c r="H343" s="27" t="s">
        <v>19</v>
      </c>
      <c r="I343" s="27">
        <v>1</v>
      </c>
      <c r="J343" s="30">
        <v>299959091</v>
      </c>
      <c r="K343" s="59" t="s">
        <v>206</v>
      </c>
      <c r="L343" s="59" t="s">
        <v>1040</v>
      </c>
      <c r="M343" s="31" t="s">
        <v>1041</v>
      </c>
      <c r="N343" s="6"/>
      <c r="O343" s="6"/>
      <c r="P343" s="23"/>
      <c r="Q343" s="2"/>
      <c r="R343" s="2"/>
      <c r="S343" s="2"/>
      <c r="T343" s="2"/>
      <c r="U343" s="2"/>
      <c r="V343" s="2"/>
      <c r="W343" s="2"/>
      <c r="X343" s="2"/>
      <c r="Y343" s="2"/>
    </row>
    <row r="344" spans="1:26" ht="12.75" hidden="1" customHeight="1">
      <c r="A344" s="26">
        <v>176</v>
      </c>
      <c r="B344" s="27" t="s">
        <v>212</v>
      </c>
      <c r="C344" s="28">
        <v>41512</v>
      </c>
      <c r="D344" s="27"/>
      <c r="E344" s="27" t="s">
        <v>1086</v>
      </c>
      <c r="F344" s="29" t="s">
        <v>1087</v>
      </c>
      <c r="G344" s="27" t="s">
        <v>1088</v>
      </c>
      <c r="H344" s="27" t="s">
        <v>19</v>
      </c>
      <c r="I344" s="27">
        <v>1</v>
      </c>
      <c r="J344" s="30">
        <v>108902777</v>
      </c>
      <c r="K344" s="26" t="s">
        <v>36</v>
      </c>
      <c r="L344" s="26" t="s">
        <v>37</v>
      </c>
      <c r="M344" s="31" t="s">
        <v>1089</v>
      </c>
      <c r="N344" s="6"/>
      <c r="O344" s="6"/>
      <c r="P344" s="23"/>
      <c r="Q344" s="2"/>
      <c r="R344" s="2"/>
      <c r="S344" s="2"/>
      <c r="T344" s="2"/>
      <c r="U344" s="2"/>
      <c r="V344" s="2"/>
      <c r="W344" s="2"/>
      <c r="X344" s="2"/>
      <c r="Y344" s="2"/>
    </row>
    <row r="345" spans="1:26" ht="12.75" hidden="1" customHeight="1">
      <c r="A345" s="26" t="s">
        <v>1090</v>
      </c>
      <c r="B345" s="27"/>
      <c r="C345" s="28"/>
      <c r="D345" s="27"/>
      <c r="E345" s="27" t="s">
        <v>1091</v>
      </c>
      <c r="F345" s="29" t="s">
        <v>1092</v>
      </c>
      <c r="G345" s="27"/>
      <c r="H345" s="27"/>
      <c r="I345" s="27">
        <v>1</v>
      </c>
      <c r="J345" s="30">
        <v>37285429</v>
      </c>
      <c r="K345" s="26" t="s">
        <v>36</v>
      </c>
      <c r="L345" s="26" t="s">
        <v>37</v>
      </c>
      <c r="M345" s="31"/>
      <c r="N345" s="6"/>
      <c r="O345" s="6"/>
      <c r="P345" s="23"/>
      <c r="Q345" s="2"/>
      <c r="R345" s="2"/>
      <c r="S345" s="2"/>
      <c r="T345" s="2"/>
      <c r="U345" s="2"/>
      <c r="V345" s="2"/>
      <c r="W345" s="2"/>
      <c r="X345" s="2"/>
      <c r="Y345" s="2"/>
    </row>
    <row r="346" spans="1:26" ht="25.5" hidden="1" customHeight="1">
      <c r="A346" s="26">
        <v>177</v>
      </c>
      <c r="B346" s="27" t="s">
        <v>212</v>
      </c>
      <c r="C346" s="28">
        <v>41512</v>
      </c>
      <c r="D346" s="27"/>
      <c r="E346" s="27" t="s">
        <v>1093</v>
      </c>
      <c r="F346" s="29" t="s">
        <v>1094</v>
      </c>
      <c r="G346" s="27" t="s">
        <v>1088</v>
      </c>
      <c r="H346" s="27" t="s">
        <v>19</v>
      </c>
      <c r="I346" s="27">
        <v>1</v>
      </c>
      <c r="J346" s="30">
        <v>108902777</v>
      </c>
      <c r="K346" s="26" t="s">
        <v>36</v>
      </c>
      <c r="L346" s="26" t="s">
        <v>37</v>
      </c>
      <c r="M346" s="31" t="s">
        <v>1095</v>
      </c>
      <c r="N346" s="6"/>
      <c r="O346" s="6"/>
      <c r="P346" s="23"/>
      <c r="Q346" s="2"/>
      <c r="R346" s="2"/>
      <c r="S346" s="2"/>
      <c r="T346" s="2"/>
      <c r="U346" s="2"/>
      <c r="V346" s="2"/>
      <c r="W346" s="2"/>
      <c r="X346" s="2"/>
      <c r="Y346" s="2"/>
    </row>
    <row r="347" spans="1:26" ht="12.75" hidden="1" customHeight="1">
      <c r="A347" s="26" t="s">
        <v>1096</v>
      </c>
      <c r="B347" s="27"/>
      <c r="C347" s="28"/>
      <c r="D347" s="27"/>
      <c r="E347" s="27" t="s">
        <v>1097</v>
      </c>
      <c r="F347" s="29" t="s">
        <v>1098</v>
      </c>
      <c r="G347" s="27"/>
      <c r="H347" s="27"/>
      <c r="I347" s="27">
        <v>1</v>
      </c>
      <c r="J347" s="30">
        <v>37285429</v>
      </c>
      <c r="K347" s="26" t="s">
        <v>36</v>
      </c>
      <c r="L347" s="26" t="s">
        <v>37</v>
      </c>
      <c r="M347" s="31"/>
      <c r="N347" s="6"/>
      <c r="O347" s="6"/>
      <c r="P347" s="23"/>
      <c r="Q347" s="2"/>
      <c r="R347" s="2"/>
      <c r="S347" s="2"/>
      <c r="T347" s="2"/>
      <c r="U347" s="2"/>
      <c r="V347" s="2"/>
      <c r="W347" s="2"/>
      <c r="X347" s="2"/>
      <c r="Y347" s="2"/>
    </row>
    <row r="348" spans="1:26" ht="12.75" hidden="1" customHeight="1">
      <c r="A348" s="26">
        <v>178</v>
      </c>
      <c r="B348" s="27" t="s">
        <v>274</v>
      </c>
      <c r="C348" s="28">
        <v>41542</v>
      </c>
      <c r="D348" s="27"/>
      <c r="E348" s="27" t="s">
        <v>1099</v>
      </c>
      <c r="F348" s="29" t="s">
        <v>1100</v>
      </c>
      <c r="G348" s="27" t="s">
        <v>1088</v>
      </c>
      <c r="H348" s="27" t="s">
        <v>19</v>
      </c>
      <c r="I348" s="27">
        <v>1</v>
      </c>
      <c r="J348" s="30">
        <v>195293140</v>
      </c>
      <c r="K348" s="26" t="s">
        <v>36</v>
      </c>
      <c r="L348" s="26" t="s">
        <v>37</v>
      </c>
      <c r="M348" s="31" t="s">
        <v>1101</v>
      </c>
      <c r="N348" s="6"/>
      <c r="O348" s="6"/>
      <c r="P348" s="23"/>
      <c r="Q348" s="2"/>
      <c r="R348" s="2"/>
      <c r="S348" s="2"/>
      <c r="T348" s="2"/>
      <c r="U348" s="2"/>
      <c r="V348" s="2"/>
      <c r="W348" s="2"/>
      <c r="X348" s="2"/>
      <c r="Y348" s="2"/>
    </row>
    <row r="349" spans="1:26" ht="12.75" hidden="1" customHeight="1">
      <c r="A349" s="26" t="s">
        <v>1102</v>
      </c>
      <c r="B349" s="27"/>
      <c r="C349" s="28"/>
      <c r="D349" s="27"/>
      <c r="E349" s="27" t="s">
        <v>1103</v>
      </c>
      <c r="F349" s="29" t="s">
        <v>1104</v>
      </c>
      <c r="G349" s="27"/>
      <c r="H349" s="27"/>
      <c r="I349" s="27">
        <v>1</v>
      </c>
      <c r="J349" s="30">
        <v>0</v>
      </c>
      <c r="K349" s="26" t="s">
        <v>36</v>
      </c>
      <c r="L349" s="26" t="s">
        <v>37</v>
      </c>
      <c r="M349" s="31"/>
      <c r="N349" s="6"/>
      <c r="O349" s="6"/>
      <c r="P349" s="23"/>
      <c r="Q349" s="2"/>
      <c r="R349" s="2"/>
      <c r="S349" s="2"/>
      <c r="T349" s="2"/>
      <c r="U349" s="2"/>
      <c r="V349" s="2"/>
      <c r="W349" s="2"/>
      <c r="X349" s="2"/>
      <c r="Y349" s="2"/>
    </row>
    <row r="350" spans="1:26" ht="12.75" hidden="1" customHeight="1">
      <c r="A350" s="26" t="s">
        <v>1105</v>
      </c>
      <c r="B350" s="27"/>
      <c r="C350" s="28"/>
      <c r="D350" s="27"/>
      <c r="E350" s="27" t="s">
        <v>1106</v>
      </c>
      <c r="F350" s="29" t="s">
        <v>1107</v>
      </c>
      <c r="G350" s="27"/>
      <c r="H350" s="27"/>
      <c r="I350" s="27">
        <v>1</v>
      </c>
      <c r="J350" s="30">
        <v>0</v>
      </c>
      <c r="K350" s="26" t="s">
        <v>36</v>
      </c>
      <c r="L350" s="26" t="s">
        <v>37</v>
      </c>
      <c r="M350" s="31"/>
      <c r="N350" s="6"/>
      <c r="O350" s="6"/>
      <c r="P350" s="23"/>
      <c r="Q350" s="2"/>
      <c r="R350" s="2"/>
      <c r="S350" s="2"/>
      <c r="T350" s="2"/>
      <c r="U350" s="2"/>
      <c r="V350" s="2"/>
      <c r="W350" s="2"/>
      <c r="X350" s="2"/>
      <c r="Y350" s="2"/>
    </row>
    <row r="351" spans="1:26" ht="25.5" hidden="1" customHeight="1">
      <c r="A351" s="17">
        <v>179</v>
      </c>
      <c r="B351" s="27" t="s">
        <v>411</v>
      </c>
      <c r="C351" s="19">
        <v>41599</v>
      </c>
      <c r="D351" s="27"/>
      <c r="E351" s="18" t="s">
        <v>1108</v>
      </c>
      <c r="F351" s="20" t="s">
        <v>1109</v>
      </c>
      <c r="G351" s="18"/>
      <c r="H351" s="18" t="s">
        <v>19</v>
      </c>
      <c r="I351" s="18">
        <v>1</v>
      </c>
      <c r="J351" s="21">
        <v>115524543</v>
      </c>
      <c r="K351" s="17" t="s">
        <v>20</v>
      </c>
      <c r="L351" s="17" t="s">
        <v>21</v>
      </c>
      <c r="M351" s="22" t="s">
        <v>22</v>
      </c>
      <c r="N351" s="23"/>
      <c r="O351" s="23"/>
      <c r="P351" s="23"/>
      <c r="Q351" s="24"/>
      <c r="R351" s="24"/>
      <c r="S351" s="24"/>
      <c r="T351" s="24"/>
      <c r="U351" s="24"/>
      <c r="V351" s="24"/>
      <c r="W351" s="24"/>
      <c r="X351" s="24"/>
      <c r="Y351" s="24"/>
      <c r="Z351" s="25"/>
    </row>
    <row r="352" spans="1:26" ht="12.75" hidden="1" customHeight="1">
      <c r="A352" s="17" t="s">
        <v>1110</v>
      </c>
      <c r="B352" s="27"/>
      <c r="C352" s="19"/>
      <c r="D352" s="27"/>
      <c r="E352" s="18" t="s">
        <v>1111</v>
      </c>
      <c r="F352" s="20" t="s">
        <v>1112</v>
      </c>
      <c r="G352" s="18"/>
      <c r="H352" s="18"/>
      <c r="I352" s="18">
        <v>1</v>
      </c>
      <c r="J352" s="21">
        <v>0</v>
      </c>
      <c r="K352" s="17" t="s">
        <v>20</v>
      </c>
      <c r="L352" s="17" t="s">
        <v>21</v>
      </c>
      <c r="M352" s="22" t="s">
        <v>22</v>
      </c>
      <c r="N352" s="23"/>
      <c r="O352" s="23"/>
      <c r="P352" s="23"/>
      <c r="Q352" s="24"/>
      <c r="R352" s="24"/>
      <c r="S352" s="24"/>
      <c r="T352" s="24"/>
      <c r="U352" s="24"/>
      <c r="V352" s="24"/>
      <c r="W352" s="24"/>
      <c r="X352" s="24"/>
      <c r="Y352" s="24"/>
      <c r="Z352" s="25"/>
    </row>
    <row r="353" spans="1:26" ht="12.75" hidden="1" customHeight="1">
      <c r="A353" s="17" t="s">
        <v>1113</v>
      </c>
      <c r="B353" s="27"/>
      <c r="C353" s="19"/>
      <c r="D353" s="27"/>
      <c r="E353" s="18" t="s">
        <v>1114</v>
      </c>
      <c r="F353" s="20" t="s">
        <v>1115</v>
      </c>
      <c r="G353" s="18"/>
      <c r="H353" s="18"/>
      <c r="I353" s="18">
        <v>1</v>
      </c>
      <c r="J353" s="21">
        <v>0</v>
      </c>
      <c r="K353" s="17" t="s">
        <v>20</v>
      </c>
      <c r="L353" s="17" t="s">
        <v>21</v>
      </c>
      <c r="M353" s="22" t="s">
        <v>22</v>
      </c>
      <c r="N353" s="23"/>
      <c r="O353" s="23"/>
      <c r="P353" s="23"/>
      <c r="Q353" s="24"/>
      <c r="R353" s="24"/>
      <c r="S353" s="24"/>
      <c r="T353" s="24"/>
      <c r="U353" s="24"/>
      <c r="V353" s="24"/>
      <c r="W353" s="24"/>
      <c r="X353" s="24"/>
      <c r="Y353" s="24"/>
      <c r="Z353" s="25"/>
    </row>
    <row r="354" spans="1:26" ht="12.75" hidden="1" customHeight="1">
      <c r="A354" s="17" t="s">
        <v>1116</v>
      </c>
      <c r="B354" s="27"/>
      <c r="C354" s="19"/>
      <c r="D354" s="27"/>
      <c r="E354" s="18" t="s">
        <v>1117</v>
      </c>
      <c r="F354" s="20" t="s">
        <v>1118</v>
      </c>
      <c r="G354" s="18"/>
      <c r="H354" s="18"/>
      <c r="I354" s="18">
        <v>1</v>
      </c>
      <c r="J354" s="21">
        <v>0</v>
      </c>
      <c r="K354" s="17" t="s">
        <v>20</v>
      </c>
      <c r="L354" s="17" t="s">
        <v>21</v>
      </c>
      <c r="M354" s="22" t="s">
        <v>22</v>
      </c>
      <c r="N354" s="23"/>
      <c r="O354" s="23"/>
      <c r="P354" s="23"/>
      <c r="Q354" s="24"/>
      <c r="R354" s="24"/>
      <c r="S354" s="24"/>
      <c r="T354" s="24"/>
      <c r="U354" s="24"/>
      <c r="V354" s="24"/>
      <c r="W354" s="24"/>
      <c r="X354" s="24"/>
      <c r="Y354" s="24"/>
      <c r="Z354" s="25"/>
    </row>
    <row r="355" spans="1:26" ht="12.75" hidden="1" customHeight="1">
      <c r="A355" s="26">
        <v>180</v>
      </c>
      <c r="B355" s="27" t="s">
        <v>219</v>
      </c>
      <c r="C355" s="28">
        <v>41635</v>
      </c>
      <c r="D355" s="27"/>
      <c r="E355" s="27" t="s">
        <v>1119</v>
      </c>
      <c r="F355" s="29" t="s">
        <v>1120</v>
      </c>
      <c r="G355" s="27" t="s">
        <v>338</v>
      </c>
      <c r="H355" s="27" t="s">
        <v>19</v>
      </c>
      <c r="I355" s="27">
        <v>1</v>
      </c>
      <c r="J355" s="30">
        <v>706421311</v>
      </c>
      <c r="K355" s="26" t="s">
        <v>206</v>
      </c>
      <c r="L355" s="26" t="s">
        <v>841</v>
      </c>
      <c r="M355" s="31" t="s">
        <v>1121</v>
      </c>
      <c r="N355" s="6"/>
      <c r="O355" s="6"/>
      <c r="P355" s="23"/>
      <c r="Q355" s="2"/>
      <c r="R355" s="2"/>
      <c r="S355" s="2"/>
      <c r="T355" s="2"/>
      <c r="U355" s="2"/>
      <c r="V355" s="2"/>
      <c r="W355" s="2"/>
      <c r="X355" s="2"/>
      <c r="Y355" s="2"/>
    </row>
    <row r="356" spans="1:26" ht="12.75" hidden="1" customHeight="1">
      <c r="A356" s="26">
        <v>181</v>
      </c>
      <c r="B356" s="27" t="s">
        <v>52</v>
      </c>
      <c r="C356" s="28">
        <v>40875</v>
      </c>
      <c r="D356" s="27"/>
      <c r="E356" s="27" t="s">
        <v>1122</v>
      </c>
      <c r="F356" s="29" t="s">
        <v>1123</v>
      </c>
      <c r="G356" s="27"/>
      <c r="H356" s="27" t="s">
        <v>19</v>
      </c>
      <c r="I356" s="27">
        <v>1</v>
      </c>
      <c r="J356" s="30">
        <v>36321486</v>
      </c>
      <c r="K356" s="26" t="s">
        <v>36</v>
      </c>
      <c r="L356" s="26" t="s">
        <v>37</v>
      </c>
      <c r="M356" s="31" t="s">
        <v>1124</v>
      </c>
      <c r="N356" s="6"/>
      <c r="O356" s="6"/>
      <c r="P356" s="23"/>
      <c r="Q356" s="2"/>
      <c r="R356" s="2"/>
      <c r="S356" s="2"/>
      <c r="T356" s="2"/>
      <c r="U356" s="2"/>
      <c r="V356" s="2"/>
      <c r="W356" s="2"/>
      <c r="X356" s="2"/>
      <c r="Y356" s="2"/>
    </row>
    <row r="357" spans="1:26" ht="12.75" hidden="1" customHeight="1">
      <c r="A357" s="26">
        <v>182</v>
      </c>
      <c r="B357" s="27" t="s">
        <v>52</v>
      </c>
      <c r="C357" s="28">
        <v>40875</v>
      </c>
      <c r="D357" s="27"/>
      <c r="E357" s="27" t="s">
        <v>1125</v>
      </c>
      <c r="F357" s="29" t="s">
        <v>1126</v>
      </c>
      <c r="G357" s="27"/>
      <c r="H357" s="27" t="s">
        <v>19</v>
      </c>
      <c r="I357" s="27">
        <v>1</v>
      </c>
      <c r="J357" s="30">
        <v>36321486</v>
      </c>
      <c r="K357" s="26" t="s">
        <v>36</v>
      </c>
      <c r="L357" s="26" t="s">
        <v>37</v>
      </c>
      <c r="M357" s="31" t="s">
        <v>1127</v>
      </c>
      <c r="N357" s="6"/>
      <c r="O357" s="6"/>
      <c r="P357" s="23"/>
      <c r="Q357" s="2"/>
      <c r="R357" s="2"/>
      <c r="S357" s="2"/>
      <c r="T357" s="2"/>
      <c r="U357" s="2"/>
      <c r="V357" s="2"/>
      <c r="W357" s="2"/>
      <c r="X357" s="2"/>
      <c r="Y357" s="2"/>
    </row>
    <row r="358" spans="1:26" ht="12.75" hidden="1" customHeight="1">
      <c r="A358" s="26">
        <v>183</v>
      </c>
      <c r="B358" s="27" t="s">
        <v>52</v>
      </c>
      <c r="C358" s="28">
        <v>40875</v>
      </c>
      <c r="D358" s="27"/>
      <c r="E358" s="27" t="s">
        <v>1128</v>
      </c>
      <c r="F358" s="29" t="s">
        <v>1129</v>
      </c>
      <c r="G358" s="27"/>
      <c r="H358" s="27" t="s">
        <v>19</v>
      </c>
      <c r="I358" s="27">
        <v>1</v>
      </c>
      <c r="J358" s="30">
        <v>36321486</v>
      </c>
      <c r="K358" s="26" t="s">
        <v>36</v>
      </c>
      <c r="L358" s="26" t="s">
        <v>37</v>
      </c>
      <c r="M358" s="31" t="s">
        <v>1130</v>
      </c>
      <c r="N358" s="6"/>
      <c r="O358" s="6"/>
      <c r="P358" s="23"/>
      <c r="Q358" s="2"/>
      <c r="R358" s="2"/>
      <c r="S358" s="2"/>
      <c r="T358" s="2"/>
      <c r="U358" s="2"/>
      <c r="V358" s="2"/>
      <c r="W358" s="2"/>
      <c r="X358" s="2"/>
      <c r="Y358" s="2"/>
    </row>
    <row r="359" spans="1:26" ht="12.75" hidden="1" customHeight="1">
      <c r="A359" s="26">
        <v>184</v>
      </c>
      <c r="B359" s="27" t="s">
        <v>52</v>
      </c>
      <c r="C359" s="28">
        <v>40875</v>
      </c>
      <c r="D359" s="27"/>
      <c r="E359" s="27" t="s">
        <v>1131</v>
      </c>
      <c r="F359" s="29" t="s">
        <v>1132</v>
      </c>
      <c r="G359" s="27"/>
      <c r="H359" s="27" t="s">
        <v>19</v>
      </c>
      <c r="I359" s="27">
        <v>1</v>
      </c>
      <c r="J359" s="30">
        <v>36321487</v>
      </c>
      <c r="K359" s="26" t="s">
        <v>36</v>
      </c>
      <c r="L359" s="26" t="s">
        <v>37</v>
      </c>
      <c r="M359" s="31" t="s">
        <v>1133</v>
      </c>
      <c r="N359" s="6"/>
      <c r="O359" s="6"/>
      <c r="P359" s="23"/>
      <c r="Q359" s="2"/>
      <c r="R359" s="2"/>
      <c r="S359" s="2"/>
      <c r="T359" s="2"/>
      <c r="U359" s="2"/>
      <c r="V359" s="2"/>
      <c r="W359" s="2"/>
      <c r="X359" s="2"/>
      <c r="Y359" s="2"/>
    </row>
    <row r="360" spans="1:26" ht="12.75" hidden="1" customHeight="1">
      <c r="A360" s="26">
        <v>185</v>
      </c>
      <c r="B360" s="27" t="s">
        <v>815</v>
      </c>
      <c r="C360" s="28">
        <v>39813</v>
      </c>
      <c r="D360" s="27"/>
      <c r="E360" s="27" t="s">
        <v>1134</v>
      </c>
      <c r="F360" s="29" t="s">
        <v>1135</v>
      </c>
      <c r="G360" s="27" t="s">
        <v>338</v>
      </c>
      <c r="H360" s="27" t="s">
        <v>249</v>
      </c>
      <c r="I360" s="27">
        <v>1</v>
      </c>
      <c r="J360" s="30">
        <v>154746685</v>
      </c>
      <c r="K360" s="26" t="s">
        <v>206</v>
      </c>
      <c r="L360" s="26" t="s">
        <v>841</v>
      </c>
      <c r="M360" s="31" t="s">
        <v>1136</v>
      </c>
      <c r="N360" s="6"/>
      <c r="O360" s="6"/>
      <c r="P360" s="23"/>
      <c r="Q360" s="2"/>
      <c r="R360" s="2"/>
      <c r="S360" s="2"/>
      <c r="T360" s="2"/>
      <c r="U360" s="2"/>
      <c r="V360" s="2"/>
      <c r="W360" s="2"/>
      <c r="X360" s="2"/>
      <c r="Y360" s="2"/>
    </row>
    <row r="361" spans="1:26" ht="25.5" hidden="1" customHeight="1">
      <c r="A361" s="17">
        <v>186</v>
      </c>
      <c r="B361" s="27" t="s">
        <v>1137</v>
      </c>
      <c r="C361" s="19">
        <v>40441</v>
      </c>
      <c r="D361" s="27"/>
      <c r="E361" s="18" t="s">
        <v>1138</v>
      </c>
      <c r="F361" s="20" t="s">
        <v>1139</v>
      </c>
      <c r="G361" s="18" t="s">
        <v>1076</v>
      </c>
      <c r="H361" s="18" t="s">
        <v>19</v>
      </c>
      <c r="I361" s="18">
        <v>1</v>
      </c>
      <c r="J361" s="21">
        <v>64839320</v>
      </c>
      <c r="K361" s="17" t="s">
        <v>20</v>
      </c>
      <c r="L361" s="17" t="s">
        <v>21</v>
      </c>
      <c r="M361" s="22" t="s">
        <v>22</v>
      </c>
      <c r="N361" s="23"/>
      <c r="O361" s="23"/>
      <c r="P361" s="23"/>
      <c r="Q361" s="24"/>
      <c r="R361" s="24"/>
      <c r="S361" s="24"/>
      <c r="T361" s="24"/>
      <c r="U361" s="24"/>
      <c r="V361" s="24"/>
      <c r="W361" s="24"/>
      <c r="X361" s="24"/>
      <c r="Y361" s="24"/>
      <c r="Z361" s="25"/>
    </row>
    <row r="362" spans="1:26" ht="38.25" hidden="1" customHeight="1">
      <c r="A362" s="26">
        <v>187</v>
      </c>
      <c r="B362" s="27" t="s">
        <v>52</v>
      </c>
      <c r="C362" s="28">
        <v>40875</v>
      </c>
      <c r="D362" s="27"/>
      <c r="E362" s="27" t="s">
        <v>1140</v>
      </c>
      <c r="F362" s="29" t="s">
        <v>1141</v>
      </c>
      <c r="G362" s="27"/>
      <c r="H362" s="27" t="s">
        <v>19</v>
      </c>
      <c r="I362" s="27">
        <v>1</v>
      </c>
      <c r="J362" s="30">
        <v>34976245</v>
      </c>
      <c r="K362" s="26" t="s">
        <v>36</v>
      </c>
      <c r="L362" s="26" t="s">
        <v>37</v>
      </c>
      <c r="M362" s="31" t="s">
        <v>1142</v>
      </c>
      <c r="N362" s="6"/>
      <c r="O362" s="6"/>
      <c r="P362" s="23"/>
      <c r="Q362" s="2"/>
      <c r="R362" s="2"/>
      <c r="S362" s="2"/>
      <c r="T362" s="2"/>
      <c r="U362" s="2"/>
      <c r="V362" s="2"/>
      <c r="W362" s="2"/>
      <c r="X362" s="2"/>
      <c r="Y362" s="2"/>
    </row>
    <row r="363" spans="1:26" ht="25.5" hidden="1" customHeight="1">
      <c r="A363" s="26">
        <v>188</v>
      </c>
      <c r="B363" s="27" t="s">
        <v>1143</v>
      </c>
      <c r="C363" s="28">
        <v>43343</v>
      </c>
      <c r="D363" s="27"/>
      <c r="E363" s="27" t="s">
        <v>1144</v>
      </c>
      <c r="F363" s="29" t="s">
        <v>1145</v>
      </c>
      <c r="G363" s="27" t="s">
        <v>35</v>
      </c>
      <c r="H363" s="27" t="s">
        <v>19</v>
      </c>
      <c r="I363" s="27">
        <v>1</v>
      </c>
      <c r="J363" s="30">
        <v>220000000</v>
      </c>
      <c r="K363" s="26" t="s">
        <v>36</v>
      </c>
      <c r="L363" s="26" t="s">
        <v>1146</v>
      </c>
      <c r="M363" s="31" t="s">
        <v>1147</v>
      </c>
      <c r="N363" s="6"/>
      <c r="O363" s="6"/>
      <c r="P363" s="23"/>
      <c r="Q363" s="2"/>
      <c r="R363" s="2"/>
      <c r="S363" s="2"/>
      <c r="T363" s="2"/>
      <c r="U363" s="2"/>
      <c r="V363" s="2"/>
      <c r="W363" s="2"/>
      <c r="X363" s="2"/>
      <c r="Y363" s="2"/>
    </row>
    <row r="364" spans="1:26" ht="12.75" hidden="1" customHeight="1">
      <c r="A364" s="26">
        <v>189</v>
      </c>
      <c r="B364" s="27" t="s">
        <v>1143</v>
      </c>
      <c r="C364" s="28">
        <v>43343</v>
      </c>
      <c r="D364" s="27"/>
      <c r="E364" s="27" t="s">
        <v>1148</v>
      </c>
      <c r="F364" s="29" t="s">
        <v>1149</v>
      </c>
      <c r="G364" s="27" t="s">
        <v>35</v>
      </c>
      <c r="H364" s="27" t="s">
        <v>19</v>
      </c>
      <c r="I364" s="27">
        <v>1</v>
      </c>
      <c r="J364" s="30">
        <v>220000000</v>
      </c>
      <c r="K364" s="26" t="s">
        <v>36</v>
      </c>
      <c r="L364" s="26" t="s">
        <v>1146</v>
      </c>
      <c r="M364" s="31" t="s">
        <v>1150</v>
      </c>
      <c r="N364" s="6"/>
      <c r="O364" s="6"/>
      <c r="P364" s="23"/>
      <c r="Q364" s="2"/>
      <c r="R364" s="2"/>
      <c r="S364" s="2"/>
      <c r="T364" s="2"/>
      <c r="U364" s="2"/>
      <c r="V364" s="2"/>
      <c r="W364" s="2"/>
      <c r="X364" s="2"/>
      <c r="Y364" s="2"/>
    </row>
    <row r="365" spans="1:26" ht="12.75" hidden="1" customHeight="1">
      <c r="A365" s="26">
        <v>190</v>
      </c>
      <c r="B365" s="27" t="s">
        <v>1151</v>
      </c>
      <c r="C365" s="28">
        <v>39813</v>
      </c>
      <c r="D365" s="27"/>
      <c r="E365" s="27" t="s">
        <v>1152</v>
      </c>
      <c r="F365" s="29" t="s">
        <v>1153</v>
      </c>
      <c r="G365" s="27" t="s">
        <v>55</v>
      </c>
      <c r="H365" s="27" t="s">
        <v>249</v>
      </c>
      <c r="I365" s="27">
        <v>1</v>
      </c>
      <c r="J365" s="30">
        <v>381109057</v>
      </c>
      <c r="K365" s="26" t="s">
        <v>36</v>
      </c>
      <c r="L365" s="26" t="s">
        <v>37</v>
      </c>
      <c r="M365" s="31" t="s">
        <v>1154</v>
      </c>
      <c r="N365" s="6"/>
      <c r="O365" s="6"/>
      <c r="P365" s="23"/>
      <c r="Q365" s="2"/>
      <c r="R365" s="2"/>
      <c r="S365" s="2"/>
      <c r="T365" s="2"/>
      <c r="U365" s="2"/>
      <c r="V365" s="2"/>
      <c r="W365" s="2"/>
      <c r="X365" s="2"/>
      <c r="Y365" s="2"/>
    </row>
    <row r="366" spans="1:26" ht="12.75" hidden="1" customHeight="1">
      <c r="A366" s="26">
        <v>191</v>
      </c>
      <c r="B366" s="27" t="s">
        <v>52</v>
      </c>
      <c r="C366" s="28">
        <v>40875</v>
      </c>
      <c r="D366" s="27"/>
      <c r="E366" s="27" t="s">
        <v>1155</v>
      </c>
      <c r="F366" s="29" t="s">
        <v>1156</v>
      </c>
      <c r="G366" s="27"/>
      <c r="H366" s="27" t="s">
        <v>1157</v>
      </c>
      <c r="I366" s="27">
        <v>1</v>
      </c>
      <c r="J366" s="30">
        <v>3259898226</v>
      </c>
      <c r="K366" s="26" t="s">
        <v>36</v>
      </c>
      <c r="L366" s="26" t="s">
        <v>37</v>
      </c>
      <c r="M366" s="31" t="s">
        <v>1158</v>
      </c>
      <c r="N366" s="6"/>
      <c r="O366" s="6"/>
      <c r="P366" s="23"/>
      <c r="Q366" s="2"/>
      <c r="R366" s="2"/>
      <c r="S366" s="2"/>
      <c r="T366" s="2"/>
      <c r="U366" s="2"/>
      <c r="V366" s="2"/>
      <c r="W366" s="2"/>
      <c r="X366" s="2"/>
      <c r="Y366" s="2"/>
    </row>
    <row r="367" spans="1:26" ht="38.25" hidden="1" customHeight="1">
      <c r="A367" s="26" t="s">
        <v>1159</v>
      </c>
      <c r="B367" s="27"/>
      <c r="C367" s="28"/>
      <c r="D367" s="27"/>
      <c r="E367" s="27" t="s">
        <v>1160</v>
      </c>
      <c r="F367" s="29" t="s">
        <v>1161</v>
      </c>
      <c r="G367" s="27"/>
      <c r="H367" s="27"/>
      <c r="I367" s="27">
        <v>1</v>
      </c>
      <c r="J367" s="30">
        <v>2381075205</v>
      </c>
      <c r="K367" s="26" t="s">
        <v>36</v>
      </c>
      <c r="L367" s="26" t="s">
        <v>37</v>
      </c>
      <c r="M367" s="31"/>
      <c r="N367" s="6"/>
      <c r="O367" s="6"/>
      <c r="P367" s="23"/>
      <c r="Q367" s="2"/>
      <c r="R367" s="2"/>
      <c r="S367" s="2"/>
      <c r="T367" s="2"/>
      <c r="U367" s="2"/>
      <c r="V367" s="2"/>
      <c r="W367" s="2"/>
      <c r="X367" s="2"/>
      <c r="Y367" s="2"/>
    </row>
    <row r="368" spans="1:26" ht="25.5" hidden="1" customHeight="1">
      <c r="A368" s="26" t="s">
        <v>1162</v>
      </c>
      <c r="B368" s="27"/>
      <c r="C368" s="28"/>
      <c r="D368" s="27"/>
      <c r="E368" s="27" t="s">
        <v>1163</v>
      </c>
      <c r="F368" s="29" t="s">
        <v>1164</v>
      </c>
      <c r="G368" s="27"/>
      <c r="H368" s="27"/>
      <c r="I368" s="27">
        <v>1</v>
      </c>
      <c r="J368" s="30">
        <v>50894922</v>
      </c>
      <c r="K368" s="26" t="s">
        <v>36</v>
      </c>
      <c r="L368" s="26" t="s">
        <v>37</v>
      </c>
      <c r="M368" s="31"/>
      <c r="N368" s="6"/>
      <c r="O368" s="6"/>
      <c r="P368" s="23"/>
      <c r="Q368" s="2"/>
      <c r="R368" s="2"/>
      <c r="S368" s="2"/>
      <c r="T368" s="2"/>
      <c r="U368" s="2"/>
      <c r="V368" s="2"/>
      <c r="W368" s="2"/>
      <c r="X368" s="2"/>
      <c r="Y368" s="2"/>
    </row>
    <row r="369" spans="1:25" ht="25.5" hidden="1" customHeight="1">
      <c r="A369" s="26" t="s">
        <v>1165</v>
      </c>
      <c r="B369" s="27"/>
      <c r="C369" s="28"/>
      <c r="D369" s="27"/>
      <c r="E369" s="27" t="s">
        <v>1166</v>
      </c>
      <c r="F369" s="29" t="s">
        <v>1167</v>
      </c>
      <c r="G369" s="27"/>
      <c r="H369" s="27"/>
      <c r="I369" s="27">
        <v>1</v>
      </c>
      <c r="J369" s="30">
        <v>50894922</v>
      </c>
      <c r="K369" s="26" t="s">
        <v>36</v>
      </c>
      <c r="L369" s="26" t="s">
        <v>37</v>
      </c>
      <c r="M369" s="31"/>
      <c r="N369" s="6"/>
      <c r="O369" s="6"/>
      <c r="P369" s="23"/>
      <c r="Q369" s="2"/>
      <c r="R369" s="2"/>
      <c r="S369" s="2"/>
      <c r="T369" s="2"/>
      <c r="U369" s="2"/>
      <c r="V369" s="2"/>
      <c r="W369" s="2"/>
      <c r="X369" s="2"/>
      <c r="Y369" s="2"/>
    </row>
    <row r="370" spans="1:25" ht="25.5" hidden="1" customHeight="1">
      <c r="A370" s="26" t="s">
        <v>1168</v>
      </c>
      <c r="B370" s="27"/>
      <c r="C370" s="28"/>
      <c r="D370" s="27"/>
      <c r="E370" s="27" t="s">
        <v>1169</v>
      </c>
      <c r="F370" s="29" t="s">
        <v>1170</v>
      </c>
      <c r="G370" s="27"/>
      <c r="H370" s="27"/>
      <c r="I370" s="27">
        <v>1</v>
      </c>
      <c r="J370" s="30">
        <v>50894922</v>
      </c>
      <c r="K370" s="26" t="s">
        <v>36</v>
      </c>
      <c r="L370" s="26" t="s">
        <v>37</v>
      </c>
      <c r="M370" s="31"/>
      <c r="N370" s="6"/>
      <c r="O370" s="6"/>
      <c r="P370" s="23"/>
      <c r="Q370" s="2"/>
      <c r="R370" s="2"/>
      <c r="S370" s="2"/>
      <c r="T370" s="2"/>
      <c r="U370" s="2"/>
      <c r="V370" s="2"/>
      <c r="W370" s="2"/>
      <c r="X370" s="2"/>
      <c r="Y370" s="2"/>
    </row>
    <row r="371" spans="1:25" ht="12.75" hidden="1" customHeight="1">
      <c r="A371" s="26" t="s">
        <v>1171</v>
      </c>
      <c r="B371" s="27"/>
      <c r="C371" s="28"/>
      <c r="D371" s="27"/>
      <c r="E371" s="27" t="s">
        <v>1172</v>
      </c>
      <c r="F371" s="29" t="s">
        <v>1173</v>
      </c>
      <c r="G371" s="27"/>
      <c r="H371" s="27"/>
      <c r="I371" s="27">
        <v>1</v>
      </c>
      <c r="J371" s="30">
        <v>53293934</v>
      </c>
      <c r="K371" s="26" t="s">
        <v>36</v>
      </c>
      <c r="L371" s="26" t="s">
        <v>37</v>
      </c>
      <c r="M371" s="31"/>
      <c r="N371" s="6"/>
      <c r="O371" s="6"/>
      <c r="P371" s="23"/>
      <c r="Q371" s="2"/>
      <c r="R371" s="2"/>
      <c r="S371" s="2"/>
      <c r="T371" s="2"/>
      <c r="U371" s="2"/>
      <c r="V371" s="2"/>
      <c r="W371" s="2"/>
      <c r="X371" s="2"/>
      <c r="Y371" s="2"/>
    </row>
    <row r="372" spans="1:25" ht="12.75" hidden="1" customHeight="1">
      <c r="A372" s="26" t="s">
        <v>1174</v>
      </c>
      <c r="B372" s="27"/>
      <c r="C372" s="28"/>
      <c r="D372" s="27"/>
      <c r="E372" s="27" t="s">
        <v>1175</v>
      </c>
      <c r="F372" s="29" t="s">
        <v>1176</v>
      </c>
      <c r="G372" s="27"/>
      <c r="H372" s="27"/>
      <c r="I372" s="27">
        <v>1</v>
      </c>
      <c r="J372" s="30">
        <v>46859201</v>
      </c>
      <c r="K372" s="26" t="s">
        <v>36</v>
      </c>
      <c r="L372" s="26" t="s">
        <v>37</v>
      </c>
      <c r="M372" s="31"/>
      <c r="N372" s="6"/>
      <c r="O372" s="6"/>
      <c r="P372" s="23"/>
      <c r="Q372" s="2"/>
      <c r="R372" s="2"/>
      <c r="S372" s="2"/>
      <c r="T372" s="2"/>
      <c r="U372" s="2"/>
      <c r="V372" s="2"/>
      <c r="W372" s="2"/>
      <c r="X372" s="2"/>
      <c r="Y372" s="2"/>
    </row>
    <row r="373" spans="1:25" ht="12.75" hidden="1" customHeight="1">
      <c r="A373" s="26" t="s">
        <v>1177</v>
      </c>
      <c r="B373" s="27"/>
      <c r="C373" s="28"/>
      <c r="D373" s="27"/>
      <c r="E373" s="27" t="s">
        <v>1178</v>
      </c>
      <c r="F373" s="29" t="s">
        <v>1179</v>
      </c>
      <c r="G373" s="27"/>
      <c r="H373" s="27"/>
      <c r="I373" s="27">
        <v>1</v>
      </c>
      <c r="J373" s="30">
        <v>54258023</v>
      </c>
      <c r="K373" s="26" t="s">
        <v>36</v>
      </c>
      <c r="L373" s="26" t="s">
        <v>37</v>
      </c>
      <c r="M373" s="31"/>
      <c r="N373" s="6"/>
      <c r="O373" s="6"/>
      <c r="P373" s="23"/>
      <c r="Q373" s="2"/>
      <c r="R373" s="2"/>
      <c r="S373" s="2"/>
      <c r="T373" s="2"/>
      <c r="U373" s="2"/>
      <c r="V373" s="2"/>
      <c r="W373" s="2"/>
      <c r="X373" s="2"/>
      <c r="Y373" s="2"/>
    </row>
    <row r="374" spans="1:25" ht="25.5" hidden="1" customHeight="1">
      <c r="A374" s="26">
        <v>192</v>
      </c>
      <c r="B374" s="27" t="s">
        <v>599</v>
      </c>
      <c r="C374" s="28">
        <v>42671</v>
      </c>
      <c r="D374" s="27"/>
      <c r="E374" s="27" t="s">
        <v>1180</v>
      </c>
      <c r="F374" s="29" t="s">
        <v>1181</v>
      </c>
      <c r="G374" s="27" t="s">
        <v>55</v>
      </c>
      <c r="H374" s="27" t="s">
        <v>157</v>
      </c>
      <c r="I374" s="27">
        <v>1</v>
      </c>
      <c r="J374" s="30">
        <v>6994081260</v>
      </c>
      <c r="K374" s="26" t="s">
        <v>36</v>
      </c>
      <c r="L374" s="26" t="s">
        <v>37</v>
      </c>
      <c r="M374" s="31" t="s">
        <v>1182</v>
      </c>
      <c r="N374" s="6"/>
      <c r="O374" s="6"/>
      <c r="P374" s="23"/>
      <c r="Q374" s="2"/>
      <c r="R374" s="2"/>
      <c r="S374" s="2"/>
      <c r="T374" s="2"/>
      <c r="U374" s="2"/>
      <c r="V374" s="2"/>
      <c r="W374" s="2"/>
      <c r="X374" s="2"/>
      <c r="Y374" s="2"/>
    </row>
    <row r="375" spans="1:25" ht="25.5" hidden="1" customHeight="1">
      <c r="A375" s="26" t="s">
        <v>1183</v>
      </c>
      <c r="B375" s="27"/>
      <c r="C375" s="28"/>
      <c r="D375" s="27"/>
      <c r="E375" s="27" t="s">
        <v>1184</v>
      </c>
      <c r="F375" s="29" t="s">
        <v>1185</v>
      </c>
      <c r="G375" s="27"/>
      <c r="H375" s="27" t="s">
        <v>19</v>
      </c>
      <c r="I375" s="27">
        <v>1</v>
      </c>
      <c r="J375" s="30">
        <v>0</v>
      </c>
      <c r="K375" s="26" t="s">
        <v>36</v>
      </c>
      <c r="L375" s="26" t="s">
        <v>37</v>
      </c>
      <c r="M375" s="31"/>
      <c r="N375" s="6"/>
      <c r="O375" s="6"/>
      <c r="P375" s="23"/>
      <c r="Q375" s="2"/>
      <c r="R375" s="2"/>
      <c r="S375" s="2"/>
      <c r="T375" s="2"/>
      <c r="U375" s="2"/>
      <c r="V375" s="2"/>
      <c r="W375" s="2"/>
      <c r="X375" s="2"/>
      <c r="Y375" s="2"/>
    </row>
    <row r="376" spans="1:25" ht="25.5" hidden="1" customHeight="1">
      <c r="A376" s="26" t="s">
        <v>1186</v>
      </c>
      <c r="B376" s="27"/>
      <c r="C376" s="28"/>
      <c r="D376" s="27"/>
      <c r="E376" s="27" t="s">
        <v>1187</v>
      </c>
      <c r="F376" s="29" t="s">
        <v>1188</v>
      </c>
      <c r="G376" s="27"/>
      <c r="H376" s="27" t="s">
        <v>19</v>
      </c>
      <c r="I376" s="27">
        <v>1</v>
      </c>
      <c r="J376" s="30">
        <v>0</v>
      </c>
      <c r="K376" s="26" t="s">
        <v>36</v>
      </c>
      <c r="L376" s="26" t="s">
        <v>37</v>
      </c>
      <c r="M376" s="31"/>
      <c r="N376" s="6"/>
      <c r="O376" s="6"/>
      <c r="P376" s="23"/>
      <c r="Q376" s="2"/>
      <c r="R376" s="2"/>
      <c r="S376" s="2"/>
      <c r="T376" s="2"/>
      <c r="U376" s="2"/>
      <c r="V376" s="2"/>
      <c r="W376" s="2"/>
      <c r="X376" s="2"/>
      <c r="Y376" s="2"/>
    </row>
    <row r="377" spans="1:25" ht="25.5" hidden="1" customHeight="1">
      <c r="A377" s="26" t="s">
        <v>1189</v>
      </c>
      <c r="B377" s="27"/>
      <c r="C377" s="28"/>
      <c r="D377" s="27"/>
      <c r="E377" s="27" t="s">
        <v>1190</v>
      </c>
      <c r="F377" s="29" t="s">
        <v>1191</v>
      </c>
      <c r="G377" s="27"/>
      <c r="H377" s="27" t="s">
        <v>19</v>
      </c>
      <c r="I377" s="27">
        <v>1</v>
      </c>
      <c r="J377" s="30">
        <v>0</v>
      </c>
      <c r="K377" s="26" t="s">
        <v>36</v>
      </c>
      <c r="L377" s="26" t="s">
        <v>37</v>
      </c>
      <c r="M377" s="31"/>
      <c r="N377" s="6"/>
      <c r="O377" s="6"/>
      <c r="P377" s="23"/>
      <c r="Q377" s="2"/>
      <c r="R377" s="2"/>
      <c r="S377" s="2"/>
      <c r="T377" s="2"/>
      <c r="U377" s="2"/>
      <c r="V377" s="2"/>
      <c r="W377" s="2"/>
      <c r="X377" s="2"/>
      <c r="Y377" s="2"/>
    </row>
    <row r="378" spans="1:25" ht="12.75" hidden="1" customHeight="1">
      <c r="A378" s="26">
        <v>193</v>
      </c>
      <c r="B378" s="27" t="s">
        <v>1192</v>
      </c>
      <c r="C378" s="28">
        <v>41918</v>
      </c>
      <c r="D378" s="27"/>
      <c r="E378" s="27" t="s">
        <v>1193</v>
      </c>
      <c r="F378" s="29" t="s">
        <v>1194</v>
      </c>
      <c r="G378" s="27" t="s">
        <v>248</v>
      </c>
      <c r="H378" s="27" t="s">
        <v>249</v>
      </c>
      <c r="I378" s="27">
        <v>1</v>
      </c>
      <c r="J378" s="30">
        <v>34350000</v>
      </c>
      <c r="K378" s="26" t="s">
        <v>1195</v>
      </c>
      <c r="L378" s="26" t="s">
        <v>1196</v>
      </c>
      <c r="M378" s="31" t="s">
        <v>1197</v>
      </c>
      <c r="N378" s="6"/>
      <c r="O378" s="6"/>
      <c r="P378" s="23"/>
      <c r="Q378" s="2"/>
      <c r="R378" s="2"/>
      <c r="S378" s="2"/>
      <c r="T378" s="2"/>
      <c r="U378" s="2"/>
      <c r="V378" s="2"/>
      <c r="W378" s="2"/>
      <c r="X378" s="2"/>
      <c r="Y378" s="2"/>
    </row>
    <row r="379" spans="1:25" ht="12.75" hidden="1" customHeight="1">
      <c r="A379" s="26">
        <v>194</v>
      </c>
      <c r="B379" s="27" t="s">
        <v>1198</v>
      </c>
      <c r="C379" s="28">
        <v>36160</v>
      </c>
      <c r="D379" s="27" t="s">
        <v>1199</v>
      </c>
      <c r="E379" s="27" t="s">
        <v>1200</v>
      </c>
      <c r="F379" s="29" t="s">
        <v>1201</v>
      </c>
      <c r="G379" s="27"/>
      <c r="H379" s="27" t="s">
        <v>249</v>
      </c>
      <c r="I379" s="27">
        <v>1</v>
      </c>
      <c r="J379" s="30">
        <v>44585475</v>
      </c>
      <c r="K379" s="26" t="s">
        <v>20</v>
      </c>
      <c r="L379" s="36" t="s">
        <v>229</v>
      </c>
      <c r="M379" s="31" t="str">
        <f>IFERROR(VLOOKUP(E379, TSCD_XUAN!$C$7:$K$1000, 9, 0), "Không tìm thấy")</f>
        <v>A2-Kho</v>
      </c>
      <c r="N379" s="6"/>
      <c r="O379" s="6"/>
      <c r="P379" s="23"/>
      <c r="Q379" s="2"/>
      <c r="R379" s="2"/>
      <c r="S379" s="2"/>
      <c r="T379" s="2"/>
      <c r="U379" s="2"/>
      <c r="V379" s="2"/>
      <c r="W379" s="2"/>
      <c r="X379" s="2"/>
      <c r="Y379" s="2"/>
    </row>
    <row r="380" spans="1:25" ht="12.75" hidden="1" customHeight="1">
      <c r="A380" s="26" t="s">
        <v>1202</v>
      </c>
      <c r="B380" s="27"/>
      <c r="C380" s="28"/>
      <c r="D380" s="27"/>
      <c r="E380" s="27" t="s">
        <v>1203</v>
      </c>
      <c r="F380" s="29" t="s">
        <v>1204</v>
      </c>
      <c r="G380" s="27"/>
      <c r="H380" s="27"/>
      <c r="I380" s="27">
        <v>1</v>
      </c>
      <c r="J380" s="30"/>
      <c r="K380" s="26" t="s">
        <v>20</v>
      </c>
      <c r="L380" s="36" t="s">
        <v>229</v>
      </c>
      <c r="M380" s="31" t="str">
        <f>IFERROR(VLOOKUP(E380, TSCD_XUAN!$C$7:$K$1000, 9, 0), "Không tìm thấy")</f>
        <v>A2-Kho chung với Rack</v>
      </c>
      <c r="N380" s="6"/>
      <c r="O380" s="6"/>
      <c r="P380" s="23"/>
      <c r="Q380" s="2"/>
      <c r="R380" s="2"/>
      <c r="S380" s="2"/>
      <c r="T380" s="2"/>
      <c r="U380" s="2"/>
      <c r="V380" s="2"/>
      <c r="W380" s="2"/>
      <c r="X380" s="2"/>
      <c r="Y380" s="2"/>
    </row>
    <row r="381" spans="1:25" ht="25.5" hidden="1" customHeight="1">
      <c r="A381" s="26">
        <v>195</v>
      </c>
      <c r="B381" s="27" t="s">
        <v>304</v>
      </c>
      <c r="C381" s="28">
        <v>41073</v>
      </c>
      <c r="D381" s="27"/>
      <c r="E381" s="27" t="s">
        <v>1205</v>
      </c>
      <c r="F381" s="29" t="s">
        <v>1206</v>
      </c>
      <c r="G381" s="27" t="s">
        <v>1008</v>
      </c>
      <c r="H381" s="27" t="s">
        <v>1157</v>
      </c>
      <c r="I381" s="27">
        <v>1</v>
      </c>
      <c r="J381" s="30">
        <v>802635356</v>
      </c>
      <c r="K381" s="26" t="s">
        <v>36</v>
      </c>
      <c r="L381" s="26" t="s">
        <v>37</v>
      </c>
      <c r="M381" s="31" t="s">
        <v>1207</v>
      </c>
      <c r="N381" s="6"/>
      <c r="O381" s="6"/>
      <c r="P381" s="23"/>
      <c r="Q381" s="2"/>
      <c r="R381" s="2"/>
      <c r="S381" s="2"/>
      <c r="T381" s="2"/>
      <c r="U381" s="2"/>
      <c r="V381" s="2"/>
      <c r="W381" s="2"/>
      <c r="X381" s="2"/>
      <c r="Y381" s="2"/>
    </row>
    <row r="382" spans="1:25" ht="38.25" customHeight="1">
      <c r="A382" s="26">
        <v>196</v>
      </c>
      <c r="B382" s="27" t="s">
        <v>1208</v>
      </c>
      <c r="C382" s="28">
        <v>41193</v>
      </c>
      <c r="D382" s="27"/>
      <c r="E382" s="47" t="s">
        <v>1209</v>
      </c>
      <c r="F382" s="29" t="s">
        <v>1210</v>
      </c>
      <c r="G382" s="65" t="s">
        <v>1211</v>
      </c>
      <c r="H382" s="65" t="s">
        <v>1212</v>
      </c>
      <c r="I382" s="27">
        <v>1</v>
      </c>
      <c r="J382" s="30">
        <v>59593500</v>
      </c>
      <c r="K382" s="26" t="s">
        <v>20</v>
      </c>
      <c r="L382" s="26" t="s">
        <v>423</v>
      </c>
      <c r="M382" s="31" t="s">
        <v>1213</v>
      </c>
      <c r="N382" s="7"/>
      <c r="O382" s="7" t="str">
        <f ca="1">IFERROR(__xludf.DUMMYFUNCTION("IFERROR(INDEX(Sheet1!$C:$C, MAX(FILTER(ROW(Sheet1!$B:$B), Sheet1!$B:$B=E382))), """")"),"")</f>
        <v/>
      </c>
      <c r="P382" s="23"/>
      <c r="Q382" s="2"/>
      <c r="R382" s="2"/>
      <c r="S382" s="2"/>
      <c r="T382" s="2"/>
      <c r="U382" s="2"/>
      <c r="V382" s="2"/>
      <c r="W382" s="2"/>
      <c r="X382" s="2"/>
      <c r="Y382" s="2"/>
    </row>
    <row r="383" spans="1:25" ht="38.25" hidden="1" customHeight="1">
      <c r="A383" s="26">
        <v>197</v>
      </c>
      <c r="B383" s="27" t="s">
        <v>1208</v>
      </c>
      <c r="C383" s="28">
        <v>41193</v>
      </c>
      <c r="D383" s="27"/>
      <c r="E383" s="27" t="s">
        <v>1214</v>
      </c>
      <c r="F383" s="29" t="s">
        <v>1215</v>
      </c>
      <c r="G383" s="27" t="s">
        <v>248</v>
      </c>
      <c r="H383" s="27" t="s">
        <v>19</v>
      </c>
      <c r="I383" s="27">
        <v>1</v>
      </c>
      <c r="J383" s="30">
        <v>59593500</v>
      </c>
      <c r="K383" s="26" t="s">
        <v>20</v>
      </c>
      <c r="L383" s="26" t="s">
        <v>233</v>
      </c>
      <c r="M383" s="31" t="s">
        <v>1216</v>
      </c>
      <c r="N383" s="6"/>
      <c r="O383" s="6"/>
      <c r="P383" s="23"/>
      <c r="Q383" s="2"/>
      <c r="R383" s="2"/>
      <c r="S383" s="2"/>
      <c r="T383" s="2"/>
      <c r="U383" s="2"/>
      <c r="V383" s="2"/>
      <c r="W383" s="2"/>
      <c r="X383" s="2"/>
      <c r="Y383" s="2"/>
    </row>
    <row r="384" spans="1:25" ht="25.5" hidden="1" customHeight="1">
      <c r="A384" s="26">
        <v>198</v>
      </c>
      <c r="B384" s="27" t="s">
        <v>1217</v>
      </c>
      <c r="C384" s="28">
        <v>38189</v>
      </c>
      <c r="D384" s="27" t="s">
        <v>1218</v>
      </c>
      <c r="E384" s="27" t="s">
        <v>1219</v>
      </c>
      <c r="F384" s="29" t="s">
        <v>1220</v>
      </c>
      <c r="G384" s="27"/>
      <c r="H384" s="27"/>
      <c r="I384" s="27">
        <v>1</v>
      </c>
      <c r="J384" s="30">
        <v>109060790</v>
      </c>
      <c r="K384" s="26" t="s">
        <v>36</v>
      </c>
      <c r="L384" s="26" t="s">
        <v>37</v>
      </c>
      <c r="M384" s="31" t="s">
        <v>1221</v>
      </c>
      <c r="N384" s="6"/>
      <c r="O384" s="6"/>
      <c r="P384" s="23"/>
      <c r="Q384" s="2"/>
      <c r="R384" s="2"/>
      <c r="S384" s="2"/>
      <c r="T384" s="2"/>
      <c r="U384" s="2"/>
      <c r="V384" s="2"/>
      <c r="W384" s="2"/>
      <c r="X384" s="2"/>
      <c r="Y384" s="2"/>
    </row>
    <row r="385" spans="1:26" ht="51" hidden="1" customHeight="1">
      <c r="A385" s="26">
        <v>199</v>
      </c>
      <c r="B385" s="27" t="s">
        <v>884</v>
      </c>
      <c r="C385" s="28">
        <v>40639</v>
      </c>
      <c r="D385" s="27"/>
      <c r="E385" s="27" t="s">
        <v>1222</v>
      </c>
      <c r="F385" s="29" t="s">
        <v>1223</v>
      </c>
      <c r="G385" s="27"/>
      <c r="H385" s="27" t="s">
        <v>157</v>
      </c>
      <c r="I385" s="27">
        <v>1</v>
      </c>
      <c r="J385" s="30">
        <v>153553733</v>
      </c>
      <c r="K385" s="26" t="s">
        <v>20</v>
      </c>
      <c r="L385" s="36" t="s">
        <v>229</v>
      </c>
      <c r="M385" s="31" t="str">
        <f>IFERROR(VLOOKUP(E385, TSCD_XUAN!$C$7:$K$1000, 9, 0), "Không tìm thấy")</f>
        <v>A2</v>
      </c>
      <c r="N385" s="6"/>
      <c r="O385" s="6" t="s">
        <v>1224</v>
      </c>
      <c r="P385" s="23"/>
      <c r="Q385" s="2"/>
      <c r="R385" s="2"/>
      <c r="S385" s="2"/>
      <c r="T385" s="2"/>
      <c r="U385" s="2"/>
      <c r="V385" s="2"/>
      <c r="W385" s="2"/>
      <c r="X385" s="2"/>
      <c r="Y385" s="2"/>
    </row>
    <row r="386" spans="1:26" ht="51" hidden="1" customHeight="1">
      <c r="A386" s="26" t="s">
        <v>1225</v>
      </c>
      <c r="B386" s="27"/>
      <c r="C386" s="28"/>
      <c r="D386" s="27"/>
      <c r="E386" s="27" t="s">
        <v>1226</v>
      </c>
      <c r="F386" s="29" t="s">
        <v>1227</v>
      </c>
      <c r="G386" s="27"/>
      <c r="H386" s="27"/>
      <c r="I386" s="27">
        <v>1</v>
      </c>
      <c r="J386" s="30">
        <v>12862200</v>
      </c>
      <c r="K386" s="26" t="s">
        <v>20</v>
      </c>
      <c r="L386" s="36" t="s">
        <v>229</v>
      </c>
      <c r="M386" s="31" t="str">
        <f>IFERROR(VLOOKUP(E386, TSCD_XUAN!$C$7:$K$1000, 9, 0), "Không tìm thấy")</f>
        <v>F1 CONTROL</v>
      </c>
      <c r="N386" s="6"/>
      <c r="O386" s="6" t="s">
        <v>1224</v>
      </c>
      <c r="P386" s="23"/>
      <c r="Q386" s="2"/>
      <c r="R386" s="2"/>
      <c r="S386" s="2"/>
      <c r="T386" s="2"/>
      <c r="U386" s="2"/>
      <c r="V386" s="2"/>
      <c r="W386" s="2"/>
      <c r="X386" s="2"/>
      <c r="Y386" s="2"/>
    </row>
    <row r="387" spans="1:26" ht="51" hidden="1" customHeight="1">
      <c r="A387" s="26" t="s">
        <v>1228</v>
      </c>
      <c r="B387" s="27"/>
      <c r="C387" s="28"/>
      <c r="D387" s="27"/>
      <c r="E387" s="27" t="s">
        <v>1229</v>
      </c>
      <c r="F387" s="29" t="s">
        <v>1230</v>
      </c>
      <c r="G387" s="27"/>
      <c r="H387" s="27"/>
      <c r="I387" s="27">
        <v>1</v>
      </c>
      <c r="J387" s="30">
        <v>12862200</v>
      </c>
      <c r="K387" s="26" t="s">
        <v>20</v>
      </c>
      <c r="L387" s="36" t="s">
        <v>229</v>
      </c>
      <c r="M387" s="31" t="str">
        <f>IFERROR(VLOOKUP(E387, TSCD_XUAN!$C$7:$K$1000, 9, 0), "Không tìm thấy")</f>
        <v>MCR CŨ</v>
      </c>
      <c r="N387" s="6"/>
      <c r="O387" s="6" t="s">
        <v>1224</v>
      </c>
      <c r="P387" s="23"/>
      <c r="Q387" s="2"/>
      <c r="R387" s="2"/>
      <c r="S387" s="2"/>
      <c r="T387" s="2"/>
      <c r="U387" s="2"/>
      <c r="V387" s="2"/>
      <c r="W387" s="2"/>
      <c r="X387" s="2"/>
      <c r="Y387" s="2"/>
    </row>
    <row r="388" spans="1:26" ht="51" hidden="1" customHeight="1">
      <c r="A388" s="26" t="s">
        <v>1231</v>
      </c>
      <c r="B388" s="27"/>
      <c r="C388" s="28"/>
      <c r="D388" s="27"/>
      <c r="E388" s="27" t="s">
        <v>1232</v>
      </c>
      <c r="F388" s="29" t="s">
        <v>1233</v>
      </c>
      <c r="G388" s="27"/>
      <c r="H388" s="27"/>
      <c r="I388" s="27">
        <v>1</v>
      </c>
      <c r="J388" s="30">
        <v>12862200</v>
      </c>
      <c r="K388" s="26" t="s">
        <v>20</v>
      </c>
      <c r="L388" s="36" t="s">
        <v>229</v>
      </c>
      <c r="M388" s="31" t="str">
        <f>IFERROR(VLOOKUP(E388, TSCD_XUAN!$C$7:$K$1000, 9, 0), "Không tìm thấy")</f>
        <v>A2 control rack audio</v>
      </c>
      <c r="N388" s="6"/>
      <c r="O388" s="6" t="s">
        <v>1234</v>
      </c>
      <c r="P388" s="23"/>
      <c r="Q388" s="2"/>
      <c r="R388" s="2"/>
      <c r="S388" s="2"/>
      <c r="T388" s="2"/>
      <c r="U388" s="2"/>
      <c r="V388" s="2"/>
      <c r="W388" s="2"/>
      <c r="X388" s="2"/>
      <c r="Y388" s="2"/>
    </row>
    <row r="389" spans="1:26" ht="51" hidden="1" customHeight="1">
      <c r="A389" s="26" t="s">
        <v>1235</v>
      </c>
      <c r="B389" s="27"/>
      <c r="C389" s="28"/>
      <c r="D389" s="27"/>
      <c r="E389" s="27" t="s">
        <v>1236</v>
      </c>
      <c r="F389" s="29" t="s">
        <v>1237</v>
      </c>
      <c r="G389" s="27"/>
      <c r="H389" s="27"/>
      <c r="I389" s="27">
        <v>1</v>
      </c>
      <c r="J389" s="30">
        <v>12862200</v>
      </c>
      <c r="K389" s="26" t="s">
        <v>20</v>
      </c>
      <c r="L389" s="36" t="s">
        <v>229</v>
      </c>
      <c r="M389" s="31" t="str">
        <f>IFERROR(VLOOKUP(E389, TSCD_XUAN!$C$7:$K$1000, 9, 0), "Không tìm thấy")</f>
        <v>A1 PHÒNG HIỆN</v>
      </c>
      <c r="N389" s="6"/>
      <c r="O389" s="6" t="s">
        <v>1224</v>
      </c>
      <c r="P389" s="23"/>
      <c r="Q389" s="2"/>
      <c r="R389" s="2"/>
      <c r="S389" s="2"/>
      <c r="T389" s="2"/>
      <c r="U389" s="2"/>
      <c r="V389" s="2"/>
      <c r="W389" s="2"/>
      <c r="X389" s="2"/>
      <c r="Y389" s="2"/>
    </row>
    <row r="390" spans="1:26" ht="51" hidden="1" customHeight="1">
      <c r="A390" s="26" t="s">
        <v>1238</v>
      </c>
      <c r="B390" s="27"/>
      <c r="C390" s="28"/>
      <c r="D390" s="27"/>
      <c r="E390" s="27" t="s">
        <v>1239</v>
      </c>
      <c r="F390" s="29" t="s">
        <v>1240</v>
      </c>
      <c r="G390" s="27"/>
      <c r="H390" s="27"/>
      <c r="I390" s="27">
        <v>1</v>
      </c>
      <c r="J390" s="30">
        <v>12862200</v>
      </c>
      <c r="K390" s="26" t="s">
        <v>20</v>
      </c>
      <c r="L390" s="36" t="s">
        <v>229</v>
      </c>
      <c r="M390" s="31" t="str">
        <f>IFERROR(VLOOKUP(E390, TSCD_XUAN!$C$7:$K$1000, 9, 0), "Không tìm thấy")</f>
        <v>A2 PHÒNG HIỆN</v>
      </c>
      <c r="N390" s="6"/>
      <c r="O390" s="6" t="s">
        <v>1234</v>
      </c>
      <c r="P390" s="23"/>
      <c r="Q390" s="2"/>
      <c r="R390" s="2"/>
      <c r="S390" s="2"/>
      <c r="T390" s="2"/>
      <c r="U390" s="2"/>
      <c r="V390" s="2"/>
      <c r="W390" s="2"/>
      <c r="X390" s="2"/>
      <c r="Y390" s="2"/>
    </row>
    <row r="391" spans="1:26" ht="51" hidden="1" customHeight="1">
      <c r="A391" s="26" t="s">
        <v>1241</v>
      </c>
      <c r="B391" s="27"/>
      <c r="C391" s="28"/>
      <c r="D391" s="27"/>
      <c r="E391" s="27" t="s">
        <v>1242</v>
      </c>
      <c r="F391" s="29" t="s">
        <v>1243</v>
      </c>
      <c r="G391" s="27"/>
      <c r="H391" s="27"/>
      <c r="I391" s="27">
        <v>1</v>
      </c>
      <c r="J391" s="30">
        <v>12862200</v>
      </c>
      <c r="K391" s="26" t="s">
        <v>20</v>
      </c>
      <c r="L391" s="36" t="s">
        <v>229</v>
      </c>
      <c r="M391" s="31" t="str">
        <f>IFERROR(VLOOKUP(E391, TSCD_XUAN!$C$7:$K$1000, 9, 0), "Không tìm thấy")</f>
        <v>MCR CŨ</v>
      </c>
      <c r="N391" s="6"/>
      <c r="O391" s="6" t="s">
        <v>1224</v>
      </c>
      <c r="P391" s="23"/>
      <c r="Q391" s="2"/>
      <c r="R391" s="2"/>
      <c r="S391" s="2"/>
      <c r="T391" s="2"/>
      <c r="U391" s="2"/>
      <c r="V391" s="2"/>
      <c r="W391" s="2"/>
      <c r="X391" s="2"/>
      <c r="Y391" s="2"/>
    </row>
    <row r="392" spans="1:26" ht="36" hidden="1" customHeight="1">
      <c r="A392" s="26" t="s">
        <v>1244</v>
      </c>
      <c r="B392" s="27"/>
      <c r="C392" s="28"/>
      <c r="D392" s="27"/>
      <c r="E392" s="27" t="s">
        <v>1245</v>
      </c>
      <c r="F392" s="29" t="s">
        <v>1246</v>
      </c>
      <c r="G392" s="27"/>
      <c r="H392" s="27"/>
      <c r="I392" s="27">
        <v>1</v>
      </c>
      <c r="J392" s="30">
        <v>24781800</v>
      </c>
      <c r="K392" s="45" t="s">
        <v>206</v>
      </c>
      <c r="L392" s="45" t="s">
        <v>1247</v>
      </c>
      <c r="M392" s="66" t="s">
        <v>1248</v>
      </c>
      <c r="N392" s="6"/>
      <c r="O392" s="6"/>
      <c r="P392" s="23"/>
      <c r="Q392" s="2"/>
      <c r="R392" s="2"/>
      <c r="S392" s="2"/>
      <c r="T392" s="2"/>
      <c r="U392" s="2"/>
      <c r="V392" s="2"/>
      <c r="W392" s="2"/>
      <c r="X392" s="2"/>
      <c r="Y392" s="2"/>
    </row>
    <row r="393" spans="1:26" ht="30" hidden="1" customHeight="1">
      <c r="A393" s="26" t="s">
        <v>1249</v>
      </c>
      <c r="B393" s="27"/>
      <c r="C393" s="28"/>
      <c r="D393" s="27"/>
      <c r="E393" s="27" t="s">
        <v>1250</v>
      </c>
      <c r="F393" s="29" t="s">
        <v>1251</v>
      </c>
      <c r="G393" s="27"/>
      <c r="H393" s="27"/>
      <c r="I393" s="27">
        <v>1</v>
      </c>
      <c r="J393" s="30">
        <v>0</v>
      </c>
      <c r="K393" s="26" t="s">
        <v>887</v>
      </c>
      <c r="L393" s="26" t="s">
        <v>888</v>
      </c>
      <c r="M393" s="57" t="s">
        <v>1252</v>
      </c>
      <c r="N393" s="6"/>
      <c r="O393" s="6"/>
      <c r="P393" s="23"/>
      <c r="Q393" s="2"/>
      <c r="R393" s="2"/>
      <c r="S393" s="2"/>
      <c r="T393" s="2"/>
      <c r="U393" s="2"/>
      <c r="V393" s="2"/>
      <c r="W393" s="2"/>
      <c r="X393" s="2"/>
      <c r="Y393" s="2"/>
    </row>
    <row r="394" spans="1:26" ht="37.5" hidden="1" customHeight="1">
      <c r="A394" s="26" t="s">
        <v>1253</v>
      </c>
      <c r="B394" s="27"/>
      <c r="C394" s="28"/>
      <c r="D394" s="27"/>
      <c r="E394" s="27" t="s">
        <v>1254</v>
      </c>
      <c r="F394" s="29" t="s">
        <v>1255</v>
      </c>
      <c r="G394" s="27"/>
      <c r="H394" s="27"/>
      <c r="I394" s="27">
        <v>1</v>
      </c>
      <c r="J394" s="30">
        <v>23467700</v>
      </c>
      <c r="K394" s="45" t="s">
        <v>206</v>
      </c>
      <c r="L394" s="45" t="s">
        <v>1247</v>
      </c>
      <c r="M394" s="66" t="s">
        <v>1248</v>
      </c>
      <c r="N394" s="6"/>
      <c r="O394" s="6"/>
      <c r="P394" s="23"/>
      <c r="Q394" s="2"/>
      <c r="R394" s="2"/>
      <c r="S394" s="2"/>
      <c r="T394" s="2"/>
      <c r="U394" s="2"/>
      <c r="V394" s="2"/>
      <c r="W394" s="2"/>
      <c r="X394" s="2"/>
      <c r="Y394" s="2"/>
    </row>
    <row r="395" spans="1:26" ht="25.5" hidden="1" customHeight="1">
      <c r="A395" s="26" t="s">
        <v>1256</v>
      </c>
      <c r="B395" s="27"/>
      <c r="C395" s="28"/>
      <c r="D395" s="27"/>
      <c r="E395" s="27" t="s">
        <v>1257</v>
      </c>
      <c r="F395" s="29" t="s">
        <v>1258</v>
      </c>
      <c r="G395" s="27"/>
      <c r="H395" s="27"/>
      <c r="I395" s="27">
        <v>1</v>
      </c>
      <c r="J395" s="30">
        <v>0</v>
      </c>
      <c r="K395" s="26" t="s">
        <v>20</v>
      </c>
      <c r="L395" s="36" t="s">
        <v>229</v>
      </c>
      <c r="M395" s="31" t="str">
        <f>IFERROR(VLOOKUP(E395, TSCD_XUAN!$C$7:$K$1000, 9, 0), "Không tìm thấy")</f>
        <v>Không tìm thấy</v>
      </c>
      <c r="N395" s="6"/>
      <c r="O395" s="6"/>
      <c r="P395" s="23"/>
      <c r="Q395" s="2"/>
      <c r="R395" s="2"/>
      <c r="S395" s="2"/>
      <c r="T395" s="2"/>
      <c r="U395" s="2"/>
      <c r="V395" s="2"/>
      <c r="W395" s="2"/>
      <c r="X395" s="2"/>
      <c r="Y395" s="2"/>
    </row>
    <row r="396" spans="1:26" ht="12.75" hidden="1" customHeight="1">
      <c r="A396" s="17">
        <v>200</v>
      </c>
      <c r="B396" s="27" t="s">
        <v>1005</v>
      </c>
      <c r="C396" s="19">
        <v>39994</v>
      </c>
      <c r="D396" s="27"/>
      <c r="E396" s="18" t="s">
        <v>1259</v>
      </c>
      <c r="F396" s="20" t="s">
        <v>1260</v>
      </c>
      <c r="G396" s="18" t="s">
        <v>55</v>
      </c>
      <c r="H396" s="18" t="s">
        <v>249</v>
      </c>
      <c r="I396" s="18">
        <v>1</v>
      </c>
      <c r="J396" s="21">
        <v>60254204</v>
      </c>
      <c r="K396" s="17" t="s">
        <v>20</v>
      </c>
      <c r="L396" s="17" t="s">
        <v>21</v>
      </c>
      <c r="M396" s="22" t="s">
        <v>22</v>
      </c>
      <c r="N396" s="23"/>
      <c r="O396" s="23"/>
      <c r="P396" s="23"/>
      <c r="Q396" s="24"/>
      <c r="R396" s="24"/>
      <c r="S396" s="24"/>
      <c r="T396" s="24"/>
      <c r="U396" s="24"/>
      <c r="V396" s="24"/>
      <c r="W396" s="24"/>
      <c r="X396" s="24"/>
      <c r="Y396" s="24"/>
      <c r="Z396" s="25"/>
    </row>
    <row r="397" spans="1:26" ht="25.5" hidden="1" customHeight="1">
      <c r="A397" s="26">
        <v>201</v>
      </c>
      <c r="B397" s="27" t="s">
        <v>1005</v>
      </c>
      <c r="C397" s="28">
        <v>39994</v>
      </c>
      <c r="D397" s="27"/>
      <c r="E397" s="27" t="s">
        <v>1261</v>
      </c>
      <c r="F397" s="29" t="s">
        <v>1262</v>
      </c>
      <c r="G397" s="27" t="s">
        <v>55</v>
      </c>
      <c r="H397" s="27" t="s">
        <v>249</v>
      </c>
      <c r="I397" s="27">
        <v>1</v>
      </c>
      <c r="J397" s="30">
        <v>60254203</v>
      </c>
      <c r="K397" s="26" t="s">
        <v>20</v>
      </c>
      <c r="L397" s="36" t="s">
        <v>229</v>
      </c>
      <c r="M397" s="31" t="str">
        <f>IFERROR(VLOOKUP(E397, TSCD_XUAN!$C$7:$K$1000, 9, 0), "Không tìm thấy")</f>
        <v>A2-kho: Intercom Matrix Plus</v>
      </c>
      <c r="N397" s="6"/>
      <c r="O397" s="6"/>
      <c r="P397" s="23"/>
      <c r="Q397" s="2"/>
      <c r="R397" s="2"/>
      <c r="S397" s="2"/>
      <c r="T397" s="2"/>
      <c r="U397" s="2"/>
      <c r="V397" s="2"/>
      <c r="W397" s="2"/>
      <c r="X397" s="2"/>
      <c r="Y397" s="2"/>
    </row>
    <row r="398" spans="1:26" ht="12.75" hidden="1" customHeight="1">
      <c r="A398" s="38">
        <v>202</v>
      </c>
      <c r="B398" s="27" t="s">
        <v>1005</v>
      </c>
      <c r="C398" s="40">
        <v>39994</v>
      </c>
      <c r="D398" s="27"/>
      <c r="E398" s="39" t="s">
        <v>1263</v>
      </c>
      <c r="F398" s="41" t="s">
        <v>1264</v>
      </c>
      <c r="G398" s="27" t="s">
        <v>55</v>
      </c>
      <c r="H398" s="27" t="s">
        <v>249</v>
      </c>
      <c r="I398" s="27">
        <v>1</v>
      </c>
      <c r="J398" s="42">
        <v>106321571</v>
      </c>
      <c r="K398" s="38" t="s">
        <v>206</v>
      </c>
      <c r="L398" s="38" t="s">
        <v>841</v>
      </c>
      <c r="M398" s="43" t="s">
        <v>1265</v>
      </c>
      <c r="N398" s="6"/>
      <c r="O398" s="6"/>
      <c r="P398" s="23"/>
      <c r="Q398" s="2"/>
      <c r="R398" s="2"/>
      <c r="S398" s="2"/>
      <c r="T398" s="2"/>
      <c r="U398" s="2"/>
      <c r="V398" s="2"/>
      <c r="W398" s="2"/>
      <c r="X398" s="2"/>
      <c r="Y398" s="2"/>
    </row>
    <row r="399" spans="1:26" ht="12.75" hidden="1" customHeight="1">
      <c r="A399" s="26">
        <v>203</v>
      </c>
      <c r="B399" s="27" t="s">
        <v>884</v>
      </c>
      <c r="C399" s="28">
        <v>40639</v>
      </c>
      <c r="D399" s="27"/>
      <c r="E399" s="27" t="s">
        <v>1266</v>
      </c>
      <c r="F399" s="29" t="s">
        <v>1267</v>
      </c>
      <c r="G399" s="27"/>
      <c r="H399" s="27" t="s">
        <v>157</v>
      </c>
      <c r="I399" s="27">
        <v>1</v>
      </c>
      <c r="J399" s="30">
        <v>56765149</v>
      </c>
      <c r="K399" s="26" t="s">
        <v>206</v>
      </c>
      <c r="L399" s="26" t="s">
        <v>841</v>
      </c>
      <c r="M399" s="31" t="s">
        <v>880</v>
      </c>
      <c r="N399" s="6"/>
      <c r="O399" s="6"/>
      <c r="P399" s="23"/>
      <c r="Q399" s="2"/>
      <c r="R399" s="2"/>
      <c r="S399" s="2"/>
      <c r="T399" s="2"/>
      <c r="U399" s="2"/>
      <c r="V399" s="2"/>
      <c r="W399" s="2"/>
      <c r="X399" s="2"/>
      <c r="Y399" s="2"/>
    </row>
    <row r="400" spans="1:26" ht="12.75" hidden="1" customHeight="1">
      <c r="A400" s="26" t="s">
        <v>1268</v>
      </c>
      <c r="B400" s="27"/>
      <c r="C400" s="28"/>
      <c r="D400" s="27"/>
      <c r="E400" s="27" t="s">
        <v>1269</v>
      </c>
      <c r="F400" s="29" t="s">
        <v>1270</v>
      </c>
      <c r="G400" s="27"/>
      <c r="H400" s="27"/>
      <c r="I400" s="27">
        <v>1</v>
      </c>
      <c r="J400" s="30">
        <v>8524800</v>
      </c>
      <c r="K400" s="26" t="s">
        <v>206</v>
      </c>
      <c r="L400" s="26" t="s">
        <v>841</v>
      </c>
      <c r="M400" s="31"/>
      <c r="N400" s="6"/>
      <c r="O400" s="6"/>
      <c r="P400" s="23"/>
      <c r="Q400" s="2"/>
      <c r="R400" s="2"/>
      <c r="S400" s="2"/>
      <c r="T400" s="2"/>
      <c r="U400" s="2"/>
      <c r="V400" s="2"/>
      <c r="W400" s="2"/>
      <c r="X400" s="2"/>
      <c r="Y400" s="2"/>
    </row>
    <row r="401" spans="1:26" ht="12.75" customHeight="1">
      <c r="A401" s="26">
        <v>204</v>
      </c>
      <c r="B401" s="27" t="s">
        <v>1271</v>
      </c>
      <c r="C401" s="28">
        <v>41626</v>
      </c>
      <c r="D401" s="27"/>
      <c r="E401" s="47" t="s">
        <v>1272</v>
      </c>
      <c r="F401" s="29" t="s">
        <v>1273</v>
      </c>
      <c r="G401" s="27" t="s">
        <v>45</v>
      </c>
      <c r="H401" s="27" t="s">
        <v>19</v>
      </c>
      <c r="I401" s="27">
        <v>1</v>
      </c>
      <c r="J401" s="30">
        <v>56839543</v>
      </c>
      <c r="K401" s="26" t="s">
        <v>20</v>
      </c>
      <c r="L401" s="26" t="s">
        <v>423</v>
      </c>
      <c r="M401" s="31" t="s">
        <v>1274</v>
      </c>
      <c r="N401" s="7"/>
      <c r="O401" s="7" t="str">
        <f ca="1">IFERROR(__xludf.DUMMYFUNCTION("IFERROR(INDEX(Sheet1!$C:$C, MAX(FILTER(ROW(Sheet1!$B:$B), Sheet1!$B:$B=E401))), """")"),"")</f>
        <v/>
      </c>
      <c r="P401" s="23"/>
      <c r="Q401" s="2"/>
      <c r="R401" s="2"/>
      <c r="S401" s="2"/>
      <c r="T401" s="2"/>
      <c r="U401" s="2"/>
      <c r="V401" s="2"/>
      <c r="W401" s="2"/>
      <c r="X401" s="2"/>
      <c r="Y401" s="2"/>
    </row>
    <row r="402" spans="1:26" ht="25.5" customHeight="1">
      <c r="A402" s="26">
        <v>205</v>
      </c>
      <c r="B402" s="27" t="s">
        <v>1271</v>
      </c>
      <c r="C402" s="28">
        <v>41626</v>
      </c>
      <c r="D402" s="27"/>
      <c r="E402" s="47" t="s">
        <v>1275</v>
      </c>
      <c r="F402" s="29" t="s">
        <v>1276</v>
      </c>
      <c r="G402" s="27" t="s">
        <v>45</v>
      </c>
      <c r="H402" s="27" t="s">
        <v>19</v>
      </c>
      <c r="I402" s="27">
        <v>1</v>
      </c>
      <c r="J402" s="30">
        <v>45611979</v>
      </c>
      <c r="K402" s="26" t="s">
        <v>20</v>
      </c>
      <c r="L402" s="26" t="s">
        <v>423</v>
      </c>
      <c r="M402" s="31" t="s">
        <v>1277</v>
      </c>
      <c r="N402" s="7"/>
      <c r="O402" s="7" t="str">
        <f ca="1">IFERROR(__xludf.DUMMYFUNCTION("IFERROR(INDEX(Sheet1!$C:$C, MAX(FILTER(ROW(Sheet1!$B:$B), Sheet1!$B:$B=E402))), """")"),"")</f>
        <v/>
      </c>
      <c r="P402" s="23"/>
      <c r="Q402" s="2"/>
      <c r="R402" s="2"/>
      <c r="S402" s="2"/>
      <c r="T402" s="2"/>
      <c r="U402" s="2"/>
      <c r="V402" s="2"/>
      <c r="W402" s="2"/>
      <c r="X402" s="2"/>
      <c r="Y402" s="2"/>
    </row>
    <row r="403" spans="1:26" ht="38.25" hidden="1" customHeight="1">
      <c r="A403" s="17">
        <v>206</v>
      </c>
      <c r="B403" s="27" t="s">
        <v>1271</v>
      </c>
      <c r="C403" s="19">
        <v>41626</v>
      </c>
      <c r="D403" s="27"/>
      <c r="E403" s="18" t="s">
        <v>1278</v>
      </c>
      <c r="F403" s="20" t="s">
        <v>1279</v>
      </c>
      <c r="G403" s="18" t="s">
        <v>45</v>
      </c>
      <c r="H403" s="18" t="s">
        <v>19</v>
      </c>
      <c r="I403" s="18">
        <v>1</v>
      </c>
      <c r="J403" s="21">
        <v>45611979</v>
      </c>
      <c r="K403" s="17" t="s">
        <v>20</v>
      </c>
      <c r="L403" s="17" t="s">
        <v>21</v>
      </c>
      <c r="M403" s="22" t="s">
        <v>22</v>
      </c>
      <c r="N403" s="23"/>
      <c r="O403" s="23"/>
      <c r="P403" s="23"/>
      <c r="Q403" s="24"/>
      <c r="R403" s="24"/>
      <c r="S403" s="24"/>
      <c r="T403" s="24"/>
      <c r="U403" s="24"/>
      <c r="V403" s="24"/>
      <c r="W403" s="24"/>
      <c r="X403" s="24"/>
      <c r="Y403" s="24"/>
      <c r="Z403" s="25"/>
    </row>
    <row r="404" spans="1:26" ht="25.5" customHeight="1">
      <c r="A404" s="26">
        <v>207</v>
      </c>
      <c r="B404" s="27" t="s">
        <v>470</v>
      </c>
      <c r="C404" s="28">
        <v>41983</v>
      </c>
      <c r="D404" s="27"/>
      <c r="E404" s="47" t="s">
        <v>1280</v>
      </c>
      <c r="F404" s="29" t="s">
        <v>1281</v>
      </c>
      <c r="G404" s="27" t="s">
        <v>55</v>
      </c>
      <c r="H404" s="27" t="s">
        <v>19</v>
      </c>
      <c r="I404" s="27">
        <v>1</v>
      </c>
      <c r="J404" s="30">
        <v>47915403</v>
      </c>
      <c r="K404" s="26" t="s">
        <v>20</v>
      </c>
      <c r="L404" s="26" t="s">
        <v>423</v>
      </c>
      <c r="M404" s="31" t="s">
        <v>1282</v>
      </c>
      <c r="N404" s="7"/>
      <c r="O404" s="7" t="str">
        <f ca="1">IFERROR(__xludf.DUMMYFUNCTION("IFERROR(INDEX(Sheet1!$C:$C, MAX(FILTER(ROW(Sheet1!$B:$B), Sheet1!$B:$B=E404))), """")"),"")</f>
        <v/>
      </c>
      <c r="P404" s="23"/>
      <c r="Q404" s="2"/>
      <c r="R404" s="2"/>
      <c r="S404" s="2"/>
      <c r="T404" s="2"/>
      <c r="U404" s="2"/>
      <c r="V404" s="2"/>
      <c r="W404" s="2"/>
      <c r="X404" s="2"/>
      <c r="Y404" s="2"/>
    </row>
    <row r="405" spans="1:26" ht="25.5" hidden="1" customHeight="1">
      <c r="A405" s="26">
        <v>208</v>
      </c>
      <c r="B405" s="27" t="s">
        <v>470</v>
      </c>
      <c r="C405" s="28">
        <v>41983</v>
      </c>
      <c r="D405" s="27"/>
      <c r="E405" s="27" t="s">
        <v>1283</v>
      </c>
      <c r="F405" s="29" t="s">
        <v>1284</v>
      </c>
      <c r="G405" s="27" t="s">
        <v>55</v>
      </c>
      <c r="H405" s="27" t="s">
        <v>19</v>
      </c>
      <c r="I405" s="27">
        <v>1</v>
      </c>
      <c r="J405" s="30">
        <v>47915403</v>
      </c>
      <c r="K405" s="26" t="s">
        <v>20</v>
      </c>
      <c r="L405" s="26" t="s">
        <v>233</v>
      </c>
      <c r="M405" s="31" t="s">
        <v>1285</v>
      </c>
      <c r="N405" s="6"/>
      <c r="O405" s="6"/>
      <c r="P405" s="23"/>
      <c r="Q405" s="2"/>
      <c r="R405" s="2"/>
      <c r="S405" s="2"/>
      <c r="T405" s="2"/>
      <c r="U405" s="2"/>
      <c r="V405" s="2"/>
      <c r="W405" s="2"/>
      <c r="X405" s="2"/>
      <c r="Y405" s="2"/>
    </row>
    <row r="406" spans="1:26" ht="38.25" hidden="1" customHeight="1">
      <c r="A406" s="26">
        <v>209</v>
      </c>
      <c r="B406" s="27" t="s">
        <v>599</v>
      </c>
      <c r="C406" s="28">
        <v>42671</v>
      </c>
      <c r="D406" s="27"/>
      <c r="E406" s="27" t="s">
        <v>1286</v>
      </c>
      <c r="F406" s="29" t="s">
        <v>1287</v>
      </c>
      <c r="G406" s="27"/>
      <c r="H406" s="27" t="s">
        <v>19</v>
      </c>
      <c r="I406" s="27">
        <v>1</v>
      </c>
      <c r="J406" s="30">
        <v>341201513</v>
      </c>
      <c r="K406" s="26" t="s">
        <v>36</v>
      </c>
      <c r="L406" s="26" t="s">
        <v>1146</v>
      </c>
      <c r="M406" s="31" t="s">
        <v>1288</v>
      </c>
      <c r="N406" s="6"/>
      <c r="O406" s="6"/>
      <c r="P406" s="23"/>
      <c r="Q406" s="2"/>
      <c r="R406" s="2"/>
      <c r="S406" s="2"/>
      <c r="T406" s="2"/>
      <c r="U406" s="2"/>
      <c r="V406" s="2"/>
      <c r="W406" s="2"/>
      <c r="X406" s="2"/>
      <c r="Y406" s="2"/>
    </row>
    <row r="407" spans="1:26" ht="38.25" hidden="1" customHeight="1">
      <c r="A407" s="26">
        <v>210</v>
      </c>
      <c r="B407" s="27" t="s">
        <v>599</v>
      </c>
      <c r="C407" s="28">
        <v>42671</v>
      </c>
      <c r="D407" s="27"/>
      <c r="E407" s="27" t="s">
        <v>1289</v>
      </c>
      <c r="F407" s="29" t="s">
        <v>1290</v>
      </c>
      <c r="G407" s="27"/>
      <c r="H407" s="27" t="s">
        <v>19</v>
      </c>
      <c r="I407" s="27">
        <v>1</v>
      </c>
      <c r="J407" s="30">
        <v>341201513</v>
      </c>
      <c r="K407" s="26" t="s">
        <v>36</v>
      </c>
      <c r="L407" s="26" t="s">
        <v>1146</v>
      </c>
      <c r="M407" s="31" t="s">
        <v>1291</v>
      </c>
      <c r="N407" s="6"/>
      <c r="O407" s="6"/>
      <c r="P407" s="23"/>
      <c r="Q407" s="2"/>
      <c r="R407" s="2"/>
      <c r="S407" s="2"/>
      <c r="T407" s="2"/>
      <c r="U407" s="2"/>
      <c r="V407" s="2"/>
      <c r="W407" s="2"/>
      <c r="X407" s="2"/>
      <c r="Y407" s="2"/>
    </row>
    <row r="408" spans="1:26" ht="38.25" hidden="1" customHeight="1">
      <c r="A408" s="26">
        <v>211</v>
      </c>
      <c r="B408" s="27" t="s">
        <v>797</v>
      </c>
      <c r="C408" s="28">
        <v>42671</v>
      </c>
      <c r="D408" s="27"/>
      <c r="E408" s="27" t="s">
        <v>1292</v>
      </c>
      <c r="F408" s="29" t="s">
        <v>1293</v>
      </c>
      <c r="G408" s="27"/>
      <c r="H408" s="27" t="s">
        <v>19</v>
      </c>
      <c r="I408" s="27">
        <v>1</v>
      </c>
      <c r="J408" s="30">
        <v>522037693</v>
      </c>
      <c r="K408" s="26" t="s">
        <v>206</v>
      </c>
      <c r="L408" s="26" t="s">
        <v>841</v>
      </c>
      <c r="M408" s="31" t="s">
        <v>1041</v>
      </c>
      <c r="N408" s="6"/>
      <c r="O408" s="6"/>
      <c r="P408" s="23"/>
      <c r="Q408" s="2"/>
      <c r="R408" s="2"/>
      <c r="S408" s="2"/>
      <c r="T408" s="2"/>
      <c r="U408" s="2"/>
      <c r="V408" s="2"/>
      <c r="W408" s="2"/>
      <c r="X408" s="2"/>
      <c r="Y408" s="2"/>
    </row>
    <row r="409" spans="1:26" ht="25.5" hidden="1" customHeight="1">
      <c r="A409" s="26">
        <v>212</v>
      </c>
      <c r="B409" s="27" t="s">
        <v>797</v>
      </c>
      <c r="C409" s="28">
        <v>42671</v>
      </c>
      <c r="D409" s="27"/>
      <c r="E409" s="27" t="s">
        <v>1294</v>
      </c>
      <c r="F409" s="29" t="s">
        <v>1295</v>
      </c>
      <c r="G409" s="27"/>
      <c r="H409" s="27" t="s">
        <v>19</v>
      </c>
      <c r="I409" s="27">
        <v>1</v>
      </c>
      <c r="J409" s="30">
        <v>101657498</v>
      </c>
      <c r="K409" s="26" t="s">
        <v>206</v>
      </c>
      <c r="L409" s="26" t="s">
        <v>841</v>
      </c>
      <c r="M409" s="31" t="s">
        <v>1041</v>
      </c>
      <c r="N409" s="6"/>
      <c r="O409" s="6"/>
      <c r="P409" s="23"/>
      <c r="Q409" s="2"/>
      <c r="R409" s="2"/>
      <c r="S409" s="2"/>
      <c r="T409" s="2"/>
      <c r="U409" s="2"/>
      <c r="V409" s="2"/>
      <c r="W409" s="2"/>
      <c r="X409" s="2"/>
      <c r="Y409" s="2"/>
    </row>
    <row r="410" spans="1:26" ht="25.5" hidden="1" customHeight="1">
      <c r="A410" s="26">
        <v>213</v>
      </c>
      <c r="B410" s="27" t="s">
        <v>797</v>
      </c>
      <c r="C410" s="28">
        <v>42671</v>
      </c>
      <c r="D410" s="27"/>
      <c r="E410" s="27" t="s">
        <v>1296</v>
      </c>
      <c r="F410" s="29" t="s">
        <v>1297</v>
      </c>
      <c r="G410" s="27"/>
      <c r="H410" s="27" t="s">
        <v>19</v>
      </c>
      <c r="I410" s="27">
        <v>1</v>
      </c>
      <c r="J410" s="30">
        <v>101657498</v>
      </c>
      <c r="K410" s="26" t="s">
        <v>206</v>
      </c>
      <c r="L410" s="26" t="s">
        <v>841</v>
      </c>
      <c r="M410" s="31" t="s">
        <v>1041</v>
      </c>
      <c r="N410" s="6"/>
      <c r="O410" s="6"/>
      <c r="P410" s="23"/>
      <c r="Q410" s="2"/>
      <c r="R410" s="2"/>
      <c r="S410" s="2"/>
      <c r="T410" s="2"/>
      <c r="U410" s="2"/>
      <c r="V410" s="2"/>
      <c r="W410" s="2"/>
      <c r="X410" s="2"/>
      <c r="Y410" s="2"/>
    </row>
    <row r="411" spans="1:26" ht="25.5" hidden="1" customHeight="1">
      <c r="A411" s="26">
        <v>214</v>
      </c>
      <c r="B411" s="27" t="s">
        <v>797</v>
      </c>
      <c r="C411" s="28">
        <v>42671</v>
      </c>
      <c r="D411" s="27"/>
      <c r="E411" s="27" t="s">
        <v>1298</v>
      </c>
      <c r="F411" s="29" t="s">
        <v>1299</v>
      </c>
      <c r="G411" s="27"/>
      <c r="H411" s="27" t="s">
        <v>19</v>
      </c>
      <c r="I411" s="27">
        <v>1</v>
      </c>
      <c r="J411" s="30">
        <v>88612431</v>
      </c>
      <c r="K411" s="26" t="s">
        <v>206</v>
      </c>
      <c r="L411" s="26" t="s">
        <v>841</v>
      </c>
      <c r="M411" s="31" t="s">
        <v>1041</v>
      </c>
      <c r="N411" s="6"/>
      <c r="O411" s="6"/>
      <c r="P411" s="23"/>
      <c r="Q411" s="2"/>
      <c r="R411" s="2"/>
      <c r="S411" s="2"/>
      <c r="T411" s="2"/>
      <c r="U411" s="2"/>
      <c r="V411" s="2"/>
      <c r="W411" s="2"/>
      <c r="X411" s="2"/>
      <c r="Y411" s="2"/>
    </row>
    <row r="412" spans="1:26" ht="25.5" hidden="1" customHeight="1">
      <c r="A412" s="26">
        <v>215</v>
      </c>
      <c r="B412" s="27" t="s">
        <v>797</v>
      </c>
      <c r="C412" s="28">
        <v>42671</v>
      </c>
      <c r="D412" s="27"/>
      <c r="E412" s="27" t="s">
        <v>1300</v>
      </c>
      <c r="F412" s="29" t="s">
        <v>1301</v>
      </c>
      <c r="G412" s="27"/>
      <c r="H412" s="27" t="s">
        <v>19</v>
      </c>
      <c r="I412" s="27">
        <v>1</v>
      </c>
      <c r="J412" s="30">
        <v>88612431</v>
      </c>
      <c r="K412" s="26" t="s">
        <v>206</v>
      </c>
      <c r="L412" s="26" t="s">
        <v>841</v>
      </c>
      <c r="M412" s="31" t="s">
        <v>1041</v>
      </c>
      <c r="N412" s="6"/>
      <c r="O412" s="6"/>
      <c r="P412" s="23"/>
      <c r="Q412" s="2"/>
      <c r="R412" s="2"/>
      <c r="S412" s="2"/>
      <c r="T412" s="2"/>
      <c r="U412" s="2"/>
      <c r="V412" s="2"/>
      <c r="W412" s="2"/>
      <c r="X412" s="2"/>
      <c r="Y412" s="2"/>
    </row>
    <row r="413" spans="1:26" ht="25.5" hidden="1" customHeight="1">
      <c r="A413" s="26">
        <v>216</v>
      </c>
      <c r="B413" s="27" t="s">
        <v>797</v>
      </c>
      <c r="C413" s="28">
        <v>42671</v>
      </c>
      <c r="D413" s="27"/>
      <c r="E413" s="27" t="s">
        <v>1302</v>
      </c>
      <c r="F413" s="29" t="s">
        <v>1303</v>
      </c>
      <c r="G413" s="27"/>
      <c r="H413" s="27" t="s">
        <v>19</v>
      </c>
      <c r="I413" s="27">
        <v>1</v>
      </c>
      <c r="J413" s="30">
        <v>88612431</v>
      </c>
      <c r="K413" s="26" t="s">
        <v>206</v>
      </c>
      <c r="L413" s="26" t="s">
        <v>841</v>
      </c>
      <c r="M413" s="31" t="s">
        <v>1041</v>
      </c>
      <c r="N413" s="6"/>
      <c r="O413" s="6"/>
      <c r="P413" s="23"/>
      <c r="Q413" s="2"/>
      <c r="R413" s="2"/>
      <c r="S413" s="2"/>
      <c r="T413" s="2"/>
      <c r="U413" s="2"/>
      <c r="V413" s="2"/>
      <c r="W413" s="2"/>
      <c r="X413" s="2"/>
      <c r="Y413" s="2"/>
    </row>
    <row r="414" spans="1:26" ht="25.5" hidden="1" customHeight="1">
      <c r="A414" s="26">
        <v>217</v>
      </c>
      <c r="B414" s="27" t="s">
        <v>797</v>
      </c>
      <c r="C414" s="28">
        <v>42671</v>
      </c>
      <c r="D414" s="27"/>
      <c r="E414" s="27" t="s">
        <v>1304</v>
      </c>
      <c r="F414" s="29" t="s">
        <v>1305</v>
      </c>
      <c r="G414" s="27"/>
      <c r="H414" s="27" t="s">
        <v>19</v>
      </c>
      <c r="I414" s="27">
        <v>1</v>
      </c>
      <c r="J414" s="30">
        <v>88612431</v>
      </c>
      <c r="K414" s="26" t="s">
        <v>206</v>
      </c>
      <c r="L414" s="26" t="s">
        <v>841</v>
      </c>
      <c r="M414" s="31" t="s">
        <v>1041</v>
      </c>
      <c r="N414" s="6"/>
      <c r="O414" s="6"/>
      <c r="P414" s="23"/>
      <c r="Q414" s="2"/>
      <c r="R414" s="2"/>
      <c r="S414" s="2"/>
      <c r="T414" s="2"/>
      <c r="U414" s="2"/>
      <c r="V414" s="2"/>
      <c r="W414" s="2"/>
      <c r="X414" s="2"/>
      <c r="Y414" s="2"/>
    </row>
    <row r="415" spans="1:26" ht="25.5" hidden="1" customHeight="1">
      <c r="A415" s="26">
        <v>218</v>
      </c>
      <c r="B415" s="27" t="s">
        <v>797</v>
      </c>
      <c r="C415" s="28">
        <v>42671</v>
      </c>
      <c r="D415" s="27"/>
      <c r="E415" s="27" t="s">
        <v>1306</v>
      </c>
      <c r="F415" s="29" t="s">
        <v>1307</v>
      </c>
      <c r="G415" s="27"/>
      <c r="H415" s="27" t="s">
        <v>19</v>
      </c>
      <c r="I415" s="27">
        <v>1</v>
      </c>
      <c r="J415" s="30">
        <v>53237972</v>
      </c>
      <c r="K415" s="26" t="s">
        <v>206</v>
      </c>
      <c r="L415" s="26" t="s">
        <v>841</v>
      </c>
      <c r="M415" s="31" t="s">
        <v>1041</v>
      </c>
      <c r="N415" s="6"/>
      <c r="O415" s="6"/>
      <c r="P415" s="23"/>
      <c r="Q415" s="2"/>
      <c r="R415" s="2"/>
      <c r="S415" s="2"/>
      <c r="T415" s="2"/>
      <c r="U415" s="2"/>
      <c r="V415" s="2"/>
      <c r="W415" s="2"/>
      <c r="X415" s="2"/>
      <c r="Y415" s="2"/>
    </row>
    <row r="416" spans="1:26" ht="25.5" hidden="1" customHeight="1">
      <c r="A416" s="26">
        <v>219</v>
      </c>
      <c r="B416" s="27" t="s">
        <v>797</v>
      </c>
      <c r="C416" s="28">
        <v>42671</v>
      </c>
      <c r="D416" s="27"/>
      <c r="E416" s="27" t="s">
        <v>1308</v>
      </c>
      <c r="F416" s="29" t="s">
        <v>1309</v>
      </c>
      <c r="G416" s="27"/>
      <c r="H416" s="27" t="s">
        <v>19</v>
      </c>
      <c r="I416" s="27">
        <v>1</v>
      </c>
      <c r="J416" s="30">
        <v>53237972</v>
      </c>
      <c r="K416" s="26" t="s">
        <v>206</v>
      </c>
      <c r="L416" s="26" t="s">
        <v>1310</v>
      </c>
      <c r="M416" s="31" t="s">
        <v>1311</v>
      </c>
      <c r="N416" s="6"/>
      <c r="O416" s="6"/>
      <c r="P416" s="23"/>
      <c r="Q416" s="2"/>
      <c r="R416" s="2"/>
      <c r="S416" s="2"/>
      <c r="T416" s="2"/>
      <c r="U416" s="2"/>
      <c r="V416" s="2"/>
      <c r="W416" s="2"/>
      <c r="X416" s="2"/>
      <c r="Y416" s="2"/>
    </row>
    <row r="417" spans="1:26" ht="25.5" hidden="1" customHeight="1">
      <c r="A417" s="26">
        <v>220</v>
      </c>
      <c r="B417" s="27" t="s">
        <v>797</v>
      </c>
      <c r="C417" s="28">
        <v>42671</v>
      </c>
      <c r="D417" s="27"/>
      <c r="E417" s="27" t="s">
        <v>1312</v>
      </c>
      <c r="F417" s="29" t="s">
        <v>1313</v>
      </c>
      <c r="G417" s="27"/>
      <c r="H417" s="27" t="s">
        <v>19</v>
      </c>
      <c r="I417" s="27">
        <v>1</v>
      </c>
      <c r="J417" s="30">
        <v>53237972</v>
      </c>
      <c r="K417" s="26" t="s">
        <v>206</v>
      </c>
      <c r="L417" s="26" t="s">
        <v>1310</v>
      </c>
      <c r="M417" s="31" t="s">
        <v>1311</v>
      </c>
      <c r="N417" s="6"/>
      <c r="O417" s="6"/>
      <c r="P417" s="23"/>
      <c r="Q417" s="2"/>
      <c r="R417" s="2"/>
      <c r="S417" s="2"/>
      <c r="T417" s="2"/>
      <c r="U417" s="2"/>
      <c r="V417" s="2"/>
      <c r="W417" s="2"/>
      <c r="X417" s="2"/>
      <c r="Y417" s="2"/>
    </row>
    <row r="418" spans="1:26" ht="25.5" hidden="1" customHeight="1">
      <c r="A418" s="26">
        <v>221</v>
      </c>
      <c r="B418" s="27" t="s">
        <v>797</v>
      </c>
      <c r="C418" s="28">
        <v>42671</v>
      </c>
      <c r="D418" s="27"/>
      <c r="E418" s="27" t="s">
        <v>1314</v>
      </c>
      <c r="F418" s="29" t="s">
        <v>1315</v>
      </c>
      <c r="G418" s="27"/>
      <c r="H418" s="27" t="s">
        <v>19</v>
      </c>
      <c r="I418" s="27">
        <v>1</v>
      </c>
      <c r="J418" s="30">
        <v>53237972</v>
      </c>
      <c r="K418" s="26" t="s">
        <v>206</v>
      </c>
      <c r="L418" s="26" t="s">
        <v>1310</v>
      </c>
      <c r="M418" s="31" t="s">
        <v>1311</v>
      </c>
      <c r="N418" s="6"/>
      <c r="O418" s="6"/>
      <c r="P418" s="23"/>
      <c r="Q418" s="2"/>
      <c r="R418" s="2"/>
      <c r="S418" s="2"/>
      <c r="T418" s="2"/>
      <c r="U418" s="2"/>
      <c r="V418" s="2"/>
      <c r="W418" s="2"/>
      <c r="X418" s="2"/>
      <c r="Y418" s="2"/>
    </row>
    <row r="419" spans="1:26" ht="25.5" hidden="1" customHeight="1">
      <c r="A419" s="26">
        <v>222</v>
      </c>
      <c r="B419" s="27" t="s">
        <v>797</v>
      </c>
      <c r="C419" s="28">
        <v>42671</v>
      </c>
      <c r="D419" s="27"/>
      <c r="E419" s="27" t="s">
        <v>1316</v>
      </c>
      <c r="F419" s="29" t="s">
        <v>1317</v>
      </c>
      <c r="G419" s="27"/>
      <c r="H419" s="27" t="s">
        <v>19</v>
      </c>
      <c r="I419" s="27">
        <v>1</v>
      </c>
      <c r="J419" s="30">
        <v>53237972</v>
      </c>
      <c r="K419" s="26" t="s">
        <v>206</v>
      </c>
      <c r="L419" s="26" t="s">
        <v>1310</v>
      </c>
      <c r="M419" s="31" t="s">
        <v>1311</v>
      </c>
      <c r="N419" s="6"/>
      <c r="O419" s="6"/>
      <c r="P419" s="23"/>
      <c r="Q419" s="2"/>
      <c r="R419" s="2"/>
      <c r="S419" s="2"/>
      <c r="T419" s="2"/>
      <c r="U419" s="2"/>
      <c r="V419" s="2"/>
      <c r="W419" s="2"/>
      <c r="X419" s="2"/>
      <c r="Y419" s="2"/>
    </row>
    <row r="420" spans="1:26" ht="25.5" hidden="1" customHeight="1">
      <c r="A420" s="26">
        <v>223</v>
      </c>
      <c r="B420" s="27" t="s">
        <v>797</v>
      </c>
      <c r="C420" s="28">
        <v>42671</v>
      </c>
      <c r="D420" s="27"/>
      <c r="E420" s="27" t="s">
        <v>1318</v>
      </c>
      <c r="F420" s="29" t="s">
        <v>1319</v>
      </c>
      <c r="G420" s="27"/>
      <c r="H420" s="27" t="s">
        <v>19</v>
      </c>
      <c r="I420" s="27">
        <v>1</v>
      </c>
      <c r="J420" s="30">
        <v>53237972</v>
      </c>
      <c r="K420" s="26" t="s">
        <v>206</v>
      </c>
      <c r="L420" s="26" t="s">
        <v>1310</v>
      </c>
      <c r="M420" s="31" t="s">
        <v>1311</v>
      </c>
      <c r="N420" s="6"/>
      <c r="O420" s="6"/>
      <c r="P420" s="23"/>
      <c r="Q420" s="2"/>
      <c r="R420" s="2"/>
      <c r="S420" s="2"/>
      <c r="T420" s="2"/>
      <c r="U420" s="2"/>
      <c r="V420" s="2"/>
      <c r="W420" s="2"/>
      <c r="X420" s="2"/>
      <c r="Y420" s="2"/>
    </row>
    <row r="421" spans="1:26" ht="25.5" hidden="1" customHeight="1">
      <c r="A421" s="26">
        <v>224</v>
      </c>
      <c r="B421" s="27" t="s">
        <v>797</v>
      </c>
      <c r="C421" s="28">
        <v>42671</v>
      </c>
      <c r="D421" s="27"/>
      <c r="E421" s="27" t="s">
        <v>1320</v>
      </c>
      <c r="F421" s="29" t="s">
        <v>1321</v>
      </c>
      <c r="G421" s="27"/>
      <c r="H421" s="27" t="s">
        <v>19</v>
      </c>
      <c r="I421" s="27">
        <v>1</v>
      </c>
      <c r="J421" s="30">
        <v>53237972</v>
      </c>
      <c r="K421" s="26" t="s">
        <v>206</v>
      </c>
      <c r="L421" s="26" t="s">
        <v>1310</v>
      </c>
      <c r="M421" s="31" t="s">
        <v>1311</v>
      </c>
      <c r="N421" s="6"/>
      <c r="O421" s="6"/>
      <c r="P421" s="23"/>
      <c r="Q421" s="2"/>
      <c r="R421" s="2"/>
      <c r="S421" s="2"/>
      <c r="T421" s="2"/>
      <c r="U421" s="2"/>
      <c r="V421" s="2"/>
      <c r="W421" s="2"/>
      <c r="X421" s="2"/>
      <c r="Y421" s="2"/>
    </row>
    <row r="422" spans="1:26" ht="25.5" hidden="1" customHeight="1">
      <c r="A422" s="26">
        <v>225</v>
      </c>
      <c r="B422" s="27" t="s">
        <v>797</v>
      </c>
      <c r="C422" s="28">
        <v>42671</v>
      </c>
      <c r="D422" s="27"/>
      <c r="E422" s="27" t="s">
        <v>1322</v>
      </c>
      <c r="F422" s="29" t="s">
        <v>1323</v>
      </c>
      <c r="G422" s="27"/>
      <c r="H422" s="27" t="s">
        <v>19</v>
      </c>
      <c r="I422" s="27">
        <v>1</v>
      </c>
      <c r="J422" s="30">
        <v>53237972</v>
      </c>
      <c r="K422" s="26" t="s">
        <v>206</v>
      </c>
      <c r="L422" s="26" t="s">
        <v>1310</v>
      </c>
      <c r="M422" s="31" t="s">
        <v>1311</v>
      </c>
      <c r="N422" s="6"/>
      <c r="O422" s="6"/>
      <c r="P422" s="23"/>
      <c r="Q422" s="2"/>
      <c r="R422" s="2"/>
      <c r="S422" s="2"/>
      <c r="T422" s="2"/>
      <c r="U422" s="2"/>
      <c r="V422" s="2"/>
      <c r="W422" s="2"/>
      <c r="X422" s="2"/>
      <c r="Y422" s="2"/>
    </row>
    <row r="423" spans="1:26" ht="25.5" hidden="1" customHeight="1">
      <c r="A423" s="26">
        <v>226</v>
      </c>
      <c r="B423" s="27" t="s">
        <v>797</v>
      </c>
      <c r="C423" s="28">
        <v>42671</v>
      </c>
      <c r="D423" s="27"/>
      <c r="E423" s="27" t="s">
        <v>1324</v>
      </c>
      <c r="F423" s="29" t="s">
        <v>1325</v>
      </c>
      <c r="G423" s="27"/>
      <c r="H423" s="27" t="s">
        <v>19</v>
      </c>
      <c r="I423" s="27">
        <v>1</v>
      </c>
      <c r="J423" s="30">
        <v>53237972</v>
      </c>
      <c r="K423" s="26" t="s">
        <v>206</v>
      </c>
      <c r="L423" s="26" t="s">
        <v>1310</v>
      </c>
      <c r="M423" s="31" t="s">
        <v>1311</v>
      </c>
      <c r="N423" s="6"/>
      <c r="O423" s="6"/>
      <c r="P423" s="23"/>
      <c r="Q423" s="2"/>
      <c r="R423" s="2"/>
      <c r="S423" s="2"/>
      <c r="T423" s="2"/>
      <c r="U423" s="2"/>
      <c r="V423" s="2"/>
      <c r="W423" s="2"/>
      <c r="X423" s="2"/>
      <c r="Y423" s="2"/>
    </row>
    <row r="424" spans="1:26" ht="51" hidden="1" customHeight="1">
      <c r="A424" s="26">
        <v>227</v>
      </c>
      <c r="B424" s="27" t="s">
        <v>797</v>
      </c>
      <c r="C424" s="28">
        <v>42671</v>
      </c>
      <c r="D424" s="27"/>
      <c r="E424" s="27" t="s">
        <v>1326</v>
      </c>
      <c r="F424" s="29" t="s">
        <v>1327</v>
      </c>
      <c r="G424" s="27" t="s">
        <v>338</v>
      </c>
      <c r="H424" s="27" t="s">
        <v>157</v>
      </c>
      <c r="I424" s="27">
        <v>1</v>
      </c>
      <c r="J424" s="30">
        <v>435070586</v>
      </c>
      <c r="K424" s="26" t="s">
        <v>206</v>
      </c>
      <c r="L424" s="26" t="s">
        <v>1310</v>
      </c>
      <c r="M424" s="31" t="s">
        <v>1311</v>
      </c>
      <c r="N424" s="6"/>
      <c r="O424" s="6"/>
      <c r="P424" s="23"/>
      <c r="Q424" s="2"/>
      <c r="R424" s="2"/>
      <c r="S424" s="2"/>
      <c r="T424" s="2"/>
      <c r="U424" s="2"/>
      <c r="V424" s="2"/>
      <c r="W424" s="2"/>
      <c r="X424" s="2"/>
      <c r="Y424" s="2"/>
    </row>
    <row r="425" spans="1:26" ht="25.5" hidden="1" customHeight="1">
      <c r="A425" s="26">
        <v>228</v>
      </c>
      <c r="B425" s="27" t="s">
        <v>1143</v>
      </c>
      <c r="C425" s="28">
        <v>43343</v>
      </c>
      <c r="D425" s="27"/>
      <c r="E425" s="27" t="s">
        <v>1328</v>
      </c>
      <c r="F425" s="29" t="s">
        <v>1329</v>
      </c>
      <c r="G425" s="27" t="s">
        <v>55</v>
      </c>
      <c r="H425" s="27" t="s">
        <v>19</v>
      </c>
      <c r="I425" s="27">
        <v>1</v>
      </c>
      <c r="J425" s="30">
        <v>45450000</v>
      </c>
      <c r="K425" s="26" t="s">
        <v>206</v>
      </c>
      <c r="L425" s="26" t="s">
        <v>1330</v>
      </c>
      <c r="M425" s="31" t="s">
        <v>1331</v>
      </c>
      <c r="N425" s="6"/>
      <c r="O425" s="6"/>
      <c r="P425" s="23"/>
      <c r="Q425" s="2"/>
      <c r="R425" s="2"/>
      <c r="S425" s="2"/>
      <c r="T425" s="2"/>
      <c r="U425" s="2"/>
      <c r="V425" s="2"/>
      <c r="W425" s="2"/>
      <c r="X425" s="2"/>
      <c r="Y425" s="2"/>
    </row>
    <row r="426" spans="1:26" ht="25.5" hidden="1" customHeight="1">
      <c r="A426" s="26">
        <v>229</v>
      </c>
      <c r="B426" s="27" t="s">
        <v>1332</v>
      </c>
      <c r="C426" s="28">
        <v>41274</v>
      </c>
      <c r="D426" s="27"/>
      <c r="E426" s="27" t="s">
        <v>1333</v>
      </c>
      <c r="F426" s="29" t="s">
        <v>1334</v>
      </c>
      <c r="G426" s="27" t="s">
        <v>248</v>
      </c>
      <c r="H426" s="27" t="s">
        <v>19</v>
      </c>
      <c r="I426" s="27">
        <v>1</v>
      </c>
      <c r="J426" s="30">
        <v>65131148</v>
      </c>
      <c r="K426" s="26" t="s">
        <v>20</v>
      </c>
      <c r="L426" s="36" t="s">
        <v>229</v>
      </c>
      <c r="M426" s="31" t="str">
        <f>IFERROR(VLOOKUP(E426, TSCD_XUAN!$C$7:$K$1000, 9, 0), "Không tìm thấy")</f>
        <v>MCR cũ, Cam quan sát</v>
      </c>
      <c r="N426" s="6"/>
      <c r="O426" s="6"/>
      <c r="P426" s="23"/>
      <c r="Q426" s="2"/>
      <c r="R426" s="2"/>
      <c r="S426" s="2"/>
      <c r="T426" s="2"/>
      <c r="U426" s="2"/>
      <c r="V426" s="2"/>
      <c r="W426" s="2"/>
      <c r="X426" s="2"/>
      <c r="Y426" s="2"/>
    </row>
    <row r="427" spans="1:26" ht="25.5" hidden="1" customHeight="1">
      <c r="A427" s="26" t="s">
        <v>1335</v>
      </c>
      <c r="B427" s="27"/>
      <c r="C427" s="28"/>
      <c r="D427" s="27"/>
      <c r="E427" s="27" t="s">
        <v>1336</v>
      </c>
      <c r="F427" s="29" t="s">
        <v>1337</v>
      </c>
      <c r="G427" s="27"/>
      <c r="H427" s="27"/>
      <c r="I427" s="27">
        <v>1</v>
      </c>
      <c r="J427" s="30">
        <v>25000000</v>
      </c>
      <c r="K427" s="26" t="s">
        <v>20</v>
      </c>
      <c r="L427" s="36" t="s">
        <v>229</v>
      </c>
      <c r="M427" s="31" t="str">
        <f>IFERROR(VLOOKUP(E427, TSCD_XUAN!$C$7:$K$1000, 9, 0), "Không tìm thấy")</f>
        <v>soft</v>
      </c>
      <c r="N427" s="6"/>
      <c r="O427" s="6"/>
      <c r="P427" s="23"/>
      <c r="Q427" s="2"/>
      <c r="R427" s="2"/>
      <c r="S427" s="2"/>
      <c r="T427" s="2"/>
      <c r="U427" s="2"/>
      <c r="V427" s="2"/>
      <c r="W427" s="2"/>
      <c r="X427" s="2"/>
      <c r="Y427" s="2"/>
    </row>
    <row r="428" spans="1:26" ht="25.5" hidden="1" customHeight="1">
      <c r="A428" s="26">
        <v>230</v>
      </c>
      <c r="B428" s="27" t="s">
        <v>1143</v>
      </c>
      <c r="C428" s="28">
        <v>43343</v>
      </c>
      <c r="D428" s="27"/>
      <c r="E428" s="27" t="s">
        <v>1338</v>
      </c>
      <c r="F428" s="29" t="s">
        <v>1339</v>
      </c>
      <c r="G428" s="27" t="s">
        <v>45</v>
      </c>
      <c r="H428" s="27" t="s">
        <v>19</v>
      </c>
      <c r="I428" s="27">
        <v>1</v>
      </c>
      <c r="J428" s="30">
        <v>78450000</v>
      </c>
      <c r="K428" s="26" t="s">
        <v>20</v>
      </c>
      <c r="L428" s="26" t="s">
        <v>233</v>
      </c>
      <c r="M428" s="31" t="s">
        <v>1340</v>
      </c>
      <c r="N428" s="6"/>
      <c r="O428" s="6"/>
      <c r="P428" s="23"/>
      <c r="Q428" s="2"/>
      <c r="R428" s="2"/>
      <c r="S428" s="2"/>
      <c r="T428" s="2"/>
      <c r="U428" s="2"/>
      <c r="V428" s="2"/>
      <c r="W428" s="2"/>
      <c r="X428" s="2"/>
      <c r="Y428" s="2"/>
    </row>
    <row r="429" spans="1:26" ht="25.5" customHeight="1">
      <c r="A429" s="26">
        <v>231</v>
      </c>
      <c r="B429" s="27" t="s">
        <v>1143</v>
      </c>
      <c r="C429" s="28">
        <v>43343</v>
      </c>
      <c r="D429" s="27"/>
      <c r="E429" s="47" t="s">
        <v>1341</v>
      </c>
      <c r="F429" s="29" t="s">
        <v>1342</v>
      </c>
      <c r="G429" s="27" t="s">
        <v>45</v>
      </c>
      <c r="H429" s="27" t="s">
        <v>19</v>
      </c>
      <c r="I429" s="27">
        <v>1</v>
      </c>
      <c r="J429" s="30">
        <v>78450000</v>
      </c>
      <c r="K429" s="26" t="s">
        <v>20</v>
      </c>
      <c r="L429" s="26" t="s">
        <v>423</v>
      </c>
      <c r="M429" s="31" t="s">
        <v>1343</v>
      </c>
      <c r="N429" s="55"/>
      <c r="O429" s="55"/>
      <c r="P429" s="32"/>
      <c r="Q429" s="2"/>
      <c r="R429" s="2"/>
      <c r="S429" s="2"/>
      <c r="T429" s="2"/>
      <c r="U429" s="2"/>
      <c r="V429" s="2"/>
      <c r="W429" s="2"/>
      <c r="X429" s="2"/>
      <c r="Y429" s="2"/>
    </row>
    <row r="430" spans="1:26" ht="12.75" hidden="1" customHeight="1">
      <c r="A430" s="26">
        <v>232</v>
      </c>
      <c r="B430" s="27" t="s">
        <v>1198</v>
      </c>
      <c r="C430" s="28">
        <v>36160</v>
      </c>
      <c r="D430" s="27" t="s">
        <v>1344</v>
      </c>
      <c r="E430" s="27" t="s">
        <v>1345</v>
      </c>
      <c r="F430" s="29" t="s">
        <v>1346</v>
      </c>
      <c r="G430" s="27"/>
      <c r="H430" s="27" t="s">
        <v>19</v>
      </c>
      <c r="I430" s="27">
        <v>1</v>
      </c>
      <c r="J430" s="30">
        <v>48231975</v>
      </c>
      <c r="K430" s="26" t="s">
        <v>20</v>
      </c>
      <c r="L430" s="36" t="s">
        <v>229</v>
      </c>
      <c r="M430" s="31" t="str">
        <f>IFERROR(VLOOKUP(E430, TSCD_XUAN!$C$7:$K$1000, 9, 0), "Không tìm thấy")</f>
        <v>A2-control: Rack</v>
      </c>
      <c r="N430" s="6"/>
      <c r="O430" s="6"/>
      <c r="P430" s="23"/>
      <c r="Q430" s="2"/>
      <c r="R430" s="2"/>
      <c r="S430" s="2"/>
      <c r="T430" s="2"/>
      <c r="U430" s="2"/>
      <c r="V430" s="2"/>
      <c r="W430" s="2"/>
      <c r="X430" s="2"/>
      <c r="Y430" s="2"/>
    </row>
    <row r="431" spans="1:26" ht="25" hidden="1">
      <c r="A431" s="26" t="s">
        <v>1347</v>
      </c>
      <c r="B431" s="27"/>
      <c r="C431" s="28"/>
      <c r="D431" s="27"/>
      <c r="E431" s="27" t="s">
        <v>1348</v>
      </c>
      <c r="F431" s="29" t="s">
        <v>1349</v>
      </c>
      <c r="G431" s="27"/>
      <c r="H431" s="27"/>
      <c r="I431" s="27">
        <v>1</v>
      </c>
      <c r="J431" s="30"/>
      <c r="K431" s="26" t="s">
        <v>20</v>
      </c>
      <c r="L431" s="36" t="s">
        <v>229</v>
      </c>
      <c r="M431" s="31" t="str">
        <f>IFERROR(VLOOKUP(E431, TSCD_XUAN!$C$7:$K$1000, 9, 0), "Không tìm thấy")</f>
        <v>A2-control: Rack</v>
      </c>
      <c r="N431" s="6"/>
      <c r="O431" s="6"/>
      <c r="P431" s="23"/>
      <c r="Q431" s="2"/>
      <c r="R431" s="2"/>
      <c r="S431" s="2"/>
      <c r="T431" s="2"/>
      <c r="U431" s="2"/>
      <c r="V431" s="2"/>
      <c r="W431" s="2"/>
      <c r="X431" s="2"/>
      <c r="Y431" s="2"/>
    </row>
    <row r="432" spans="1:26" ht="12.75" hidden="1" customHeight="1">
      <c r="A432" s="17" t="s">
        <v>1350</v>
      </c>
      <c r="B432" s="27"/>
      <c r="C432" s="19"/>
      <c r="D432" s="27"/>
      <c r="E432" s="18" t="s">
        <v>1351</v>
      </c>
      <c r="F432" s="20" t="s">
        <v>1352</v>
      </c>
      <c r="G432" s="18"/>
      <c r="H432" s="18"/>
      <c r="I432" s="18">
        <v>1</v>
      </c>
      <c r="J432" s="21"/>
      <c r="K432" s="17" t="s">
        <v>20</v>
      </c>
      <c r="L432" s="17" t="s">
        <v>21</v>
      </c>
      <c r="M432" s="22" t="s">
        <v>22</v>
      </c>
      <c r="N432" s="23"/>
      <c r="O432" s="23"/>
      <c r="P432" s="23"/>
      <c r="Q432" s="24"/>
      <c r="R432" s="24"/>
      <c r="S432" s="24"/>
      <c r="T432" s="24"/>
      <c r="U432" s="24"/>
      <c r="V432" s="24"/>
      <c r="W432" s="24"/>
      <c r="X432" s="24"/>
      <c r="Y432" s="24"/>
      <c r="Z432" s="25"/>
    </row>
    <row r="433" spans="1:26" ht="12.75" hidden="1" customHeight="1">
      <c r="A433" s="17" t="s">
        <v>1353</v>
      </c>
      <c r="B433" s="27"/>
      <c r="C433" s="19"/>
      <c r="D433" s="27"/>
      <c r="E433" s="18" t="s">
        <v>1354</v>
      </c>
      <c r="F433" s="20" t="s">
        <v>1355</v>
      </c>
      <c r="G433" s="18"/>
      <c r="H433" s="18"/>
      <c r="I433" s="18">
        <v>1</v>
      </c>
      <c r="J433" s="21"/>
      <c r="K433" s="17" t="s">
        <v>20</v>
      </c>
      <c r="L433" s="17" t="s">
        <v>21</v>
      </c>
      <c r="M433" s="22" t="s">
        <v>22</v>
      </c>
      <c r="N433" s="23"/>
      <c r="O433" s="23"/>
      <c r="P433" s="23"/>
      <c r="Q433" s="24"/>
      <c r="R433" s="24"/>
      <c r="S433" s="24"/>
      <c r="T433" s="24"/>
      <c r="U433" s="24"/>
      <c r="V433" s="24"/>
      <c r="W433" s="24"/>
      <c r="X433" s="24"/>
      <c r="Y433" s="24"/>
      <c r="Z433" s="25"/>
    </row>
    <row r="434" spans="1:26" ht="25" hidden="1">
      <c r="A434" s="26">
        <v>233</v>
      </c>
      <c r="B434" s="27" t="s">
        <v>470</v>
      </c>
      <c r="C434" s="28">
        <v>41983</v>
      </c>
      <c r="D434" s="27"/>
      <c r="E434" s="27" t="s">
        <v>1356</v>
      </c>
      <c r="F434" s="29" t="s">
        <v>1357</v>
      </c>
      <c r="G434" s="27" t="s">
        <v>248</v>
      </c>
      <c r="H434" s="27" t="s">
        <v>19</v>
      </c>
      <c r="I434" s="27">
        <v>1</v>
      </c>
      <c r="J434" s="30">
        <v>123652652</v>
      </c>
      <c r="K434" s="26" t="s">
        <v>20</v>
      </c>
      <c r="L434" s="36" t="s">
        <v>229</v>
      </c>
      <c r="M434" s="31" t="str">
        <f>IFERROR(VLOOKUP(E434, TSCD_XUAN!$C$7:$K$1000, 9, 0), "Không tìm thấy")</f>
        <v>TTPH-Kho lầu 2</v>
      </c>
      <c r="N434" s="6"/>
      <c r="O434" s="6" t="s">
        <v>1358</v>
      </c>
      <c r="P434" s="23"/>
      <c r="Q434" s="2"/>
      <c r="R434" s="2"/>
      <c r="S434" s="2"/>
      <c r="T434" s="2"/>
      <c r="U434" s="2"/>
      <c r="V434" s="2"/>
      <c r="W434" s="2"/>
      <c r="X434" s="2"/>
      <c r="Y434" s="2"/>
    </row>
    <row r="435" spans="1:26" ht="25.5" hidden="1" customHeight="1">
      <c r="A435" s="26">
        <v>234</v>
      </c>
      <c r="B435" s="27" t="s">
        <v>909</v>
      </c>
      <c r="C435" s="28">
        <v>41999</v>
      </c>
      <c r="D435" s="27"/>
      <c r="E435" s="27" t="s">
        <v>1359</v>
      </c>
      <c r="F435" s="29" t="s">
        <v>1360</v>
      </c>
      <c r="G435" s="27" t="s">
        <v>55</v>
      </c>
      <c r="H435" s="27" t="s">
        <v>19</v>
      </c>
      <c r="I435" s="27">
        <v>1</v>
      </c>
      <c r="J435" s="30">
        <v>105321737</v>
      </c>
      <c r="K435" s="26" t="s">
        <v>20</v>
      </c>
      <c r="L435" s="26" t="s">
        <v>233</v>
      </c>
      <c r="M435" s="31" t="s">
        <v>1361</v>
      </c>
      <c r="N435" s="6"/>
      <c r="O435" s="6"/>
      <c r="P435" s="23"/>
      <c r="Q435" s="2"/>
      <c r="R435" s="2"/>
      <c r="S435" s="2"/>
      <c r="T435" s="2"/>
      <c r="U435" s="2"/>
      <c r="V435" s="2"/>
      <c r="W435" s="2"/>
      <c r="X435" s="2"/>
      <c r="Y435" s="2"/>
    </row>
    <row r="436" spans="1:26" ht="25.5" hidden="1" customHeight="1">
      <c r="A436" s="26" t="s">
        <v>1362</v>
      </c>
      <c r="B436" s="27"/>
      <c r="C436" s="28"/>
      <c r="D436" s="27"/>
      <c r="E436" s="27" t="s">
        <v>1363</v>
      </c>
      <c r="F436" s="29" t="s">
        <v>1364</v>
      </c>
      <c r="G436" s="27" t="s">
        <v>55</v>
      </c>
      <c r="H436" s="27" t="s">
        <v>19</v>
      </c>
      <c r="I436" s="27">
        <v>1</v>
      </c>
      <c r="J436" s="30">
        <v>12904366</v>
      </c>
      <c r="K436" s="26" t="s">
        <v>20</v>
      </c>
      <c r="L436" s="26" t="s">
        <v>233</v>
      </c>
      <c r="M436" s="31" t="s">
        <v>1365</v>
      </c>
      <c r="N436" s="6"/>
      <c r="O436" s="6"/>
      <c r="P436" s="23"/>
      <c r="Q436" s="2"/>
      <c r="R436" s="2"/>
      <c r="S436" s="2"/>
      <c r="T436" s="2"/>
      <c r="U436" s="2"/>
      <c r="V436" s="2"/>
      <c r="W436" s="2"/>
      <c r="X436" s="2"/>
      <c r="Y436" s="2"/>
    </row>
    <row r="437" spans="1:26" ht="25.5" hidden="1" customHeight="1">
      <c r="A437" s="26" t="s">
        <v>1366</v>
      </c>
      <c r="B437" s="27"/>
      <c r="C437" s="28"/>
      <c r="D437" s="27"/>
      <c r="E437" s="27" t="s">
        <v>1367</v>
      </c>
      <c r="F437" s="29" t="s">
        <v>1368</v>
      </c>
      <c r="G437" s="27" t="s">
        <v>55</v>
      </c>
      <c r="H437" s="27" t="s">
        <v>19</v>
      </c>
      <c r="I437" s="27">
        <v>1</v>
      </c>
      <c r="J437" s="30">
        <v>12904366</v>
      </c>
      <c r="K437" s="26" t="s">
        <v>20</v>
      </c>
      <c r="L437" s="26" t="s">
        <v>233</v>
      </c>
      <c r="M437" s="31" t="s">
        <v>1369</v>
      </c>
      <c r="N437" s="6"/>
      <c r="O437" s="6"/>
      <c r="P437" s="23"/>
      <c r="Q437" s="2"/>
      <c r="R437" s="2"/>
      <c r="S437" s="2"/>
      <c r="T437" s="2"/>
      <c r="U437" s="2"/>
      <c r="V437" s="2"/>
      <c r="W437" s="2"/>
      <c r="X437" s="2"/>
      <c r="Y437" s="2"/>
    </row>
    <row r="438" spans="1:26" ht="25.5" hidden="1" customHeight="1">
      <c r="A438" s="26" t="s">
        <v>1370</v>
      </c>
      <c r="B438" s="27"/>
      <c r="C438" s="28"/>
      <c r="D438" s="27"/>
      <c r="E438" s="27" t="s">
        <v>1371</v>
      </c>
      <c r="F438" s="29" t="s">
        <v>1372</v>
      </c>
      <c r="G438" s="27" t="s">
        <v>55</v>
      </c>
      <c r="H438" s="27" t="s">
        <v>19</v>
      </c>
      <c r="I438" s="27">
        <v>1</v>
      </c>
      <c r="J438" s="30">
        <v>12904366</v>
      </c>
      <c r="K438" s="26" t="s">
        <v>20</v>
      </c>
      <c r="L438" s="26" t="s">
        <v>233</v>
      </c>
      <c r="M438" s="31" t="s">
        <v>1369</v>
      </c>
      <c r="N438" s="6"/>
      <c r="O438" s="6"/>
      <c r="P438" s="23"/>
      <c r="Q438" s="2"/>
      <c r="R438" s="2"/>
      <c r="S438" s="2"/>
      <c r="T438" s="2"/>
      <c r="U438" s="2"/>
      <c r="V438" s="2"/>
      <c r="W438" s="2"/>
      <c r="X438" s="2"/>
      <c r="Y438" s="2"/>
    </row>
    <row r="439" spans="1:26" ht="25.5" hidden="1" customHeight="1">
      <c r="A439" s="26" t="s">
        <v>1373</v>
      </c>
      <c r="B439" s="27"/>
      <c r="C439" s="28"/>
      <c r="D439" s="27"/>
      <c r="E439" s="27" t="s">
        <v>1374</v>
      </c>
      <c r="F439" s="29" t="s">
        <v>1375</v>
      </c>
      <c r="G439" s="27" t="s">
        <v>55</v>
      </c>
      <c r="H439" s="27" t="s">
        <v>19</v>
      </c>
      <c r="I439" s="27">
        <v>1</v>
      </c>
      <c r="J439" s="30">
        <v>12904366</v>
      </c>
      <c r="K439" s="26" t="s">
        <v>20</v>
      </c>
      <c r="L439" s="26" t="s">
        <v>233</v>
      </c>
      <c r="M439" s="31" t="s">
        <v>1376</v>
      </c>
      <c r="N439" s="6"/>
      <c r="O439" s="6"/>
      <c r="P439" s="23"/>
      <c r="Q439" s="2"/>
      <c r="R439" s="2"/>
      <c r="S439" s="2"/>
      <c r="T439" s="2"/>
      <c r="U439" s="2"/>
      <c r="V439" s="2"/>
      <c r="W439" s="2"/>
      <c r="X439" s="2"/>
      <c r="Y439" s="2"/>
    </row>
    <row r="440" spans="1:26" ht="25.5" hidden="1" customHeight="1">
      <c r="A440" s="38">
        <v>235</v>
      </c>
      <c r="B440" s="27" t="s">
        <v>1377</v>
      </c>
      <c r="C440" s="40">
        <v>37986</v>
      </c>
      <c r="D440" s="27" t="s">
        <v>1378</v>
      </c>
      <c r="E440" s="67" t="s">
        <v>1379</v>
      </c>
      <c r="F440" s="41" t="s">
        <v>1380</v>
      </c>
      <c r="G440" s="27"/>
      <c r="H440" s="27"/>
      <c r="I440" s="27">
        <v>1</v>
      </c>
      <c r="J440" s="42">
        <v>127361061</v>
      </c>
      <c r="K440" s="38" t="s">
        <v>206</v>
      </c>
      <c r="L440" s="43" t="s">
        <v>1310</v>
      </c>
      <c r="M440" s="43" t="s">
        <v>1381</v>
      </c>
      <c r="N440" s="6"/>
      <c r="O440" s="6"/>
      <c r="P440" s="23"/>
      <c r="Q440" s="2"/>
      <c r="R440" s="2"/>
      <c r="S440" s="2"/>
      <c r="T440" s="2"/>
      <c r="U440" s="2"/>
      <c r="V440" s="2"/>
      <c r="W440" s="2"/>
      <c r="X440" s="2"/>
      <c r="Y440" s="2"/>
    </row>
    <row r="441" spans="1:26" ht="12.75" hidden="1" customHeight="1">
      <c r="A441" s="38">
        <v>236</v>
      </c>
      <c r="B441" s="27" t="s">
        <v>1382</v>
      </c>
      <c r="C441" s="40">
        <v>36160</v>
      </c>
      <c r="D441" s="27" t="s">
        <v>1383</v>
      </c>
      <c r="E441" s="39" t="s">
        <v>1384</v>
      </c>
      <c r="F441" s="41" t="s">
        <v>1385</v>
      </c>
      <c r="G441" s="27"/>
      <c r="H441" s="27" t="s">
        <v>249</v>
      </c>
      <c r="I441" s="27">
        <v>1</v>
      </c>
      <c r="J441" s="42">
        <v>455462008</v>
      </c>
      <c r="K441" s="38" t="s">
        <v>206</v>
      </c>
      <c r="L441" s="43" t="s">
        <v>1310</v>
      </c>
      <c r="M441" s="43" t="s">
        <v>1381</v>
      </c>
      <c r="N441" s="6"/>
      <c r="O441" s="6"/>
      <c r="P441" s="23"/>
      <c r="Q441" s="2"/>
      <c r="R441" s="2"/>
      <c r="S441" s="2"/>
      <c r="T441" s="2"/>
      <c r="U441" s="2"/>
      <c r="V441" s="2"/>
      <c r="W441" s="2"/>
      <c r="X441" s="2"/>
      <c r="Y441" s="2"/>
    </row>
    <row r="442" spans="1:26" ht="38.25" hidden="1" customHeight="1">
      <c r="A442" s="26">
        <v>237</v>
      </c>
      <c r="B442" s="27" t="s">
        <v>1386</v>
      </c>
      <c r="C442" s="28">
        <v>36525</v>
      </c>
      <c r="D442" s="27" t="s">
        <v>1387</v>
      </c>
      <c r="E442" s="27" t="s">
        <v>1388</v>
      </c>
      <c r="F442" s="29" t="s">
        <v>1389</v>
      </c>
      <c r="G442" s="27"/>
      <c r="H442" s="27"/>
      <c r="I442" s="27">
        <v>1</v>
      </c>
      <c r="J442" s="30">
        <v>63710903</v>
      </c>
      <c r="K442" s="26" t="s">
        <v>36</v>
      </c>
      <c r="L442" s="26" t="s">
        <v>37</v>
      </c>
      <c r="M442" s="31" t="s">
        <v>1390</v>
      </c>
      <c r="N442" s="6"/>
      <c r="O442" s="6"/>
      <c r="P442" s="23"/>
      <c r="Q442" s="2"/>
      <c r="R442" s="2"/>
      <c r="S442" s="2"/>
      <c r="T442" s="2"/>
      <c r="U442" s="2"/>
      <c r="V442" s="2"/>
      <c r="W442" s="2"/>
      <c r="X442" s="2"/>
      <c r="Y442" s="2"/>
    </row>
    <row r="443" spans="1:26" ht="25.5" hidden="1" customHeight="1">
      <c r="A443" s="26">
        <v>238</v>
      </c>
      <c r="B443" s="27" t="s">
        <v>1386</v>
      </c>
      <c r="C443" s="28">
        <v>36525</v>
      </c>
      <c r="D443" s="27" t="s">
        <v>1391</v>
      </c>
      <c r="E443" s="27" t="s">
        <v>1392</v>
      </c>
      <c r="F443" s="29" t="s">
        <v>1393</v>
      </c>
      <c r="G443" s="27"/>
      <c r="H443" s="27"/>
      <c r="I443" s="27">
        <v>1</v>
      </c>
      <c r="J443" s="30">
        <v>54301513</v>
      </c>
      <c r="K443" s="26" t="s">
        <v>206</v>
      </c>
      <c r="L443" s="26" t="s">
        <v>1310</v>
      </c>
      <c r="M443" s="31" t="s">
        <v>1394</v>
      </c>
      <c r="N443" s="6"/>
      <c r="O443" s="6"/>
      <c r="P443" s="23"/>
      <c r="Q443" s="2"/>
      <c r="R443" s="2"/>
      <c r="S443" s="2"/>
      <c r="T443" s="2"/>
      <c r="U443" s="2"/>
      <c r="V443" s="2"/>
      <c r="W443" s="2"/>
      <c r="X443" s="2"/>
      <c r="Y443" s="2"/>
    </row>
    <row r="444" spans="1:26" ht="38.25" hidden="1" customHeight="1">
      <c r="A444" s="26">
        <v>239</v>
      </c>
      <c r="B444" s="27" t="s">
        <v>1386</v>
      </c>
      <c r="C444" s="28">
        <v>36525</v>
      </c>
      <c r="D444" s="27" t="s">
        <v>1395</v>
      </c>
      <c r="E444" s="27" t="s">
        <v>1396</v>
      </c>
      <c r="F444" s="29" t="s">
        <v>1397</v>
      </c>
      <c r="G444" s="27"/>
      <c r="H444" s="27"/>
      <c r="I444" s="27">
        <v>1</v>
      </c>
      <c r="J444" s="30">
        <v>67292011</v>
      </c>
      <c r="K444" s="26" t="s">
        <v>36</v>
      </c>
      <c r="L444" s="26" t="s">
        <v>37</v>
      </c>
      <c r="M444" s="31" t="s">
        <v>1398</v>
      </c>
      <c r="N444" s="6"/>
      <c r="O444" s="6"/>
      <c r="P444" s="23"/>
      <c r="Q444" s="2"/>
      <c r="R444" s="2"/>
      <c r="S444" s="2"/>
      <c r="T444" s="2"/>
      <c r="U444" s="2"/>
      <c r="V444" s="2"/>
      <c r="W444" s="2"/>
      <c r="X444" s="2"/>
      <c r="Y444" s="2"/>
    </row>
    <row r="445" spans="1:26" ht="38.25" hidden="1" customHeight="1">
      <c r="A445" s="26">
        <v>240</v>
      </c>
      <c r="B445" s="27" t="s">
        <v>1399</v>
      </c>
      <c r="C445" s="28">
        <v>36891</v>
      </c>
      <c r="D445" s="27" t="s">
        <v>1400</v>
      </c>
      <c r="E445" s="27" t="s">
        <v>1401</v>
      </c>
      <c r="F445" s="29" t="s">
        <v>1402</v>
      </c>
      <c r="G445" s="27"/>
      <c r="H445" s="27" t="s">
        <v>19</v>
      </c>
      <c r="I445" s="27">
        <v>1</v>
      </c>
      <c r="J445" s="30">
        <v>40126693</v>
      </c>
      <c r="K445" s="26" t="s">
        <v>36</v>
      </c>
      <c r="L445" s="26" t="s">
        <v>37</v>
      </c>
      <c r="M445" s="31" t="s">
        <v>1390</v>
      </c>
      <c r="N445" s="6"/>
      <c r="O445" s="6"/>
      <c r="P445" s="23"/>
      <c r="Q445" s="2"/>
      <c r="R445" s="2"/>
      <c r="S445" s="2"/>
      <c r="T445" s="2"/>
      <c r="U445" s="2"/>
      <c r="V445" s="2"/>
      <c r="W445" s="2"/>
      <c r="X445" s="2"/>
      <c r="Y445" s="2"/>
    </row>
    <row r="446" spans="1:26" ht="38.25" hidden="1" customHeight="1">
      <c r="A446" s="26" t="s">
        <v>1403</v>
      </c>
      <c r="B446" s="27"/>
      <c r="C446" s="28"/>
      <c r="D446" s="27"/>
      <c r="E446" s="27" t="s">
        <v>1404</v>
      </c>
      <c r="F446" s="29" t="s">
        <v>1405</v>
      </c>
      <c r="G446" s="27"/>
      <c r="H446" s="27"/>
      <c r="I446" s="27">
        <v>1</v>
      </c>
      <c r="J446" s="30">
        <v>0</v>
      </c>
      <c r="K446" s="26" t="s">
        <v>36</v>
      </c>
      <c r="L446" s="26" t="s">
        <v>37</v>
      </c>
      <c r="M446" s="31" t="s">
        <v>1390</v>
      </c>
      <c r="N446" s="6"/>
      <c r="O446" s="6"/>
      <c r="P446" s="23"/>
      <c r="Q446" s="2"/>
      <c r="R446" s="2"/>
      <c r="S446" s="2"/>
      <c r="T446" s="2"/>
      <c r="U446" s="2"/>
      <c r="V446" s="2"/>
      <c r="W446" s="2"/>
      <c r="X446" s="2"/>
      <c r="Y446" s="2"/>
    </row>
    <row r="447" spans="1:26" ht="38.25" hidden="1" customHeight="1">
      <c r="A447" s="26" t="s">
        <v>1406</v>
      </c>
      <c r="B447" s="27"/>
      <c r="C447" s="28"/>
      <c r="D447" s="27"/>
      <c r="E447" s="27" t="s">
        <v>1407</v>
      </c>
      <c r="F447" s="29" t="s">
        <v>1408</v>
      </c>
      <c r="G447" s="27"/>
      <c r="H447" s="27"/>
      <c r="I447" s="27">
        <v>1</v>
      </c>
      <c r="J447" s="30">
        <v>0</v>
      </c>
      <c r="K447" s="26" t="s">
        <v>36</v>
      </c>
      <c r="L447" s="26" t="s">
        <v>37</v>
      </c>
      <c r="M447" s="31" t="s">
        <v>1390</v>
      </c>
      <c r="N447" s="6"/>
      <c r="O447" s="6"/>
      <c r="P447" s="23"/>
      <c r="Q447" s="2"/>
      <c r="R447" s="2"/>
      <c r="S447" s="2"/>
      <c r="T447" s="2"/>
      <c r="U447" s="2"/>
      <c r="V447" s="2"/>
      <c r="W447" s="2"/>
      <c r="X447" s="2"/>
      <c r="Y447" s="2"/>
    </row>
    <row r="448" spans="1:26" ht="25.5" hidden="1" customHeight="1">
      <c r="A448" s="26">
        <v>241</v>
      </c>
      <c r="B448" s="27" t="s">
        <v>1409</v>
      </c>
      <c r="C448" s="28">
        <v>37880</v>
      </c>
      <c r="D448" s="27" t="s">
        <v>1410</v>
      </c>
      <c r="E448" s="27" t="s">
        <v>1411</v>
      </c>
      <c r="F448" s="29" t="s">
        <v>1412</v>
      </c>
      <c r="G448" s="27"/>
      <c r="H448" s="27"/>
      <c r="I448" s="27">
        <v>1</v>
      </c>
      <c r="J448" s="30">
        <v>55326451</v>
      </c>
      <c r="K448" s="26" t="s">
        <v>36</v>
      </c>
      <c r="L448" s="26" t="s">
        <v>37</v>
      </c>
      <c r="M448" s="31" t="s">
        <v>1413</v>
      </c>
      <c r="N448" s="6"/>
      <c r="O448" s="6"/>
      <c r="P448" s="23"/>
      <c r="Q448" s="2"/>
      <c r="R448" s="2"/>
      <c r="S448" s="2"/>
      <c r="T448" s="2"/>
      <c r="U448" s="2"/>
      <c r="V448" s="2"/>
      <c r="W448" s="2"/>
      <c r="X448" s="2"/>
      <c r="Y448" s="2"/>
    </row>
    <row r="449" spans="1:26" ht="12.75" hidden="1" customHeight="1">
      <c r="A449" s="26">
        <v>242</v>
      </c>
      <c r="B449" s="27" t="s">
        <v>1414</v>
      </c>
      <c r="C449" s="28">
        <v>38681</v>
      </c>
      <c r="D449" s="27" t="s">
        <v>1415</v>
      </c>
      <c r="E449" s="27" t="s">
        <v>1416</v>
      </c>
      <c r="F449" s="29" t="s">
        <v>1417</v>
      </c>
      <c r="G449" s="27"/>
      <c r="H449" s="27"/>
      <c r="I449" s="27">
        <v>1</v>
      </c>
      <c r="J449" s="30">
        <v>173812290</v>
      </c>
      <c r="K449" s="26" t="s">
        <v>206</v>
      </c>
      <c r="L449" s="26" t="s">
        <v>1310</v>
      </c>
      <c r="M449" s="31" t="s">
        <v>1394</v>
      </c>
      <c r="N449" s="6"/>
      <c r="O449" s="6"/>
      <c r="P449" s="23"/>
      <c r="Q449" s="2"/>
      <c r="R449" s="2"/>
      <c r="S449" s="2"/>
      <c r="T449" s="2"/>
      <c r="U449" s="2"/>
      <c r="V449" s="2"/>
      <c r="W449" s="2"/>
      <c r="X449" s="2"/>
      <c r="Y449" s="2"/>
    </row>
    <row r="450" spans="1:26" ht="12.75" hidden="1" customHeight="1">
      <c r="A450" s="17">
        <v>243</v>
      </c>
      <c r="B450" s="27" t="s">
        <v>1418</v>
      </c>
      <c r="C450" s="19">
        <v>39225</v>
      </c>
      <c r="D450" s="27"/>
      <c r="E450" s="18" t="s">
        <v>1419</v>
      </c>
      <c r="F450" s="20" t="s">
        <v>1420</v>
      </c>
      <c r="G450" s="18"/>
      <c r="H450" s="18" t="s">
        <v>19</v>
      </c>
      <c r="I450" s="18">
        <v>1</v>
      </c>
      <c r="J450" s="21">
        <v>363026314</v>
      </c>
      <c r="K450" s="17" t="s">
        <v>20</v>
      </c>
      <c r="L450" s="17" t="s">
        <v>21</v>
      </c>
      <c r="M450" s="22" t="s">
        <v>22</v>
      </c>
      <c r="N450" s="23"/>
      <c r="O450" s="23"/>
      <c r="P450" s="23"/>
      <c r="Q450" s="24"/>
      <c r="R450" s="24"/>
      <c r="S450" s="24"/>
      <c r="T450" s="24"/>
      <c r="U450" s="24"/>
      <c r="V450" s="24"/>
      <c r="W450" s="24"/>
      <c r="X450" s="24"/>
      <c r="Y450" s="24"/>
      <c r="Z450" s="25"/>
    </row>
    <row r="451" spans="1:26" ht="38.25" hidden="1" customHeight="1">
      <c r="A451" s="26">
        <v>244</v>
      </c>
      <c r="B451" s="27" t="s">
        <v>1421</v>
      </c>
      <c r="C451" s="28">
        <v>39263</v>
      </c>
      <c r="D451" s="27"/>
      <c r="E451" s="27" t="s">
        <v>1422</v>
      </c>
      <c r="F451" s="29" t="s">
        <v>1423</v>
      </c>
      <c r="G451" s="27"/>
      <c r="H451" s="27" t="s">
        <v>157</v>
      </c>
      <c r="I451" s="27">
        <v>1</v>
      </c>
      <c r="J451" s="30">
        <v>465062528</v>
      </c>
      <c r="K451" s="26" t="s">
        <v>20</v>
      </c>
      <c r="L451" s="26" t="s">
        <v>295</v>
      </c>
      <c r="M451" s="31" t="s">
        <v>1424</v>
      </c>
      <c r="N451" s="6"/>
      <c r="O451" s="6"/>
      <c r="P451" s="23"/>
      <c r="Q451" s="2"/>
      <c r="R451" s="2"/>
      <c r="S451" s="2"/>
      <c r="T451" s="2"/>
      <c r="U451" s="2"/>
      <c r="V451" s="2"/>
      <c r="W451" s="2"/>
      <c r="X451" s="2"/>
      <c r="Y451" s="2"/>
    </row>
    <row r="452" spans="1:26" ht="25.5" hidden="1" customHeight="1">
      <c r="A452" s="26" t="s">
        <v>1425</v>
      </c>
      <c r="B452" s="27"/>
      <c r="C452" s="28"/>
      <c r="D452" s="27"/>
      <c r="E452" s="27" t="s">
        <v>1426</v>
      </c>
      <c r="F452" s="29" t="s">
        <v>1427</v>
      </c>
      <c r="G452" s="27"/>
      <c r="H452" s="27"/>
      <c r="I452" s="27">
        <v>1</v>
      </c>
      <c r="J452" s="30">
        <v>0</v>
      </c>
      <c r="K452" s="26" t="s">
        <v>20</v>
      </c>
      <c r="L452" s="26" t="s">
        <v>295</v>
      </c>
      <c r="M452" s="31" t="s">
        <v>1428</v>
      </c>
      <c r="N452" s="6"/>
      <c r="O452" s="6"/>
      <c r="P452" s="23"/>
      <c r="Q452" s="2"/>
      <c r="R452" s="2"/>
      <c r="S452" s="2"/>
      <c r="T452" s="2"/>
      <c r="U452" s="2"/>
      <c r="V452" s="2"/>
      <c r="W452" s="2"/>
      <c r="X452" s="2"/>
      <c r="Y452" s="2"/>
    </row>
    <row r="453" spans="1:26" ht="12.75" hidden="1" customHeight="1">
      <c r="A453" s="26" t="s">
        <v>1429</v>
      </c>
      <c r="B453" s="27"/>
      <c r="C453" s="28"/>
      <c r="D453" s="27"/>
      <c r="E453" s="27" t="s">
        <v>1430</v>
      </c>
      <c r="F453" s="29" t="s">
        <v>1431</v>
      </c>
      <c r="G453" s="27"/>
      <c r="H453" s="27"/>
      <c r="I453" s="27">
        <v>1</v>
      </c>
      <c r="J453" s="30">
        <v>0</v>
      </c>
      <c r="K453" s="26" t="s">
        <v>20</v>
      </c>
      <c r="L453" s="26" t="s">
        <v>295</v>
      </c>
      <c r="M453" s="31" t="s">
        <v>1428</v>
      </c>
      <c r="N453" s="6"/>
      <c r="O453" s="6"/>
      <c r="P453" s="23"/>
      <c r="Q453" s="2"/>
      <c r="R453" s="2"/>
      <c r="S453" s="2"/>
      <c r="T453" s="2"/>
      <c r="U453" s="2"/>
      <c r="V453" s="2"/>
      <c r="W453" s="2"/>
      <c r="X453" s="2"/>
      <c r="Y453" s="2"/>
    </row>
    <row r="454" spans="1:26" ht="12.75" customHeight="1">
      <c r="A454" s="26">
        <v>245</v>
      </c>
      <c r="B454" s="27" t="s">
        <v>1432</v>
      </c>
      <c r="C454" s="28">
        <v>39433</v>
      </c>
      <c r="D454" s="27"/>
      <c r="E454" s="47" t="s">
        <v>1433</v>
      </c>
      <c r="F454" s="29" t="s">
        <v>1434</v>
      </c>
      <c r="G454" s="27" t="s">
        <v>1435</v>
      </c>
      <c r="H454" s="27" t="s">
        <v>249</v>
      </c>
      <c r="I454" s="27">
        <v>1</v>
      </c>
      <c r="J454" s="30">
        <v>34116387</v>
      </c>
      <c r="K454" s="26" t="s">
        <v>20</v>
      </c>
      <c r="L454" s="26" t="s">
        <v>423</v>
      </c>
      <c r="M454" s="31" t="s">
        <v>1436</v>
      </c>
      <c r="N454" s="7"/>
      <c r="O454" s="7" t="str">
        <f ca="1">IFERROR(__xludf.DUMMYFUNCTION("IFERROR(INDEX(Sheet1!$C:$C, MAX(FILTER(ROW(Sheet1!$B:$B), Sheet1!$B:$B=E454))), """")"),"")</f>
        <v/>
      </c>
      <c r="P454" s="23"/>
      <c r="Q454" s="2"/>
      <c r="R454" s="2"/>
      <c r="S454" s="2"/>
      <c r="T454" s="2"/>
      <c r="U454" s="2"/>
      <c r="V454" s="2"/>
      <c r="W454" s="2"/>
      <c r="X454" s="2"/>
      <c r="Y454" s="2"/>
    </row>
    <row r="455" spans="1:26" ht="12.75" hidden="1" customHeight="1">
      <c r="A455" s="26">
        <v>246</v>
      </c>
      <c r="B455" s="27" t="s">
        <v>1437</v>
      </c>
      <c r="C455" s="28">
        <v>40767</v>
      </c>
      <c r="D455" s="27"/>
      <c r="E455" s="27" t="s">
        <v>1438</v>
      </c>
      <c r="F455" s="29" t="s">
        <v>1439</v>
      </c>
      <c r="G455" s="27"/>
      <c r="H455" s="27" t="s">
        <v>249</v>
      </c>
      <c r="I455" s="27">
        <v>1</v>
      </c>
      <c r="J455" s="30">
        <v>168976663</v>
      </c>
      <c r="K455" s="26" t="s">
        <v>206</v>
      </c>
      <c r="L455" s="26" t="s">
        <v>1310</v>
      </c>
      <c r="M455" s="31" t="s">
        <v>1440</v>
      </c>
      <c r="N455" s="6"/>
      <c r="O455" s="6"/>
      <c r="P455" s="23"/>
      <c r="Q455" s="2"/>
      <c r="R455" s="2"/>
      <c r="S455" s="2"/>
      <c r="T455" s="2"/>
      <c r="U455" s="2"/>
      <c r="V455" s="2"/>
      <c r="W455" s="2"/>
      <c r="X455" s="2"/>
      <c r="Y455" s="2"/>
    </row>
    <row r="456" spans="1:26" ht="12.75" hidden="1" customHeight="1">
      <c r="A456" s="26">
        <v>247</v>
      </c>
      <c r="B456" s="27" t="s">
        <v>1437</v>
      </c>
      <c r="C456" s="28">
        <v>40767</v>
      </c>
      <c r="D456" s="27"/>
      <c r="E456" s="27" t="s">
        <v>1441</v>
      </c>
      <c r="F456" s="29" t="s">
        <v>1442</v>
      </c>
      <c r="G456" s="27"/>
      <c r="H456" s="27" t="s">
        <v>249</v>
      </c>
      <c r="I456" s="27">
        <v>1</v>
      </c>
      <c r="J456" s="30">
        <v>139770820</v>
      </c>
      <c r="K456" s="26" t="s">
        <v>206</v>
      </c>
      <c r="L456" s="26" t="s">
        <v>1310</v>
      </c>
      <c r="M456" s="31" t="s">
        <v>1443</v>
      </c>
      <c r="N456" s="6"/>
      <c r="O456" s="6"/>
      <c r="P456" s="23"/>
      <c r="Q456" s="2"/>
      <c r="R456" s="2"/>
      <c r="S456" s="2"/>
      <c r="T456" s="2"/>
      <c r="U456" s="2"/>
      <c r="V456" s="2"/>
      <c r="W456" s="2"/>
      <c r="X456" s="2"/>
      <c r="Y456" s="2"/>
    </row>
    <row r="457" spans="1:26" ht="25.5" hidden="1" customHeight="1">
      <c r="A457" s="17">
        <v>248</v>
      </c>
      <c r="B457" s="27" t="s">
        <v>1444</v>
      </c>
      <c r="C457" s="19">
        <v>39980</v>
      </c>
      <c r="D457" s="27"/>
      <c r="E457" s="18" t="s">
        <v>1445</v>
      </c>
      <c r="F457" s="20" t="s">
        <v>1446</v>
      </c>
      <c r="G457" s="18" t="s">
        <v>55</v>
      </c>
      <c r="H457" s="18" t="s">
        <v>19</v>
      </c>
      <c r="I457" s="18">
        <v>1</v>
      </c>
      <c r="J457" s="21">
        <v>1380524091</v>
      </c>
      <c r="K457" s="17" t="s">
        <v>20</v>
      </c>
      <c r="L457" s="17" t="s">
        <v>21</v>
      </c>
      <c r="M457" s="22" t="s">
        <v>22</v>
      </c>
      <c r="N457" s="23"/>
      <c r="O457" s="23"/>
      <c r="P457" s="23"/>
      <c r="Q457" s="24"/>
      <c r="R457" s="24"/>
      <c r="S457" s="24"/>
      <c r="T457" s="24"/>
      <c r="U457" s="24"/>
      <c r="V457" s="24"/>
      <c r="W457" s="24"/>
      <c r="X457" s="24"/>
      <c r="Y457" s="24"/>
      <c r="Z457" s="25"/>
    </row>
    <row r="458" spans="1:26" ht="25.5" hidden="1" customHeight="1">
      <c r="A458" s="17" t="s">
        <v>1447</v>
      </c>
      <c r="B458" s="27"/>
      <c r="C458" s="19"/>
      <c r="D458" s="27"/>
      <c r="E458" s="18" t="s">
        <v>1448</v>
      </c>
      <c r="F458" s="20" t="s">
        <v>1449</v>
      </c>
      <c r="G458" s="18"/>
      <c r="H458" s="18"/>
      <c r="I458" s="18">
        <v>1</v>
      </c>
      <c r="J458" s="21">
        <v>0</v>
      </c>
      <c r="K458" s="17" t="s">
        <v>20</v>
      </c>
      <c r="L458" s="17" t="s">
        <v>21</v>
      </c>
      <c r="M458" s="22" t="s">
        <v>22</v>
      </c>
      <c r="N458" s="23"/>
      <c r="O458" s="23"/>
      <c r="P458" s="23"/>
      <c r="Q458" s="24"/>
      <c r="R458" s="24"/>
      <c r="S458" s="24"/>
      <c r="T458" s="24"/>
      <c r="U458" s="24"/>
      <c r="V458" s="24"/>
      <c r="W458" s="24"/>
      <c r="X458" s="24"/>
      <c r="Y458" s="24"/>
      <c r="Z458" s="25"/>
    </row>
    <row r="459" spans="1:26" ht="12.75" hidden="1" customHeight="1">
      <c r="A459" s="26">
        <v>249</v>
      </c>
      <c r="B459" s="27" t="s">
        <v>1064</v>
      </c>
      <c r="C459" s="28">
        <v>39963</v>
      </c>
      <c r="D459" s="27"/>
      <c r="E459" s="27" t="s">
        <v>1450</v>
      </c>
      <c r="F459" s="29" t="s">
        <v>1451</v>
      </c>
      <c r="G459" s="27" t="s">
        <v>55</v>
      </c>
      <c r="H459" s="27" t="s">
        <v>249</v>
      </c>
      <c r="I459" s="27">
        <v>1</v>
      </c>
      <c r="J459" s="30">
        <v>147053017</v>
      </c>
      <c r="K459" s="26" t="s">
        <v>20</v>
      </c>
      <c r="L459" s="26" t="s">
        <v>233</v>
      </c>
      <c r="M459" s="31" t="s">
        <v>1452</v>
      </c>
      <c r="N459" s="6"/>
      <c r="O459" s="6"/>
      <c r="P459" s="23"/>
      <c r="Q459" s="2"/>
      <c r="R459" s="2"/>
      <c r="S459" s="2"/>
      <c r="T459" s="2"/>
      <c r="U459" s="2"/>
      <c r="V459" s="2"/>
      <c r="W459" s="2"/>
      <c r="X459" s="2"/>
      <c r="Y459" s="2"/>
    </row>
    <row r="460" spans="1:26" ht="12.75" hidden="1" customHeight="1">
      <c r="A460" s="26">
        <v>250</v>
      </c>
      <c r="B460" s="27" t="s">
        <v>1064</v>
      </c>
      <c r="C460" s="28">
        <v>39963</v>
      </c>
      <c r="D460" s="27"/>
      <c r="E460" s="27" t="s">
        <v>1453</v>
      </c>
      <c r="F460" s="29" t="s">
        <v>1454</v>
      </c>
      <c r="G460" s="27" t="s">
        <v>338</v>
      </c>
      <c r="H460" s="27" t="s">
        <v>157</v>
      </c>
      <c r="I460" s="27">
        <v>1</v>
      </c>
      <c r="J460" s="30">
        <v>157777485</v>
      </c>
      <c r="K460" s="26" t="s">
        <v>206</v>
      </c>
      <c r="L460" s="26" t="s">
        <v>1310</v>
      </c>
      <c r="M460" s="31" t="s">
        <v>1311</v>
      </c>
      <c r="N460" s="6"/>
      <c r="O460" s="6"/>
      <c r="P460" s="23"/>
      <c r="Q460" s="2"/>
      <c r="R460" s="2"/>
      <c r="S460" s="2"/>
      <c r="T460" s="2"/>
      <c r="U460" s="2"/>
      <c r="V460" s="2"/>
      <c r="W460" s="2"/>
      <c r="X460" s="2"/>
      <c r="Y460" s="2"/>
    </row>
    <row r="461" spans="1:26" ht="25.5" hidden="1" customHeight="1">
      <c r="A461" s="26" t="s">
        <v>1455</v>
      </c>
      <c r="B461" s="27"/>
      <c r="C461" s="28"/>
      <c r="D461" s="27"/>
      <c r="E461" s="27" t="s">
        <v>1456</v>
      </c>
      <c r="F461" s="29" t="s">
        <v>1457</v>
      </c>
      <c r="G461" s="27"/>
      <c r="H461" s="27"/>
      <c r="I461" s="27">
        <v>1</v>
      </c>
      <c r="J461" s="30">
        <v>54814395</v>
      </c>
      <c r="K461" s="26" t="s">
        <v>206</v>
      </c>
      <c r="L461" s="26" t="s">
        <v>1310</v>
      </c>
      <c r="M461" s="31"/>
      <c r="N461" s="6"/>
      <c r="O461" s="6"/>
      <c r="P461" s="23"/>
      <c r="Q461" s="2"/>
      <c r="R461" s="2"/>
      <c r="S461" s="2"/>
      <c r="T461" s="2"/>
      <c r="U461" s="2"/>
      <c r="V461" s="2"/>
      <c r="W461" s="2"/>
      <c r="X461" s="2"/>
      <c r="Y461" s="2"/>
    </row>
    <row r="462" spans="1:26" ht="12.75" hidden="1" customHeight="1">
      <c r="A462" s="26" t="s">
        <v>1458</v>
      </c>
      <c r="B462" s="27"/>
      <c r="C462" s="28"/>
      <c r="D462" s="27"/>
      <c r="E462" s="27" t="s">
        <v>1459</v>
      </c>
      <c r="F462" s="29" t="s">
        <v>1460</v>
      </c>
      <c r="G462" s="27"/>
      <c r="H462" s="27"/>
      <c r="I462" s="27">
        <v>1</v>
      </c>
      <c r="J462" s="30">
        <v>6064799</v>
      </c>
      <c r="K462" s="26" t="s">
        <v>206</v>
      </c>
      <c r="L462" s="26" t="s">
        <v>1310</v>
      </c>
      <c r="M462" s="31"/>
      <c r="N462" s="6"/>
      <c r="O462" s="6"/>
      <c r="P462" s="23"/>
      <c r="Q462" s="2"/>
      <c r="R462" s="2"/>
      <c r="S462" s="2"/>
      <c r="T462" s="2"/>
      <c r="U462" s="2"/>
      <c r="V462" s="2"/>
      <c r="W462" s="2"/>
      <c r="X462" s="2"/>
      <c r="Y462" s="2"/>
    </row>
    <row r="463" spans="1:26" ht="25.5" hidden="1" customHeight="1">
      <c r="A463" s="26" t="s">
        <v>1461</v>
      </c>
      <c r="B463" s="27"/>
      <c r="C463" s="28"/>
      <c r="D463" s="27"/>
      <c r="E463" s="27" t="s">
        <v>1462</v>
      </c>
      <c r="F463" s="29" t="s">
        <v>1463</v>
      </c>
      <c r="G463" s="27"/>
      <c r="H463" s="27"/>
      <c r="I463" s="27">
        <v>1</v>
      </c>
      <c r="J463" s="30">
        <v>11259895</v>
      </c>
      <c r="K463" s="26" t="s">
        <v>206</v>
      </c>
      <c r="L463" s="26" t="s">
        <v>1310</v>
      </c>
      <c r="M463" s="31"/>
      <c r="N463" s="6"/>
      <c r="O463" s="6"/>
      <c r="P463" s="23"/>
      <c r="Q463" s="2"/>
      <c r="R463" s="2"/>
      <c r="S463" s="2"/>
      <c r="T463" s="2"/>
      <c r="U463" s="2"/>
      <c r="V463" s="2"/>
      <c r="W463" s="2"/>
      <c r="X463" s="2"/>
      <c r="Y463" s="2"/>
    </row>
    <row r="464" spans="1:26" ht="25.5" hidden="1" customHeight="1">
      <c r="A464" s="26" t="s">
        <v>1464</v>
      </c>
      <c r="B464" s="27"/>
      <c r="C464" s="28"/>
      <c r="D464" s="27"/>
      <c r="E464" s="27" t="s">
        <v>1465</v>
      </c>
      <c r="F464" s="29" t="s">
        <v>1463</v>
      </c>
      <c r="G464" s="27"/>
      <c r="H464" s="27"/>
      <c r="I464" s="27">
        <v>1</v>
      </c>
      <c r="J464" s="30">
        <v>11259894</v>
      </c>
      <c r="K464" s="26" t="s">
        <v>206</v>
      </c>
      <c r="L464" s="26" t="s">
        <v>1310</v>
      </c>
      <c r="M464" s="31"/>
      <c r="N464" s="6"/>
      <c r="O464" s="6"/>
      <c r="P464" s="23"/>
      <c r="Q464" s="2"/>
      <c r="R464" s="2"/>
      <c r="S464" s="2"/>
      <c r="T464" s="2"/>
      <c r="U464" s="2"/>
      <c r="V464" s="2"/>
      <c r="W464" s="2"/>
      <c r="X464" s="2"/>
      <c r="Y464" s="2"/>
    </row>
    <row r="465" spans="1:25" ht="25.5" hidden="1" customHeight="1">
      <c r="A465" s="26" t="s">
        <v>1466</v>
      </c>
      <c r="B465" s="27"/>
      <c r="C465" s="28"/>
      <c r="D465" s="27"/>
      <c r="E465" s="27" t="s">
        <v>1467</v>
      </c>
      <c r="F465" s="29" t="s">
        <v>1463</v>
      </c>
      <c r="G465" s="27"/>
      <c r="H465" s="27"/>
      <c r="I465" s="27">
        <v>1</v>
      </c>
      <c r="J465" s="30">
        <v>11259894</v>
      </c>
      <c r="K465" s="26" t="s">
        <v>206</v>
      </c>
      <c r="L465" s="26" t="s">
        <v>1310</v>
      </c>
      <c r="M465" s="31"/>
      <c r="N465" s="6"/>
      <c r="O465" s="6"/>
      <c r="P465" s="23"/>
      <c r="Q465" s="2"/>
      <c r="R465" s="2"/>
      <c r="S465" s="2"/>
      <c r="T465" s="2"/>
      <c r="U465" s="2"/>
      <c r="V465" s="2"/>
      <c r="W465" s="2"/>
      <c r="X465" s="2"/>
      <c r="Y465" s="2"/>
    </row>
    <row r="466" spans="1:25" ht="25.5" hidden="1" customHeight="1">
      <c r="A466" s="26" t="s">
        <v>1468</v>
      </c>
      <c r="B466" s="27"/>
      <c r="C466" s="28"/>
      <c r="D466" s="27"/>
      <c r="E466" s="27" t="s">
        <v>1469</v>
      </c>
      <c r="F466" s="29" t="s">
        <v>1463</v>
      </c>
      <c r="G466" s="27"/>
      <c r="H466" s="27"/>
      <c r="I466" s="27">
        <v>1</v>
      </c>
      <c r="J466" s="30">
        <v>11259894</v>
      </c>
      <c r="K466" s="26" t="s">
        <v>206</v>
      </c>
      <c r="L466" s="26" t="s">
        <v>1310</v>
      </c>
      <c r="M466" s="31"/>
      <c r="N466" s="6"/>
      <c r="O466" s="6"/>
      <c r="P466" s="23"/>
      <c r="Q466" s="2"/>
      <c r="R466" s="2"/>
      <c r="S466" s="2"/>
      <c r="T466" s="2"/>
      <c r="U466" s="2"/>
      <c r="V466" s="2"/>
      <c r="W466" s="2"/>
      <c r="X466" s="2"/>
      <c r="Y466" s="2"/>
    </row>
    <row r="467" spans="1:25" ht="25.5" hidden="1" customHeight="1">
      <c r="A467" s="26" t="s">
        <v>1470</v>
      </c>
      <c r="B467" s="27"/>
      <c r="C467" s="28"/>
      <c r="D467" s="27"/>
      <c r="E467" s="27" t="s">
        <v>1471</v>
      </c>
      <c r="F467" s="29" t="s">
        <v>1463</v>
      </c>
      <c r="G467" s="27"/>
      <c r="H467" s="27"/>
      <c r="I467" s="27">
        <v>1</v>
      </c>
      <c r="J467" s="30">
        <v>11259894</v>
      </c>
      <c r="K467" s="26" t="s">
        <v>206</v>
      </c>
      <c r="L467" s="26" t="s">
        <v>1310</v>
      </c>
      <c r="M467" s="31"/>
      <c r="N467" s="6"/>
      <c r="O467" s="6"/>
      <c r="P467" s="23"/>
      <c r="Q467" s="2"/>
      <c r="R467" s="2"/>
      <c r="S467" s="2"/>
      <c r="T467" s="2"/>
      <c r="U467" s="2"/>
      <c r="V467" s="2"/>
      <c r="W467" s="2"/>
      <c r="X467" s="2"/>
      <c r="Y467" s="2"/>
    </row>
    <row r="468" spans="1:25" ht="25.5" hidden="1" customHeight="1">
      <c r="A468" s="26" t="s">
        <v>1472</v>
      </c>
      <c r="B468" s="27"/>
      <c r="C468" s="28"/>
      <c r="D468" s="27"/>
      <c r="E468" s="27" t="s">
        <v>1473</v>
      </c>
      <c r="F468" s="29" t="s">
        <v>1463</v>
      </c>
      <c r="G468" s="27"/>
      <c r="H468" s="27"/>
      <c r="I468" s="27">
        <v>1</v>
      </c>
      <c r="J468" s="30">
        <v>11259894</v>
      </c>
      <c r="K468" s="26" t="s">
        <v>206</v>
      </c>
      <c r="L468" s="26" t="s">
        <v>1310</v>
      </c>
      <c r="M468" s="31"/>
      <c r="N468" s="6"/>
      <c r="O468" s="6"/>
      <c r="P468" s="23"/>
      <c r="Q468" s="2"/>
      <c r="R468" s="2"/>
      <c r="S468" s="2"/>
      <c r="T468" s="2"/>
      <c r="U468" s="2"/>
      <c r="V468" s="2"/>
      <c r="W468" s="2"/>
      <c r="X468" s="2"/>
      <c r="Y468" s="2"/>
    </row>
    <row r="469" spans="1:25" ht="25.5" hidden="1" customHeight="1">
      <c r="A469" s="26" t="s">
        <v>1474</v>
      </c>
      <c r="B469" s="27"/>
      <c r="C469" s="28"/>
      <c r="D469" s="27"/>
      <c r="E469" s="27" t="s">
        <v>1475</v>
      </c>
      <c r="F469" s="29" t="s">
        <v>1463</v>
      </c>
      <c r="G469" s="27"/>
      <c r="H469" s="27"/>
      <c r="I469" s="27">
        <v>1</v>
      </c>
      <c r="J469" s="30">
        <v>11259894</v>
      </c>
      <c r="K469" s="26" t="s">
        <v>206</v>
      </c>
      <c r="L469" s="26" t="s">
        <v>1310</v>
      </c>
      <c r="M469" s="31"/>
      <c r="N469" s="6"/>
      <c r="O469" s="6"/>
      <c r="P469" s="23"/>
      <c r="Q469" s="2"/>
      <c r="R469" s="2"/>
      <c r="S469" s="2"/>
      <c r="T469" s="2"/>
      <c r="U469" s="2"/>
      <c r="V469" s="2"/>
      <c r="W469" s="2"/>
      <c r="X469" s="2"/>
      <c r="Y469" s="2"/>
    </row>
    <row r="470" spans="1:25" ht="25.5" hidden="1" customHeight="1">
      <c r="A470" s="26" t="s">
        <v>1476</v>
      </c>
      <c r="B470" s="27"/>
      <c r="C470" s="28"/>
      <c r="D470" s="27"/>
      <c r="E470" s="27" t="s">
        <v>1477</v>
      </c>
      <c r="F470" s="29" t="s">
        <v>1463</v>
      </c>
      <c r="G470" s="27"/>
      <c r="H470" s="27"/>
      <c r="I470" s="27">
        <v>1</v>
      </c>
      <c r="J470" s="30">
        <v>11259894</v>
      </c>
      <c r="K470" s="26" t="s">
        <v>206</v>
      </c>
      <c r="L470" s="26" t="s">
        <v>1310</v>
      </c>
      <c r="M470" s="31"/>
      <c r="N470" s="6"/>
      <c r="O470" s="6"/>
      <c r="P470" s="23"/>
      <c r="Q470" s="2"/>
      <c r="R470" s="2"/>
      <c r="S470" s="2"/>
      <c r="T470" s="2"/>
      <c r="U470" s="2"/>
      <c r="V470" s="2"/>
      <c r="W470" s="2"/>
      <c r="X470" s="2"/>
      <c r="Y470" s="2"/>
    </row>
    <row r="471" spans="1:25" ht="25.5" hidden="1" customHeight="1">
      <c r="A471" s="26" t="s">
        <v>1478</v>
      </c>
      <c r="B471" s="27"/>
      <c r="C471" s="28"/>
      <c r="D471" s="27"/>
      <c r="E471" s="27" t="s">
        <v>1479</v>
      </c>
      <c r="F471" s="29" t="s">
        <v>1463</v>
      </c>
      <c r="G471" s="27"/>
      <c r="H471" s="27"/>
      <c r="I471" s="27">
        <v>1</v>
      </c>
      <c r="J471" s="30">
        <v>11259894</v>
      </c>
      <c r="K471" s="26" t="s">
        <v>206</v>
      </c>
      <c r="L471" s="26" t="s">
        <v>1310</v>
      </c>
      <c r="M471" s="31"/>
      <c r="N471" s="6"/>
      <c r="O471" s="6"/>
      <c r="P471" s="23"/>
      <c r="Q471" s="2"/>
      <c r="R471" s="2"/>
      <c r="S471" s="2"/>
      <c r="T471" s="2"/>
      <c r="U471" s="2"/>
      <c r="V471" s="2"/>
      <c r="W471" s="2"/>
      <c r="X471" s="2"/>
      <c r="Y471" s="2"/>
    </row>
    <row r="472" spans="1:25" ht="25.5" hidden="1" customHeight="1">
      <c r="A472" s="26" t="s">
        <v>1480</v>
      </c>
      <c r="B472" s="27"/>
      <c r="C472" s="28"/>
      <c r="D472" s="27"/>
      <c r="E472" s="27" t="s">
        <v>1481</v>
      </c>
      <c r="F472" s="29" t="s">
        <v>1463</v>
      </c>
      <c r="G472" s="27"/>
      <c r="H472" s="27"/>
      <c r="I472" s="27">
        <v>1</v>
      </c>
      <c r="J472" s="30">
        <v>11259894</v>
      </c>
      <c r="K472" s="26" t="s">
        <v>206</v>
      </c>
      <c r="L472" s="26" t="s">
        <v>1310</v>
      </c>
      <c r="M472" s="31"/>
      <c r="N472" s="6"/>
      <c r="O472" s="6"/>
      <c r="P472" s="23"/>
      <c r="Q472" s="2"/>
      <c r="R472" s="2"/>
      <c r="S472" s="2"/>
      <c r="T472" s="2"/>
      <c r="U472" s="2"/>
      <c r="V472" s="2"/>
      <c r="W472" s="2"/>
      <c r="X472" s="2"/>
      <c r="Y472" s="2"/>
    </row>
    <row r="473" spans="1:25" ht="12.75" hidden="1" customHeight="1">
      <c r="A473" s="26">
        <v>251</v>
      </c>
      <c r="B473" s="27" t="s">
        <v>1482</v>
      </c>
      <c r="C473" s="28">
        <v>39986</v>
      </c>
      <c r="D473" s="27"/>
      <c r="E473" s="27" t="s">
        <v>1483</v>
      </c>
      <c r="F473" s="29" t="s">
        <v>1484</v>
      </c>
      <c r="G473" s="27"/>
      <c r="H473" s="27" t="s">
        <v>249</v>
      </c>
      <c r="I473" s="27">
        <v>1</v>
      </c>
      <c r="J473" s="30">
        <v>98116052</v>
      </c>
      <c r="K473" s="26" t="s">
        <v>206</v>
      </c>
      <c r="L473" s="46" t="s">
        <v>1310</v>
      </c>
      <c r="M473" s="46" t="s">
        <v>1485</v>
      </c>
      <c r="N473" s="6"/>
      <c r="O473" s="6"/>
      <c r="P473" s="23"/>
      <c r="Q473" s="2"/>
      <c r="R473" s="2"/>
      <c r="S473" s="2"/>
      <c r="T473" s="2"/>
      <c r="U473" s="2"/>
      <c r="V473" s="2"/>
      <c r="W473" s="2"/>
      <c r="X473" s="2"/>
      <c r="Y473" s="2"/>
    </row>
    <row r="474" spans="1:25" ht="38.25" hidden="1" customHeight="1">
      <c r="A474" s="26">
        <v>252</v>
      </c>
      <c r="B474" s="27" t="s">
        <v>1005</v>
      </c>
      <c r="C474" s="28">
        <v>39994</v>
      </c>
      <c r="D474" s="27"/>
      <c r="E474" s="27" t="s">
        <v>1486</v>
      </c>
      <c r="F474" s="29" t="s">
        <v>1487</v>
      </c>
      <c r="G474" s="27" t="s">
        <v>338</v>
      </c>
      <c r="H474" s="27" t="s">
        <v>157</v>
      </c>
      <c r="I474" s="27">
        <v>1</v>
      </c>
      <c r="J474" s="30">
        <v>363433273</v>
      </c>
      <c r="K474" s="26" t="s">
        <v>206</v>
      </c>
      <c r="L474" s="46" t="s">
        <v>1310</v>
      </c>
      <c r="M474" s="46" t="s">
        <v>1488</v>
      </c>
      <c r="N474" s="6"/>
      <c r="O474" s="6"/>
      <c r="P474" s="23"/>
      <c r="Q474" s="2"/>
      <c r="R474" s="2"/>
      <c r="S474" s="2"/>
      <c r="T474" s="2"/>
      <c r="U474" s="2"/>
      <c r="V474" s="2"/>
      <c r="W474" s="2"/>
      <c r="X474" s="2"/>
      <c r="Y474" s="2"/>
    </row>
    <row r="475" spans="1:25" ht="12.75" hidden="1" customHeight="1">
      <c r="A475" s="26">
        <v>253</v>
      </c>
      <c r="B475" s="27" t="s">
        <v>1005</v>
      </c>
      <c r="C475" s="28">
        <v>39994</v>
      </c>
      <c r="D475" s="27"/>
      <c r="E475" s="27" t="s">
        <v>1489</v>
      </c>
      <c r="F475" s="29" t="s">
        <v>1490</v>
      </c>
      <c r="G475" s="27" t="s">
        <v>338</v>
      </c>
      <c r="H475" s="27" t="s">
        <v>157</v>
      </c>
      <c r="I475" s="27">
        <v>1</v>
      </c>
      <c r="J475" s="30">
        <v>416702453</v>
      </c>
      <c r="K475" s="26" t="s">
        <v>206</v>
      </c>
      <c r="L475" s="46" t="s">
        <v>1310</v>
      </c>
      <c r="M475" s="46" t="s">
        <v>1488</v>
      </c>
      <c r="N475" s="6"/>
      <c r="O475" s="6"/>
      <c r="P475" s="23"/>
      <c r="Q475" s="2"/>
      <c r="R475" s="2"/>
      <c r="S475" s="2"/>
      <c r="T475" s="2"/>
      <c r="U475" s="2"/>
      <c r="V475" s="2"/>
      <c r="W475" s="2"/>
      <c r="X475" s="2"/>
      <c r="Y475" s="2"/>
    </row>
    <row r="476" spans="1:25" ht="25.5" hidden="1" customHeight="1">
      <c r="A476" s="26" t="s">
        <v>1491</v>
      </c>
      <c r="B476" s="27"/>
      <c r="C476" s="28"/>
      <c r="D476" s="27"/>
      <c r="E476" s="27" t="s">
        <v>1492</v>
      </c>
      <c r="F476" s="29" t="s">
        <v>1493</v>
      </c>
      <c r="G476" s="27"/>
      <c r="H476" s="27"/>
      <c r="I476" s="27">
        <v>1</v>
      </c>
      <c r="J476" s="30">
        <v>52195204</v>
      </c>
      <c r="K476" s="26" t="s">
        <v>206</v>
      </c>
      <c r="L476" s="26" t="s">
        <v>1310</v>
      </c>
      <c r="M476" s="31"/>
      <c r="N476" s="6"/>
      <c r="O476" s="6"/>
      <c r="P476" s="23"/>
      <c r="Q476" s="2"/>
      <c r="R476" s="2"/>
      <c r="S476" s="2"/>
      <c r="T476" s="2"/>
      <c r="U476" s="2"/>
      <c r="V476" s="2"/>
      <c r="W476" s="2"/>
      <c r="X476" s="2"/>
      <c r="Y476" s="2"/>
    </row>
    <row r="477" spans="1:25" ht="38.25" hidden="1" customHeight="1">
      <c r="A477" s="26" t="s">
        <v>1494</v>
      </c>
      <c r="B477" s="27"/>
      <c r="C477" s="28"/>
      <c r="D477" s="27"/>
      <c r="E477" s="27" t="s">
        <v>1495</v>
      </c>
      <c r="F477" s="29" t="s">
        <v>1496</v>
      </c>
      <c r="G477" s="27"/>
      <c r="H477" s="27"/>
      <c r="I477" s="27">
        <v>1</v>
      </c>
      <c r="J477" s="30">
        <v>55202335</v>
      </c>
      <c r="K477" s="26" t="s">
        <v>206</v>
      </c>
      <c r="L477" s="26" t="s">
        <v>1310</v>
      </c>
      <c r="M477" s="31"/>
      <c r="N477" s="6"/>
      <c r="O477" s="6"/>
      <c r="P477" s="23"/>
      <c r="Q477" s="2"/>
      <c r="R477" s="2"/>
      <c r="S477" s="2"/>
      <c r="T477" s="2"/>
      <c r="U477" s="2"/>
      <c r="V477" s="2"/>
      <c r="W477" s="2"/>
      <c r="X477" s="2"/>
      <c r="Y477" s="2"/>
    </row>
    <row r="478" spans="1:25" ht="38.25" hidden="1" customHeight="1">
      <c r="A478" s="26">
        <v>254</v>
      </c>
      <c r="B478" s="27" t="s">
        <v>1005</v>
      </c>
      <c r="C478" s="28">
        <v>39994</v>
      </c>
      <c r="D478" s="27"/>
      <c r="E478" s="27" t="s">
        <v>1497</v>
      </c>
      <c r="F478" s="29" t="s">
        <v>1498</v>
      </c>
      <c r="G478" s="27" t="s">
        <v>338</v>
      </c>
      <c r="H478" s="27" t="s">
        <v>249</v>
      </c>
      <c r="I478" s="27">
        <v>1</v>
      </c>
      <c r="J478" s="30">
        <v>200833399</v>
      </c>
      <c r="K478" s="26" t="s">
        <v>206</v>
      </c>
      <c r="L478" s="26" t="s">
        <v>1310</v>
      </c>
      <c r="M478" s="31" t="s">
        <v>1499</v>
      </c>
      <c r="N478" s="6"/>
      <c r="O478" s="6"/>
      <c r="P478" s="23"/>
      <c r="Q478" s="2"/>
      <c r="R478" s="2"/>
      <c r="S478" s="2"/>
      <c r="T478" s="2"/>
      <c r="U478" s="2"/>
      <c r="V478" s="2"/>
      <c r="W478" s="2"/>
      <c r="X478" s="2"/>
      <c r="Y478" s="2"/>
    </row>
    <row r="479" spans="1:25" ht="38.25" hidden="1" customHeight="1">
      <c r="A479" s="38">
        <v>255</v>
      </c>
      <c r="B479" s="27" t="s">
        <v>1005</v>
      </c>
      <c r="C479" s="40">
        <v>39994</v>
      </c>
      <c r="D479" s="27"/>
      <c r="E479" s="39" t="s">
        <v>1500</v>
      </c>
      <c r="F479" s="41" t="s">
        <v>1501</v>
      </c>
      <c r="G479" s="27" t="s">
        <v>338</v>
      </c>
      <c r="H479" s="27" t="s">
        <v>249</v>
      </c>
      <c r="I479" s="27">
        <v>1</v>
      </c>
      <c r="J479" s="42">
        <v>200833398</v>
      </c>
      <c r="K479" s="38" t="s">
        <v>206</v>
      </c>
      <c r="L479" s="43" t="s">
        <v>1310</v>
      </c>
      <c r="M479" s="43" t="s">
        <v>1381</v>
      </c>
      <c r="N479" s="6"/>
      <c r="O479" s="6"/>
      <c r="P479" s="23"/>
      <c r="Q479" s="2"/>
      <c r="R479" s="2"/>
      <c r="S479" s="2"/>
      <c r="T479" s="2"/>
      <c r="U479" s="2"/>
      <c r="V479" s="2"/>
      <c r="W479" s="2"/>
      <c r="X479" s="2"/>
      <c r="Y479" s="2"/>
    </row>
    <row r="480" spans="1:25" ht="25.5" hidden="1" customHeight="1">
      <c r="A480" s="38">
        <v>256</v>
      </c>
      <c r="B480" s="27" t="s">
        <v>1005</v>
      </c>
      <c r="C480" s="40">
        <v>39994</v>
      </c>
      <c r="D480" s="27"/>
      <c r="E480" s="39" t="s">
        <v>1502</v>
      </c>
      <c r="F480" s="41" t="s">
        <v>1503</v>
      </c>
      <c r="G480" s="27"/>
      <c r="H480" s="27" t="s">
        <v>249</v>
      </c>
      <c r="I480" s="27">
        <v>1</v>
      </c>
      <c r="J480" s="42">
        <v>38725405</v>
      </c>
      <c r="K480" s="38" t="s">
        <v>206</v>
      </c>
      <c r="L480" s="43" t="s">
        <v>1310</v>
      </c>
      <c r="M480" s="43" t="s">
        <v>1381</v>
      </c>
      <c r="N480" s="6"/>
      <c r="O480" s="6"/>
      <c r="P480" s="23"/>
      <c r="Q480" s="2"/>
      <c r="R480" s="2"/>
      <c r="S480" s="2"/>
      <c r="T480" s="2"/>
      <c r="U480" s="2"/>
      <c r="V480" s="2"/>
      <c r="W480" s="2"/>
      <c r="X480" s="2"/>
      <c r="Y480" s="2"/>
    </row>
    <row r="481" spans="1:26" ht="25.5" hidden="1" customHeight="1">
      <c r="A481" s="26">
        <v>257</v>
      </c>
      <c r="B481" s="27" t="s">
        <v>1005</v>
      </c>
      <c r="C481" s="28">
        <v>39994</v>
      </c>
      <c r="D481" s="27"/>
      <c r="E481" s="27" t="s">
        <v>1504</v>
      </c>
      <c r="F481" s="29" t="s">
        <v>1505</v>
      </c>
      <c r="G481" s="27"/>
      <c r="H481" s="27" t="s">
        <v>249</v>
      </c>
      <c r="I481" s="27">
        <v>1</v>
      </c>
      <c r="J481" s="30">
        <v>38725405</v>
      </c>
      <c r="K481" s="26" t="s">
        <v>20</v>
      </c>
      <c r="L481" s="36" t="s">
        <v>229</v>
      </c>
      <c r="M481" s="31" t="str">
        <f>IFERROR(VLOOKUP(E481, TSCD_XUAN!$C$7:$K$1000, 9, 0), "Không tìm thấy")</f>
        <v>A2-R8: BM3</v>
      </c>
      <c r="N481" s="6"/>
      <c r="O481" s="6"/>
      <c r="P481" s="23"/>
      <c r="Q481" s="2"/>
      <c r="R481" s="2"/>
      <c r="S481" s="2"/>
      <c r="T481" s="2"/>
      <c r="U481" s="2"/>
      <c r="V481" s="2"/>
      <c r="W481" s="2"/>
      <c r="X481" s="2"/>
      <c r="Y481" s="2"/>
    </row>
    <row r="482" spans="1:26" ht="25.5" hidden="1" customHeight="1">
      <c r="A482" s="17">
        <v>258</v>
      </c>
      <c r="B482" s="27" t="s">
        <v>1005</v>
      </c>
      <c r="C482" s="19">
        <v>39994</v>
      </c>
      <c r="D482" s="27"/>
      <c r="E482" s="18" t="s">
        <v>1506</v>
      </c>
      <c r="F482" s="20" t="s">
        <v>1507</v>
      </c>
      <c r="G482" s="18"/>
      <c r="H482" s="18" t="s">
        <v>249</v>
      </c>
      <c r="I482" s="18">
        <v>1</v>
      </c>
      <c r="J482" s="21">
        <v>38725405</v>
      </c>
      <c r="K482" s="17" t="s">
        <v>20</v>
      </c>
      <c r="L482" s="17" t="s">
        <v>21</v>
      </c>
      <c r="M482" s="22" t="s">
        <v>22</v>
      </c>
      <c r="N482" s="23"/>
      <c r="O482" s="23"/>
      <c r="P482" s="23"/>
      <c r="Q482" s="24"/>
      <c r="R482" s="24"/>
      <c r="S482" s="24"/>
      <c r="T482" s="24"/>
      <c r="U482" s="24"/>
      <c r="V482" s="24"/>
      <c r="W482" s="24"/>
      <c r="X482" s="24"/>
      <c r="Y482" s="24"/>
      <c r="Z482" s="25"/>
    </row>
    <row r="483" spans="1:26" ht="12.75" hidden="1" customHeight="1">
      <c r="A483" s="38">
        <v>259</v>
      </c>
      <c r="B483" s="27" t="s">
        <v>1005</v>
      </c>
      <c r="C483" s="40">
        <v>39994</v>
      </c>
      <c r="D483" s="27"/>
      <c r="E483" s="39" t="s">
        <v>1508</v>
      </c>
      <c r="F483" s="41" t="s">
        <v>1509</v>
      </c>
      <c r="G483" s="27"/>
      <c r="H483" s="27" t="s">
        <v>249</v>
      </c>
      <c r="I483" s="27">
        <v>1</v>
      </c>
      <c r="J483" s="42">
        <v>38655144</v>
      </c>
      <c r="K483" s="38" t="s">
        <v>206</v>
      </c>
      <c r="L483" s="38" t="s">
        <v>1330</v>
      </c>
      <c r="M483" s="43" t="s">
        <v>1510</v>
      </c>
      <c r="N483" s="6"/>
      <c r="O483" s="6"/>
      <c r="P483" s="23"/>
      <c r="Q483" s="2"/>
      <c r="R483" s="2"/>
      <c r="S483" s="2"/>
      <c r="T483" s="2"/>
      <c r="U483" s="2"/>
      <c r="V483" s="2"/>
      <c r="W483" s="2"/>
      <c r="X483" s="2"/>
      <c r="Y483" s="2"/>
    </row>
    <row r="484" spans="1:26" ht="12.75" hidden="1" customHeight="1">
      <c r="A484" s="26">
        <v>260</v>
      </c>
      <c r="B484" s="27" t="s">
        <v>1511</v>
      </c>
      <c r="C484" s="28">
        <v>40178</v>
      </c>
      <c r="D484" s="27"/>
      <c r="E484" s="47" t="s">
        <v>1512</v>
      </c>
      <c r="F484" s="29" t="s">
        <v>1513</v>
      </c>
      <c r="G484" s="27" t="s">
        <v>338</v>
      </c>
      <c r="H484" s="27" t="s">
        <v>249</v>
      </c>
      <c r="I484" s="27">
        <v>1</v>
      </c>
      <c r="J484" s="30">
        <v>171017530</v>
      </c>
      <c r="K484" s="26" t="s">
        <v>206</v>
      </c>
      <c r="L484" s="68" t="s">
        <v>1514</v>
      </c>
      <c r="M484" s="69" t="s">
        <v>1136</v>
      </c>
      <c r="N484" s="6"/>
      <c r="O484" s="6"/>
      <c r="P484" s="23"/>
      <c r="Q484" s="2"/>
      <c r="R484" s="2"/>
      <c r="S484" s="2"/>
      <c r="T484" s="2"/>
      <c r="U484" s="2"/>
      <c r="V484" s="2"/>
      <c r="W484" s="2"/>
      <c r="X484" s="2"/>
      <c r="Y484" s="2"/>
    </row>
    <row r="485" spans="1:26" ht="12.75" hidden="1" customHeight="1">
      <c r="A485" s="26">
        <v>261</v>
      </c>
      <c r="B485" s="27" t="s">
        <v>1511</v>
      </c>
      <c r="C485" s="28">
        <v>40178</v>
      </c>
      <c r="D485" s="27"/>
      <c r="E485" s="27" t="s">
        <v>1515</v>
      </c>
      <c r="F485" s="29" t="s">
        <v>1513</v>
      </c>
      <c r="G485" s="27" t="s">
        <v>338</v>
      </c>
      <c r="H485" s="27" t="s">
        <v>249</v>
      </c>
      <c r="I485" s="27">
        <v>1</v>
      </c>
      <c r="J485" s="30">
        <v>171017530</v>
      </c>
      <c r="K485" s="26" t="s">
        <v>206</v>
      </c>
      <c r="L485" s="68" t="s">
        <v>1514</v>
      </c>
      <c r="M485" s="69" t="s">
        <v>826</v>
      </c>
      <c r="N485" s="6"/>
      <c r="O485" s="6"/>
      <c r="P485" s="23"/>
      <c r="Q485" s="2"/>
      <c r="R485" s="2"/>
      <c r="S485" s="2"/>
      <c r="T485" s="2"/>
      <c r="U485" s="2"/>
      <c r="V485" s="2"/>
      <c r="W485" s="2"/>
      <c r="X485" s="2"/>
      <c r="Y485" s="2"/>
    </row>
    <row r="486" spans="1:26" ht="12.75" hidden="1" customHeight="1">
      <c r="A486" s="26">
        <v>262</v>
      </c>
      <c r="B486" s="27" t="s">
        <v>1516</v>
      </c>
      <c r="C486" s="28">
        <v>40352</v>
      </c>
      <c r="D486" s="27"/>
      <c r="E486" s="27" t="s">
        <v>1517</v>
      </c>
      <c r="F486" s="29" t="s">
        <v>1518</v>
      </c>
      <c r="G486" s="27" t="s">
        <v>338</v>
      </c>
      <c r="H486" s="27" t="s">
        <v>19</v>
      </c>
      <c r="I486" s="27">
        <v>1</v>
      </c>
      <c r="J486" s="30">
        <v>433862205</v>
      </c>
      <c r="K486" s="26" t="s">
        <v>20</v>
      </c>
      <c r="L486" s="36" t="s">
        <v>229</v>
      </c>
      <c r="M486" s="31" t="str">
        <f>IFERROR(VLOOKUP(E486, TSCD_XUAN!$C$7:$K$1000, 9, 0), "Không tìm thấy")</f>
        <v>A1-R4</v>
      </c>
      <c r="N486" s="6"/>
      <c r="O486" s="6"/>
      <c r="P486" s="23"/>
      <c r="Q486" s="2"/>
      <c r="R486" s="2"/>
      <c r="S486" s="2"/>
      <c r="T486" s="2"/>
      <c r="U486" s="2"/>
      <c r="V486" s="2"/>
      <c r="W486" s="2"/>
      <c r="X486" s="2"/>
      <c r="Y486" s="2"/>
    </row>
    <row r="487" spans="1:26" ht="25.5" hidden="1" customHeight="1">
      <c r="A487" s="26" t="s">
        <v>1519</v>
      </c>
      <c r="B487" s="27"/>
      <c r="C487" s="28"/>
      <c r="D487" s="27"/>
      <c r="E487" s="27" t="s">
        <v>1520</v>
      </c>
      <c r="F487" s="29" t="s">
        <v>1521</v>
      </c>
      <c r="G487" s="27"/>
      <c r="H487" s="27"/>
      <c r="I487" s="27">
        <v>1</v>
      </c>
      <c r="J487" s="30">
        <v>21916668</v>
      </c>
      <c r="K487" s="26" t="s">
        <v>20</v>
      </c>
      <c r="L487" s="36" t="s">
        <v>229</v>
      </c>
      <c r="M487" s="31" t="str">
        <f>IFERROR(VLOOKUP(E487, TSCD_XUAN!$C$7:$K$1000, 9, 0), "Không tìm thấy")</f>
        <v>A2-Kho: rack (remote)</v>
      </c>
      <c r="N487" s="6"/>
      <c r="O487" s="6" t="s">
        <v>1522</v>
      </c>
      <c r="P487" s="23"/>
      <c r="Q487" s="2"/>
      <c r="R487" s="2"/>
      <c r="S487" s="2"/>
      <c r="T487" s="2"/>
      <c r="U487" s="2"/>
      <c r="V487" s="2"/>
      <c r="W487" s="2"/>
      <c r="X487" s="2"/>
      <c r="Y487" s="2"/>
    </row>
    <row r="488" spans="1:26" ht="25.5" hidden="1" customHeight="1">
      <c r="A488" s="26" t="s">
        <v>1523</v>
      </c>
      <c r="B488" s="27"/>
      <c r="C488" s="28"/>
      <c r="D488" s="27"/>
      <c r="E488" s="27" t="s">
        <v>1524</v>
      </c>
      <c r="F488" s="29" t="s">
        <v>1525</v>
      </c>
      <c r="G488" s="27"/>
      <c r="H488" s="27"/>
      <c r="I488" s="27">
        <v>1</v>
      </c>
      <c r="J488" s="30">
        <v>21916668</v>
      </c>
      <c r="K488" s="26" t="s">
        <v>20</v>
      </c>
      <c r="L488" s="36" t="s">
        <v>229</v>
      </c>
      <c r="M488" s="31" t="str">
        <f>IFERROR(VLOOKUP(E488, TSCD_XUAN!$C$7:$K$1000, 9, 0), "Không tìm thấy")</f>
        <v>A2-Kho: rack (remote)</v>
      </c>
      <c r="N488" s="6"/>
      <c r="O488" s="6" t="s">
        <v>1522</v>
      </c>
      <c r="P488" s="23"/>
      <c r="Q488" s="2"/>
      <c r="R488" s="2"/>
      <c r="S488" s="2"/>
      <c r="T488" s="2"/>
      <c r="U488" s="2"/>
      <c r="V488" s="2"/>
      <c r="W488" s="2"/>
      <c r="X488" s="2"/>
      <c r="Y488" s="2"/>
    </row>
    <row r="489" spans="1:26" ht="25.5" hidden="1" customHeight="1">
      <c r="A489" s="26" t="s">
        <v>1526</v>
      </c>
      <c r="B489" s="27"/>
      <c r="C489" s="28"/>
      <c r="D489" s="27"/>
      <c r="E489" s="27" t="s">
        <v>1527</v>
      </c>
      <c r="F489" s="29" t="s">
        <v>1528</v>
      </c>
      <c r="G489" s="27"/>
      <c r="H489" s="27"/>
      <c r="I489" s="27">
        <v>1</v>
      </c>
      <c r="J489" s="30">
        <v>21916668</v>
      </c>
      <c r="K489" s="26" t="s">
        <v>20</v>
      </c>
      <c r="L489" s="36" t="s">
        <v>229</v>
      </c>
      <c r="M489" s="31" t="str">
        <f>IFERROR(VLOOKUP(E489, TSCD_XUAN!$C$7:$K$1000, 9, 0), "Không tìm thấy")</f>
        <v>A2-Kho: rack (remote)</v>
      </c>
      <c r="N489" s="6"/>
      <c r="O489" s="6" t="s">
        <v>1522</v>
      </c>
      <c r="P489" s="23"/>
      <c r="Q489" s="2"/>
      <c r="R489" s="2"/>
      <c r="S489" s="2"/>
      <c r="T489" s="2"/>
      <c r="U489" s="2"/>
      <c r="V489" s="2"/>
      <c r="W489" s="2"/>
      <c r="X489" s="2"/>
      <c r="Y489" s="2"/>
    </row>
    <row r="490" spans="1:26" ht="25.5" hidden="1" customHeight="1">
      <c r="A490" s="26" t="s">
        <v>1529</v>
      </c>
      <c r="B490" s="27"/>
      <c r="C490" s="28"/>
      <c r="D490" s="27"/>
      <c r="E490" s="27" t="s">
        <v>1530</v>
      </c>
      <c r="F490" s="29" t="s">
        <v>1531</v>
      </c>
      <c r="G490" s="27"/>
      <c r="H490" s="27"/>
      <c r="I490" s="27">
        <v>1</v>
      </c>
      <c r="J490" s="30">
        <v>21916670</v>
      </c>
      <c r="K490" s="26" t="s">
        <v>20</v>
      </c>
      <c r="L490" s="36" t="s">
        <v>229</v>
      </c>
      <c r="M490" s="31" t="str">
        <f>IFERROR(VLOOKUP(E490, TSCD_XUAN!$C$7:$K$1000, 9, 0), "Không tìm thấy")</f>
        <v>A2-Kho: rack (remote)</v>
      </c>
      <c r="N490" s="6"/>
      <c r="O490" s="6" t="s">
        <v>1522</v>
      </c>
      <c r="P490" s="23"/>
      <c r="Q490" s="2"/>
      <c r="R490" s="2"/>
      <c r="S490" s="2"/>
      <c r="T490" s="2"/>
      <c r="U490" s="2"/>
      <c r="V490" s="2"/>
      <c r="W490" s="2"/>
      <c r="X490" s="2"/>
      <c r="Y490" s="2"/>
    </row>
    <row r="491" spans="1:26" ht="12.75" hidden="1" customHeight="1">
      <c r="A491" s="38">
        <v>263</v>
      </c>
      <c r="B491" s="27" t="s">
        <v>1137</v>
      </c>
      <c r="C491" s="40">
        <v>40441</v>
      </c>
      <c r="D491" s="27"/>
      <c r="E491" s="39" t="s">
        <v>1532</v>
      </c>
      <c r="F491" s="41" t="s">
        <v>1533</v>
      </c>
      <c r="G491" s="27" t="s">
        <v>1008</v>
      </c>
      <c r="H491" s="27" t="s">
        <v>569</v>
      </c>
      <c r="I491" s="27">
        <v>1</v>
      </c>
      <c r="J491" s="42">
        <v>52548350</v>
      </c>
      <c r="K491" s="38" t="s">
        <v>206</v>
      </c>
      <c r="L491" s="38" t="s">
        <v>1330</v>
      </c>
      <c r="M491" s="43" t="s">
        <v>1534</v>
      </c>
      <c r="N491" s="6"/>
      <c r="O491" s="6"/>
      <c r="P491" s="23"/>
      <c r="Q491" s="2"/>
      <c r="R491" s="2"/>
      <c r="S491" s="2"/>
      <c r="T491" s="2"/>
      <c r="U491" s="2"/>
      <c r="V491" s="2"/>
      <c r="W491" s="2"/>
      <c r="X491" s="2"/>
      <c r="Y491" s="2"/>
    </row>
    <row r="492" spans="1:26" ht="25.5" hidden="1" customHeight="1">
      <c r="A492" s="26">
        <v>264</v>
      </c>
      <c r="B492" s="27" t="s">
        <v>1437</v>
      </c>
      <c r="C492" s="28">
        <v>40767</v>
      </c>
      <c r="D492" s="27"/>
      <c r="E492" s="27" t="s">
        <v>1535</v>
      </c>
      <c r="F492" s="29" t="s">
        <v>1536</v>
      </c>
      <c r="G492" s="27" t="s">
        <v>248</v>
      </c>
      <c r="H492" s="27" t="s">
        <v>19</v>
      </c>
      <c r="I492" s="27">
        <v>1</v>
      </c>
      <c r="J492" s="30">
        <v>33378106</v>
      </c>
      <c r="K492" s="26" t="s">
        <v>20</v>
      </c>
      <c r="L492" s="26" t="s">
        <v>233</v>
      </c>
      <c r="M492" s="31" t="s">
        <v>1537</v>
      </c>
      <c r="N492" s="6"/>
      <c r="O492" s="6"/>
      <c r="P492" s="23"/>
      <c r="Q492" s="2"/>
      <c r="R492" s="2"/>
      <c r="S492" s="2"/>
      <c r="T492" s="2"/>
      <c r="U492" s="2"/>
      <c r="V492" s="2"/>
      <c r="W492" s="2"/>
      <c r="X492" s="2"/>
      <c r="Y492" s="2"/>
    </row>
    <row r="493" spans="1:26" ht="12.75" hidden="1" customHeight="1">
      <c r="A493" s="26">
        <v>265</v>
      </c>
      <c r="B493" s="27" t="s">
        <v>1437</v>
      </c>
      <c r="C493" s="28">
        <v>40767</v>
      </c>
      <c r="D493" s="27"/>
      <c r="E493" s="27" t="s">
        <v>1538</v>
      </c>
      <c r="F493" s="29" t="s">
        <v>1539</v>
      </c>
      <c r="G493" s="27" t="s">
        <v>248</v>
      </c>
      <c r="H493" s="27" t="s">
        <v>19</v>
      </c>
      <c r="I493" s="27">
        <v>1</v>
      </c>
      <c r="J493" s="30">
        <v>33378106</v>
      </c>
      <c r="K493" s="26" t="s">
        <v>206</v>
      </c>
      <c r="L493" s="26" t="s">
        <v>1330</v>
      </c>
      <c r="M493" s="31" t="s">
        <v>1534</v>
      </c>
      <c r="N493" s="6"/>
      <c r="O493" s="6"/>
      <c r="P493" s="23"/>
      <c r="Q493" s="2"/>
      <c r="R493" s="2"/>
      <c r="S493" s="2"/>
      <c r="T493" s="2"/>
      <c r="U493" s="2"/>
      <c r="V493" s="2"/>
      <c r="W493" s="2"/>
      <c r="X493" s="2"/>
      <c r="Y493" s="2"/>
    </row>
    <row r="494" spans="1:26" ht="25.5" hidden="1" customHeight="1">
      <c r="A494" s="26">
        <v>266</v>
      </c>
      <c r="B494" s="27" t="s">
        <v>52</v>
      </c>
      <c r="C494" s="28">
        <v>40875</v>
      </c>
      <c r="D494" s="27"/>
      <c r="E494" s="27" t="s">
        <v>1540</v>
      </c>
      <c r="F494" s="29" t="s">
        <v>1541</v>
      </c>
      <c r="G494" s="27" t="s">
        <v>338</v>
      </c>
      <c r="H494" s="27" t="s">
        <v>19</v>
      </c>
      <c r="I494" s="27">
        <v>1</v>
      </c>
      <c r="J494" s="30">
        <v>106049772</v>
      </c>
      <c r="K494" s="26" t="s">
        <v>36</v>
      </c>
      <c r="L494" s="26" t="s">
        <v>1542</v>
      </c>
      <c r="M494" s="31" t="s">
        <v>1543</v>
      </c>
      <c r="N494" s="6"/>
      <c r="O494" s="6"/>
      <c r="P494" s="23"/>
      <c r="Q494" s="2"/>
      <c r="R494" s="2"/>
      <c r="S494" s="2"/>
      <c r="T494" s="2"/>
      <c r="U494" s="2"/>
      <c r="V494" s="2"/>
      <c r="W494" s="2"/>
      <c r="X494" s="2"/>
      <c r="Y494" s="2"/>
    </row>
    <row r="495" spans="1:26" ht="12.75" hidden="1" customHeight="1">
      <c r="A495" s="26" t="s">
        <v>1544</v>
      </c>
      <c r="B495" s="27"/>
      <c r="C495" s="28"/>
      <c r="D495" s="27"/>
      <c r="E495" s="27" t="s">
        <v>1545</v>
      </c>
      <c r="F495" s="29" t="s">
        <v>1546</v>
      </c>
      <c r="G495" s="27"/>
      <c r="H495" s="27"/>
      <c r="I495" s="27">
        <v>1</v>
      </c>
      <c r="J495" s="30">
        <v>28250045</v>
      </c>
      <c r="K495" s="26" t="s">
        <v>36</v>
      </c>
      <c r="L495" s="26" t="s">
        <v>1542</v>
      </c>
      <c r="M495" s="31"/>
      <c r="N495" s="6"/>
      <c r="O495" s="6"/>
      <c r="P495" s="23"/>
      <c r="Q495" s="2"/>
      <c r="R495" s="2"/>
      <c r="S495" s="2"/>
      <c r="T495" s="2"/>
      <c r="U495" s="2"/>
      <c r="V495" s="2"/>
      <c r="W495" s="2"/>
      <c r="X495" s="2"/>
      <c r="Y495" s="2"/>
    </row>
    <row r="496" spans="1:26" ht="25.5" hidden="1" customHeight="1">
      <c r="A496" s="26">
        <v>267</v>
      </c>
      <c r="B496" s="27" t="s">
        <v>52</v>
      </c>
      <c r="C496" s="28">
        <v>40875</v>
      </c>
      <c r="D496" s="27"/>
      <c r="E496" s="27" t="s">
        <v>1547</v>
      </c>
      <c r="F496" s="29" t="s">
        <v>1541</v>
      </c>
      <c r="G496" s="27" t="s">
        <v>338</v>
      </c>
      <c r="H496" s="27" t="s">
        <v>19</v>
      </c>
      <c r="I496" s="27">
        <v>1</v>
      </c>
      <c r="J496" s="30">
        <v>106049771</v>
      </c>
      <c r="K496" s="26" t="s">
        <v>36</v>
      </c>
      <c r="L496" s="26" t="s">
        <v>1542</v>
      </c>
      <c r="M496" s="31" t="s">
        <v>1543</v>
      </c>
      <c r="N496" s="6"/>
      <c r="O496" s="6"/>
      <c r="P496" s="23"/>
      <c r="Q496" s="2"/>
      <c r="R496" s="2"/>
      <c r="S496" s="2"/>
      <c r="T496" s="2"/>
      <c r="U496" s="2"/>
      <c r="V496" s="2"/>
      <c r="W496" s="2"/>
      <c r="X496" s="2"/>
      <c r="Y496" s="2"/>
    </row>
    <row r="497" spans="1:25" ht="12.75" hidden="1" customHeight="1">
      <c r="A497" s="26" t="s">
        <v>1548</v>
      </c>
      <c r="B497" s="27"/>
      <c r="C497" s="28"/>
      <c r="D497" s="27"/>
      <c r="E497" s="27" t="s">
        <v>1549</v>
      </c>
      <c r="F497" s="29" t="s">
        <v>1546</v>
      </c>
      <c r="G497" s="27"/>
      <c r="H497" s="27"/>
      <c r="I497" s="27">
        <v>1</v>
      </c>
      <c r="J497" s="30">
        <v>28250045</v>
      </c>
      <c r="K497" s="26" t="s">
        <v>36</v>
      </c>
      <c r="L497" s="26" t="s">
        <v>1542</v>
      </c>
      <c r="M497" s="31"/>
      <c r="N497" s="6"/>
      <c r="O497" s="6"/>
      <c r="P497" s="23"/>
      <c r="Q497" s="2"/>
      <c r="R497" s="2"/>
      <c r="S497" s="2"/>
      <c r="T497" s="2"/>
      <c r="U497" s="2"/>
      <c r="V497" s="2"/>
      <c r="W497" s="2"/>
      <c r="X497" s="2"/>
      <c r="Y497" s="2"/>
    </row>
    <row r="498" spans="1:25" ht="25.5" hidden="1" customHeight="1">
      <c r="A498" s="26">
        <v>268</v>
      </c>
      <c r="B498" s="27" t="s">
        <v>52</v>
      </c>
      <c r="C498" s="28">
        <v>40875</v>
      </c>
      <c r="D498" s="27"/>
      <c r="E498" s="27" t="s">
        <v>1550</v>
      </c>
      <c r="F498" s="29" t="s">
        <v>1551</v>
      </c>
      <c r="G498" s="27"/>
      <c r="H498" s="27" t="s">
        <v>19</v>
      </c>
      <c r="I498" s="27">
        <v>1</v>
      </c>
      <c r="J498" s="30">
        <v>143447451</v>
      </c>
      <c r="K498" s="26" t="s">
        <v>36</v>
      </c>
      <c r="L498" s="26" t="s">
        <v>1542</v>
      </c>
      <c r="M498" s="31" t="s">
        <v>1543</v>
      </c>
      <c r="N498" s="6"/>
      <c r="O498" s="6"/>
      <c r="P498" s="23"/>
      <c r="Q498" s="2"/>
      <c r="R498" s="2"/>
      <c r="S498" s="2"/>
      <c r="T498" s="2"/>
      <c r="U498" s="2"/>
      <c r="V498" s="2"/>
      <c r="W498" s="2"/>
      <c r="X498" s="2"/>
      <c r="Y498" s="2"/>
    </row>
    <row r="499" spans="1:25" ht="25.5" hidden="1" customHeight="1">
      <c r="A499" s="26" t="s">
        <v>1552</v>
      </c>
      <c r="B499" s="27"/>
      <c r="C499" s="28"/>
      <c r="D499" s="27"/>
      <c r="E499" s="27" t="s">
        <v>1553</v>
      </c>
      <c r="F499" s="29" t="s">
        <v>1554</v>
      </c>
      <c r="G499" s="27"/>
      <c r="H499" s="27"/>
      <c r="I499" s="27">
        <v>1</v>
      </c>
      <c r="J499" s="30">
        <v>28250045</v>
      </c>
      <c r="K499" s="26" t="s">
        <v>36</v>
      </c>
      <c r="L499" s="26" t="s">
        <v>1542</v>
      </c>
      <c r="M499" s="31"/>
      <c r="N499" s="6"/>
      <c r="O499" s="6"/>
      <c r="P499" s="23"/>
      <c r="Q499" s="2"/>
      <c r="R499" s="2"/>
      <c r="S499" s="2"/>
      <c r="T499" s="2"/>
      <c r="U499" s="2"/>
      <c r="V499" s="2"/>
      <c r="W499" s="2"/>
      <c r="X499" s="2"/>
      <c r="Y499" s="2"/>
    </row>
    <row r="500" spans="1:25" ht="12.75" hidden="1" customHeight="1">
      <c r="A500" s="26">
        <v>269</v>
      </c>
      <c r="B500" s="27" t="s">
        <v>197</v>
      </c>
      <c r="C500" s="28">
        <v>40948</v>
      </c>
      <c r="D500" s="27"/>
      <c r="E500" s="27" t="s">
        <v>1555</v>
      </c>
      <c r="F500" s="29" t="s">
        <v>1556</v>
      </c>
      <c r="G500" s="27" t="s">
        <v>338</v>
      </c>
      <c r="H500" s="27" t="s">
        <v>19</v>
      </c>
      <c r="I500" s="27">
        <v>1</v>
      </c>
      <c r="J500" s="30">
        <v>268070586</v>
      </c>
      <c r="K500" s="26" t="s">
        <v>20</v>
      </c>
      <c r="L500" s="36" t="s">
        <v>229</v>
      </c>
      <c r="M500" s="31" t="str">
        <f>IFERROR(VLOOKUP(E500, TSCD_XUAN!$C$7:$K$1000, 9, 0), "Không tìm thấy")</f>
        <v>A2-R8: x50-1</v>
      </c>
      <c r="N500" s="6"/>
      <c r="O500" s="6"/>
      <c r="P500" s="23"/>
      <c r="Q500" s="2"/>
      <c r="R500" s="2"/>
      <c r="S500" s="2"/>
      <c r="T500" s="2"/>
      <c r="U500" s="2"/>
      <c r="V500" s="2"/>
      <c r="W500" s="2"/>
      <c r="X500" s="2"/>
      <c r="Y500" s="2"/>
    </row>
    <row r="501" spans="1:25" ht="12.75" hidden="1" customHeight="1">
      <c r="A501" s="26">
        <v>270</v>
      </c>
      <c r="B501" s="27" t="s">
        <v>197</v>
      </c>
      <c r="C501" s="28">
        <v>40948</v>
      </c>
      <c r="D501" s="27"/>
      <c r="E501" s="27" t="s">
        <v>1557</v>
      </c>
      <c r="F501" s="29" t="s">
        <v>1558</v>
      </c>
      <c r="G501" s="27" t="s">
        <v>338</v>
      </c>
      <c r="H501" s="27" t="s">
        <v>19</v>
      </c>
      <c r="I501" s="27">
        <v>1</v>
      </c>
      <c r="J501" s="30">
        <v>268070586</v>
      </c>
      <c r="K501" s="26" t="s">
        <v>206</v>
      </c>
      <c r="L501" s="26" t="s">
        <v>1330</v>
      </c>
      <c r="M501" s="31" t="s">
        <v>1559</v>
      </c>
      <c r="N501" s="6"/>
      <c r="O501" s="6"/>
      <c r="P501" s="23"/>
      <c r="Q501" s="2"/>
      <c r="R501" s="2"/>
      <c r="S501" s="2"/>
      <c r="T501" s="2"/>
      <c r="U501" s="2"/>
      <c r="V501" s="2"/>
      <c r="W501" s="2"/>
      <c r="X501" s="2"/>
      <c r="Y501" s="2"/>
    </row>
    <row r="502" spans="1:25" ht="25.5" hidden="1" customHeight="1">
      <c r="A502" s="26">
        <v>271</v>
      </c>
      <c r="B502" s="27" t="s">
        <v>1560</v>
      </c>
      <c r="C502" s="28">
        <v>40981</v>
      </c>
      <c r="D502" s="27"/>
      <c r="E502" s="27" t="s">
        <v>1561</v>
      </c>
      <c r="F502" s="29" t="s">
        <v>1562</v>
      </c>
      <c r="G502" s="27" t="s">
        <v>55</v>
      </c>
      <c r="H502" s="27" t="s">
        <v>19</v>
      </c>
      <c r="I502" s="27">
        <v>1</v>
      </c>
      <c r="J502" s="30">
        <v>464149240</v>
      </c>
      <c r="K502" s="26" t="s">
        <v>20</v>
      </c>
      <c r="L502" s="26" t="s">
        <v>233</v>
      </c>
      <c r="M502" s="31" t="s">
        <v>1563</v>
      </c>
      <c r="N502" s="6"/>
      <c r="O502" s="6"/>
      <c r="P502" s="23"/>
      <c r="Q502" s="2"/>
      <c r="R502" s="2"/>
      <c r="S502" s="2"/>
      <c r="T502" s="2"/>
      <c r="U502" s="2"/>
      <c r="V502" s="2"/>
      <c r="W502" s="2"/>
      <c r="X502" s="2"/>
      <c r="Y502" s="2"/>
    </row>
    <row r="503" spans="1:25" ht="24" hidden="1" customHeight="1">
      <c r="A503" s="26" t="s">
        <v>1564</v>
      </c>
      <c r="B503" s="27"/>
      <c r="C503" s="28"/>
      <c r="D503" s="27"/>
      <c r="E503" s="27" t="s">
        <v>1565</v>
      </c>
      <c r="F503" s="29" t="s">
        <v>1566</v>
      </c>
      <c r="G503" s="27"/>
      <c r="H503" s="27"/>
      <c r="I503" s="27">
        <v>1</v>
      </c>
      <c r="J503" s="30">
        <v>0</v>
      </c>
      <c r="K503" s="26" t="s">
        <v>20</v>
      </c>
      <c r="L503" s="36" t="s">
        <v>229</v>
      </c>
      <c r="M503" s="31" t="str">
        <f>IFERROR(VLOOKUP(E503, TSCD_XUAN!$C$7:$K$1000, 9, 0), "Không tìm thấy")</f>
        <v>A2-Control, màn hình Prompter</v>
      </c>
      <c r="N503" s="6"/>
      <c r="O503" s="6"/>
      <c r="P503" s="23"/>
      <c r="Q503" s="2"/>
      <c r="R503" s="2"/>
      <c r="S503" s="2"/>
      <c r="T503" s="2"/>
      <c r="U503" s="2"/>
      <c r="V503" s="2"/>
      <c r="W503" s="2"/>
      <c r="X503" s="2"/>
      <c r="Y503" s="2"/>
    </row>
    <row r="504" spans="1:25" ht="25.5" hidden="1" customHeight="1">
      <c r="A504" s="26">
        <v>272</v>
      </c>
      <c r="B504" s="27" t="s">
        <v>281</v>
      </c>
      <c r="C504" s="28">
        <v>41044</v>
      </c>
      <c r="D504" s="27"/>
      <c r="E504" s="27" t="s">
        <v>1567</v>
      </c>
      <c r="F504" s="29" t="s">
        <v>1568</v>
      </c>
      <c r="G504" s="27" t="s">
        <v>248</v>
      </c>
      <c r="H504" s="27" t="s">
        <v>19</v>
      </c>
      <c r="I504" s="27">
        <v>1</v>
      </c>
      <c r="J504" s="30">
        <v>112936000</v>
      </c>
      <c r="K504" s="26" t="s">
        <v>20</v>
      </c>
      <c r="L504" s="36" t="s">
        <v>229</v>
      </c>
      <c r="M504" s="31" t="str">
        <f>IFERROR(VLOOKUP(E504, TSCD_XUAN!$C$7:$K$1000, 9, 0), "Không tìm thấy")</f>
        <v>TTPH-Kho lầu 2</v>
      </c>
      <c r="N504" s="6"/>
      <c r="O504" s="6" t="s">
        <v>1358</v>
      </c>
      <c r="P504" s="23"/>
      <c r="Q504" s="2"/>
      <c r="R504" s="2"/>
      <c r="S504" s="2"/>
      <c r="T504" s="2"/>
      <c r="U504" s="2"/>
      <c r="V504" s="2"/>
      <c r="W504" s="2"/>
      <c r="X504" s="2"/>
      <c r="Y504" s="2"/>
    </row>
    <row r="505" spans="1:25" ht="12.75" hidden="1" customHeight="1">
      <c r="A505" s="26">
        <v>273</v>
      </c>
      <c r="B505" s="27" t="s">
        <v>212</v>
      </c>
      <c r="C505" s="28">
        <v>41512</v>
      </c>
      <c r="D505" s="27"/>
      <c r="E505" s="27" t="s">
        <v>1569</v>
      </c>
      <c r="F505" s="29" t="s">
        <v>1570</v>
      </c>
      <c r="G505" s="27" t="s">
        <v>338</v>
      </c>
      <c r="H505" s="27" t="s">
        <v>19</v>
      </c>
      <c r="I505" s="27">
        <v>1</v>
      </c>
      <c r="J505" s="30">
        <v>1146053379</v>
      </c>
      <c r="K505" s="26" t="s">
        <v>20</v>
      </c>
      <c r="L505" s="26" t="s">
        <v>233</v>
      </c>
      <c r="M505" s="31" t="s">
        <v>1571</v>
      </c>
      <c r="N505" s="6"/>
      <c r="O505" s="6"/>
      <c r="P505" s="23"/>
      <c r="Q505" s="2"/>
      <c r="R505" s="2"/>
      <c r="S505" s="2"/>
      <c r="T505" s="2"/>
      <c r="U505" s="2"/>
      <c r="V505" s="2"/>
      <c r="W505" s="2"/>
      <c r="X505" s="2"/>
      <c r="Y505" s="2"/>
    </row>
    <row r="506" spans="1:25" ht="50" hidden="1">
      <c r="A506" s="26" t="s">
        <v>1572</v>
      </c>
      <c r="B506" s="27"/>
      <c r="C506" s="28"/>
      <c r="D506" s="27"/>
      <c r="E506" s="27" t="s">
        <v>1573</v>
      </c>
      <c r="F506" s="29" t="s">
        <v>1574</v>
      </c>
      <c r="G506" s="27"/>
      <c r="H506" s="27"/>
      <c r="I506" s="27">
        <v>1</v>
      </c>
      <c r="J506" s="30">
        <v>120465449</v>
      </c>
      <c r="K506" s="26" t="s">
        <v>36</v>
      </c>
      <c r="L506" s="26"/>
      <c r="M506" s="35" t="s">
        <v>1575</v>
      </c>
      <c r="N506" s="6"/>
      <c r="O506" s="6"/>
      <c r="P506" s="23"/>
      <c r="Q506" s="2"/>
      <c r="R506" s="2"/>
      <c r="S506" s="2"/>
      <c r="T506" s="2"/>
      <c r="U506" s="2"/>
      <c r="V506" s="2"/>
      <c r="W506" s="2"/>
      <c r="X506" s="2"/>
      <c r="Y506" s="2"/>
    </row>
    <row r="507" spans="1:25" ht="50" hidden="1">
      <c r="A507" s="26" t="s">
        <v>1576</v>
      </c>
      <c r="B507" s="27"/>
      <c r="C507" s="28"/>
      <c r="D507" s="27"/>
      <c r="E507" s="27" t="s">
        <v>1577</v>
      </c>
      <c r="F507" s="29" t="s">
        <v>1574</v>
      </c>
      <c r="G507" s="27"/>
      <c r="H507" s="27"/>
      <c r="I507" s="27">
        <v>1</v>
      </c>
      <c r="J507" s="30">
        <v>120465449</v>
      </c>
      <c r="K507" s="26" t="s">
        <v>36</v>
      </c>
      <c r="L507" s="26"/>
      <c r="M507" s="35" t="s">
        <v>1575</v>
      </c>
      <c r="N507" s="6"/>
      <c r="O507" s="6"/>
      <c r="P507" s="23"/>
      <c r="Q507" s="2"/>
      <c r="R507" s="2"/>
      <c r="S507" s="2"/>
      <c r="T507" s="2"/>
      <c r="U507" s="2"/>
      <c r="V507" s="2"/>
      <c r="W507" s="2"/>
      <c r="X507" s="2"/>
      <c r="Y507" s="2"/>
    </row>
    <row r="508" spans="1:25" ht="38.25" hidden="1" customHeight="1">
      <c r="A508" s="26" t="s">
        <v>1578</v>
      </c>
      <c r="B508" s="27"/>
      <c r="C508" s="28"/>
      <c r="D508" s="27"/>
      <c r="E508" s="27" t="s">
        <v>1579</v>
      </c>
      <c r="F508" s="29" t="s">
        <v>1580</v>
      </c>
      <c r="G508" s="27"/>
      <c r="H508" s="27"/>
      <c r="I508" s="27">
        <v>1</v>
      </c>
      <c r="J508" s="30">
        <v>96104240</v>
      </c>
      <c r="K508" s="26" t="s">
        <v>20</v>
      </c>
      <c r="L508" s="26" t="s">
        <v>233</v>
      </c>
      <c r="M508" s="31" t="s">
        <v>1581</v>
      </c>
      <c r="N508" s="6"/>
      <c r="O508" s="6"/>
      <c r="P508" s="23"/>
      <c r="Q508" s="2"/>
      <c r="R508" s="2"/>
      <c r="S508" s="2"/>
      <c r="T508" s="2"/>
      <c r="U508" s="2"/>
      <c r="V508" s="2"/>
      <c r="W508" s="2"/>
      <c r="X508" s="2"/>
      <c r="Y508" s="2"/>
    </row>
    <row r="509" spans="1:25" ht="38.25" hidden="1" customHeight="1">
      <c r="A509" s="26" t="s">
        <v>1582</v>
      </c>
      <c r="B509" s="27"/>
      <c r="C509" s="28"/>
      <c r="D509" s="27"/>
      <c r="E509" s="27" t="s">
        <v>1583</v>
      </c>
      <c r="F509" s="29" t="s">
        <v>1580</v>
      </c>
      <c r="G509" s="27"/>
      <c r="H509" s="27"/>
      <c r="I509" s="27">
        <v>1</v>
      </c>
      <c r="J509" s="30">
        <v>96104240</v>
      </c>
      <c r="K509" s="26" t="s">
        <v>20</v>
      </c>
      <c r="L509" s="26" t="s">
        <v>233</v>
      </c>
      <c r="M509" s="31" t="s">
        <v>1584</v>
      </c>
      <c r="N509" s="6"/>
      <c r="O509" s="6"/>
      <c r="P509" s="23"/>
      <c r="Q509" s="2"/>
      <c r="R509" s="2"/>
      <c r="S509" s="2"/>
      <c r="T509" s="2"/>
      <c r="U509" s="2"/>
      <c r="V509" s="2"/>
      <c r="W509" s="2"/>
      <c r="X509" s="2"/>
      <c r="Y509" s="2"/>
    </row>
    <row r="510" spans="1:25" ht="12.75" hidden="1" customHeight="1">
      <c r="A510" s="26" t="s">
        <v>1585</v>
      </c>
      <c r="B510" s="27"/>
      <c r="C510" s="28"/>
      <c r="D510" s="27"/>
      <c r="E510" s="60" t="s">
        <v>1586</v>
      </c>
      <c r="F510" s="29" t="s">
        <v>1587</v>
      </c>
      <c r="G510" s="27"/>
      <c r="H510" s="27"/>
      <c r="I510" s="27">
        <v>1</v>
      </c>
      <c r="J510" s="30">
        <v>95957611</v>
      </c>
      <c r="K510" s="26" t="s">
        <v>20</v>
      </c>
      <c r="L510" s="26" t="s">
        <v>233</v>
      </c>
      <c r="M510" s="31" t="s">
        <v>1588</v>
      </c>
      <c r="N510" s="6"/>
      <c r="O510" s="6"/>
      <c r="P510" s="23"/>
      <c r="Q510" s="2"/>
      <c r="R510" s="2"/>
      <c r="S510" s="2"/>
      <c r="T510" s="2"/>
      <c r="U510" s="2"/>
      <c r="V510" s="2"/>
      <c r="W510" s="2"/>
      <c r="X510" s="2"/>
      <c r="Y510" s="2"/>
    </row>
    <row r="511" spans="1:25" ht="12.75" hidden="1" customHeight="1">
      <c r="A511" s="26">
        <v>274</v>
      </c>
      <c r="B511" s="27" t="s">
        <v>212</v>
      </c>
      <c r="C511" s="28">
        <v>41512</v>
      </c>
      <c r="D511" s="27"/>
      <c r="E511" s="27" t="s">
        <v>1589</v>
      </c>
      <c r="F511" s="29" t="s">
        <v>1570</v>
      </c>
      <c r="G511" s="27" t="s">
        <v>338</v>
      </c>
      <c r="H511" s="27" t="s">
        <v>19</v>
      </c>
      <c r="I511" s="27">
        <v>1</v>
      </c>
      <c r="J511" s="30">
        <v>1146073379</v>
      </c>
      <c r="K511" s="26" t="s">
        <v>20</v>
      </c>
      <c r="L511" s="26" t="s">
        <v>233</v>
      </c>
      <c r="M511" s="31" t="s">
        <v>1590</v>
      </c>
      <c r="N511" s="6"/>
      <c r="O511" s="6"/>
      <c r="P511" s="23"/>
      <c r="Q511" s="2"/>
      <c r="R511" s="2"/>
      <c r="S511" s="2"/>
      <c r="T511" s="2"/>
      <c r="U511" s="2"/>
      <c r="V511" s="2"/>
      <c r="W511" s="2"/>
      <c r="X511" s="2"/>
      <c r="Y511" s="2"/>
    </row>
    <row r="512" spans="1:25" ht="12.5" hidden="1">
      <c r="A512" s="26" t="s">
        <v>1591</v>
      </c>
      <c r="B512" s="27"/>
      <c r="C512" s="28"/>
      <c r="D512" s="27"/>
      <c r="E512" s="27" t="s">
        <v>1592</v>
      </c>
      <c r="F512" s="29" t="s">
        <v>1574</v>
      </c>
      <c r="G512" s="27"/>
      <c r="H512" s="27"/>
      <c r="I512" s="27">
        <v>1</v>
      </c>
      <c r="J512" s="30">
        <v>120465449</v>
      </c>
      <c r="K512" s="26" t="s">
        <v>20</v>
      </c>
      <c r="L512" s="26" t="s">
        <v>233</v>
      </c>
      <c r="M512" s="70" t="s">
        <v>1593</v>
      </c>
      <c r="N512" s="6"/>
      <c r="O512" s="6"/>
      <c r="P512" s="23"/>
      <c r="Q512" s="2"/>
      <c r="R512" s="2"/>
      <c r="S512" s="2"/>
      <c r="T512" s="2"/>
      <c r="U512" s="2"/>
      <c r="V512" s="2"/>
      <c r="W512" s="2"/>
      <c r="X512" s="2"/>
      <c r="Y512" s="2"/>
    </row>
    <row r="513" spans="1:25" ht="25.5" hidden="1" customHeight="1">
      <c r="A513" s="26" t="s">
        <v>1594</v>
      </c>
      <c r="B513" s="27"/>
      <c r="C513" s="28"/>
      <c r="D513" s="27"/>
      <c r="E513" s="27" t="s">
        <v>1595</v>
      </c>
      <c r="F513" s="29" t="s">
        <v>1574</v>
      </c>
      <c r="G513" s="27"/>
      <c r="H513" s="27"/>
      <c r="I513" s="27">
        <v>1</v>
      </c>
      <c r="J513" s="30">
        <v>120465449</v>
      </c>
      <c r="K513" s="26" t="s">
        <v>20</v>
      </c>
      <c r="L513" s="26" t="s">
        <v>233</v>
      </c>
      <c r="M513" s="31" t="s">
        <v>1596</v>
      </c>
      <c r="N513" s="6"/>
      <c r="O513" s="6"/>
      <c r="P513" s="23"/>
      <c r="Q513" s="2"/>
      <c r="R513" s="2"/>
      <c r="S513" s="2"/>
      <c r="T513" s="2"/>
      <c r="U513" s="2"/>
      <c r="V513" s="2"/>
      <c r="W513" s="2"/>
      <c r="X513" s="2"/>
      <c r="Y513" s="2"/>
    </row>
    <row r="514" spans="1:25" ht="25.5" hidden="1" customHeight="1">
      <c r="A514" s="26" t="s">
        <v>1597</v>
      </c>
      <c r="B514" s="27"/>
      <c r="C514" s="28"/>
      <c r="D514" s="27"/>
      <c r="E514" s="27" t="s">
        <v>1598</v>
      </c>
      <c r="F514" s="29" t="s">
        <v>1580</v>
      </c>
      <c r="G514" s="27"/>
      <c r="H514" s="27"/>
      <c r="I514" s="27">
        <v>1</v>
      </c>
      <c r="J514" s="30">
        <v>96104240</v>
      </c>
      <c r="K514" s="26" t="s">
        <v>20</v>
      </c>
      <c r="L514" s="26" t="s">
        <v>233</v>
      </c>
      <c r="M514" s="31" t="s">
        <v>1599</v>
      </c>
      <c r="N514" s="6"/>
      <c r="O514" s="6"/>
      <c r="P514" s="23"/>
      <c r="Q514" s="2"/>
      <c r="R514" s="2"/>
      <c r="S514" s="2"/>
      <c r="T514" s="2"/>
      <c r="U514" s="2"/>
      <c r="V514" s="2"/>
      <c r="W514" s="2"/>
      <c r="X514" s="2"/>
      <c r="Y514" s="2"/>
    </row>
    <row r="515" spans="1:25" ht="25.5" hidden="1" customHeight="1">
      <c r="A515" s="26" t="s">
        <v>1600</v>
      </c>
      <c r="B515" s="27"/>
      <c r="C515" s="28"/>
      <c r="D515" s="27"/>
      <c r="E515" s="27" t="s">
        <v>1601</v>
      </c>
      <c r="F515" s="29" t="s">
        <v>1580</v>
      </c>
      <c r="G515" s="27"/>
      <c r="H515" s="27"/>
      <c r="I515" s="27">
        <v>1</v>
      </c>
      <c r="J515" s="30">
        <v>96104240</v>
      </c>
      <c r="K515" s="26" t="s">
        <v>20</v>
      </c>
      <c r="L515" s="26" t="s">
        <v>233</v>
      </c>
      <c r="M515" s="31" t="s">
        <v>1602</v>
      </c>
      <c r="N515" s="6"/>
      <c r="O515" s="6"/>
      <c r="P515" s="23"/>
      <c r="Q515" s="2"/>
      <c r="R515" s="2"/>
      <c r="S515" s="2"/>
      <c r="T515" s="2"/>
      <c r="U515" s="2"/>
      <c r="V515" s="2"/>
      <c r="W515" s="2"/>
      <c r="X515" s="2"/>
      <c r="Y515" s="2"/>
    </row>
    <row r="516" spans="1:25" ht="12.75" hidden="1" customHeight="1">
      <c r="A516" s="26" t="s">
        <v>1603</v>
      </c>
      <c r="B516" s="27"/>
      <c r="C516" s="28"/>
      <c r="D516" s="27"/>
      <c r="E516" s="27" t="s">
        <v>1604</v>
      </c>
      <c r="F516" s="29" t="s">
        <v>1587</v>
      </c>
      <c r="G516" s="27"/>
      <c r="H516" s="27"/>
      <c r="I516" s="27">
        <v>1</v>
      </c>
      <c r="J516" s="30">
        <v>95957611</v>
      </c>
      <c r="K516" s="26" t="s">
        <v>20</v>
      </c>
      <c r="L516" s="26" t="s">
        <v>233</v>
      </c>
      <c r="M516" s="31" t="s">
        <v>1605</v>
      </c>
      <c r="N516" s="6"/>
      <c r="O516" s="6"/>
      <c r="P516" s="23"/>
      <c r="Q516" s="2"/>
      <c r="R516" s="2"/>
      <c r="S516" s="2"/>
      <c r="T516" s="2"/>
      <c r="U516" s="2"/>
      <c r="V516" s="2"/>
      <c r="W516" s="2"/>
      <c r="X516" s="2"/>
      <c r="Y516" s="2"/>
    </row>
    <row r="517" spans="1:25" ht="25.5" hidden="1" customHeight="1">
      <c r="A517" s="26">
        <v>275</v>
      </c>
      <c r="B517" s="27" t="s">
        <v>212</v>
      </c>
      <c r="C517" s="28">
        <v>41512</v>
      </c>
      <c r="D517" s="27"/>
      <c r="E517" s="27" t="s">
        <v>1606</v>
      </c>
      <c r="F517" s="29" t="s">
        <v>1607</v>
      </c>
      <c r="G517" s="27" t="s">
        <v>338</v>
      </c>
      <c r="H517" s="27" t="s">
        <v>19</v>
      </c>
      <c r="I517" s="27">
        <v>1</v>
      </c>
      <c r="J517" s="30">
        <v>34394761</v>
      </c>
      <c r="K517" s="26" t="s">
        <v>36</v>
      </c>
      <c r="L517" s="26" t="s">
        <v>1542</v>
      </c>
      <c r="M517" s="31" t="s">
        <v>1608</v>
      </c>
      <c r="N517" s="6"/>
      <c r="O517" s="6"/>
      <c r="P517" s="23"/>
      <c r="Q517" s="2"/>
      <c r="R517" s="2"/>
      <c r="S517" s="2"/>
      <c r="T517" s="2"/>
      <c r="U517" s="2"/>
      <c r="V517" s="2"/>
      <c r="W517" s="2"/>
      <c r="X517" s="2"/>
      <c r="Y517" s="2"/>
    </row>
    <row r="518" spans="1:25" ht="25.5" hidden="1" customHeight="1">
      <c r="A518" s="26">
        <v>276</v>
      </c>
      <c r="B518" s="27" t="s">
        <v>212</v>
      </c>
      <c r="C518" s="28">
        <v>41512</v>
      </c>
      <c r="D518" s="27"/>
      <c r="E518" s="27" t="s">
        <v>1609</v>
      </c>
      <c r="F518" s="29" t="s">
        <v>1610</v>
      </c>
      <c r="G518" s="27" t="s">
        <v>338</v>
      </c>
      <c r="H518" s="27" t="s">
        <v>19</v>
      </c>
      <c r="I518" s="27">
        <v>1</v>
      </c>
      <c r="J518" s="30">
        <v>34394760</v>
      </c>
      <c r="K518" s="26" t="s">
        <v>36</v>
      </c>
      <c r="L518" s="26" t="s">
        <v>1542</v>
      </c>
      <c r="M518" s="31" t="s">
        <v>1608</v>
      </c>
      <c r="N518" s="6"/>
      <c r="O518" s="6"/>
      <c r="P518" s="23"/>
      <c r="Q518" s="2"/>
      <c r="R518" s="2"/>
      <c r="S518" s="2"/>
      <c r="T518" s="2"/>
      <c r="U518" s="2"/>
      <c r="V518" s="2"/>
      <c r="W518" s="2"/>
      <c r="X518" s="2"/>
      <c r="Y518" s="2"/>
    </row>
    <row r="519" spans="1:25" ht="12.75" customHeight="1">
      <c r="A519" s="26">
        <v>277</v>
      </c>
      <c r="B519" s="27" t="s">
        <v>411</v>
      </c>
      <c r="C519" s="28">
        <v>41599</v>
      </c>
      <c r="D519" s="27"/>
      <c r="E519" s="47" t="s">
        <v>1611</v>
      </c>
      <c r="F519" s="29" t="s">
        <v>1612</v>
      </c>
      <c r="G519" s="27" t="s">
        <v>1008</v>
      </c>
      <c r="H519" s="27" t="s">
        <v>19</v>
      </c>
      <c r="I519" s="27">
        <v>1</v>
      </c>
      <c r="J519" s="30">
        <v>982971699</v>
      </c>
      <c r="K519" s="26" t="s">
        <v>20</v>
      </c>
      <c r="L519" s="26" t="s">
        <v>423</v>
      </c>
      <c r="M519" s="31" t="s">
        <v>1613</v>
      </c>
      <c r="N519" s="7"/>
      <c r="O519" s="7" t="str">
        <f ca="1">IFERROR(__xludf.DUMMYFUNCTION("IFERROR(INDEX(Sheet1!$C:$C, MAX(FILTER(ROW(Sheet1!$B:$B), Sheet1!$B:$B=E519))), """")"),"")</f>
        <v/>
      </c>
      <c r="P519" s="23"/>
      <c r="Q519" s="2"/>
      <c r="R519" s="2"/>
      <c r="S519" s="2"/>
      <c r="T519" s="2"/>
      <c r="U519" s="2"/>
      <c r="V519" s="2"/>
      <c r="W519" s="2"/>
      <c r="X519" s="2"/>
      <c r="Y519" s="2"/>
    </row>
    <row r="520" spans="1:25" ht="12.75" customHeight="1">
      <c r="A520" s="26" t="s">
        <v>1614</v>
      </c>
      <c r="B520" s="27"/>
      <c r="C520" s="28"/>
      <c r="D520" s="27"/>
      <c r="E520" s="47" t="s">
        <v>1615</v>
      </c>
      <c r="F520" s="29" t="s">
        <v>1616</v>
      </c>
      <c r="G520" s="27"/>
      <c r="H520" s="27"/>
      <c r="I520" s="27">
        <v>1</v>
      </c>
      <c r="J520" s="30">
        <v>0</v>
      </c>
      <c r="K520" s="26" t="s">
        <v>20</v>
      </c>
      <c r="L520" s="26" t="s">
        <v>423</v>
      </c>
      <c r="M520" s="57" t="s">
        <v>1617</v>
      </c>
      <c r="N520" s="7"/>
      <c r="O520" s="7" t="str">
        <f ca="1">IFERROR(__xludf.DUMMYFUNCTION("IFERROR(INDEX(Sheet1!$C:$C, MAX(FILTER(ROW(Sheet1!$B:$B), Sheet1!$B:$B=E520))), """")"),"")</f>
        <v/>
      </c>
      <c r="P520" s="23"/>
      <c r="Q520" s="2"/>
      <c r="R520" s="2"/>
      <c r="S520" s="2"/>
      <c r="T520" s="2"/>
      <c r="U520" s="2"/>
      <c r="V520" s="2"/>
      <c r="W520" s="2"/>
      <c r="X520" s="2"/>
      <c r="Y520" s="2"/>
    </row>
    <row r="521" spans="1:25" ht="25" hidden="1">
      <c r="A521" s="26">
        <v>278</v>
      </c>
      <c r="B521" s="27" t="s">
        <v>1618</v>
      </c>
      <c r="C521" s="28">
        <v>41606</v>
      </c>
      <c r="D521" s="27"/>
      <c r="E521" s="27" t="s">
        <v>1619</v>
      </c>
      <c r="F521" s="29" t="s">
        <v>1620</v>
      </c>
      <c r="G521" s="27" t="s">
        <v>45</v>
      </c>
      <c r="H521" s="27" t="s">
        <v>19</v>
      </c>
      <c r="I521" s="27">
        <v>1</v>
      </c>
      <c r="J521" s="30">
        <v>2641956303</v>
      </c>
      <c r="K521" s="26" t="s">
        <v>20</v>
      </c>
      <c r="L521" s="36" t="s">
        <v>229</v>
      </c>
      <c r="M521" s="31" t="str">
        <f>IFERROR(VLOOKUP(E521, TSCD_XUAN!$C$7:$K$1000, 9, 0), "Không tìm thấy")</f>
        <v>A2-Kho: trên Rack - Đề nghị TL- màn hình linux A2</v>
      </c>
      <c r="N521" s="6"/>
      <c r="O521" s="6"/>
      <c r="P521" s="23"/>
      <c r="Q521" s="2"/>
      <c r="R521" s="2"/>
      <c r="S521" s="2"/>
      <c r="T521" s="2"/>
      <c r="U521" s="2"/>
      <c r="V521" s="2"/>
      <c r="W521" s="2"/>
      <c r="X521" s="2"/>
      <c r="Y521" s="2"/>
    </row>
    <row r="522" spans="1:25" ht="12.75" hidden="1" customHeight="1">
      <c r="A522" s="26" t="s">
        <v>1621</v>
      </c>
      <c r="B522" s="27"/>
      <c r="C522" s="28"/>
      <c r="D522" s="27"/>
      <c r="E522" s="27" t="s">
        <v>1622</v>
      </c>
      <c r="F522" s="29" t="s">
        <v>1623</v>
      </c>
      <c r="G522" s="27"/>
      <c r="H522" s="27"/>
      <c r="I522" s="27">
        <v>1</v>
      </c>
      <c r="J522" s="30">
        <v>0</v>
      </c>
      <c r="K522" s="26" t="s">
        <v>20</v>
      </c>
      <c r="L522" s="36" t="s">
        <v>229</v>
      </c>
      <c r="M522" s="31" t="str">
        <f>IFERROR(VLOOKUP(E522, TSCD_XUAN!$C$7:$K$1000, 9, 0), "Không tìm thấy")</f>
        <v>A2-Kho: trên Rack - Đề nghị TL</v>
      </c>
      <c r="N522" s="6"/>
      <c r="O522" s="6"/>
      <c r="P522" s="23"/>
      <c r="Q522" s="2"/>
      <c r="R522" s="2"/>
      <c r="S522" s="2"/>
      <c r="T522" s="2"/>
      <c r="U522" s="2"/>
      <c r="V522" s="2"/>
      <c r="W522" s="2"/>
      <c r="X522" s="2"/>
      <c r="Y522" s="2"/>
    </row>
    <row r="523" spans="1:25" ht="12.75" hidden="1" customHeight="1">
      <c r="A523" s="26" t="s">
        <v>1624</v>
      </c>
      <c r="B523" s="27"/>
      <c r="C523" s="28"/>
      <c r="D523" s="27"/>
      <c r="E523" s="27" t="s">
        <v>1625</v>
      </c>
      <c r="F523" s="29" t="s">
        <v>1626</v>
      </c>
      <c r="G523" s="27"/>
      <c r="H523" s="27"/>
      <c r="I523" s="27">
        <v>1</v>
      </c>
      <c r="J523" s="30">
        <v>0</v>
      </c>
      <c r="K523" s="26" t="s">
        <v>20</v>
      </c>
      <c r="L523" s="36" t="s">
        <v>229</v>
      </c>
      <c r="M523" s="31" t="str">
        <f>IFERROR(VLOOKUP(E523, TSCD_XUAN!$C$7:$K$1000, 9, 0), "Không tìm thấy")</f>
        <v>A2-Kho: trên Rack - Đề nghị TL</v>
      </c>
      <c r="N523" s="6"/>
      <c r="O523" s="6"/>
      <c r="P523" s="23"/>
      <c r="Q523" s="2"/>
      <c r="R523" s="2"/>
      <c r="S523" s="2"/>
      <c r="T523" s="2"/>
      <c r="U523" s="2"/>
      <c r="V523" s="2"/>
      <c r="W523" s="2"/>
      <c r="X523" s="2"/>
      <c r="Y523" s="2"/>
    </row>
    <row r="524" spans="1:25" ht="25.5" hidden="1" customHeight="1">
      <c r="A524" s="26" t="s">
        <v>1627</v>
      </c>
      <c r="B524" s="27"/>
      <c r="C524" s="28"/>
      <c r="D524" s="27"/>
      <c r="E524" s="27" t="s">
        <v>1628</v>
      </c>
      <c r="F524" s="29" t="s">
        <v>1629</v>
      </c>
      <c r="G524" s="27"/>
      <c r="H524" s="27"/>
      <c r="I524" s="27">
        <v>1</v>
      </c>
      <c r="J524" s="30">
        <v>0</v>
      </c>
      <c r="K524" s="26" t="s">
        <v>20</v>
      </c>
      <c r="L524" s="36" t="s">
        <v>229</v>
      </c>
      <c r="M524" s="31" t="str">
        <f>IFERROR(VLOOKUP(E524, TSCD_XUAN!$C$7:$K$1000, 9, 0), "Không tìm thấy")</f>
        <v>A2-Kho: trên Rack - Đề nghị TL, chung mainframe</v>
      </c>
      <c r="N524" s="6"/>
      <c r="O524" s="6"/>
      <c r="P524" s="23"/>
      <c r="Q524" s="2"/>
      <c r="R524" s="2"/>
      <c r="S524" s="2"/>
      <c r="T524" s="2"/>
      <c r="U524" s="2"/>
      <c r="V524" s="2"/>
      <c r="W524" s="2"/>
      <c r="X524" s="2"/>
      <c r="Y524" s="2"/>
    </row>
    <row r="525" spans="1:25" ht="25" hidden="1">
      <c r="A525" s="26" t="s">
        <v>1630</v>
      </c>
      <c r="B525" s="27"/>
      <c r="C525" s="28"/>
      <c r="D525" s="27"/>
      <c r="E525" s="27" t="s">
        <v>1631</v>
      </c>
      <c r="F525" s="29" t="s">
        <v>1632</v>
      </c>
      <c r="G525" s="27"/>
      <c r="H525" s="27"/>
      <c r="I525" s="27">
        <v>1</v>
      </c>
      <c r="J525" s="30">
        <v>0</v>
      </c>
      <c r="K525" s="26" t="s">
        <v>20</v>
      </c>
      <c r="L525" s="36" t="s">
        <v>229</v>
      </c>
      <c r="M525" s="31" t="str">
        <f>IFERROR(VLOOKUP(E525, TSCD_XUAN!$C$7:$K$1000, 9, 0), "Không tìm thấy")</f>
        <v>A2-Kho: trên Rack - Đề nghị TL</v>
      </c>
      <c r="N525" s="6"/>
      <c r="O525" s="6"/>
      <c r="P525" s="23"/>
      <c r="Q525" s="2"/>
      <c r="R525" s="2"/>
      <c r="S525" s="2"/>
      <c r="T525" s="2"/>
      <c r="U525" s="2"/>
      <c r="V525" s="2"/>
      <c r="W525" s="2"/>
      <c r="X525" s="2"/>
      <c r="Y525" s="2"/>
    </row>
    <row r="526" spans="1:25" ht="12.75" customHeight="1">
      <c r="A526" s="26">
        <v>279</v>
      </c>
      <c r="B526" s="27" t="s">
        <v>1271</v>
      </c>
      <c r="C526" s="28">
        <v>41626</v>
      </c>
      <c r="D526" s="27"/>
      <c r="E526" s="47" t="s">
        <v>1633</v>
      </c>
      <c r="F526" s="29" t="s">
        <v>1634</v>
      </c>
      <c r="G526" s="27" t="s">
        <v>1635</v>
      </c>
      <c r="H526" s="27" t="s">
        <v>19</v>
      </c>
      <c r="I526" s="27">
        <v>1</v>
      </c>
      <c r="J526" s="30">
        <v>528836726</v>
      </c>
      <c r="K526" s="26" t="s">
        <v>20</v>
      </c>
      <c r="L526" s="26" t="s">
        <v>423</v>
      </c>
      <c r="M526" s="31" t="s">
        <v>1636</v>
      </c>
      <c r="N526" s="7"/>
      <c r="O526" s="7" t="str">
        <f ca="1">IFERROR(__xludf.DUMMYFUNCTION("IFERROR(INDEX(Sheet1!$C:$C, MAX(FILTER(ROW(Sheet1!$B:$B), Sheet1!$B:$B=E526))), """")"),"")</f>
        <v/>
      </c>
      <c r="P526" s="23"/>
      <c r="Q526" s="2"/>
      <c r="R526" s="2"/>
      <c r="S526" s="2"/>
      <c r="T526" s="2"/>
      <c r="U526" s="2"/>
      <c r="V526" s="2"/>
      <c r="W526" s="2"/>
      <c r="X526" s="2"/>
      <c r="Y526" s="2"/>
    </row>
    <row r="527" spans="1:25" ht="12.75" customHeight="1">
      <c r="A527" s="26">
        <v>280</v>
      </c>
      <c r="B527" s="27" t="s">
        <v>1271</v>
      </c>
      <c r="C527" s="28">
        <v>41626</v>
      </c>
      <c r="D527" s="27"/>
      <c r="E527" s="47" t="s">
        <v>1637</v>
      </c>
      <c r="F527" s="29" t="s">
        <v>1638</v>
      </c>
      <c r="G527" s="27" t="s">
        <v>45</v>
      </c>
      <c r="H527" s="27" t="s">
        <v>19</v>
      </c>
      <c r="I527" s="27">
        <v>1</v>
      </c>
      <c r="J527" s="30">
        <v>550089044</v>
      </c>
      <c r="K527" s="26" t="s">
        <v>20</v>
      </c>
      <c r="L527" s="26" t="s">
        <v>423</v>
      </c>
      <c r="M527" s="31" t="s">
        <v>1639</v>
      </c>
      <c r="N527" s="7"/>
      <c r="O527" s="7" t="str">
        <f ca="1">IFERROR(__xludf.DUMMYFUNCTION("IFERROR(INDEX(Sheet1!$C:$C, MAX(FILTER(ROW(Sheet1!$B:$B), Sheet1!$B:$B=E527))), """")"),"")</f>
        <v/>
      </c>
      <c r="P527" s="23"/>
      <c r="Q527" s="2"/>
      <c r="R527" s="2"/>
      <c r="S527" s="2"/>
      <c r="T527" s="2"/>
      <c r="U527" s="2"/>
      <c r="V527" s="2"/>
      <c r="W527" s="2"/>
      <c r="X527" s="2"/>
      <c r="Y527" s="2"/>
    </row>
    <row r="528" spans="1:25" ht="12.75" customHeight="1">
      <c r="A528" s="49">
        <v>281</v>
      </c>
      <c r="B528" s="27" t="s">
        <v>1271</v>
      </c>
      <c r="C528" s="50">
        <v>41626</v>
      </c>
      <c r="D528" s="27"/>
      <c r="E528" s="51" t="s">
        <v>1640</v>
      </c>
      <c r="F528" s="52" t="s">
        <v>1641</v>
      </c>
      <c r="G528" s="27" t="s">
        <v>45</v>
      </c>
      <c r="H528" s="27" t="s">
        <v>19</v>
      </c>
      <c r="I528" s="27">
        <v>1</v>
      </c>
      <c r="J528" s="30">
        <v>834029886</v>
      </c>
      <c r="K528" s="26" t="s">
        <v>20</v>
      </c>
      <c r="L528" s="49" t="s">
        <v>423</v>
      </c>
      <c r="M528" s="54" t="s">
        <v>1642</v>
      </c>
      <c r="N528" s="7"/>
      <c r="O528" s="7" t="str">
        <f ca="1">IFERROR(__xludf.DUMMYFUNCTION("IFERROR(INDEX(Sheet1!$C:$C, MAX(FILTER(ROW(Sheet1!$B:$B), Sheet1!$B:$B=E528))), """")"),"")</f>
        <v/>
      </c>
      <c r="P528" s="23"/>
      <c r="Q528" s="2"/>
      <c r="R528" s="2"/>
      <c r="S528" s="2"/>
      <c r="T528" s="2"/>
      <c r="U528" s="2"/>
      <c r="V528" s="2"/>
      <c r="W528" s="2"/>
      <c r="X528" s="2"/>
      <c r="Y528" s="2"/>
    </row>
    <row r="529" spans="1:25" ht="12.75" customHeight="1">
      <c r="A529" s="49">
        <v>282</v>
      </c>
      <c r="B529" s="27" t="s">
        <v>1271</v>
      </c>
      <c r="C529" s="50">
        <v>41626</v>
      </c>
      <c r="D529" s="27"/>
      <c r="E529" s="51" t="s">
        <v>1643</v>
      </c>
      <c r="F529" s="52" t="s">
        <v>1644</v>
      </c>
      <c r="G529" s="27" t="s">
        <v>45</v>
      </c>
      <c r="H529" s="27" t="s">
        <v>19</v>
      </c>
      <c r="I529" s="27">
        <v>1</v>
      </c>
      <c r="J529" s="30">
        <v>834029885</v>
      </c>
      <c r="K529" s="26" t="s">
        <v>20</v>
      </c>
      <c r="L529" s="49" t="s">
        <v>423</v>
      </c>
      <c r="M529" s="54" t="s">
        <v>1645</v>
      </c>
      <c r="N529" s="7"/>
      <c r="O529" s="7" t="str">
        <f ca="1">IFERROR(__xludf.DUMMYFUNCTION("IFERROR(INDEX(Sheet1!$C:$C, MAX(FILTER(ROW(Sheet1!$B:$B), Sheet1!$B:$B=E529))), """")"),"")</f>
        <v/>
      </c>
      <c r="P529" s="23"/>
      <c r="Q529" s="2"/>
      <c r="R529" s="2"/>
      <c r="S529" s="2"/>
      <c r="T529" s="2"/>
      <c r="U529" s="2"/>
      <c r="V529" s="2"/>
      <c r="W529" s="2"/>
      <c r="X529" s="2"/>
      <c r="Y529" s="2"/>
    </row>
    <row r="530" spans="1:25" ht="12.75" customHeight="1">
      <c r="A530" s="26">
        <v>283</v>
      </c>
      <c r="B530" s="27" t="s">
        <v>1271</v>
      </c>
      <c r="C530" s="28">
        <v>41626</v>
      </c>
      <c r="D530" s="27"/>
      <c r="E530" s="47" t="s">
        <v>1646</v>
      </c>
      <c r="F530" s="29" t="s">
        <v>1647</v>
      </c>
      <c r="G530" s="27" t="s">
        <v>45</v>
      </c>
      <c r="H530" s="27" t="s">
        <v>19</v>
      </c>
      <c r="I530" s="27">
        <v>1</v>
      </c>
      <c r="J530" s="30">
        <v>119058961</v>
      </c>
      <c r="K530" s="26" t="s">
        <v>20</v>
      </c>
      <c r="L530" s="26" t="s">
        <v>423</v>
      </c>
      <c r="M530" s="31" t="s">
        <v>1639</v>
      </c>
      <c r="N530" s="7"/>
      <c r="O530" s="7" t="str">
        <f ca="1">IFERROR(__xludf.DUMMYFUNCTION("IFERROR(INDEX(Sheet1!$C:$C, MAX(FILTER(ROW(Sheet1!$B:$B), Sheet1!$B:$B=E530))), """")"),"")</f>
        <v/>
      </c>
      <c r="P530" s="23"/>
      <c r="Q530" s="2"/>
      <c r="R530" s="2"/>
      <c r="S530" s="2"/>
      <c r="T530" s="2"/>
      <c r="U530" s="2"/>
      <c r="V530" s="2"/>
      <c r="W530" s="2"/>
      <c r="X530" s="2"/>
      <c r="Y530" s="2"/>
    </row>
    <row r="531" spans="1:25" ht="12.75" customHeight="1">
      <c r="A531" s="26">
        <v>284</v>
      </c>
      <c r="B531" s="27" t="s">
        <v>219</v>
      </c>
      <c r="C531" s="28">
        <v>41635</v>
      </c>
      <c r="D531" s="27"/>
      <c r="E531" s="47" t="s">
        <v>1648</v>
      </c>
      <c r="F531" s="29" t="s">
        <v>1649</v>
      </c>
      <c r="G531" s="27" t="s">
        <v>45</v>
      </c>
      <c r="H531" s="27" t="s">
        <v>19</v>
      </c>
      <c r="I531" s="27">
        <v>1</v>
      </c>
      <c r="J531" s="30">
        <v>130537446</v>
      </c>
      <c r="K531" s="26" t="s">
        <v>20</v>
      </c>
      <c r="L531" s="26" t="s">
        <v>423</v>
      </c>
      <c r="M531" s="31" t="s">
        <v>1650</v>
      </c>
      <c r="N531" s="7"/>
      <c r="O531" s="7" t="str">
        <f ca="1">IFERROR(__xludf.DUMMYFUNCTION("IFERROR(INDEX(Sheet1!$C:$C, MAX(FILTER(ROW(Sheet1!$B:$B), Sheet1!$B:$B=E531))), """")"),"")</f>
        <v/>
      </c>
      <c r="P531" s="23"/>
      <c r="Q531" s="2"/>
      <c r="R531" s="2"/>
      <c r="S531" s="2"/>
      <c r="T531" s="2"/>
      <c r="U531" s="2"/>
      <c r="V531" s="2"/>
      <c r="W531" s="2"/>
      <c r="X531" s="2"/>
      <c r="Y531" s="2"/>
    </row>
    <row r="532" spans="1:25" ht="12.75" customHeight="1">
      <c r="A532" s="26" t="s">
        <v>1651</v>
      </c>
      <c r="B532" s="27"/>
      <c r="C532" s="28"/>
      <c r="D532" s="27"/>
      <c r="E532" s="47" t="s">
        <v>1652</v>
      </c>
      <c r="F532" s="29" t="s">
        <v>1653</v>
      </c>
      <c r="G532" s="27"/>
      <c r="H532" s="27"/>
      <c r="I532" s="27">
        <v>1</v>
      </c>
      <c r="J532" s="30">
        <v>0</v>
      </c>
      <c r="K532" s="26" t="s">
        <v>20</v>
      </c>
      <c r="L532" s="26" t="s">
        <v>423</v>
      </c>
      <c r="M532" s="31" t="s">
        <v>1654</v>
      </c>
      <c r="N532" s="7"/>
      <c r="O532" s="7" t="str">
        <f ca="1">IFERROR(__xludf.DUMMYFUNCTION("IFERROR(INDEX(Sheet1!$C:$C, MAX(FILTER(ROW(Sheet1!$B:$B), Sheet1!$B:$B=E532))), """")"),"")</f>
        <v/>
      </c>
      <c r="P532" s="23"/>
      <c r="Q532" s="2"/>
      <c r="R532" s="2"/>
      <c r="S532" s="2"/>
      <c r="T532" s="2"/>
      <c r="U532" s="2"/>
      <c r="V532" s="2"/>
      <c r="W532" s="2"/>
      <c r="X532" s="2"/>
      <c r="Y532" s="2"/>
    </row>
    <row r="533" spans="1:25" ht="25.5" hidden="1" customHeight="1">
      <c r="A533" s="38">
        <v>285</v>
      </c>
      <c r="B533" s="27" t="s">
        <v>877</v>
      </c>
      <c r="C533" s="40">
        <v>41981</v>
      </c>
      <c r="D533" s="27"/>
      <c r="E533" s="39" t="s">
        <v>1655</v>
      </c>
      <c r="F533" s="41" t="s">
        <v>1656</v>
      </c>
      <c r="G533" s="27" t="s">
        <v>1435</v>
      </c>
      <c r="H533" s="27" t="s">
        <v>19</v>
      </c>
      <c r="I533" s="27">
        <v>1</v>
      </c>
      <c r="J533" s="42">
        <v>489729924</v>
      </c>
      <c r="K533" s="38" t="s">
        <v>206</v>
      </c>
      <c r="L533" s="38" t="s">
        <v>1330</v>
      </c>
      <c r="M533" s="43" t="s">
        <v>1657</v>
      </c>
      <c r="N533" s="6"/>
      <c r="O533" s="6"/>
      <c r="P533" s="23"/>
      <c r="Q533" s="2"/>
      <c r="R533" s="2"/>
      <c r="S533" s="2"/>
      <c r="T533" s="2"/>
      <c r="U533" s="2"/>
      <c r="V533" s="2"/>
      <c r="W533" s="2"/>
      <c r="X533" s="2"/>
      <c r="Y533" s="2"/>
    </row>
    <row r="534" spans="1:25" ht="25.5" hidden="1" customHeight="1">
      <c r="A534" s="26">
        <v>286</v>
      </c>
      <c r="B534" s="27" t="s">
        <v>877</v>
      </c>
      <c r="C534" s="28">
        <v>41981</v>
      </c>
      <c r="D534" s="27"/>
      <c r="E534" s="27" t="s">
        <v>1658</v>
      </c>
      <c r="F534" s="29" t="s">
        <v>1659</v>
      </c>
      <c r="G534" s="27" t="s">
        <v>55</v>
      </c>
      <c r="H534" s="27" t="s">
        <v>19</v>
      </c>
      <c r="I534" s="27">
        <v>1</v>
      </c>
      <c r="J534" s="30">
        <v>281907402</v>
      </c>
      <c r="K534" s="26" t="s">
        <v>20</v>
      </c>
      <c r="L534" s="26" t="s">
        <v>233</v>
      </c>
      <c r="M534" s="31" t="s">
        <v>1660</v>
      </c>
      <c r="N534" s="6"/>
      <c r="O534" s="6"/>
      <c r="P534" s="23"/>
      <c r="Q534" s="2"/>
      <c r="R534" s="2"/>
      <c r="S534" s="2"/>
      <c r="T534" s="2"/>
      <c r="U534" s="2"/>
      <c r="V534" s="2"/>
      <c r="W534" s="2"/>
      <c r="X534" s="2"/>
      <c r="Y534" s="2"/>
    </row>
    <row r="535" spans="1:25" ht="12.75" hidden="1" customHeight="1">
      <c r="A535" s="26" t="s">
        <v>1661</v>
      </c>
      <c r="B535" s="27"/>
      <c r="C535" s="28"/>
      <c r="D535" s="27"/>
      <c r="E535" s="27" t="s">
        <v>1662</v>
      </c>
      <c r="F535" s="29" t="s">
        <v>1663</v>
      </c>
      <c r="G535" s="27" t="s">
        <v>55</v>
      </c>
      <c r="H535" s="27" t="s">
        <v>249</v>
      </c>
      <c r="I535" s="27">
        <v>1</v>
      </c>
      <c r="J535" s="30">
        <v>0</v>
      </c>
      <c r="K535" s="26" t="s">
        <v>20</v>
      </c>
      <c r="L535" s="26" t="s">
        <v>233</v>
      </c>
      <c r="M535" s="31" t="s">
        <v>1369</v>
      </c>
      <c r="N535" s="6"/>
      <c r="O535" s="6"/>
      <c r="P535" s="23"/>
      <c r="Q535" s="2"/>
      <c r="R535" s="2"/>
      <c r="S535" s="2"/>
      <c r="T535" s="2"/>
      <c r="U535" s="2"/>
      <c r="V535" s="2"/>
      <c r="W535" s="2"/>
      <c r="X535" s="2"/>
      <c r="Y535" s="2"/>
    </row>
    <row r="536" spans="1:25" ht="25.5" hidden="1" customHeight="1">
      <c r="A536" s="26" t="s">
        <v>1664</v>
      </c>
      <c r="B536" s="27"/>
      <c r="C536" s="28"/>
      <c r="D536" s="27"/>
      <c r="E536" s="27" t="s">
        <v>1665</v>
      </c>
      <c r="F536" s="29" t="s">
        <v>1666</v>
      </c>
      <c r="G536" s="27" t="s">
        <v>55</v>
      </c>
      <c r="H536" s="27" t="s">
        <v>249</v>
      </c>
      <c r="I536" s="27">
        <v>1</v>
      </c>
      <c r="J536" s="30">
        <v>0</v>
      </c>
      <c r="K536" s="26" t="s">
        <v>20</v>
      </c>
      <c r="L536" s="26" t="s">
        <v>233</v>
      </c>
      <c r="M536" s="31" t="s">
        <v>1667</v>
      </c>
      <c r="N536" s="6"/>
      <c r="O536" s="6"/>
      <c r="P536" s="23"/>
      <c r="Q536" s="2"/>
      <c r="R536" s="2"/>
      <c r="S536" s="2"/>
      <c r="T536" s="2"/>
      <c r="U536" s="2"/>
      <c r="V536" s="2"/>
      <c r="W536" s="2"/>
      <c r="X536" s="2"/>
      <c r="Y536" s="2"/>
    </row>
    <row r="537" spans="1:25" ht="25.5" customHeight="1">
      <c r="A537" s="26">
        <v>287</v>
      </c>
      <c r="B537" s="27" t="s">
        <v>1668</v>
      </c>
      <c r="C537" s="28">
        <v>41982</v>
      </c>
      <c r="D537" s="27"/>
      <c r="E537" s="47" t="s">
        <v>1669</v>
      </c>
      <c r="F537" s="29" t="s">
        <v>1670</v>
      </c>
      <c r="G537" s="27" t="s">
        <v>45</v>
      </c>
      <c r="H537" s="27" t="s">
        <v>19</v>
      </c>
      <c r="I537" s="27">
        <v>1</v>
      </c>
      <c r="J537" s="30">
        <v>567315000</v>
      </c>
      <c r="K537" s="26" t="s">
        <v>20</v>
      </c>
      <c r="L537" s="26" t="s">
        <v>423</v>
      </c>
      <c r="M537" s="27" t="s">
        <v>1671</v>
      </c>
      <c r="N537" s="7"/>
      <c r="O537" s="7" t="str">
        <f ca="1">IFERROR(__xludf.DUMMYFUNCTION("IFERROR(INDEX(Sheet1!$C:$C, MAX(FILTER(ROW(Sheet1!$B:$B), Sheet1!$B:$B=E537))), """")"),"")</f>
        <v/>
      </c>
      <c r="P537" s="23"/>
      <c r="Q537" s="2"/>
      <c r="R537" s="2"/>
      <c r="S537" s="2"/>
      <c r="T537" s="2"/>
      <c r="U537" s="2"/>
      <c r="V537" s="2"/>
      <c r="W537" s="2"/>
      <c r="X537" s="2"/>
      <c r="Y537" s="2"/>
    </row>
    <row r="538" spans="1:25" ht="38.25" customHeight="1">
      <c r="A538" s="49" t="s">
        <v>1672</v>
      </c>
      <c r="B538" s="27"/>
      <c r="C538" s="50"/>
      <c r="D538" s="27"/>
      <c r="E538" s="51" t="s">
        <v>1673</v>
      </c>
      <c r="F538" s="52" t="s">
        <v>1674</v>
      </c>
      <c r="G538" s="27" t="s">
        <v>45</v>
      </c>
      <c r="H538" s="27" t="s">
        <v>249</v>
      </c>
      <c r="I538" s="27">
        <v>1</v>
      </c>
      <c r="J538" s="30">
        <v>0</v>
      </c>
      <c r="K538" s="26" t="s">
        <v>20</v>
      </c>
      <c r="L538" s="49" t="s">
        <v>423</v>
      </c>
      <c r="M538" s="52" t="s">
        <v>1675</v>
      </c>
      <c r="N538" s="7"/>
      <c r="O538" s="7" t="str">
        <f ca="1">IFERROR(__xludf.DUMMYFUNCTION("IFERROR(INDEX(Sheet1!$C:$C, MAX(FILTER(ROW(Sheet1!$B:$B), Sheet1!$B:$B=E538))), """")"),"")</f>
        <v/>
      </c>
      <c r="P538" s="23"/>
      <c r="Q538" s="2"/>
      <c r="R538" s="2"/>
      <c r="S538" s="2"/>
      <c r="T538" s="2"/>
      <c r="U538" s="2"/>
      <c r="V538" s="2"/>
      <c r="W538" s="2"/>
      <c r="X538" s="2"/>
      <c r="Y538" s="2"/>
    </row>
    <row r="539" spans="1:25" ht="25.5" customHeight="1">
      <c r="A539" s="26">
        <v>288</v>
      </c>
      <c r="B539" s="27" t="s">
        <v>1668</v>
      </c>
      <c r="C539" s="28">
        <v>41982</v>
      </c>
      <c r="D539" s="27"/>
      <c r="E539" s="47" t="s">
        <v>1676</v>
      </c>
      <c r="F539" s="29" t="s">
        <v>1677</v>
      </c>
      <c r="G539" s="27" t="s">
        <v>45</v>
      </c>
      <c r="H539" s="27" t="s">
        <v>19</v>
      </c>
      <c r="I539" s="27">
        <v>1</v>
      </c>
      <c r="J539" s="30">
        <v>567315000</v>
      </c>
      <c r="K539" s="26" t="s">
        <v>20</v>
      </c>
      <c r="L539" s="26" t="s">
        <v>423</v>
      </c>
      <c r="M539" s="27" t="s">
        <v>1678</v>
      </c>
      <c r="N539" s="7"/>
      <c r="O539" s="7" t="str">
        <f ca="1">IFERROR(__xludf.DUMMYFUNCTION("IFERROR(INDEX(Sheet1!$C:$C, MAX(FILTER(ROW(Sheet1!$B:$B), Sheet1!$B:$B=E539))), """")"),"")</f>
        <v/>
      </c>
      <c r="P539" s="23"/>
      <c r="Q539" s="2"/>
      <c r="R539" s="2"/>
      <c r="S539" s="2"/>
      <c r="T539" s="2"/>
      <c r="U539" s="2"/>
      <c r="V539" s="2"/>
      <c r="W539" s="2"/>
      <c r="X539" s="2"/>
      <c r="Y539" s="2"/>
    </row>
    <row r="540" spans="1:25" ht="25.5" customHeight="1">
      <c r="A540" s="26" t="s">
        <v>1679</v>
      </c>
      <c r="B540" s="27"/>
      <c r="C540" s="28"/>
      <c r="D540" s="27"/>
      <c r="E540" s="47" t="s">
        <v>1680</v>
      </c>
      <c r="F540" s="29" t="s">
        <v>1681</v>
      </c>
      <c r="G540" s="27" t="s">
        <v>45</v>
      </c>
      <c r="H540" s="27" t="s">
        <v>249</v>
      </c>
      <c r="I540" s="27">
        <v>1</v>
      </c>
      <c r="J540" s="30">
        <v>0</v>
      </c>
      <c r="K540" s="26" t="s">
        <v>20</v>
      </c>
      <c r="L540" s="26" t="s">
        <v>423</v>
      </c>
      <c r="M540" s="29" t="s">
        <v>1682</v>
      </c>
      <c r="N540" s="7"/>
      <c r="O540" s="7" t="str">
        <f ca="1">IFERROR(__xludf.DUMMYFUNCTION("IFERROR(INDEX(Sheet1!$C:$C, MAX(FILTER(ROW(Sheet1!$B:$B), Sheet1!$B:$B=E540))), """")"),"")</f>
        <v/>
      </c>
      <c r="P540" s="23"/>
      <c r="Q540" s="2"/>
      <c r="R540" s="2"/>
      <c r="S540" s="2"/>
      <c r="T540" s="2"/>
      <c r="U540" s="2"/>
      <c r="V540" s="2"/>
      <c r="W540" s="2"/>
      <c r="X540" s="2"/>
      <c r="Y540" s="2"/>
    </row>
    <row r="541" spans="1:25" ht="12.75" hidden="1" customHeight="1">
      <c r="A541" s="26">
        <v>289</v>
      </c>
      <c r="B541" s="27" t="s">
        <v>1683</v>
      </c>
      <c r="C541" s="28">
        <v>42733</v>
      </c>
      <c r="D541" s="27"/>
      <c r="E541" s="27" t="s">
        <v>1684</v>
      </c>
      <c r="F541" s="29" t="s">
        <v>1685</v>
      </c>
      <c r="G541" s="27" t="s">
        <v>338</v>
      </c>
      <c r="H541" s="27" t="s">
        <v>19</v>
      </c>
      <c r="I541" s="27">
        <v>1</v>
      </c>
      <c r="J541" s="30">
        <v>198000000</v>
      </c>
      <c r="K541" s="26" t="s">
        <v>36</v>
      </c>
      <c r="L541" s="26" t="s">
        <v>37</v>
      </c>
      <c r="M541" s="31" t="s">
        <v>1686</v>
      </c>
      <c r="N541" s="6"/>
      <c r="O541" s="6"/>
      <c r="P541" s="23"/>
      <c r="Q541" s="2"/>
      <c r="R541" s="2"/>
      <c r="S541" s="2"/>
      <c r="T541" s="2"/>
      <c r="U541" s="2"/>
      <c r="V541" s="2"/>
      <c r="W541" s="2"/>
      <c r="X541" s="2"/>
      <c r="Y541" s="2"/>
    </row>
    <row r="542" spans="1:25" ht="12.75" hidden="1" customHeight="1">
      <c r="A542" s="26">
        <v>290</v>
      </c>
      <c r="B542" s="27" t="s">
        <v>1683</v>
      </c>
      <c r="C542" s="28">
        <v>42733</v>
      </c>
      <c r="D542" s="27"/>
      <c r="E542" s="27" t="s">
        <v>1687</v>
      </c>
      <c r="F542" s="29" t="s">
        <v>1688</v>
      </c>
      <c r="G542" s="27" t="s">
        <v>338</v>
      </c>
      <c r="H542" s="27" t="s">
        <v>19</v>
      </c>
      <c r="I542" s="27">
        <v>1</v>
      </c>
      <c r="J542" s="30">
        <v>198000000</v>
      </c>
      <c r="K542" s="26" t="s">
        <v>36</v>
      </c>
      <c r="L542" s="26" t="s">
        <v>37</v>
      </c>
      <c r="M542" s="31" t="s">
        <v>1689</v>
      </c>
      <c r="N542" s="6"/>
      <c r="O542" s="6"/>
      <c r="P542" s="23"/>
      <c r="Q542" s="2"/>
      <c r="R542" s="2"/>
      <c r="S542" s="2"/>
      <c r="T542" s="2"/>
      <c r="U542" s="2"/>
      <c r="V542" s="2"/>
      <c r="W542" s="2"/>
      <c r="X542" s="2"/>
      <c r="Y542" s="2"/>
    </row>
    <row r="543" spans="1:25" ht="27" hidden="1" customHeight="1">
      <c r="A543" s="26">
        <v>291</v>
      </c>
      <c r="B543" s="27" t="s">
        <v>1690</v>
      </c>
      <c r="C543" s="28">
        <v>41982</v>
      </c>
      <c r="D543" s="27"/>
      <c r="E543" s="27" t="s">
        <v>1691</v>
      </c>
      <c r="F543" s="29" t="s">
        <v>1692</v>
      </c>
      <c r="G543" s="27" t="s">
        <v>1088</v>
      </c>
      <c r="H543" s="27" t="s">
        <v>19</v>
      </c>
      <c r="I543" s="27">
        <v>1</v>
      </c>
      <c r="J543" s="30">
        <v>99430513</v>
      </c>
      <c r="K543" s="45" t="s">
        <v>206</v>
      </c>
      <c r="L543" s="45" t="s">
        <v>1247</v>
      </c>
      <c r="M543" s="46" t="s">
        <v>1693</v>
      </c>
      <c r="N543" s="6"/>
      <c r="O543" s="6"/>
      <c r="P543" s="23"/>
      <c r="Q543" s="2"/>
      <c r="R543" s="2"/>
      <c r="S543" s="2"/>
      <c r="T543" s="2"/>
      <c r="U543" s="2"/>
      <c r="V543" s="2"/>
      <c r="W543" s="2"/>
      <c r="X543" s="2"/>
      <c r="Y543" s="2"/>
    </row>
    <row r="544" spans="1:25" ht="25.5" hidden="1" customHeight="1">
      <c r="A544" s="26">
        <v>292</v>
      </c>
      <c r="B544" s="27" t="s">
        <v>1690</v>
      </c>
      <c r="C544" s="28">
        <v>41982</v>
      </c>
      <c r="D544" s="27"/>
      <c r="E544" s="27" t="s">
        <v>1694</v>
      </c>
      <c r="F544" s="29" t="s">
        <v>1695</v>
      </c>
      <c r="G544" s="27" t="s">
        <v>1088</v>
      </c>
      <c r="H544" s="27" t="s">
        <v>19</v>
      </c>
      <c r="I544" s="27">
        <v>1</v>
      </c>
      <c r="J544" s="30">
        <v>261272065</v>
      </c>
      <c r="K544" s="26" t="s">
        <v>206</v>
      </c>
      <c r="L544" s="26" t="s">
        <v>1330</v>
      </c>
      <c r="M544" s="31" t="s">
        <v>1696</v>
      </c>
      <c r="N544" s="6"/>
      <c r="O544" s="6"/>
      <c r="P544" s="23"/>
      <c r="Q544" s="2"/>
      <c r="R544" s="2"/>
      <c r="S544" s="2"/>
      <c r="T544" s="2"/>
      <c r="U544" s="2"/>
      <c r="V544" s="2"/>
      <c r="W544" s="2"/>
      <c r="X544" s="2"/>
      <c r="Y544" s="2"/>
    </row>
    <row r="545" spans="1:25" ht="12.75" customHeight="1">
      <c r="A545" s="49">
        <v>293</v>
      </c>
      <c r="B545" s="27" t="s">
        <v>470</v>
      </c>
      <c r="C545" s="50">
        <v>41983</v>
      </c>
      <c r="D545" s="27"/>
      <c r="E545" s="51" t="s">
        <v>1697</v>
      </c>
      <c r="F545" s="52" t="s">
        <v>1698</v>
      </c>
      <c r="G545" s="27" t="s">
        <v>45</v>
      </c>
      <c r="H545" s="27" t="s">
        <v>19</v>
      </c>
      <c r="I545" s="27">
        <v>1</v>
      </c>
      <c r="J545" s="30">
        <v>398006974</v>
      </c>
      <c r="K545" s="26" t="s">
        <v>20</v>
      </c>
      <c r="L545" s="49" t="s">
        <v>423</v>
      </c>
      <c r="M545" s="54" t="s">
        <v>1699</v>
      </c>
      <c r="N545" s="7"/>
      <c r="O545" s="7" t="str">
        <f ca="1">IFERROR(__xludf.DUMMYFUNCTION("IFERROR(INDEX(Sheet1!$C:$C, MAX(FILTER(ROW(Sheet1!$B:$B), Sheet1!$B:$B=E545))), """")"),"")</f>
        <v/>
      </c>
      <c r="P545" s="23"/>
      <c r="Q545" s="2"/>
      <c r="R545" s="2"/>
      <c r="S545" s="2"/>
      <c r="T545" s="2"/>
      <c r="U545" s="2"/>
      <c r="V545" s="2"/>
      <c r="W545" s="2"/>
      <c r="X545" s="2"/>
      <c r="Y545" s="2"/>
    </row>
    <row r="546" spans="1:25" ht="12.75" customHeight="1">
      <c r="A546" s="49">
        <v>294</v>
      </c>
      <c r="B546" s="27" t="s">
        <v>470</v>
      </c>
      <c r="C546" s="50">
        <v>41983</v>
      </c>
      <c r="D546" s="27"/>
      <c r="E546" s="51" t="s">
        <v>1700</v>
      </c>
      <c r="F546" s="52" t="s">
        <v>1701</v>
      </c>
      <c r="G546" s="27" t="s">
        <v>45</v>
      </c>
      <c r="H546" s="27" t="s">
        <v>19</v>
      </c>
      <c r="I546" s="27">
        <v>1</v>
      </c>
      <c r="J546" s="30">
        <v>398006974</v>
      </c>
      <c r="K546" s="26" t="s">
        <v>20</v>
      </c>
      <c r="L546" s="49" t="s">
        <v>423</v>
      </c>
      <c r="M546" s="54" t="s">
        <v>1702</v>
      </c>
      <c r="N546" s="7"/>
      <c r="O546" s="7" t="str">
        <f ca="1">IFERROR(__xludf.DUMMYFUNCTION("IFERROR(INDEX(Sheet1!$C:$C, MAX(FILTER(ROW(Sheet1!$B:$B), Sheet1!$B:$B=E546))), """")"),"")</f>
        <v/>
      </c>
      <c r="P546" s="23"/>
      <c r="Q546" s="2"/>
      <c r="R546" s="2"/>
      <c r="S546" s="2"/>
      <c r="T546" s="2"/>
      <c r="U546" s="2"/>
      <c r="V546" s="2"/>
      <c r="W546" s="2"/>
      <c r="X546" s="2"/>
      <c r="Y546" s="2"/>
    </row>
    <row r="547" spans="1:25" ht="12.75" customHeight="1">
      <c r="A547" s="49">
        <v>295</v>
      </c>
      <c r="B547" s="27" t="s">
        <v>470</v>
      </c>
      <c r="C547" s="50">
        <v>41983</v>
      </c>
      <c r="D547" s="27"/>
      <c r="E547" s="51" t="s">
        <v>1703</v>
      </c>
      <c r="F547" s="52" t="s">
        <v>1704</v>
      </c>
      <c r="G547" s="27" t="s">
        <v>45</v>
      </c>
      <c r="H547" s="27" t="s">
        <v>19</v>
      </c>
      <c r="I547" s="27">
        <v>1</v>
      </c>
      <c r="J547" s="30">
        <v>398006974</v>
      </c>
      <c r="K547" s="26" t="s">
        <v>20</v>
      </c>
      <c r="L547" s="49" t="s">
        <v>423</v>
      </c>
      <c r="M547" s="54" t="s">
        <v>1705</v>
      </c>
      <c r="N547" s="7"/>
      <c r="O547" s="7" t="str">
        <f ca="1">IFERROR(__xludf.DUMMYFUNCTION("IFERROR(INDEX(Sheet1!$C:$C, MAX(FILTER(ROW(Sheet1!$B:$B), Sheet1!$B:$B=E547))), """")"),"")</f>
        <v/>
      </c>
      <c r="P547" s="23"/>
      <c r="Q547" s="2"/>
      <c r="R547" s="2"/>
      <c r="S547" s="2"/>
      <c r="T547" s="2"/>
      <c r="U547" s="2"/>
      <c r="V547" s="2"/>
      <c r="W547" s="2"/>
      <c r="X547" s="2"/>
      <c r="Y547" s="2"/>
    </row>
    <row r="548" spans="1:25" ht="12.75" customHeight="1">
      <c r="A548" s="49">
        <v>296</v>
      </c>
      <c r="B548" s="27" t="s">
        <v>470</v>
      </c>
      <c r="C548" s="50">
        <v>41983</v>
      </c>
      <c r="D548" s="27"/>
      <c r="E548" s="51" t="s">
        <v>1706</v>
      </c>
      <c r="F548" s="52" t="s">
        <v>1707</v>
      </c>
      <c r="G548" s="27" t="s">
        <v>45</v>
      </c>
      <c r="H548" s="27" t="s">
        <v>19</v>
      </c>
      <c r="I548" s="27">
        <v>1</v>
      </c>
      <c r="J548" s="30">
        <v>398006974</v>
      </c>
      <c r="K548" s="26" t="s">
        <v>20</v>
      </c>
      <c r="L548" s="49" t="s">
        <v>423</v>
      </c>
      <c r="M548" s="54" t="s">
        <v>1708</v>
      </c>
      <c r="N548" s="7"/>
      <c r="O548" s="7" t="str">
        <f ca="1">IFERROR(__xludf.DUMMYFUNCTION("IFERROR(INDEX(Sheet1!$C:$C, MAX(FILTER(ROW(Sheet1!$B:$B), Sheet1!$B:$B=E548))), """")"),"")</f>
        <v/>
      </c>
      <c r="P548" s="23"/>
      <c r="Q548" s="2"/>
      <c r="R548" s="2"/>
      <c r="S548" s="2"/>
      <c r="T548" s="2"/>
      <c r="U548" s="2"/>
      <c r="V548" s="2"/>
      <c r="W548" s="2"/>
      <c r="X548" s="2"/>
      <c r="Y548" s="2"/>
    </row>
    <row r="549" spans="1:25" ht="12.75" customHeight="1">
      <c r="A549" s="49">
        <v>297</v>
      </c>
      <c r="B549" s="27" t="s">
        <v>470</v>
      </c>
      <c r="C549" s="50">
        <v>41983</v>
      </c>
      <c r="D549" s="27"/>
      <c r="E549" s="51" t="s">
        <v>1709</v>
      </c>
      <c r="F549" s="52" t="s">
        <v>1710</v>
      </c>
      <c r="G549" s="27" t="s">
        <v>45</v>
      </c>
      <c r="H549" s="27" t="s">
        <v>19</v>
      </c>
      <c r="I549" s="27">
        <v>1</v>
      </c>
      <c r="J549" s="30">
        <v>75994860</v>
      </c>
      <c r="K549" s="26" t="s">
        <v>20</v>
      </c>
      <c r="L549" s="49" t="s">
        <v>423</v>
      </c>
      <c r="M549" s="54" t="s">
        <v>1711</v>
      </c>
      <c r="N549" s="7"/>
      <c r="O549" s="7" t="str">
        <f ca="1">IFERROR(__xludf.DUMMYFUNCTION("IFERROR(INDEX(Sheet1!$C:$C, MAX(FILTER(ROW(Sheet1!$B:$B), Sheet1!$B:$B=E549))), """")"),"")</f>
        <v/>
      </c>
      <c r="P549" s="23"/>
      <c r="Q549" s="2"/>
      <c r="R549" s="2"/>
      <c r="S549" s="2"/>
      <c r="T549" s="2"/>
      <c r="U549" s="2"/>
      <c r="V549" s="2"/>
      <c r="W549" s="2"/>
      <c r="X549" s="2"/>
      <c r="Y549" s="2"/>
    </row>
    <row r="550" spans="1:25" ht="12.75" customHeight="1">
      <c r="A550" s="49">
        <v>298</v>
      </c>
      <c r="B550" s="27" t="s">
        <v>470</v>
      </c>
      <c r="C550" s="50">
        <v>41983</v>
      </c>
      <c r="D550" s="27"/>
      <c r="E550" s="51" t="s">
        <v>1712</v>
      </c>
      <c r="F550" s="52" t="s">
        <v>1713</v>
      </c>
      <c r="G550" s="27" t="s">
        <v>45</v>
      </c>
      <c r="H550" s="27" t="s">
        <v>19</v>
      </c>
      <c r="I550" s="27">
        <v>1</v>
      </c>
      <c r="J550" s="30">
        <v>75994860</v>
      </c>
      <c r="K550" s="26" t="s">
        <v>20</v>
      </c>
      <c r="L550" s="49" t="s">
        <v>423</v>
      </c>
      <c r="M550" s="54" t="s">
        <v>1714</v>
      </c>
      <c r="N550" s="7"/>
      <c r="O550" s="7" t="str">
        <f ca="1">IFERROR(__xludf.DUMMYFUNCTION("IFERROR(INDEX(Sheet1!$C:$C, MAX(FILTER(ROW(Sheet1!$B:$B), Sheet1!$B:$B=E550))), """")"),"")</f>
        <v/>
      </c>
      <c r="P550" s="23"/>
      <c r="Q550" s="2"/>
      <c r="R550" s="2"/>
      <c r="S550" s="2"/>
      <c r="T550" s="2"/>
      <c r="U550" s="2"/>
      <c r="V550" s="2"/>
      <c r="W550" s="2"/>
      <c r="X550" s="2"/>
      <c r="Y550" s="2"/>
    </row>
    <row r="551" spans="1:25" ht="12.75" customHeight="1">
      <c r="A551" s="49">
        <v>299</v>
      </c>
      <c r="B551" s="27" t="s">
        <v>470</v>
      </c>
      <c r="C551" s="50">
        <v>41983</v>
      </c>
      <c r="D551" s="27"/>
      <c r="E551" s="51" t="s">
        <v>1715</v>
      </c>
      <c r="F551" s="52" t="s">
        <v>1716</v>
      </c>
      <c r="G551" s="27" t="s">
        <v>45</v>
      </c>
      <c r="H551" s="27" t="s">
        <v>19</v>
      </c>
      <c r="I551" s="27">
        <v>1</v>
      </c>
      <c r="J551" s="30">
        <v>75994860</v>
      </c>
      <c r="K551" s="26" t="s">
        <v>20</v>
      </c>
      <c r="L551" s="49" t="s">
        <v>423</v>
      </c>
      <c r="M551" s="54" t="s">
        <v>1717</v>
      </c>
      <c r="N551" s="7"/>
      <c r="O551" s="7" t="str">
        <f ca="1">IFERROR(__xludf.DUMMYFUNCTION("IFERROR(INDEX(Sheet1!$C:$C, MAX(FILTER(ROW(Sheet1!$B:$B), Sheet1!$B:$B=E551))), """")"),"")</f>
        <v/>
      </c>
      <c r="P551" s="23"/>
      <c r="Q551" s="2"/>
      <c r="R551" s="2"/>
      <c r="S551" s="2"/>
      <c r="T551" s="2"/>
      <c r="U551" s="2"/>
      <c r="V551" s="2"/>
      <c r="W551" s="2"/>
      <c r="X551" s="2"/>
      <c r="Y551" s="2"/>
    </row>
    <row r="552" spans="1:25" ht="12.75" customHeight="1">
      <c r="A552" s="49">
        <v>300</v>
      </c>
      <c r="B552" s="27" t="s">
        <v>470</v>
      </c>
      <c r="C552" s="50">
        <v>41983</v>
      </c>
      <c r="D552" s="27"/>
      <c r="E552" s="51" t="s">
        <v>1718</v>
      </c>
      <c r="F552" s="52" t="s">
        <v>1719</v>
      </c>
      <c r="G552" s="27" t="s">
        <v>45</v>
      </c>
      <c r="H552" s="27" t="s">
        <v>19</v>
      </c>
      <c r="I552" s="27">
        <v>1</v>
      </c>
      <c r="J552" s="30">
        <v>75994860</v>
      </c>
      <c r="K552" s="26" t="s">
        <v>20</v>
      </c>
      <c r="L552" s="49" t="s">
        <v>423</v>
      </c>
      <c r="M552" s="54" t="s">
        <v>1720</v>
      </c>
      <c r="N552" s="7"/>
      <c r="O552" s="7" t="str">
        <f ca="1">IFERROR(__xludf.DUMMYFUNCTION("IFERROR(INDEX(Sheet1!$C:$C, MAX(FILTER(ROW(Sheet1!$B:$B), Sheet1!$B:$B=E552))), """")"),"")</f>
        <v/>
      </c>
      <c r="P552" s="23"/>
      <c r="Q552" s="2"/>
      <c r="R552" s="2"/>
      <c r="S552" s="2"/>
      <c r="T552" s="2"/>
      <c r="U552" s="2"/>
      <c r="V552" s="2"/>
      <c r="W552" s="2"/>
      <c r="X552" s="2"/>
      <c r="Y552" s="2"/>
    </row>
    <row r="553" spans="1:25" ht="12.75" customHeight="1">
      <c r="A553" s="26">
        <v>301</v>
      </c>
      <c r="B553" s="27" t="s">
        <v>470</v>
      </c>
      <c r="C553" s="28">
        <v>41983</v>
      </c>
      <c r="D553" s="27"/>
      <c r="E553" s="47" t="s">
        <v>1721</v>
      </c>
      <c r="F553" s="29" t="s">
        <v>1722</v>
      </c>
      <c r="G553" s="27" t="s">
        <v>55</v>
      </c>
      <c r="H553" s="27" t="s">
        <v>19</v>
      </c>
      <c r="I553" s="27">
        <v>1</v>
      </c>
      <c r="J553" s="30">
        <v>217293775</v>
      </c>
      <c r="K553" s="26" t="s">
        <v>20</v>
      </c>
      <c r="L553" s="26" t="s">
        <v>423</v>
      </c>
      <c r="M553" s="31" t="s">
        <v>1723</v>
      </c>
      <c r="N553" s="7"/>
      <c r="O553" s="7" t="str">
        <f ca="1">IFERROR(__xludf.DUMMYFUNCTION("IFERROR(INDEX(Sheet1!$C:$C, MAX(FILTER(ROW(Sheet1!$B:$B), Sheet1!$B:$B=E553))), """")"),"")</f>
        <v/>
      </c>
      <c r="P553" s="23"/>
      <c r="Q553" s="2"/>
      <c r="R553" s="2"/>
      <c r="S553" s="2"/>
      <c r="T553" s="2"/>
      <c r="U553" s="2"/>
      <c r="V553" s="2"/>
      <c r="W553" s="2"/>
      <c r="X553" s="2"/>
      <c r="Y553" s="2"/>
    </row>
    <row r="554" spans="1:25" ht="12.75" customHeight="1">
      <c r="A554" s="26">
        <v>302</v>
      </c>
      <c r="B554" s="27" t="s">
        <v>470</v>
      </c>
      <c r="C554" s="28">
        <v>41983</v>
      </c>
      <c r="D554" s="27"/>
      <c r="E554" s="47" t="s">
        <v>1724</v>
      </c>
      <c r="F554" s="29" t="s">
        <v>1725</v>
      </c>
      <c r="G554" s="27" t="s">
        <v>55</v>
      </c>
      <c r="H554" s="27" t="s">
        <v>19</v>
      </c>
      <c r="I554" s="27">
        <v>1</v>
      </c>
      <c r="J554" s="30">
        <v>217293776</v>
      </c>
      <c r="K554" s="26" t="s">
        <v>20</v>
      </c>
      <c r="L554" s="26" t="s">
        <v>423</v>
      </c>
      <c r="M554" s="31" t="s">
        <v>1726</v>
      </c>
      <c r="N554" s="7"/>
      <c r="O554" s="7" t="str">
        <f ca="1">IFERROR(__xludf.DUMMYFUNCTION("IFERROR(INDEX(Sheet1!$C:$C, MAX(FILTER(ROW(Sheet1!$B:$B), Sheet1!$B:$B=E554))), """")"),"")</f>
        <v/>
      </c>
      <c r="P554" s="23"/>
      <c r="Q554" s="2"/>
      <c r="R554" s="2"/>
      <c r="S554" s="2"/>
      <c r="T554" s="2"/>
      <c r="U554" s="2"/>
      <c r="V554" s="2"/>
      <c r="W554" s="2"/>
      <c r="X554" s="2"/>
      <c r="Y554" s="2"/>
    </row>
    <row r="555" spans="1:25" ht="12.75" customHeight="1">
      <c r="A555" s="26" t="s">
        <v>1727</v>
      </c>
      <c r="B555" s="27"/>
      <c r="C555" s="28"/>
      <c r="D555" s="27"/>
      <c r="E555" s="47" t="s">
        <v>1728</v>
      </c>
      <c r="F555" s="29" t="s">
        <v>1729</v>
      </c>
      <c r="G555" s="27" t="s">
        <v>55</v>
      </c>
      <c r="H555" s="27" t="s">
        <v>19</v>
      </c>
      <c r="I555" s="27">
        <v>1</v>
      </c>
      <c r="J555" s="30">
        <v>0</v>
      </c>
      <c r="K555" s="26" t="s">
        <v>20</v>
      </c>
      <c r="L555" s="26" t="s">
        <v>423</v>
      </c>
      <c r="M555" s="31" t="s">
        <v>1730</v>
      </c>
      <c r="N555" s="7"/>
      <c r="O555" s="7" t="str">
        <f ca="1">IFERROR(__xludf.DUMMYFUNCTION("IFERROR(INDEX(Sheet1!$C:$C, MAX(FILTER(ROW(Sheet1!$B:$B), Sheet1!$B:$B=E555))), """")"),"")</f>
        <v/>
      </c>
      <c r="P555" s="23"/>
      <c r="Q555" s="2"/>
      <c r="R555" s="2"/>
      <c r="S555" s="2"/>
      <c r="T555" s="2"/>
      <c r="U555" s="2"/>
      <c r="V555" s="2"/>
      <c r="W555" s="2"/>
      <c r="X555" s="2"/>
      <c r="Y555" s="2"/>
    </row>
    <row r="556" spans="1:25" ht="38.25" hidden="1" customHeight="1">
      <c r="A556" s="26">
        <v>303</v>
      </c>
      <c r="B556" s="27" t="s">
        <v>470</v>
      </c>
      <c r="C556" s="28">
        <v>41983</v>
      </c>
      <c r="D556" s="27"/>
      <c r="E556" s="27" t="s">
        <v>1731</v>
      </c>
      <c r="F556" s="29" t="s">
        <v>1732</v>
      </c>
      <c r="G556" s="27" t="s">
        <v>45</v>
      </c>
      <c r="H556" s="27" t="s">
        <v>19</v>
      </c>
      <c r="I556" s="27">
        <v>1</v>
      </c>
      <c r="J556" s="30">
        <v>2456211629</v>
      </c>
      <c r="K556" s="26" t="s">
        <v>20</v>
      </c>
      <c r="L556" s="36" t="s">
        <v>229</v>
      </c>
      <c r="M556" s="31" t="str">
        <f>IFERROR(VLOOKUP(E556, TSCD_XUAN!$C$7:$K$1000, 9, 0), "Không tìm thấy")</f>
        <v>A2-Kho: trên Rack - Đề nghị TL</v>
      </c>
      <c r="N556" s="6"/>
      <c r="O556" s="6"/>
      <c r="P556" s="23"/>
      <c r="Q556" s="2"/>
      <c r="R556" s="2"/>
      <c r="S556" s="2"/>
      <c r="T556" s="2"/>
      <c r="U556" s="2"/>
      <c r="V556" s="2"/>
      <c r="W556" s="2"/>
      <c r="X556" s="2"/>
      <c r="Y556" s="2"/>
    </row>
    <row r="557" spans="1:25" ht="38.25" customHeight="1">
      <c r="A557" s="26" t="s">
        <v>1733</v>
      </c>
      <c r="B557" s="27"/>
      <c r="C557" s="28"/>
      <c r="D557" s="27"/>
      <c r="E557" s="47" t="s">
        <v>1734</v>
      </c>
      <c r="F557" s="29" t="s">
        <v>1735</v>
      </c>
      <c r="G557" s="27" t="s">
        <v>248</v>
      </c>
      <c r="H557" s="27" t="s">
        <v>249</v>
      </c>
      <c r="I557" s="27">
        <v>1</v>
      </c>
      <c r="J557" s="30">
        <v>0</v>
      </c>
      <c r="K557" s="26" t="s">
        <v>20</v>
      </c>
      <c r="L557" s="26" t="s">
        <v>423</v>
      </c>
      <c r="M557" s="57" t="s">
        <v>1736</v>
      </c>
      <c r="N557" s="7"/>
      <c r="O557" s="7" t="str">
        <f ca="1">IFERROR(__xludf.DUMMYFUNCTION("IFERROR(INDEX(Sheet1!$C:$C, MAX(FILTER(ROW(Sheet1!$B:$B), Sheet1!$B:$B=E557))), """")"),"")</f>
        <v/>
      </c>
      <c r="P557" s="23"/>
      <c r="Q557" s="2"/>
      <c r="R557" s="2"/>
      <c r="S557" s="2"/>
      <c r="T557" s="2"/>
      <c r="U557" s="2"/>
      <c r="V557" s="2"/>
      <c r="W557" s="2"/>
      <c r="X557" s="2"/>
      <c r="Y557" s="2"/>
    </row>
    <row r="558" spans="1:25" ht="38.25" hidden="1" customHeight="1">
      <c r="A558" s="26" t="s">
        <v>1737</v>
      </c>
      <c r="B558" s="27"/>
      <c r="C558" s="28"/>
      <c r="D558" s="27"/>
      <c r="E558" s="27" t="s">
        <v>1738</v>
      </c>
      <c r="F558" s="29" t="s">
        <v>1739</v>
      </c>
      <c r="G558" s="27"/>
      <c r="H558" s="27" t="s">
        <v>249</v>
      </c>
      <c r="I558" s="27">
        <v>1</v>
      </c>
      <c r="J558" s="30">
        <v>0</v>
      </c>
      <c r="K558" s="26" t="s">
        <v>20</v>
      </c>
      <c r="L558" s="36" t="s">
        <v>229</v>
      </c>
      <c r="M558" s="31" t="str">
        <f>IFERROR(VLOOKUP(E558, TSCD_XUAN!$C$7:$K$1000, 9, 0), "Không tìm thấy")</f>
        <v>A2-Kho: trên Rack - Đề nghị TL</v>
      </c>
      <c r="N558" s="6"/>
      <c r="O558" s="6"/>
      <c r="P558" s="23"/>
      <c r="Q558" s="2"/>
      <c r="R558" s="2"/>
      <c r="S558" s="2"/>
      <c r="T558" s="2"/>
      <c r="U558" s="2"/>
      <c r="V558" s="2"/>
      <c r="W558" s="2"/>
      <c r="X558" s="2"/>
      <c r="Y558" s="2"/>
    </row>
    <row r="559" spans="1:25" ht="25.5" customHeight="1">
      <c r="A559" s="26">
        <v>304</v>
      </c>
      <c r="B559" s="27" t="s">
        <v>938</v>
      </c>
      <c r="C559" s="28">
        <v>42368</v>
      </c>
      <c r="D559" s="27"/>
      <c r="E559" s="47" t="s">
        <v>1740</v>
      </c>
      <c r="F559" s="29" t="s">
        <v>1741</v>
      </c>
      <c r="G559" s="27" t="s">
        <v>45</v>
      </c>
      <c r="H559" s="27" t="s">
        <v>19</v>
      </c>
      <c r="I559" s="27">
        <v>1</v>
      </c>
      <c r="J559" s="30">
        <v>2070481906</v>
      </c>
      <c r="K559" s="26" t="s">
        <v>20</v>
      </c>
      <c r="L559" s="26" t="s">
        <v>423</v>
      </c>
      <c r="M559" s="31" t="s">
        <v>1613</v>
      </c>
      <c r="N559" s="7"/>
      <c r="O559" s="7" t="str">
        <f ca="1">IFERROR(__xludf.DUMMYFUNCTION("IFERROR(INDEX(Sheet1!$C:$C, MAX(FILTER(ROW(Sheet1!$B:$B), Sheet1!$B:$B=E559))), """")"),"")</f>
        <v/>
      </c>
      <c r="P559" s="23"/>
      <c r="Q559" s="2"/>
      <c r="R559" s="2"/>
      <c r="S559" s="2"/>
      <c r="T559" s="2"/>
      <c r="U559" s="2"/>
      <c r="V559" s="2"/>
      <c r="W559" s="2"/>
      <c r="X559" s="2"/>
      <c r="Y559" s="2"/>
    </row>
    <row r="560" spans="1:25" ht="12.75" customHeight="1">
      <c r="A560" s="26" t="s">
        <v>1742</v>
      </c>
      <c r="B560" s="27"/>
      <c r="C560" s="28"/>
      <c r="D560" s="27"/>
      <c r="E560" s="47" t="s">
        <v>1743</v>
      </c>
      <c r="F560" s="29" t="s">
        <v>1744</v>
      </c>
      <c r="G560" s="27" t="s">
        <v>45</v>
      </c>
      <c r="H560" s="27" t="s">
        <v>249</v>
      </c>
      <c r="I560" s="27">
        <v>1</v>
      </c>
      <c r="J560" s="30">
        <v>0</v>
      </c>
      <c r="K560" s="26" t="s">
        <v>20</v>
      </c>
      <c r="L560" s="26" t="s">
        <v>423</v>
      </c>
      <c r="M560" s="31" t="s">
        <v>1745</v>
      </c>
      <c r="N560" s="7"/>
      <c r="O560" s="7" t="str">
        <f ca="1">IFERROR(__xludf.DUMMYFUNCTION("IFERROR(INDEX(Sheet1!$C:$C, MAX(FILTER(ROW(Sheet1!$B:$B), Sheet1!$B:$B=E560))), """")"),"")</f>
        <v/>
      </c>
      <c r="P560" s="23"/>
      <c r="Q560" s="2"/>
      <c r="R560" s="2"/>
      <c r="S560" s="2"/>
      <c r="T560" s="2"/>
      <c r="U560" s="2"/>
      <c r="V560" s="2"/>
      <c r="W560" s="2"/>
      <c r="X560" s="2"/>
      <c r="Y560" s="2"/>
    </row>
    <row r="561" spans="1:25" ht="12.75" customHeight="1">
      <c r="A561" s="26" t="s">
        <v>1746</v>
      </c>
      <c r="B561" s="27"/>
      <c r="C561" s="28"/>
      <c r="D561" s="27"/>
      <c r="E561" s="47" t="s">
        <v>1747</v>
      </c>
      <c r="F561" s="29" t="s">
        <v>1748</v>
      </c>
      <c r="G561" s="27" t="s">
        <v>45</v>
      </c>
      <c r="H561" s="27" t="s">
        <v>249</v>
      </c>
      <c r="I561" s="27">
        <v>1</v>
      </c>
      <c r="J561" s="30">
        <v>0</v>
      </c>
      <c r="K561" s="26" t="s">
        <v>20</v>
      </c>
      <c r="L561" s="26" t="s">
        <v>423</v>
      </c>
      <c r="M561" s="31" t="s">
        <v>1745</v>
      </c>
      <c r="N561" s="7"/>
      <c r="O561" s="7" t="str">
        <f ca="1">IFERROR(__xludf.DUMMYFUNCTION("IFERROR(INDEX(Sheet1!$C:$C, MAX(FILTER(ROW(Sheet1!$B:$B), Sheet1!$B:$B=E561))), """")"),"")</f>
        <v/>
      </c>
      <c r="P561" s="23"/>
      <c r="Q561" s="2"/>
      <c r="R561" s="2"/>
      <c r="S561" s="2"/>
      <c r="T561" s="2"/>
      <c r="U561" s="2"/>
      <c r="V561" s="2"/>
      <c r="W561" s="2"/>
      <c r="X561" s="2"/>
      <c r="Y561" s="2"/>
    </row>
    <row r="562" spans="1:25" ht="25.5" hidden="1" customHeight="1">
      <c r="A562" s="26">
        <v>305</v>
      </c>
      <c r="B562" s="27" t="s">
        <v>909</v>
      </c>
      <c r="C562" s="28">
        <v>41999</v>
      </c>
      <c r="D562" s="27"/>
      <c r="E562" s="27" t="s">
        <v>1749</v>
      </c>
      <c r="F562" s="29" t="s">
        <v>1750</v>
      </c>
      <c r="G562" s="27" t="s">
        <v>55</v>
      </c>
      <c r="H562" s="27" t="s">
        <v>19</v>
      </c>
      <c r="I562" s="27">
        <v>1</v>
      </c>
      <c r="J562" s="30">
        <v>230928375</v>
      </c>
      <c r="K562" s="26" t="s">
        <v>20</v>
      </c>
      <c r="L562" s="26" t="s">
        <v>233</v>
      </c>
      <c r="M562" s="31" t="s">
        <v>1751</v>
      </c>
      <c r="N562" s="6"/>
      <c r="O562" s="6"/>
      <c r="P562" s="23"/>
      <c r="Q562" s="2"/>
      <c r="R562" s="2"/>
      <c r="S562" s="2"/>
      <c r="T562" s="2"/>
      <c r="U562" s="2"/>
      <c r="V562" s="2"/>
      <c r="W562" s="2"/>
      <c r="X562" s="2"/>
      <c r="Y562" s="2"/>
    </row>
    <row r="563" spans="1:25" ht="25.5" hidden="1" customHeight="1">
      <c r="A563" s="26">
        <v>306</v>
      </c>
      <c r="B563" s="27" t="s">
        <v>909</v>
      </c>
      <c r="C563" s="28">
        <v>41999</v>
      </c>
      <c r="D563" s="27"/>
      <c r="E563" s="60" t="s">
        <v>1752</v>
      </c>
      <c r="F563" s="29" t="s">
        <v>1753</v>
      </c>
      <c r="G563" s="27" t="s">
        <v>1754</v>
      </c>
      <c r="H563" s="27" t="s">
        <v>19</v>
      </c>
      <c r="I563" s="27">
        <v>1</v>
      </c>
      <c r="J563" s="30">
        <v>185816786</v>
      </c>
      <c r="K563" s="26" t="s">
        <v>20</v>
      </c>
      <c r="L563" s="26" t="s">
        <v>233</v>
      </c>
      <c r="M563" s="31" t="s">
        <v>1755</v>
      </c>
      <c r="N563" s="6"/>
      <c r="O563" s="6"/>
      <c r="P563" s="23"/>
      <c r="Q563" s="2"/>
      <c r="R563" s="2"/>
      <c r="S563" s="2"/>
      <c r="T563" s="2"/>
      <c r="U563" s="2"/>
      <c r="V563" s="2"/>
      <c r="W563" s="2"/>
      <c r="X563" s="2"/>
      <c r="Y563" s="2"/>
    </row>
    <row r="564" spans="1:25" ht="25.5" hidden="1" customHeight="1">
      <c r="A564" s="26">
        <v>307</v>
      </c>
      <c r="B564" s="27" t="s">
        <v>909</v>
      </c>
      <c r="C564" s="28">
        <v>41999</v>
      </c>
      <c r="D564" s="27"/>
      <c r="E564" s="27" t="s">
        <v>1756</v>
      </c>
      <c r="F564" s="29" t="s">
        <v>1757</v>
      </c>
      <c r="G564" s="27" t="s">
        <v>1754</v>
      </c>
      <c r="H564" s="27" t="s">
        <v>19</v>
      </c>
      <c r="I564" s="27">
        <v>1</v>
      </c>
      <c r="J564" s="30">
        <v>185816786</v>
      </c>
      <c r="K564" s="26" t="s">
        <v>20</v>
      </c>
      <c r="L564" s="26" t="s">
        <v>233</v>
      </c>
      <c r="M564" s="31" t="s">
        <v>1755</v>
      </c>
      <c r="N564" s="6"/>
      <c r="O564" s="6"/>
      <c r="P564" s="23"/>
      <c r="Q564" s="2"/>
      <c r="R564" s="2"/>
      <c r="S564" s="2"/>
      <c r="T564" s="2"/>
      <c r="U564" s="2"/>
      <c r="V564" s="2"/>
      <c r="W564" s="2"/>
      <c r="X564" s="2"/>
      <c r="Y564" s="2"/>
    </row>
    <row r="565" spans="1:25" ht="12.5" hidden="1">
      <c r="A565" s="26">
        <v>308</v>
      </c>
      <c r="B565" s="27" t="s">
        <v>909</v>
      </c>
      <c r="C565" s="28">
        <v>41999</v>
      </c>
      <c r="D565" s="27"/>
      <c r="E565" s="27" t="s">
        <v>1758</v>
      </c>
      <c r="F565" s="29" t="s">
        <v>1759</v>
      </c>
      <c r="G565" s="27" t="s">
        <v>248</v>
      </c>
      <c r="H565" s="27" t="s">
        <v>19</v>
      </c>
      <c r="I565" s="27">
        <v>1</v>
      </c>
      <c r="J565" s="30">
        <v>73898164</v>
      </c>
      <c r="K565" s="26" t="s">
        <v>20</v>
      </c>
      <c r="L565" s="26" t="s">
        <v>233</v>
      </c>
      <c r="M565" s="31" t="s">
        <v>1760</v>
      </c>
      <c r="N565" s="6"/>
      <c r="O565" s="6" t="s">
        <v>923</v>
      </c>
      <c r="P565" s="23"/>
      <c r="Q565" s="2"/>
      <c r="R565" s="2"/>
      <c r="S565" s="2"/>
      <c r="T565" s="2"/>
      <c r="U565" s="2"/>
      <c r="V565" s="2"/>
      <c r="W565" s="2"/>
      <c r="X565" s="2"/>
      <c r="Y565" s="2"/>
    </row>
    <row r="566" spans="1:25" ht="25" hidden="1">
      <c r="A566" s="26">
        <v>309</v>
      </c>
      <c r="B566" s="27" t="s">
        <v>1683</v>
      </c>
      <c r="C566" s="28">
        <v>42733</v>
      </c>
      <c r="D566" s="27"/>
      <c r="E566" s="27" t="s">
        <v>1761</v>
      </c>
      <c r="F566" s="29" t="s">
        <v>1762</v>
      </c>
      <c r="G566" s="27" t="s">
        <v>248</v>
      </c>
      <c r="H566" s="27" t="s">
        <v>19</v>
      </c>
      <c r="I566" s="27">
        <v>1</v>
      </c>
      <c r="J566" s="30">
        <v>95000000</v>
      </c>
      <c r="K566" s="26" t="s">
        <v>20</v>
      </c>
      <c r="L566" s="36" t="s">
        <v>229</v>
      </c>
      <c r="M566" s="31" t="str">
        <f>IFERROR(VLOOKUP(E566, TSCD_XUAN!$C$7:$K$1000, 9, 0), "Không tìm thấy")</f>
        <v>Không tìm thấy</v>
      </c>
      <c r="N566" s="6"/>
      <c r="O566" s="6"/>
      <c r="P566" s="23"/>
      <c r="Q566" s="2"/>
      <c r="R566" s="2"/>
      <c r="S566" s="2"/>
      <c r="T566" s="2"/>
      <c r="U566" s="2"/>
      <c r="V566" s="2"/>
      <c r="W566" s="2"/>
      <c r="X566" s="2"/>
      <c r="Y566" s="2"/>
    </row>
    <row r="567" spans="1:25" ht="25.5" hidden="1" customHeight="1">
      <c r="A567" s="26">
        <v>310</v>
      </c>
      <c r="B567" s="27" t="s">
        <v>1763</v>
      </c>
      <c r="C567" s="28">
        <v>42368</v>
      </c>
      <c r="D567" s="27"/>
      <c r="E567" s="27" t="s">
        <v>1764</v>
      </c>
      <c r="F567" s="29" t="s">
        <v>1765</v>
      </c>
      <c r="G567" s="27" t="s">
        <v>1088</v>
      </c>
      <c r="H567" s="27" t="s">
        <v>19</v>
      </c>
      <c r="I567" s="27">
        <v>1</v>
      </c>
      <c r="J567" s="30">
        <v>585429876</v>
      </c>
      <c r="K567" s="26" t="s">
        <v>206</v>
      </c>
      <c r="L567" s="26" t="s">
        <v>1330</v>
      </c>
      <c r="M567" s="31" t="s">
        <v>1766</v>
      </c>
      <c r="N567" s="6"/>
      <c r="O567" s="6"/>
      <c r="P567" s="23"/>
      <c r="Q567" s="2"/>
      <c r="R567" s="2"/>
      <c r="S567" s="2"/>
      <c r="T567" s="2"/>
      <c r="U567" s="2"/>
      <c r="V567" s="2"/>
      <c r="W567" s="2"/>
      <c r="X567" s="2"/>
      <c r="Y567" s="2"/>
    </row>
    <row r="568" spans="1:25" ht="12.75" hidden="1" customHeight="1">
      <c r="A568" s="26" t="s">
        <v>1767</v>
      </c>
      <c r="B568" s="27"/>
      <c r="C568" s="28"/>
      <c r="D568" s="27"/>
      <c r="E568" s="27" t="s">
        <v>1768</v>
      </c>
      <c r="F568" s="29" t="s">
        <v>1769</v>
      </c>
      <c r="G568" s="27" t="s">
        <v>1088</v>
      </c>
      <c r="H568" s="27" t="s">
        <v>249</v>
      </c>
      <c r="I568" s="27">
        <v>1</v>
      </c>
      <c r="J568" s="30">
        <v>63441241</v>
      </c>
      <c r="K568" s="26" t="s">
        <v>206</v>
      </c>
      <c r="L568" s="45" t="s">
        <v>1330</v>
      </c>
      <c r="M568" s="46" t="s">
        <v>1770</v>
      </c>
      <c r="N568" s="6"/>
      <c r="O568" s="6"/>
      <c r="P568" s="23"/>
      <c r="Q568" s="2"/>
      <c r="R568" s="2"/>
      <c r="S568" s="2"/>
      <c r="T568" s="2"/>
      <c r="U568" s="2"/>
      <c r="V568" s="2"/>
      <c r="W568" s="2"/>
      <c r="X568" s="2"/>
      <c r="Y568" s="2"/>
    </row>
    <row r="569" spans="1:25" ht="12.75" hidden="1" customHeight="1">
      <c r="A569" s="26" t="s">
        <v>1771</v>
      </c>
      <c r="B569" s="27"/>
      <c r="C569" s="28"/>
      <c r="D569" s="27"/>
      <c r="E569" s="27" t="s">
        <v>1772</v>
      </c>
      <c r="F569" s="29" t="s">
        <v>1773</v>
      </c>
      <c r="G569" s="27" t="s">
        <v>1088</v>
      </c>
      <c r="H569" s="27" t="s">
        <v>249</v>
      </c>
      <c r="I569" s="27">
        <v>1</v>
      </c>
      <c r="J569" s="30">
        <v>63441241</v>
      </c>
      <c r="K569" s="26" t="s">
        <v>206</v>
      </c>
      <c r="L569" s="26" t="s">
        <v>1330</v>
      </c>
      <c r="M569" s="31" t="s">
        <v>1774</v>
      </c>
      <c r="N569" s="6"/>
      <c r="O569" s="6"/>
      <c r="P569" s="23"/>
      <c r="Q569" s="2"/>
      <c r="R569" s="2"/>
      <c r="S569" s="2"/>
      <c r="T569" s="2"/>
      <c r="U569" s="2"/>
      <c r="V569" s="2"/>
      <c r="W569" s="2"/>
      <c r="X569" s="2"/>
      <c r="Y569" s="2"/>
    </row>
    <row r="570" spans="1:25" ht="12.75" hidden="1" customHeight="1">
      <c r="A570" s="26" t="s">
        <v>1775</v>
      </c>
      <c r="B570" s="27"/>
      <c r="C570" s="28"/>
      <c r="D570" s="27"/>
      <c r="E570" s="27" t="s">
        <v>1776</v>
      </c>
      <c r="F570" s="29" t="s">
        <v>1777</v>
      </c>
      <c r="G570" s="27" t="s">
        <v>1088</v>
      </c>
      <c r="H570" s="27" t="s">
        <v>249</v>
      </c>
      <c r="I570" s="27">
        <v>1</v>
      </c>
      <c r="J570" s="30">
        <v>63441241</v>
      </c>
      <c r="K570" s="26" t="s">
        <v>206</v>
      </c>
      <c r="L570" s="45" t="s">
        <v>1330</v>
      </c>
      <c r="M570" s="46" t="s">
        <v>1778</v>
      </c>
      <c r="N570" s="6"/>
      <c r="O570" s="6"/>
      <c r="P570" s="23"/>
      <c r="Q570" s="2"/>
      <c r="R570" s="2"/>
      <c r="S570" s="2"/>
      <c r="T570" s="2"/>
      <c r="U570" s="2"/>
      <c r="V570" s="2"/>
      <c r="W570" s="2"/>
      <c r="X570" s="2"/>
      <c r="Y570" s="2"/>
    </row>
    <row r="571" spans="1:25" ht="25.5" hidden="1" customHeight="1">
      <c r="A571" s="26" t="s">
        <v>1779</v>
      </c>
      <c r="B571" s="27"/>
      <c r="C571" s="28"/>
      <c r="D571" s="27"/>
      <c r="E571" s="27" t="s">
        <v>1780</v>
      </c>
      <c r="F571" s="29" t="s">
        <v>1781</v>
      </c>
      <c r="G571" s="27" t="s">
        <v>1088</v>
      </c>
      <c r="H571" s="27" t="s">
        <v>249</v>
      </c>
      <c r="I571" s="27">
        <v>1</v>
      </c>
      <c r="J571" s="30">
        <v>63441241</v>
      </c>
      <c r="K571" s="26" t="s">
        <v>206</v>
      </c>
      <c r="L571" s="26" t="s">
        <v>1330</v>
      </c>
      <c r="M571" s="31" t="s">
        <v>1782</v>
      </c>
      <c r="N571" s="6"/>
      <c r="O571" s="6"/>
      <c r="P571" s="23"/>
      <c r="Q571" s="2"/>
      <c r="R571" s="2"/>
      <c r="S571" s="2"/>
      <c r="T571" s="2"/>
      <c r="U571" s="2"/>
      <c r="V571" s="2"/>
      <c r="W571" s="2"/>
      <c r="X571" s="2"/>
      <c r="Y571" s="2"/>
    </row>
    <row r="572" spans="1:25" ht="12.75" hidden="1" customHeight="1">
      <c r="A572" s="26" t="s">
        <v>1783</v>
      </c>
      <c r="B572" s="27"/>
      <c r="C572" s="28"/>
      <c r="D572" s="27"/>
      <c r="E572" s="27" t="s">
        <v>1784</v>
      </c>
      <c r="F572" s="29" t="s">
        <v>1785</v>
      </c>
      <c r="G572" s="27" t="s">
        <v>1088</v>
      </c>
      <c r="H572" s="27" t="s">
        <v>249</v>
      </c>
      <c r="I572" s="27">
        <v>1</v>
      </c>
      <c r="J572" s="30">
        <v>63441241</v>
      </c>
      <c r="K572" s="26" t="s">
        <v>206</v>
      </c>
      <c r="L572" s="45" t="s">
        <v>1330</v>
      </c>
      <c r="M572" s="46" t="s">
        <v>1786</v>
      </c>
      <c r="N572" s="6"/>
      <c r="O572" s="6"/>
      <c r="P572" s="23"/>
      <c r="Q572" s="2"/>
      <c r="R572" s="2"/>
      <c r="S572" s="2"/>
      <c r="T572" s="2"/>
      <c r="U572" s="2"/>
      <c r="V572" s="2"/>
      <c r="W572" s="2"/>
      <c r="X572" s="2"/>
      <c r="Y572" s="2"/>
    </row>
    <row r="573" spans="1:25" ht="12.75" hidden="1" customHeight="1">
      <c r="A573" s="26" t="s">
        <v>1787</v>
      </c>
      <c r="B573" s="27"/>
      <c r="C573" s="28"/>
      <c r="D573" s="27"/>
      <c r="E573" s="27" t="s">
        <v>1788</v>
      </c>
      <c r="F573" s="29" t="s">
        <v>1789</v>
      </c>
      <c r="G573" s="27" t="s">
        <v>1088</v>
      </c>
      <c r="H573" s="27" t="s">
        <v>249</v>
      </c>
      <c r="I573" s="27">
        <v>1</v>
      </c>
      <c r="J573" s="30">
        <v>63441241</v>
      </c>
      <c r="K573" s="26" t="s">
        <v>206</v>
      </c>
      <c r="L573" s="45" t="s">
        <v>1330</v>
      </c>
      <c r="M573" s="46" t="s">
        <v>1790</v>
      </c>
      <c r="N573" s="6"/>
      <c r="O573" s="6"/>
      <c r="P573" s="23"/>
      <c r="Q573" s="2"/>
      <c r="R573" s="2"/>
      <c r="S573" s="2"/>
      <c r="T573" s="2"/>
      <c r="U573" s="2"/>
      <c r="V573" s="2"/>
      <c r="W573" s="2"/>
      <c r="X573" s="2"/>
      <c r="Y573" s="2"/>
    </row>
    <row r="574" spans="1:25" ht="12.75" hidden="1" customHeight="1">
      <c r="A574" s="26" t="s">
        <v>1791</v>
      </c>
      <c r="B574" s="27"/>
      <c r="C574" s="28"/>
      <c r="D574" s="27"/>
      <c r="E574" s="27" t="s">
        <v>1792</v>
      </c>
      <c r="F574" s="29" t="s">
        <v>1793</v>
      </c>
      <c r="G574" s="27" t="s">
        <v>1088</v>
      </c>
      <c r="H574" s="27" t="s">
        <v>249</v>
      </c>
      <c r="I574" s="27">
        <v>1</v>
      </c>
      <c r="J574" s="30">
        <v>63441241</v>
      </c>
      <c r="K574" s="26" t="s">
        <v>206</v>
      </c>
      <c r="L574" s="26" t="s">
        <v>1330</v>
      </c>
      <c r="M574" s="71"/>
      <c r="N574" s="6"/>
      <c r="O574" s="6"/>
      <c r="P574" s="23"/>
      <c r="Q574" s="2"/>
      <c r="R574" s="2"/>
      <c r="S574" s="2"/>
      <c r="T574" s="2"/>
      <c r="U574" s="2"/>
      <c r="V574" s="2"/>
      <c r="W574" s="2"/>
      <c r="X574" s="2"/>
      <c r="Y574" s="2"/>
    </row>
    <row r="575" spans="1:25" ht="12.75" hidden="1" customHeight="1">
      <c r="A575" s="26" t="s">
        <v>1794</v>
      </c>
      <c r="B575" s="27"/>
      <c r="C575" s="28"/>
      <c r="D575" s="27"/>
      <c r="E575" s="27" t="s">
        <v>1795</v>
      </c>
      <c r="F575" s="29" t="s">
        <v>1796</v>
      </c>
      <c r="G575" s="27" t="s">
        <v>1088</v>
      </c>
      <c r="H575" s="27" t="s">
        <v>249</v>
      </c>
      <c r="I575" s="27">
        <v>1</v>
      </c>
      <c r="J575" s="30">
        <v>63441241</v>
      </c>
      <c r="K575" s="26" t="s">
        <v>206</v>
      </c>
      <c r="L575" s="26" t="s">
        <v>1330</v>
      </c>
      <c r="M575" s="31" t="s">
        <v>1797</v>
      </c>
      <c r="N575" s="6"/>
      <c r="O575" s="6"/>
      <c r="P575" s="23"/>
      <c r="Q575" s="2"/>
      <c r="R575" s="2"/>
      <c r="S575" s="2"/>
      <c r="T575" s="2"/>
      <c r="U575" s="2"/>
      <c r="V575" s="2"/>
      <c r="W575" s="2"/>
      <c r="X575" s="2"/>
      <c r="Y575" s="2"/>
    </row>
    <row r="576" spans="1:25" ht="25.5" hidden="1" customHeight="1">
      <c r="A576" s="26">
        <v>311</v>
      </c>
      <c r="B576" s="27" t="s">
        <v>938</v>
      </c>
      <c r="C576" s="28">
        <v>42368</v>
      </c>
      <c r="D576" s="27"/>
      <c r="E576" s="27" t="s">
        <v>1798</v>
      </c>
      <c r="F576" s="29" t="s">
        <v>1799</v>
      </c>
      <c r="G576" s="27" t="s">
        <v>45</v>
      </c>
      <c r="H576" s="27" t="s">
        <v>19</v>
      </c>
      <c r="I576" s="27">
        <v>1</v>
      </c>
      <c r="J576" s="30">
        <v>1429447954</v>
      </c>
      <c r="K576" s="26" t="s">
        <v>20</v>
      </c>
      <c r="L576" s="26" t="s">
        <v>233</v>
      </c>
      <c r="M576" s="31" t="s">
        <v>1800</v>
      </c>
      <c r="N576" s="6"/>
      <c r="O576" s="6"/>
      <c r="P576" s="23"/>
      <c r="Q576" s="2"/>
      <c r="R576" s="2"/>
      <c r="S576" s="2"/>
      <c r="T576" s="2"/>
      <c r="U576" s="2"/>
      <c r="V576" s="2"/>
      <c r="W576" s="2"/>
      <c r="X576" s="2"/>
      <c r="Y576" s="2"/>
    </row>
    <row r="577" spans="1:26" ht="25.5" hidden="1" customHeight="1">
      <c r="A577" s="26" t="s">
        <v>1801</v>
      </c>
      <c r="B577" s="27"/>
      <c r="C577" s="28"/>
      <c r="D577" s="27"/>
      <c r="E577" s="27" t="s">
        <v>1802</v>
      </c>
      <c r="F577" s="29" t="s">
        <v>1803</v>
      </c>
      <c r="G577" s="27" t="s">
        <v>45</v>
      </c>
      <c r="H577" s="27" t="s">
        <v>249</v>
      </c>
      <c r="I577" s="27">
        <v>1</v>
      </c>
      <c r="J577" s="30">
        <v>0</v>
      </c>
      <c r="K577" s="26" t="s">
        <v>20</v>
      </c>
      <c r="L577" s="26" t="s">
        <v>233</v>
      </c>
      <c r="M577" s="31" t="s">
        <v>1369</v>
      </c>
      <c r="N577" s="6"/>
      <c r="O577" s="6"/>
      <c r="P577" s="23"/>
      <c r="Q577" s="2"/>
      <c r="R577" s="2"/>
      <c r="S577" s="2"/>
      <c r="T577" s="2"/>
      <c r="U577" s="2"/>
      <c r="V577" s="2"/>
      <c r="W577" s="2"/>
      <c r="X577" s="2"/>
      <c r="Y577" s="2"/>
    </row>
    <row r="578" spans="1:26" ht="12.75" hidden="1" customHeight="1">
      <c r="A578" s="26" t="s">
        <v>1804</v>
      </c>
      <c r="B578" s="27"/>
      <c r="C578" s="28"/>
      <c r="D578" s="27"/>
      <c r="E578" s="27" t="s">
        <v>1805</v>
      </c>
      <c r="F578" s="29" t="s">
        <v>1806</v>
      </c>
      <c r="G578" s="27" t="s">
        <v>45</v>
      </c>
      <c r="H578" s="27" t="s">
        <v>249</v>
      </c>
      <c r="I578" s="27">
        <v>1</v>
      </c>
      <c r="J578" s="30">
        <v>163319280</v>
      </c>
      <c r="K578" s="26" t="s">
        <v>20</v>
      </c>
      <c r="L578" s="26" t="s">
        <v>233</v>
      </c>
      <c r="M578" s="72" t="s">
        <v>1369</v>
      </c>
      <c r="N578" s="6"/>
      <c r="O578" s="6"/>
      <c r="P578" s="23"/>
      <c r="Q578" s="2"/>
      <c r="R578" s="2"/>
      <c r="S578" s="2"/>
      <c r="T578" s="2"/>
      <c r="U578" s="2"/>
      <c r="V578" s="2"/>
      <c r="W578" s="2"/>
      <c r="X578" s="2"/>
      <c r="Y578" s="2"/>
    </row>
    <row r="579" spans="1:26" ht="12.75" hidden="1" customHeight="1">
      <c r="A579" s="26" t="s">
        <v>1807</v>
      </c>
      <c r="B579" s="27"/>
      <c r="C579" s="28"/>
      <c r="D579" s="27"/>
      <c r="E579" s="27" t="s">
        <v>1808</v>
      </c>
      <c r="F579" s="29" t="s">
        <v>1809</v>
      </c>
      <c r="G579" s="27" t="s">
        <v>45</v>
      </c>
      <c r="H579" s="27" t="s">
        <v>249</v>
      </c>
      <c r="I579" s="27">
        <v>1</v>
      </c>
      <c r="J579" s="30">
        <v>175839013</v>
      </c>
      <c r="K579" s="26" t="s">
        <v>20</v>
      </c>
      <c r="L579" s="26" t="s">
        <v>233</v>
      </c>
      <c r="M579" s="31" t="s">
        <v>1810</v>
      </c>
      <c r="N579" s="6"/>
      <c r="O579" s="6"/>
      <c r="P579" s="23"/>
      <c r="Q579" s="2"/>
      <c r="R579" s="2"/>
      <c r="S579" s="2"/>
      <c r="T579" s="2"/>
      <c r="U579" s="2"/>
      <c r="V579" s="2"/>
      <c r="W579" s="2"/>
      <c r="X579" s="2"/>
      <c r="Y579" s="2"/>
    </row>
    <row r="580" spans="1:26" ht="12.75" hidden="1" customHeight="1">
      <c r="A580" s="26" t="s">
        <v>1811</v>
      </c>
      <c r="B580" s="27"/>
      <c r="C580" s="28"/>
      <c r="D580" s="27"/>
      <c r="E580" s="27" t="s">
        <v>1812</v>
      </c>
      <c r="F580" s="29" t="s">
        <v>1813</v>
      </c>
      <c r="G580" s="27" t="s">
        <v>45</v>
      </c>
      <c r="H580" s="27" t="s">
        <v>249</v>
      </c>
      <c r="I580" s="27">
        <v>1</v>
      </c>
      <c r="J580" s="30">
        <v>175839013</v>
      </c>
      <c r="K580" s="26" t="s">
        <v>20</v>
      </c>
      <c r="L580" s="26" t="s">
        <v>233</v>
      </c>
      <c r="M580" s="72" t="s">
        <v>1369</v>
      </c>
      <c r="N580" s="6"/>
      <c r="O580" s="6"/>
      <c r="P580" s="23"/>
      <c r="Q580" s="2"/>
      <c r="R580" s="2"/>
      <c r="S580" s="2"/>
      <c r="T580" s="2"/>
      <c r="U580" s="2"/>
      <c r="V580" s="2"/>
      <c r="W580" s="2"/>
      <c r="X580" s="2"/>
      <c r="Y580" s="2"/>
    </row>
    <row r="581" spans="1:26" ht="12.75" hidden="1" customHeight="1">
      <c r="A581" s="26" t="s">
        <v>1814</v>
      </c>
      <c r="B581" s="27"/>
      <c r="C581" s="28"/>
      <c r="D581" s="27"/>
      <c r="E581" s="27" t="s">
        <v>1815</v>
      </c>
      <c r="F581" s="29" t="s">
        <v>1816</v>
      </c>
      <c r="G581" s="27" t="s">
        <v>45</v>
      </c>
      <c r="H581" s="27" t="s">
        <v>249</v>
      </c>
      <c r="I581" s="27">
        <v>1</v>
      </c>
      <c r="J581" s="30">
        <v>175839013</v>
      </c>
      <c r="K581" s="26" t="s">
        <v>20</v>
      </c>
      <c r="L581" s="26" t="s">
        <v>233</v>
      </c>
      <c r="M581" s="72" t="s">
        <v>1817</v>
      </c>
      <c r="N581" s="6"/>
      <c r="O581" s="6"/>
      <c r="P581" s="23"/>
      <c r="Q581" s="2"/>
      <c r="R581" s="2"/>
      <c r="S581" s="2"/>
      <c r="T581" s="2"/>
      <c r="U581" s="2"/>
      <c r="V581" s="2"/>
      <c r="W581" s="2"/>
      <c r="X581" s="2"/>
      <c r="Y581" s="2"/>
    </row>
    <row r="582" spans="1:26" ht="12.75" hidden="1" customHeight="1">
      <c r="A582" s="26" t="s">
        <v>1818</v>
      </c>
      <c r="B582" s="27"/>
      <c r="C582" s="28"/>
      <c r="D582" s="27"/>
      <c r="E582" s="27" t="s">
        <v>1819</v>
      </c>
      <c r="F582" s="29" t="s">
        <v>1820</v>
      </c>
      <c r="G582" s="27" t="s">
        <v>45</v>
      </c>
      <c r="H582" s="27" t="s">
        <v>249</v>
      </c>
      <c r="I582" s="27">
        <v>1</v>
      </c>
      <c r="J582" s="30">
        <v>175839013</v>
      </c>
      <c r="K582" s="26" t="s">
        <v>20</v>
      </c>
      <c r="L582" s="26" t="s">
        <v>233</v>
      </c>
      <c r="M582" s="72" t="s">
        <v>1821</v>
      </c>
      <c r="N582" s="6"/>
      <c r="O582" s="6"/>
      <c r="P582" s="23"/>
      <c r="Q582" s="2"/>
      <c r="R582" s="2"/>
      <c r="S582" s="2"/>
      <c r="T582" s="2"/>
      <c r="U582" s="2"/>
      <c r="V582" s="2"/>
      <c r="W582" s="2"/>
      <c r="X582" s="2"/>
      <c r="Y582" s="2"/>
    </row>
    <row r="583" spans="1:26" ht="12.75" hidden="1" customHeight="1">
      <c r="A583" s="26" t="s">
        <v>1822</v>
      </c>
      <c r="B583" s="27"/>
      <c r="C583" s="28"/>
      <c r="D583" s="27"/>
      <c r="E583" s="27" t="s">
        <v>1823</v>
      </c>
      <c r="F583" s="29" t="s">
        <v>1824</v>
      </c>
      <c r="G583" s="27" t="s">
        <v>45</v>
      </c>
      <c r="H583" s="27" t="s">
        <v>249</v>
      </c>
      <c r="I583" s="27">
        <v>1</v>
      </c>
      <c r="J583" s="30">
        <v>175839013</v>
      </c>
      <c r="K583" s="26" t="s">
        <v>20</v>
      </c>
      <c r="L583" s="26" t="s">
        <v>233</v>
      </c>
      <c r="M583" s="72" t="s">
        <v>1369</v>
      </c>
      <c r="N583" s="6"/>
      <c r="O583" s="6"/>
      <c r="P583" s="23"/>
      <c r="Q583" s="2"/>
      <c r="R583" s="2"/>
      <c r="S583" s="2"/>
      <c r="T583" s="2"/>
      <c r="U583" s="2"/>
      <c r="V583" s="2"/>
      <c r="W583" s="2"/>
      <c r="X583" s="2"/>
      <c r="Y583" s="2"/>
    </row>
    <row r="584" spans="1:26" ht="12.75" hidden="1" customHeight="1">
      <c r="A584" s="26" t="s">
        <v>1825</v>
      </c>
      <c r="B584" s="27"/>
      <c r="C584" s="28"/>
      <c r="D584" s="27"/>
      <c r="E584" s="27" t="s">
        <v>1826</v>
      </c>
      <c r="F584" s="29" t="s">
        <v>1827</v>
      </c>
      <c r="G584" s="27" t="s">
        <v>45</v>
      </c>
      <c r="H584" s="27" t="s">
        <v>249</v>
      </c>
      <c r="I584" s="27">
        <v>1</v>
      </c>
      <c r="J584" s="30">
        <v>57981810</v>
      </c>
      <c r="K584" s="26" t="s">
        <v>20</v>
      </c>
      <c r="L584" s="26" t="s">
        <v>233</v>
      </c>
      <c r="M584" s="31" t="s">
        <v>1828</v>
      </c>
      <c r="N584" s="6"/>
      <c r="O584" s="6"/>
      <c r="P584" s="23"/>
      <c r="Q584" s="2"/>
      <c r="R584" s="2"/>
      <c r="S584" s="2"/>
      <c r="T584" s="2"/>
      <c r="U584" s="2"/>
      <c r="V584" s="2"/>
      <c r="W584" s="2"/>
      <c r="X584" s="2"/>
      <c r="Y584" s="2"/>
    </row>
    <row r="585" spans="1:26" ht="12.75" hidden="1" customHeight="1">
      <c r="A585" s="26" t="s">
        <v>1829</v>
      </c>
      <c r="B585" s="27"/>
      <c r="C585" s="28"/>
      <c r="D585" s="27"/>
      <c r="E585" s="27" t="s">
        <v>1830</v>
      </c>
      <c r="F585" s="29" t="s">
        <v>1831</v>
      </c>
      <c r="G585" s="27" t="s">
        <v>45</v>
      </c>
      <c r="H585" s="27" t="s">
        <v>249</v>
      </c>
      <c r="I585" s="27">
        <v>1</v>
      </c>
      <c r="J585" s="30">
        <v>62426581</v>
      </c>
      <c r="K585" s="26" t="s">
        <v>20</v>
      </c>
      <c r="L585" s="26" t="s">
        <v>233</v>
      </c>
      <c r="M585" s="31" t="s">
        <v>1832</v>
      </c>
      <c r="N585" s="6"/>
      <c r="O585" s="6"/>
      <c r="P585" s="23"/>
      <c r="Q585" s="2"/>
      <c r="R585" s="2"/>
      <c r="S585" s="2"/>
      <c r="T585" s="2"/>
      <c r="U585" s="2"/>
      <c r="V585" s="2"/>
      <c r="W585" s="2"/>
      <c r="X585" s="2"/>
      <c r="Y585" s="2"/>
    </row>
    <row r="586" spans="1:26" ht="12.75" hidden="1" customHeight="1">
      <c r="A586" s="26" t="s">
        <v>1833</v>
      </c>
      <c r="B586" s="27"/>
      <c r="C586" s="28"/>
      <c r="D586" s="27"/>
      <c r="E586" s="27" t="s">
        <v>1834</v>
      </c>
      <c r="F586" s="29" t="s">
        <v>1835</v>
      </c>
      <c r="G586" s="27" t="s">
        <v>45</v>
      </c>
      <c r="H586" s="27" t="s">
        <v>249</v>
      </c>
      <c r="I586" s="27">
        <v>1</v>
      </c>
      <c r="J586" s="30">
        <v>62426581</v>
      </c>
      <c r="K586" s="26" t="s">
        <v>20</v>
      </c>
      <c r="L586" s="26" t="s">
        <v>233</v>
      </c>
      <c r="M586" s="31" t="s">
        <v>1836</v>
      </c>
      <c r="N586" s="6"/>
      <c r="O586" s="6"/>
      <c r="P586" s="23"/>
      <c r="Q586" s="2"/>
      <c r="R586" s="2"/>
      <c r="S586" s="2"/>
      <c r="T586" s="2"/>
      <c r="U586" s="2"/>
      <c r="V586" s="2"/>
      <c r="W586" s="2"/>
      <c r="X586" s="2"/>
      <c r="Y586" s="2"/>
    </row>
    <row r="587" spans="1:26" ht="25.5" hidden="1" customHeight="1">
      <c r="A587" s="26" t="s">
        <v>1837</v>
      </c>
      <c r="B587" s="27"/>
      <c r="C587" s="28"/>
      <c r="D587" s="27"/>
      <c r="E587" s="60" t="s">
        <v>1838</v>
      </c>
      <c r="F587" s="29" t="s">
        <v>1839</v>
      </c>
      <c r="G587" s="27" t="s">
        <v>45</v>
      </c>
      <c r="H587" s="27" t="s">
        <v>249</v>
      </c>
      <c r="I587" s="27">
        <v>1</v>
      </c>
      <c r="J587" s="30">
        <v>62426581</v>
      </c>
      <c r="K587" s="26" t="s">
        <v>20</v>
      </c>
      <c r="L587" s="26" t="s">
        <v>233</v>
      </c>
      <c r="M587" s="31" t="s">
        <v>1840</v>
      </c>
      <c r="N587" s="6"/>
      <c r="O587" s="6"/>
      <c r="P587" s="23"/>
      <c r="Q587" s="2"/>
      <c r="R587" s="2"/>
      <c r="S587" s="2"/>
      <c r="T587" s="2"/>
      <c r="U587" s="2"/>
      <c r="V587" s="2"/>
      <c r="W587" s="2"/>
      <c r="X587" s="2"/>
      <c r="Y587" s="2"/>
    </row>
    <row r="588" spans="1:26" ht="25.5" hidden="1" customHeight="1">
      <c r="A588" s="26" t="s">
        <v>1841</v>
      </c>
      <c r="B588" s="27"/>
      <c r="C588" s="28"/>
      <c r="D588" s="27"/>
      <c r="E588" s="27" t="s">
        <v>1842</v>
      </c>
      <c r="F588" s="29" t="s">
        <v>1843</v>
      </c>
      <c r="G588" s="27" t="s">
        <v>45</v>
      </c>
      <c r="H588" s="27" t="s">
        <v>249</v>
      </c>
      <c r="I588" s="27">
        <v>1</v>
      </c>
      <c r="J588" s="30">
        <v>62426581</v>
      </c>
      <c r="K588" s="26" t="s">
        <v>20</v>
      </c>
      <c r="L588" s="26" t="s">
        <v>233</v>
      </c>
      <c r="M588" s="31" t="s">
        <v>1844</v>
      </c>
      <c r="N588" s="6"/>
      <c r="O588" s="6"/>
      <c r="P588" s="23"/>
      <c r="Q588" s="2"/>
      <c r="R588" s="2"/>
      <c r="S588" s="2"/>
      <c r="T588" s="2"/>
      <c r="U588" s="2"/>
      <c r="V588" s="2"/>
      <c r="W588" s="2"/>
      <c r="X588" s="2"/>
      <c r="Y588" s="2"/>
    </row>
    <row r="589" spans="1:26" ht="25.5" hidden="1" customHeight="1">
      <c r="A589" s="26">
        <v>312</v>
      </c>
      <c r="B589" s="27" t="s">
        <v>938</v>
      </c>
      <c r="C589" s="28">
        <v>42368</v>
      </c>
      <c r="D589" s="27"/>
      <c r="E589" s="27" t="s">
        <v>1845</v>
      </c>
      <c r="F589" s="29" t="s">
        <v>1846</v>
      </c>
      <c r="G589" s="27" t="s">
        <v>45</v>
      </c>
      <c r="H589" s="27" t="s">
        <v>19</v>
      </c>
      <c r="I589" s="27">
        <v>1</v>
      </c>
      <c r="J589" s="30">
        <v>656280161</v>
      </c>
      <c r="K589" s="26" t="s">
        <v>20</v>
      </c>
      <c r="L589" s="26" t="s">
        <v>233</v>
      </c>
      <c r="M589" s="31" t="s">
        <v>1847</v>
      </c>
      <c r="N589" s="6"/>
      <c r="O589" s="6"/>
      <c r="P589" s="23"/>
      <c r="Q589" s="2"/>
      <c r="R589" s="2"/>
      <c r="S589" s="2"/>
      <c r="T589" s="2"/>
      <c r="U589" s="2"/>
      <c r="V589" s="2"/>
      <c r="W589" s="2"/>
      <c r="X589" s="2"/>
      <c r="Y589" s="2"/>
    </row>
    <row r="590" spans="1:26" ht="12.75" hidden="1" customHeight="1">
      <c r="A590" s="17" t="s">
        <v>1848</v>
      </c>
      <c r="B590" s="27"/>
      <c r="C590" s="19"/>
      <c r="D590" s="27"/>
      <c r="E590" s="18" t="s">
        <v>1849</v>
      </c>
      <c r="F590" s="20" t="s">
        <v>1850</v>
      </c>
      <c r="G590" s="18" t="s">
        <v>45</v>
      </c>
      <c r="H590" s="18" t="s">
        <v>249</v>
      </c>
      <c r="I590" s="18">
        <v>1</v>
      </c>
      <c r="J590" s="21">
        <v>0</v>
      </c>
      <c r="K590" s="17" t="s">
        <v>20</v>
      </c>
      <c r="L590" s="17" t="s">
        <v>21</v>
      </c>
      <c r="M590" s="22" t="s">
        <v>22</v>
      </c>
      <c r="N590" s="23"/>
      <c r="O590" s="23"/>
      <c r="P590" s="23"/>
      <c r="Q590" s="24"/>
      <c r="R590" s="24"/>
      <c r="S590" s="24"/>
      <c r="T590" s="24"/>
      <c r="U590" s="24"/>
      <c r="V590" s="24"/>
      <c r="W590" s="24"/>
      <c r="X590" s="24"/>
      <c r="Y590" s="24"/>
      <c r="Z590" s="25"/>
    </row>
    <row r="591" spans="1:26" ht="12.75" hidden="1" customHeight="1">
      <c r="A591" s="26" t="s">
        <v>1851</v>
      </c>
      <c r="B591" s="27"/>
      <c r="C591" s="28"/>
      <c r="D591" s="27"/>
      <c r="E591" s="27" t="s">
        <v>1852</v>
      </c>
      <c r="F591" s="29" t="s">
        <v>1853</v>
      </c>
      <c r="G591" s="27" t="s">
        <v>45</v>
      </c>
      <c r="H591" s="27" t="s">
        <v>249</v>
      </c>
      <c r="I591" s="27">
        <v>1</v>
      </c>
      <c r="J591" s="30">
        <v>0</v>
      </c>
      <c r="K591" s="26" t="s">
        <v>20</v>
      </c>
      <c r="L591" s="26" t="s">
        <v>233</v>
      </c>
      <c r="M591" s="31" t="s">
        <v>1369</v>
      </c>
      <c r="N591" s="6"/>
      <c r="O591" s="6"/>
      <c r="P591" s="23"/>
      <c r="Q591" s="2"/>
      <c r="R591" s="2"/>
      <c r="S591" s="2"/>
      <c r="T591" s="2"/>
      <c r="U591" s="2"/>
      <c r="V591" s="2"/>
      <c r="W591" s="2"/>
      <c r="X591" s="2"/>
      <c r="Y591" s="2"/>
    </row>
    <row r="592" spans="1:26" ht="12.75" hidden="1" customHeight="1">
      <c r="A592" s="26">
        <v>313</v>
      </c>
      <c r="B592" s="27" t="s">
        <v>938</v>
      </c>
      <c r="C592" s="28">
        <v>42368</v>
      </c>
      <c r="D592" s="27"/>
      <c r="E592" s="27" t="s">
        <v>1854</v>
      </c>
      <c r="F592" s="34" t="s">
        <v>1855</v>
      </c>
      <c r="G592" s="27" t="s">
        <v>1008</v>
      </c>
      <c r="H592" s="27" t="s">
        <v>19</v>
      </c>
      <c r="I592" s="27">
        <v>1</v>
      </c>
      <c r="J592" s="30">
        <v>41696365</v>
      </c>
      <c r="K592" s="26" t="s">
        <v>20</v>
      </c>
      <c r="L592" s="26" t="s">
        <v>233</v>
      </c>
      <c r="M592" s="31" t="s">
        <v>1847</v>
      </c>
      <c r="N592" s="6"/>
      <c r="O592" s="6"/>
      <c r="P592" s="23"/>
      <c r="Q592" s="2"/>
      <c r="R592" s="2"/>
      <c r="S592" s="2"/>
      <c r="T592" s="2"/>
      <c r="U592" s="2"/>
      <c r="V592" s="2"/>
      <c r="W592" s="2"/>
      <c r="X592" s="2"/>
      <c r="Y592" s="2"/>
    </row>
    <row r="593" spans="1:25" ht="25.5" hidden="1" customHeight="1">
      <c r="A593" s="26">
        <v>314</v>
      </c>
      <c r="B593" s="27" t="s">
        <v>241</v>
      </c>
      <c r="C593" s="28">
        <v>42726</v>
      </c>
      <c r="D593" s="27"/>
      <c r="E593" s="27" t="s">
        <v>1856</v>
      </c>
      <c r="F593" s="29" t="s">
        <v>1857</v>
      </c>
      <c r="G593" s="27" t="s">
        <v>338</v>
      </c>
      <c r="H593" s="27" t="s">
        <v>19</v>
      </c>
      <c r="I593" s="27">
        <v>1</v>
      </c>
      <c r="J593" s="30">
        <v>166800000</v>
      </c>
      <c r="K593" s="26" t="s">
        <v>206</v>
      </c>
      <c r="L593" s="26" t="s">
        <v>1330</v>
      </c>
      <c r="M593" s="31" t="s">
        <v>1858</v>
      </c>
      <c r="N593" s="6"/>
      <c r="O593" s="6"/>
      <c r="P593" s="23"/>
      <c r="Q593" s="2"/>
      <c r="R593" s="2"/>
      <c r="S593" s="2"/>
      <c r="T593" s="2"/>
      <c r="U593" s="2"/>
      <c r="V593" s="2"/>
      <c r="W593" s="2"/>
      <c r="X593" s="2"/>
      <c r="Y593" s="2"/>
    </row>
    <row r="594" spans="1:25" ht="25.5" customHeight="1">
      <c r="A594" s="26">
        <v>315</v>
      </c>
      <c r="B594" s="27" t="s">
        <v>241</v>
      </c>
      <c r="C594" s="28">
        <v>42726</v>
      </c>
      <c r="D594" s="27"/>
      <c r="E594" s="47" t="s">
        <v>1859</v>
      </c>
      <c r="F594" s="29" t="s">
        <v>1860</v>
      </c>
      <c r="G594" s="27" t="s">
        <v>338</v>
      </c>
      <c r="H594" s="27" t="s">
        <v>19</v>
      </c>
      <c r="I594" s="27">
        <v>1</v>
      </c>
      <c r="J594" s="30">
        <v>263500000</v>
      </c>
      <c r="K594" s="26" t="s">
        <v>20</v>
      </c>
      <c r="L594" s="26" t="s">
        <v>423</v>
      </c>
      <c r="M594" s="31" t="s">
        <v>1639</v>
      </c>
      <c r="N594" s="7"/>
      <c r="O594" s="7" t="str">
        <f ca="1">IFERROR(__xludf.DUMMYFUNCTION("IFERROR(INDEX(Sheet1!$C:$C, MAX(FILTER(ROW(Sheet1!$B:$B), Sheet1!$B:$B=E594))), """")"),"")</f>
        <v/>
      </c>
      <c r="P594" s="23"/>
      <c r="Q594" s="2"/>
      <c r="R594" s="2"/>
      <c r="S594" s="2"/>
      <c r="T594" s="2"/>
      <c r="U594" s="2"/>
      <c r="V594" s="2"/>
      <c r="W594" s="2"/>
      <c r="X594" s="2"/>
      <c r="Y594" s="2"/>
    </row>
    <row r="595" spans="1:25" ht="25.5" hidden="1" customHeight="1">
      <c r="A595" s="26">
        <v>316</v>
      </c>
      <c r="B595" s="27" t="s">
        <v>241</v>
      </c>
      <c r="C595" s="28">
        <v>42726</v>
      </c>
      <c r="D595" s="27"/>
      <c r="E595" s="27" t="s">
        <v>1861</v>
      </c>
      <c r="F595" s="29" t="s">
        <v>1862</v>
      </c>
      <c r="G595" s="27" t="s">
        <v>307</v>
      </c>
      <c r="H595" s="27" t="s">
        <v>19</v>
      </c>
      <c r="I595" s="27">
        <v>1</v>
      </c>
      <c r="J595" s="30">
        <v>81740000</v>
      </c>
      <c r="K595" s="26" t="s">
        <v>206</v>
      </c>
      <c r="L595" s="26" t="s">
        <v>1330</v>
      </c>
      <c r="M595" s="31" t="s">
        <v>1559</v>
      </c>
      <c r="N595" s="6"/>
      <c r="O595" s="6"/>
      <c r="P595" s="23"/>
      <c r="Q595" s="2"/>
      <c r="R595" s="2"/>
      <c r="S595" s="2"/>
      <c r="T595" s="2"/>
      <c r="U595" s="2"/>
      <c r="V595" s="2"/>
      <c r="W595" s="2"/>
      <c r="X595" s="2"/>
      <c r="Y595" s="2"/>
    </row>
    <row r="596" spans="1:25" ht="25.5" hidden="1" customHeight="1">
      <c r="A596" s="26">
        <v>317</v>
      </c>
      <c r="B596" s="27" t="s">
        <v>241</v>
      </c>
      <c r="C596" s="28">
        <v>42726</v>
      </c>
      <c r="D596" s="27"/>
      <c r="E596" s="27" t="s">
        <v>1863</v>
      </c>
      <c r="F596" s="29" t="s">
        <v>1864</v>
      </c>
      <c r="G596" s="27" t="s">
        <v>307</v>
      </c>
      <c r="H596" s="27" t="s">
        <v>19</v>
      </c>
      <c r="I596" s="27">
        <v>1</v>
      </c>
      <c r="J596" s="30">
        <v>81740000</v>
      </c>
      <c r="K596" s="26" t="s">
        <v>206</v>
      </c>
      <c r="L596" s="26" t="s">
        <v>1330</v>
      </c>
      <c r="M596" s="31" t="s">
        <v>1865</v>
      </c>
      <c r="N596" s="6"/>
      <c r="O596" s="6"/>
      <c r="P596" s="23"/>
      <c r="Q596" s="2"/>
      <c r="R596" s="2"/>
      <c r="S596" s="2"/>
      <c r="T596" s="2"/>
      <c r="U596" s="2"/>
      <c r="V596" s="2"/>
      <c r="W596" s="2"/>
      <c r="X596" s="2"/>
      <c r="Y596" s="2"/>
    </row>
    <row r="597" spans="1:25" ht="25.5" hidden="1" customHeight="1">
      <c r="A597" s="26">
        <v>318</v>
      </c>
      <c r="B597" s="27" t="s">
        <v>241</v>
      </c>
      <c r="C597" s="28">
        <v>42726</v>
      </c>
      <c r="D597" s="27"/>
      <c r="E597" s="27" t="s">
        <v>1866</v>
      </c>
      <c r="F597" s="29" t="s">
        <v>1867</v>
      </c>
      <c r="G597" s="27" t="s">
        <v>1868</v>
      </c>
      <c r="H597" s="27" t="s">
        <v>19</v>
      </c>
      <c r="I597" s="27">
        <v>1</v>
      </c>
      <c r="J597" s="30">
        <v>95000000</v>
      </c>
      <c r="K597" s="26" t="s">
        <v>36</v>
      </c>
      <c r="L597" s="26" t="s">
        <v>1146</v>
      </c>
      <c r="M597" s="31" t="s">
        <v>1288</v>
      </c>
      <c r="N597" s="6"/>
      <c r="O597" s="6"/>
      <c r="P597" s="23"/>
      <c r="Q597" s="2"/>
      <c r="R597" s="2"/>
      <c r="S597" s="2"/>
      <c r="T597" s="2"/>
      <c r="U597" s="2"/>
      <c r="V597" s="2"/>
      <c r="W597" s="2"/>
      <c r="X597" s="2"/>
      <c r="Y597" s="2"/>
    </row>
    <row r="598" spans="1:25" ht="25.5" hidden="1" customHeight="1">
      <c r="A598" s="26">
        <v>319</v>
      </c>
      <c r="B598" s="27" t="s">
        <v>241</v>
      </c>
      <c r="C598" s="28">
        <v>42726</v>
      </c>
      <c r="D598" s="27"/>
      <c r="E598" s="27" t="s">
        <v>1869</v>
      </c>
      <c r="F598" s="29" t="s">
        <v>1870</v>
      </c>
      <c r="G598" s="27" t="s">
        <v>1868</v>
      </c>
      <c r="H598" s="27" t="s">
        <v>19</v>
      </c>
      <c r="I598" s="27">
        <v>1</v>
      </c>
      <c r="J598" s="30">
        <v>95000000</v>
      </c>
      <c r="K598" s="26" t="s">
        <v>36</v>
      </c>
      <c r="L598" s="26" t="s">
        <v>1146</v>
      </c>
      <c r="M598" s="31" t="s">
        <v>1291</v>
      </c>
      <c r="N598" s="6"/>
      <c r="O598" s="6"/>
      <c r="P598" s="23"/>
      <c r="Q598" s="2"/>
      <c r="R598" s="2"/>
      <c r="S598" s="2"/>
      <c r="T598" s="2"/>
      <c r="U598" s="2"/>
      <c r="V598" s="2"/>
      <c r="W598" s="2"/>
      <c r="X598" s="2"/>
      <c r="Y598" s="2"/>
    </row>
    <row r="599" spans="1:25" ht="25.5" hidden="1" customHeight="1">
      <c r="A599" s="26">
        <v>320</v>
      </c>
      <c r="B599" s="27" t="s">
        <v>241</v>
      </c>
      <c r="C599" s="28">
        <v>42726</v>
      </c>
      <c r="D599" s="27"/>
      <c r="E599" s="27" t="s">
        <v>1871</v>
      </c>
      <c r="F599" s="29" t="s">
        <v>1872</v>
      </c>
      <c r="G599" s="27" t="s">
        <v>338</v>
      </c>
      <c r="H599" s="27" t="s">
        <v>19</v>
      </c>
      <c r="I599" s="27">
        <v>1</v>
      </c>
      <c r="J599" s="30">
        <v>145450000</v>
      </c>
      <c r="K599" s="26" t="s">
        <v>206</v>
      </c>
      <c r="L599" s="26" t="s">
        <v>1330</v>
      </c>
      <c r="M599" s="31" t="s">
        <v>1865</v>
      </c>
      <c r="N599" s="6"/>
      <c r="O599" s="6"/>
      <c r="P599" s="23"/>
      <c r="Q599" s="2"/>
      <c r="R599" s="2"/>
      <c r="S599" s="2"/>
      <c r="T599" s="2"/>
      <c r="U599" s="2"/>
      <c r="V599" s="2"/>
      <c r="W599" s="2"/>
      <c r="X599" s="2"/>
      <c r="Y599" s="2"/>
    </row>
    <row r="600" spans="1:25" ht="25.5" hidden="1" customHeight="1">
      <c r="A600" s="26">
        <v>321</v>
      </c>
      <c r="B600" s="27" t="s">
        <v>241</v>
      </c>
      <c r="C600" s="28">
        <v>42726</v>
      </c>
      <c r="D600" s="27"/>
      <c r="E600" s="27" t="s">
        <v>1873</v>
      </c>
      <c r="F600" s="29" t="s">
        <v>1874</v>
      </c>
      <c r="G600" s="27" t="s">
        <v>338</v>
      </c>
      <c r="H600" s="27" t="s">
        <v>19</v>
      </c>
      <c r="I600" s="27">
        <v>1</v>
      </c>
      <c r="J600" s="30">
        <v>242150000</v>
      </c>
      <c r="K600" s="26" t="s">
        <v>20</v>
      </c>
      <c r="L600" s="36" t="s">
        <v>229</v>
      </c>
      <c r="M600" s="31" t="str">
        <f>IFERROR(VLOOKUP(E600, TSCD_XUAN!$C$7:$K$1000, 9, 0), "Không tìm thấy")</f>
        <v>A2-R7 khung BM</v>
      </c>
      <c r="N600" s="6"/>
      <c r="O600" s="6"/>
      <c r="P600" s="23"/>
      <c r="Q600" s="2"/>
      <c r="R600" s="2"/>
      <c r="S600" s="2"/>
      <c r="T600" s="2"/>
      <c r="U600" s="2"/>
      <c r="V600" s="2"/>
      <c r="W600" s="2"/>
      <c r="X600" s="2"/>
      <c r="Y600" s="2"/>
    </row>
    <row r="601" spans="1:25" ht="25.5" hidden="1" customHeight="1">
      <c r="A601" s="26">
        <v>322</v>
      </c>
      <c r="B601" s="27" t="s">
        <v>241</v>
      </c>
      <c r="C601" s="28">
        <v>42726</v>
      </c>
      <c r="D601" s="27"/>
      <c r="E601" s="27" t="s">
        <v>1875</v>
      </c>
      <c r="F601" s="29" t="s">
        <v>1876</v>
      </c>
      <c r="G601" s="27" t="s">
        <v>307</v>
      </c>
      <c r="H601" s="27" t="s">
        <v>19</v>
      </c>
      <c r="I601" s="27">
        <v>1</v>
      </c>
      <c r="J601" s="30">
        <v>245230000</v>
      </c>
      <c r="K601" s="26" t="s">
        <v>20</v>
      </c>
      <c r="L601" s="36" t="s">
        <v>229</v>
      </c>
      <c r="M601" s="31" t="str">
        <f>IFERROR(VLOOKUP(E601, TSCD_XUAN!$C$7:$K$1000, 9, 0), "Không tìm thấy")</f>
        <v>A2-R7 sw BK</v>
      </c>
      <c r="N601" s="6"/>
      <c r="O601" s="6"/>
      <c r="P601" s="23"/>
      <c r="Q601" s="2"/>
      <c r="R601" s="2"/>
      <c r="S601" s="2"/>
      <c r="T601" s="2"/>
      <c r="U601" s="2"/>
      <c r="V601" s="2"/>
      <c r="W601" s="2"/>
      <c r="X601" s="2"/>
      <c r="Y601" s="2"/>
    </row>
    <row r="602" spans="1:25" ht="25.5" hidden="1" customHeight="1">
      <c r="A602" s="26" t="s">
        <v>1877</v>
      </c>
      <c r="B602" s="27"/>
      <c r="C602" s="28"/>
      <c r="D602" s="27"/>
      <c r="E602" s="27" t="s">
        <v>1878</v>
      </c>
      <c r="F602" s="29" t="s">
        <v>1879</v>
      </c>
      <c r="G602" s="27" t="s">
        <v>1088</v>
      </c>
      <c r="H602" s="27" t="s">
        <v>249</v>
      </c>
      <c r="I602" s="27">
        <v>1</v>
      </c>
      <c r="J602" s="30">
        <v>0</v>
      </c>
      <c r="K602" s="26" t="s">
        <v>20</v>
      </c>
      <c r="L602" s="36" t="s">
        <v>229</v>
      </c>
      <c r="M602" s="31" t="str">
        <f>IFERROR(VLOOKUP(E602, TSCD_XUAN!$C$7:$K$1000, 9, 0), "Không tìm thấy")</f>
        <v>A2-Control, Sw Bk</v>
      </c>
      <c r="N602" s="6"/>
      <c r="O602" s="6"/>
      <c r="P602" s="23"/>
      <c r="Q602" s="2"/>
      <c r="R602" s="2"/>
      <c r="S602" s="2"/>
      <c r="T602" s="2"/>
      <c r="U602" s="2"/>
      <c r="V602" s="2"/>
      <c r="W602" s="2"/>
      <c r="X602" s="2"/>
      <c r="Y602" s="2"/>
    </row>
    <row r="603" spans="1:25" ht="25.5" hidden="1" customHeight="1">
      <c r="A603" s="26">
        <v>323</v>
      </c>
      <c r="B603" s="27" t="s">
        <v>599</v>
      </c>
      <c r="C603" s="28">
        <v>42671</v>
      </c>
      <c r="D603" s="27"/>
      <c r="E603" s="27" t="s">
        <v>1880</v>
      </c>
      <c r="F603" s="29" t="s">
        <v>1881</v>
      </c>
      <c r="G603" s="27" t="s">
        <v>1435</v>
      </c>
      <c r="H603" s="27" t="s">
        <v>19</v>
      </c>
      <c r="I603" s="27">
        <v>1</v>
      </c>
      <c r="J603" s="30">
        <v>1266624540</v>
      </c>
      <c r="K603" s="26" t="s">
        <v>36</v>
      </c>
      <c r="L603" s="26" t="s">
        <v>1542</v>
      </c>
      <c r="M603" s="31" t="s">
        <v>1882</v>
      </c>
      <c r="N603" s="6"/>
      <c r="O603" s="6"/>
      <c r="P603" s="23"/>
      <c r="Q603" s="2"/>
      <c r="R603" s="2"/>
      <c r="S603" s="2"/>
      <c r="T603" s="2"/>
      <c r="U603" s="2"/>
      <c r="V603" s="2"/>
      <c r="W603" s="2"/>
      <c r="X603" s="2"/>
      <c r="Y603" s="2"/>
    </row>
    <row r="604" spans="1:25" ht="25.5" hidden="1" customHeight="1">
      <c r="A604" s="26">
        <v>324</v>
      </c>
      <c r="B604" s="27" t="s">
        <v>599</v>
      </c>
      <c r="C604" s="28">
        <v>42671</v>
      </c>
      <c r="D604" s="27"/>
      <c r="E604" s="27" t="s">
        <v>1883</v>
      </c>
      <c r="F604" s="29" t="s">
        <v>1884</v>
      </c>
      <c r="G604" s="27" t="s">
        <v>1435</v>
      </c>
      <c r="H604" s="27" t="s">
        <v>19</v>
      </c>
      <c r="I604" s="27">
        <v>1</v>
      </c>
      <c r="J604" s="30">
        <v>1266624541</v>
      </c>
      <c r="K604" s="26" t="s">
        <v>36</v>
      </c>
      <c r="L604" s="26" t="s">
        <v>1542</v>
      </c>
      <c r="M604" s="31" t="s">
        <v>1885</v>
      </c>
      <c r="N604" s="6"/>
      <c r="O604" s="6"/>
      <c r="P604" s="23"/>
      <c r="Q604" s="2"/>
      <c r="R604" s="2"/>
      <c r="S604" s="2"/>
      <c r="T604" s="2"/>
      <c r="U604" s="2"/>
      <c r="V604" s="2"/>
      <c r="W604" s="2"/>
      <c r="X604" s="2"/>
      <c r="Y604" s="2"/>
    </row>
    <row r="605" spans="1:25" ht="25.5" hidden="1" customHeight="1">
      <c r="A605" s="26">
        <v>325</v>
      </c>
      <c r="B605" s="27" t="s">
        <v>599</v>
      </c>
      <c r="C605" s="28">
        <v>42671</v>
      </c>
      <c r="D605" s="27"/>
      <c r="E605" s="27" t="s">
        <v>1886</v>
      </c>
      <c r="F605" s="29" t="s">
        <v>1887</v>
      </c>
      <c r="G605" s="27" t="s">
        <v>1435</v>
      </c>
      <c r="H605" s="27" t="s">
        <v>19</v>
      </c>
      <c r="I605" s="27">
        <v>1</v>
      </c>
      <c r="J605" s="30">
        <v>1458476195</v>
      </c>
      <c r="K605" s="26" t="s">
        <v>36</v>
      </c>
      <c r="L605" s="26" t="s">
        <v>1542</v>
      </c>
      <c r="M605" s="31" t="s">
        <v>1888</v>
      </c>
      <c r="N605" s="6"/>
      <c r="O605" s="6"/>
      <c r="P605" s="23"/>
      <c r="Q605" s="2"/>
      <c r="R605" s="2"/>
      <c r="S605" s="2"/>
      <c r="T605" s="2"/>
      <c r="U605" s="2"/>
      <c r="V605" s="2"/>
      <c r="W605" s="2"/>
      <c r="X605" s="2"/>
      <c r="Y605" s="2"/>
    </row>
    <row r="606" spans="1:25" ht="25.5" hidden="1" customHeight="1">
      <c r="A606" s="26">
        <v>326</v>
      </c>
      <c r="B606" s="27" t="s">
        <v>599</v>
      </c>
      <c r="C606" s="28">
        <v>42671</v>
      </c>
      <c r="D606" s="27"/>
      <c r="E606" s="27" t="s">
        <v>1889</v>
      </c>
      <c r="F606" s="29" t="s">
        <v>1890</v>
      </c>
      <c r="G606" s="27" t="s">
        <v>338</v>
      </c>
      <c r="H606" s="27" t="s">
        <v>19</v>
      </c>
      <c r="I606" s="27">
        <v>1</v>
      </c>
      <c r="J606" s="30">
        <v>78592695</v>
      </c>
      <c r="K606" s="26" t="s">
        <v>36</v>
      </c>
      <c r="L606" s="26" t="s">
        <v>1542</v>
      </c>
      <c r="M606" s="31" t="s">
        <v>1891</v>
      </c>
      <c r="N606" s="6"/>
      <c r="O606" s="6"/>
      <c r="P606" s="23"/>
      <c r="Q606" s="2"/>
      <c r="R606" s="2"/>
      <c r="S606" s="2"/>
      <c r="T606" s="2"/>
      <c r="U606" s="2"/>
      <c r="V606" s="2"/>
      <c r="W606" s="2"/>
      <c r="X606" s="2"/>
      <c r="Y606" s="2"/>
    </row>
    <row r="607" spans="1:25" ht="25.5" hidden="1" customHeight="1">
      <c r="A607" s="26">
        <v>327</v>
      </c>
      <c r="B607" s="27" t="s">
        <v>599</v>
      </c>
      <c r="C607" s="28">
        <v>42671</v>
      </c>
      <c r="D607" s="27"/>
      <c r="E607" s="27" t="s">
        <v>1892</v>
      </c>
      <c r="F607" s="29" t="s">
        <v>1893</v>
      </c>
      <c r="G607" s="27" t="s">
        <v>338</v>
      </c>
      <c r="H607" s="27" t="s">
        <v>19</v>
      </c>
      <c r="I607" s="27">
        <v>1</v>
      </c>
      <c r="J607" s="30">
        <v>78592695</v>
      </c>
      <c r="K607" s="26" t="s">
        <v>36</v>
      </c>
      <c r="L607" s="26" t="s">
        <v>1542</v>
      </c>
      <c r="M607" s="31" t="s">
        <v>1894</v>
      </c>
      <c r="N607" s="6"/>
      <c r="O607" s="6"/>
      <c r="P607" s="23"/>
      <c r="Q607" s="2"/>
      <c r="R607" s="2"/>
      <c r="S607" s="2"/>
      <c r="T607" s="2"/>
      <c r="U607" s="2"/>
      <c r="V607" s="2"/>
      <c r="W607" s="2"/>
      <c r="X607" s="2"/>
      <c r="Y607" s="2"/>
    </row>
    <row r="608" spans="1:25" ht="25.5" hidden="1" customHeight="1">
      <c r="A608" s="26">
        <v>328</v>
      </c>
      <c r="B608" s="27" t="s">
        <v>599</v>
      </c>
      <c r="C608" s="28">
        <v>42671</v>
      </c>
      <c r="D608" s="27"/>
      <c r="E608" s="27" t="s">
        <v>1895</v>
      </c>
      <c r="F608" s="29" t="s">
        <v>1896</v>
      </c>
      <c r="G608" s="27" t="s">
        <v>1435</v>
      </c>
      <c r="H608" s="27" t="s">
        <v>19</v>
      </c>
      <c r="I608" s="27">
        <v>1</v>
      </c>
      <c r="J608" s="30">
        <v>1659706731</v>
      </c>
      <c r="K608" s="26" t="s">
        <v>36</v>
      </c>
      <c r="L608" s="26" t="s">
        <v>1542</v>
      </c>
      <c r="M608" s="31" t="s">
        <v>1897</v>
      </c>
      <c r="N608" s="6"/>
      <c r="O608" s="6"/>
      <c r="P608" s="23"/>
      <c r="Q608" s="2"/>
      <c r="R608" s="2"/>
      <c r="S608" s="2"/>
      <c r="T608" s="2"/>
      <c r="U608" s="2"/>
      <c r="V608" s="2"/>
      <c r="W608" s="2"/>
      <c r="X608" s="2"/>
      <c r="Y608" s="2"/>
    </row>
    <row r="609" spans="1:25" ht="25.5" hidden="1" customHeight="1">
      <c r="A609" s="26">
        <v>329</v>
      </c>
      <c r="B609" s="27" t="s">
        <v>599</v>
      </c>
      <c r="C609" s="28">
        <v>42671</v>
      </c>
      <c r="D609" s="27"/>
      <c r="E609" s="27" t="s">
        <v>1898</v>
      </c>
      <c r="F609" s="29" t="s">
        <v>1899</v>
      </c>
      <c r="G609" s="27" t="s">
        <v>1635</v>
      </c>
      <c r="H609" s="27" t="s">
        <v>19</v>
      </c>
      <c r="I609" s="27">
        <v>1</v>
      </c>
      <c r="J609" s="30">
        <v>304873169</v>
      </c>
      <c r="K609" s="26" t="s">
        <v>36</v>
      </c>
      <c r="L609" s="26" t="s">
        <v>1542</v>
      </c>
      <c r="M609" s="31" t="s">
        <v>1900</v>
      </c>
      <c r="N609" s="6"/>
      <c r="O609" s="6"/>
      <c r="P609" s="23"/>
      <c r="Q609" s="2"/>
      <c r="R609" s="2"/>
      <c r="S609" s="2"/>
      <c r="T609" s="2"/>
      <c r="U609" s="2"/>
      <c r="V609" s="2"/>
      <c r="W609" s="2"/>
      <c r="X609" s="2"/>
      <c r="Y609" s="2"/>
    </row>
    <row r="610" spans="1:25" ht="12.75" hidden="1" customHeight="1">
      <c r="A610" s="26" t="s">
        <v>1901</v>
      </c>
      <c r="B610" s="27"/>
      <c r="C610" s="28"/>
      <c r="D610" s="27"/>
      <c r="E610" s="27" t="s">
        <v>1902</v>
      </c>
      <c r="F610" s="29" t="s">
        <v>1903</v>
      </c>
      <c r="G610" s="27"/>
      <c r="H610" s="27" t="s">
        <v>249</v>
      </c>
      <c r="I610" s="27">
        <v>1</v>
      </c>
      <c r="J610" s="30">
        <v>8476755</v>
      </c>
      <c r="K610" s="26" t="s">
        <v>36</v>
      </c>
      <c r="L610" s="26" t="s">
        <v>1542</v>
      </c>
      <c r="M610" s="31"/>
      <c r="N610" s="6"/>
      <c r="O610" s="6"/>
      <c r="P610" s="23"/>
      <c r="Q610" s="2"/>
      <c r="R610" s="2"/>
      <c r="S610" s="2"/>
      <c r="T610" s="2"/>
      <c r="U610" s="2"/>
      <c r="V610" s="2"/>
      <c r="W610" s="2"/>
      <c r="X610" s="2"/>
      <c r="Y610" s="2"/>
    </row>
    <row r="611" spans="1:25" ht="12.75" hidden="1" customHeight="1">
      <c r="A611" s="26" t="s">
        <v>1904</v>
      </c>
      <c r="B611" s="27"/>
      <c r="C611" s="28"/>
      <c r="D611" s="27"/>
      <c r="E611" s="27" t="s">
        <v>1905</v>
      </c>
      <c r="F611" s="29" t="s">
        <v>1906</v>
      </c>
      <c r="G611" s="27"/>
      <c r="H611" s="27" t="s">
        <v>249</v>
      </c>
      <c r="I611" s="27">
        <v>1</v>
      </c>
      <c r="J611" s="30">
        <v>8476755</v>
      </c>
      <c r="K611" s="26" t="s">
        <v>36</v>
      </c>
      <c r="L611" s="26" t="s">
        <v>1542</v>
      </c>
      <c r="M611" s="31"/>
      <c r="N611" s="6"/>
      <c r="O611" s="6"/>
      <c r="P611" s="23"/>
      <c r="Q611" s="2"/>
      <c r="R611" s="2"/>
      <c r="S611" s="2"/>
      <c r="T611" s="2"/>
      <c r="U611" s="2"/>
      <c r="V611" s="2"/>
      <c r="W611" s="2"/>
      <c r="X611" s="2"/>
      <c r="Y611" s="2"/>
    </row>
    <row r="612" spans="1:25" ht="25.5" hidden="1" customHeight="1">
      <c r="A612" s="26">
        <v>330</v>
      </c>
      <c r="B612" s="27" t="s">
        <v>599</v>
      </c>
      <c r="C612" s="28">
        <v>42671</v>
      </c>
      <c r="D612" s="27"/>
      <c r="E612" s="27" t="s">
        <v>1907</v>
      </c>
      <c r="F612" s="29" t="s">
        <v>1908</v>
      </c>
      <c r="G612" s="27" t="s">
        <v>1635</v>
      </c>
      <c r="H612" s="27" t="s">
        <v>19</v>
      </c>
      <c r="I612" s="27">
        <v>1</v>
      </c>
      <c r="J612" s="30">
        <v>310473170</v>
      </c>
      <c r="K612" s="26" t="s">
        <v>36</v>
      </c>
      <c r="L612" s="26" t="s">
        <v>1542</v>
      </c>
      <c r="M612" s="31" t="s">
        <v>1909</v>
      </c>
      <c r="N612" s="6"/>
      <c r="O612" s="6"/>
      <c r="P612" s="23"/>
      <c r="Q612" s="2"/>
      <c r="R612" s="2"/>
      <c r="S612" s="2"/>
      <c r="T612" s="2"/>
      <c r="U612" s="2"/>
      <c r="V612" s="2"/>
      <c r="W612" s="2"/>
      <c r="X612" s="2"/>
      <c r="Y612" s="2"/>
    </row>
    <row r="613" spans="1:25" ht="12.75" hidden="1" customHeight="1">
      <c r="A613" s="26" t="s">
        <v>1910</v>
      </c>
      <c r="B613" s="27"/>
      <c r="C613" s="28"/>
      <c r="D613" s="27"/>
      <c r="E613" s="27" t="s">
        <v>1911</v>
      </c>
      <c r="F613" s="29" t="s">
        <v>1903</v>
      </c>
      <c r="G613" s="27"/>
      <c r="H613" s="27" t="s">
        <v>249</v>
      </c>
      <c r="I613" s="27">
        <v>1</v>
      </c>
      <c r="J613" s="30">
        <v>8476755</v>
      </c>
      <c r="K613" s="26" t="s">
        <v>36</v>
      </c>
      <c r="L613" s="26" t="s">
        <v>1542</v>
      </c>
      <c r="M613" s="31"/>
      <c r="N613" s="6"/>
      <c r="O613" s="6"/>
      <c r="P613" s="23"/>
      <c r="Q613" s="2"/>
      <c r="R613" s="2"/>
      <c r="S613" s="2"/>
      <c r="T613" s="2"/>
      <c r="U613" s="2"/>
      <c r="V613" s="2"/>
      <c r="W613" s="2"/>
      <c r="X613" s="2"/>
      <c r="Y613" s="2"/>
    </row>
    <row r="614" spans="1:25" ht="12.75" hidden="1" customHeight="1">
      <c r="A614" s="26" t="s">
        <v>1912</v>
      </c>
      <c r="B614" s="27"/>
      <c r="C614" s="28"/>
      <c r="D614" s="27"/>
      <c r="E614" s="27" t="s">
        <v>1913</v>
      </c>
      <c r="F614" s="29" t="s">
        <v>1906</v>
      </c>
      <c r="G614" s="27"/>
      <c r="H614" s="27" t="s">
        <v>249</v>
      </c>
      <c r="I614" s="27">
        <v>1</v>
      </c>
      <c r="J614" s="30">
        <v>8476755</v>
      </c>
      <c r="K614" s="26" t="s">
        <v>36</v>
      </c>
      <c r="L614" s="26" t="s">
        <v>1542</v>
      </c>
      <c r="M614" s="31"/>
      <c r="N614" s="6"/>
      <c r="O614" s="6"/>
      <c r="P614" s="23"/>
      <c r="Q614" s="2"/>
      <c r="R614" s="2"/>
      <c r="S614" s="2"/>
      <c r="T614" s="2"/>
      <c r="U614" s="2"/>
      <c r="V614" s="2"/>
      <c r="W614" s="2"/>
      <c r="X614" s="2"/>
      <c r="Y614" s="2"/>
    </row>
    <row r="615" spans="1:25" ht="102" hidden="1" customHeight="1">
      <c r="A615" s="26">
        <v>331</v>
      </c>
      <c r="B615" s="27" t="s">
        <v>599</v>
      </c>
      <c r="C615" s="28">
        <v>42671</v>
      </c>
      <c r="D615" s="27"/>
      <c r="E615" s="27" t="s">
        <v>1914</v>
      </c>
      <c r="F615" s="29" t="s">
        <v>1915</v>
      </c>
      <c r="G615" s="27" t="s">
        <v>338</v>
      </c>
      <c r="H615" s="27" t="s">
        <v>19</v>
      </c>
      <c r="I615" s="27">
        <v>1</v>
      </c>
      <c r="J615" s="30">
        <v>1070142808</v>
      </c>
      <c r="K615" s="26" t="s">
        <v>36</v>
      </c>
      <c r="L615" s="26" t="s">
        <v>1542</v>
      </c>
      <c r="M615" s="31" t="s">
        <v>1900</v>
      </c>
      <c r="N615" s="6"/>
      <c r="O615" s="6"/>
      <c r="P615" s="23"/>
      <c r="Q615" s="2"/>
      <c r="R615" s="2"/>
      <c r="S615" s="2"/>
      <c r="T615" s="2"/>
      <c r="U615" s="2"/>
      <c r="V615" s="2"/>
      <c r="W615" s="2"/>
      <c r="X615" s="2"/>
      <c r="Y615" s="2"/>
    </row>
    <row r="616" spans="1:25" ht="102" hidden="1" customHeight="1">
      <c r="A616" s="26">
        <v>332</v>
      </c>
      <c r="B616" s="27" t="s">
        <v>599</v>
      </c>
      <c r="C616" s="28">
        <v>42671</v>
      </c>
      <c r="D616" s="27"/>
      <c r="E616" s="27" t="s">
        <v>1916</v>
      </c>
      <c r="F616" s="29" t="s">
        <v>1917</v>
      </c>
      <c r="G616" s="27" t="s">
        <v>338</v>
      </c>
      <c r="H616" s="27" t="s">
        <v>19</v>
      </c>
      <c r="I616" s="27">
        <v>1</v>
      </c>
      <c r="J616" s="30">
        <v>1070142808</v>
      </c>
      <c r="K616" s="26" t="s">
        <v>36</v>
      </c>
      <c r="L616" s="26" t="s">
        <v>1542</v>
      </c>
      <c r="M616" s="31" t="s">
        <v>1909</v>
      </c>
      <c r="N616" s="6"/>
      <c r="O616" s="6"/>
      <c r="P616" s="23"/>
      <c r="Q616" s="2"/>
      <c r="R616" s="2"/>
      <c r="S616" s="2"/>
      <c r="T616" s="2"/>
      <c r="U616" s="2"/>
      <c r="V616" s="2"/>
      <c r="W616" s="2"/>
      <c r="X616" s="2"/>
      <c r="Y616" s="2"/>
    </row>
    <row r="617" spans="1:25" ht="25.5" hidden="1" customHeight="1">
      <c r="A617" s="26">
        <v>333</v>
      </c>
      <c r="B617" s="27" t="s">
        <v>599</v>
      </c>
      <c r="C617" s="28">
        <v>42671</v>
      </c>
      <c r="D617" s="27"/>
      <c r="E617" s="27" t="s">
        <v>1918</v>
      </c>
      <c r="F617" s="29" t="s">
        <v>1919</v>
      </c>
      <c r="G617" s="27" t="s">
        <v>338</v>
      </c>
      <c r="H617" s="27" t="s">
        <v>19</v>
      </c>
      <c r="I617" s="27">
        <v>1</v>
      </c>
      <c r="J617" s="30">
        <v>893606052</v>
      </c>
      <c r="K617" s="26" t="s">
        <v>36</v>
      </c>
      <c r="L617" s="26" t="s">
        <v>1542</v>
      </c>
      <c r="M617" s="31" t="s">
        <v>1909</v>
      </c>
      <c r="N617" s="6"/>
      <c r="O617" s="6"/>
      <c r="P617" s="23"/>
      <c r="Q617" s="2"/>
      <c r="R617" s="2"/>
      <c r="S617" s="2"/>
      <c r="T617" s="2"/>
      <c r="U617" s="2"/>
      <c r="V617" s="2"/>
      <c r="W617" s="2"/>
      <c r="X617" s="2"/>
      <c r="Y617" s="2"/>
    </row>
    <row r="618" spans="1:25" ht="51" hidden="1" customHeight="1">
      <c r="A618" s="26">
        <v>334</v>
      </c>
      <c r="B618" s="27" t="s">
        <v>599</v>
      </c>
      <c r="C618" s="28">
        <v>42671</v>
      </c>
      <c r="D618" s="27"/>
      <c r="E618" s="27" t="s">
        <v>1920</v>
      </c>
      <c r="F618" s="29" t="s">
        <v>1921</v>
      </c>
      <c r="G618" s="27" t="s">
        <v>338</v>
      </c>
      <c r="H618" s="27" t="s">
        <v>19</v>
      </c>
      <c r="I618" s="27">
        <v>1</v>
      </c>
      <c r="J618" s="30">
        <v>1061001362</v>
      </c>
      <c r="K618" s="26" t="s">
        <v>36</v>
      </c>
      <c r="L618" s="26" t="s">
        <v>1542</v>
      </c>
      <c r="M618" s="31" t="s">
        <v>1922</v>
      </c>
      <c r="N618" s="6"/>
      <c r="O618" s="6"/>
      <c r="P618" s="23"/>
      <c r="Q618" s="2"/>
      <c r="R618" s="2"/>
      <c r="S618" s="2"/>
      <c r="T618" s="2"/>
      <c r="U618" s="2"/>
      <c r="V618" s="2"/>
      <c r="W618" s="2"/>
      <c r="X618" s="2"/>
      <c r="Y618" s="2"/>
    </row>
    <row r="619" spans="1:25" ht="63.75" hidden="1" customHeight="1">
      <c r="A619" s="26">
        <v>335</v>
      </c>
      <c r="B619" s="27" t="s">
        <v>599</v>
      </c>
      <c r="C619" s="28">
        <v>42671</v>
      </c>
      <c r="D619" s="27"/>
      <c r="E619" s="27" t="s">
        <v>1923</v>
      </c>
      <c r="F619" s="29" t="s">
        <v>1924</v>
      </c>
      <c r="G619" s="27" t="s">
        <v>338</v>
      </c>
      <c r="H619" s="27" t="s">
        <v>19</v>
      </c>
      <c r="I619" s="27">
        <v>1</v>
      </c>
      <c r="J619" s="30">
        <v>1087594659</v>
      </c>
      <c r="K619" s="26" t="s">
        <v>36</v>
      </c>
      <c r="L619" s="26" t="s">
        <v>1542</v>
      </c>
      <c r="M619" s="31" t="s">
        <v>1925</v>
      </c>
      <c r="N619" s="6"/>
      <c r="O619" s="6"/>
      <c r="P619" s="23"/>
      <c r="Q619" s="2"/>
      <c r="R619" s="2"/>
      <c r="S619" s="2"/>
      <c r="T619" s="2"/>
      <c r="U619" s="2"/>
      <c r="V619" s="2"/>
      <c r="W619" s="2"/>
      <c r="X619" s="2"/>
      <c r="Y619" s="2"/>
    </row>
    <row r="620" spans="1:25" ht="25.5" hidden="1" customHeight="1">
      <c r="A620" s="26">
        <v>336</v>
      </c>
      <c r="B620" s="27" t="s">
        <v>797</v>
      </c>
      <c r="C620" s="28">
        <v>42671</v>
      </c>
      <c r="D620" s="27"/>
      <c r="E620" s="27" t="s">
        <v>1926</v>
      </c>
      <c r="F620" s="29" t="s">
        <v>1927</v>
      </c>
      <c r="G620" s="27" t="s">
        <v>55</v>
      </c>
      <c r="H620" s="27" t="s">
        <v>157</v>
      </c>
      <c r="I620" s="27">
        <v>1</v>
      </c>
      <c r="J620" s="30">
        <v>2245866770</v>
      </c>
      <c r="K620" s="26" t="s">
        <v>206</v>
      </c>
      <c r="L620" s="26" t="s">
        <v>1330</v>
      </c>
      <c r="M620" s="31" t="s">
        <v>1559</v>
      </c>
      <c r="N620" s="6"/>
      <c r="O620" s="6"/>
      <c r="P620" s="23"/>
      <c r="Q620" s="2"/>
      <c r="R620" s="2"/>
      <c r="S620" s="2"/>
      <c r="T620" s="2"/>
      <c r="U620" s="2"/>
      <c r="V620" s="2"/>
      <c r="W620" s="2"/>
      <c r="X620" s="2"/>
      <c r="Y620" s="2"/>
    </row>
    <row r="621" spans="1:25" ht="25.5" hidden="1" customHeight="1">
      <c r="A621" s="26">
        <v>337</v>
      </c>
      <c r="B621" s="27" t="s">
        <v>797</v>
      </c>
      <c r="C621" s="28">
        <v>42671</v>
      </c>
      <c r="D621" s="27"/>
      <c r="E621" s="27" t="s">
        <v>1928</v>
      </c>
      <c r="F621" s="29" t="s">
        <v>1929</v>
      </c>
      <c r="G621" s="27" t="s">
        <v>55</v>
      </c>
      <c r="H621" s="27" t="s">
        <v>157</v>
      </c>
      <c r="I621" s="27">
        <v>1</v>
      </c>
      <c r="J621" s="30">
        <v>2245866771</v>
      </c>
      <c r="K621" s="26" t="s">
        <v>206</v>
      </c>
      <c r="L621" s="26" t="s">
        <v>1330</v>
      </c>
      <c r="M621" s="31" t="s">
        <v>1559</v>
      </c>
      <c r="N621" s="6"/>
      <c r="O621" s="6"/>
      <c r="P621" s="23"/>
      <c r="Q621" s="2"/>
      <c r="R621" s="2"/>
      <c r="S621" s="2"/>
      <c r="T621" s="2"/>
      <c r="U621" s="2"/>
      <c r="V621" s="2"/>
      <c r="W621" s="2"/>
      <c r="X621" s="2"/>
      <c r="Y621" s="2"/>
    </row>
    <row r="622" spans="1:25" ht="25.5" hidden="1" customHeight="1">
      <c r="A622" s="26">
        <v>338</v>
      </c>
      <c r="B622" s="27" t="s">
        <v>797</v>
      </c>
      <c r="C622" s="28">
        <v>42671</v>
      </c>
      <c r="D622" s="27"/>
      <c r="E622" s="27" t="s">
        <v>1930</v>
      </c>
      <c r="F622" s="29" t="s">
        <v>1931</v>
      </c>
      <c r="G622" s="27" t="s">
        <v>338</v>
      </c>
      <c r="H622" s="27" t="s">
        <v>157</v>
      </c>
      <c r="I622" s="27">
        <v>1</v>
      </c>
      <c r="J622" s="30">
        <v>1703497608</v>
      </c>
      <c r="K622" s="26" t="s">
        <v>206</v>
      </c>
      <c r="L622" s="26" t="s">
        <v>1330</v>
      </c>
      <c r="M622" s="31" t="s">
        <v>1559</v>
      </c>
      <c r="N622" s="6"/>
      <c r="O622" s="6"/>
      <c r="P622" s="23"/>
      <c r="Q622" s="2"/>
      <c r="R622" s="2"/>
      <c r="S622" s="2"/>
      <c r="T622" s="2"/>
      <c r="U622" s="2"/>
      <c r="V622" s="2"/>
      <c r="W622" s="2"/>
      <c r="X622" s="2"/>
      <c r="Y622" s="2"/>
    </row>
    <row r="623" spans="1:25" ht="25.5" hidden="1" customHeight="1">
      <c r="A623" s="26">
        <v>339</v>
      </c>
      <c r="B623" s="27" t="s">
        <v>797</v>
      </c>
      <c r="C623" s="28">
        <v>42671</v>
      </c>
      <c r="D623" s="27"/>
      <c r="E623" s="27" t="s">
        <v>1932</v>
      </c>
      <c r="F623" s="29" t="s">
        <v>1933</v>
      </c>
      <c r="G623" s="27" t="s">
        <v>338</v>
      </c>
      <c r="H623" s="27" t="s">
        <v>157</v>
      </c>
      <c r="I623" s="27">
        <v>1</v>
      </c>
      <c r="J623" s="30">
        <v>1703497608</v>
      </c>
      <c r="K623" s="26" t="s">
        <v>206</v>
      </c>
      <c r="L623" s="26" t="s">
        <v>1330</v>
      </c>
      <c r="M623" s="31" t="s">
        <v>1559</v>
      </c>
      <c r="N623" s="6"/>
      <c r="O623" s="6"/>
      <c r="P623" s="23"/>
      <c r="Q623" s="2"/>
      <c r="R623" s="2"/>
      <c r="S623" s="2"/>
      <c r="T623" s="2"/>
      <c r="U623" s="2"/>
      <c r="V623" s="2"/>
      <c r="W623" s="2"/>
      <c r="X623" s="2"/>
      <c r="Y623" s="2"/>
    </row>
    <row r="624" spans="1:25" ht="25.5" hidden="1" customHeight="1">
      <c r="A624" s="26">
        <v>340</v>
      </c>
      <c r="B624" s="27" t="s">
        <v>797</v>
      </c>
      <c r="C624" s="28">
        <v>42671</v>
      </c>
      <c r="D624" s="27"/>
      <c r="E624" s="27" t="s">
        <v>1934</v>
      </c>
      <c r="F624" s="29" t="s">
        <v>1935</v>
      </c>
      <c r="G624" s="27" t="s">
        <v>338</v>
      </c>
      <c r="H624" s="27" t="s">
        <v>157</v>
      </c>
      <c r="I624" s="27">
        <v>1</v>
      </c>
      <c r="J624" s="30">
        <v>148549229</v>
      </c>
      <c r="K624" s="26" t="s">
        <v>206</v>
      </c>
      <c r="L624" s="45" t="s">
        <v>1330</v>
      </c>
      <c r="M624" s="46" t="s">
        <v>1936</v>
      </c>
      <c r="N624" s="6"/>
      <c r="O624" s="6"/>
      <c r="P624" s="23"/>
      <c r="Q624" s="2"/>
      <c r="R624" s="2"/>
      <c r="S624" s="2"/>
      <c r="T624" s="2"/>
      <c r="U624" s="2"/>
      <c r="V624" s="2"/>
      <c r="W624" s="2"/>
      <c r="X624" s="2"/>
      <c r="Y624" s="2"/>
    </row>
    <row r="625" spans="1:25" ht="25.5" hidden="1" customHeight="1">
      <c r="A625" s="26">
        <v>341</v>
      </c>
      <c r="B625" s="27" t="s">
        <v>797</v>
      </c>
      <c r="C625" s="28">
        <v>42671</v>
      </c>
      <c r="D625" s="27"/>
      <c r="E625" s="27" t="s">
        <v>1937</v>
      </c>
      <c r="F625" s="29" t="s">
        <v>1938</v>
      </c>
      <c r="G625" s="27" t="s">
        <v>338</v>
      </c>
      <c r="H625" s="27" t="s">
        <v>157</v>
      </c>
      <c r="I625" s="27">
        <v>1</v>
      </c>
      <c r="J625" s="30">
        <v>148549229</v>
      </c>
      <c r="K625" s="26" t="s">
        <v>206</v>
      </c>
      <c r="L625" s="26" t="s">
        <v>1330</v>
      </c>
      <c r="M625" s="31" t="s">
        <v>1559</v>
      </c>
      <c r="N625" s="6"/>
      <c r="O625" s="6"/>
      <c r="P625" s="23"/>
      <c r="Q625" s="2"/>
      <c r="R625" s="2"/>
      <c r="S625" s="2"/>
      <c r="T625" s="2"/>
      <c r="U625" s="2"/>
      <c r="V625" s="2"/>
      <c r="W625" s="2"/>
      <c r="X625" s="2"/>
      <c r="Y625" s="2"/>
    </row>
    <row r="626" spans="1:25" ht="25.5" hidden="1" customHeight="1">
      <c r="A626" s="26">
        <v>342</v>
      </c>
      <c r="B626" s="27" t="s">
        <v>797</v>
      </c>
      <c r="C626" s="28">
        <v>42671</v>
      </c>
      <c r="D626" s="27"/>
      <c r="E626" s="27" t="s">
        <v>1939</v>
      </c>
      <c r="F626" s="29" t="s">
        <v>1940</v>
      </c>
      <c r="G626" s="27" t="s">
        <v>338</v>
      </c>
      <c r="H626" s="27" t="s">
        <v>157</v>
      </c>
      <c r="I626" s="27">
        <v>1</v>
      </c>
      <c r="J626" s="30">
        <v>299919012</v>
      </c>
      <c r="K626" s="26" t="s">
        <v>206</v>
      </c>
      <c r="L626" s="26" t="s">
        <v>1330</v>
      </c>
      <c r="M626" s="31" t="s">
        <v>1559</v>
      </c>
      <c r="N626" s="6"/>
      <c r="O626" s="6"/>
      <c r="P626" s="23"/>
      <c r="Q626" s="2"/>
      <c r="R626" s="2"/>
      <c r="S626" s="2"/>
      <c r="T626" s="2"/>
      <c r="U626" s="2"/>
      <c r="V626" s="2"/>
      <c r="W626" s="2"/>
      <c r="X626" s="2"/>
      <c r="Y626" s="2"/>
    </row>
    <row r="627" spans="1:25" ht="25.5" hidden="1" customHeight="1">
      <c r="A627" s="26">
        <v>343</v>
      </c>
      <c r="B627" s="27" t="s">
        <v>797</v>
      </c>
      <c r="C627" s="28">
        <v>42671</v>
      </c>
      <c r="D627" s="27"/>
      <c r="E627" s="27" t="s">
        <v>1941</v>
      </c>
      <c r="F627" s="29" t="s">
        <v>1942</v>
      </c>
      <c r="G627" s="27" t="s">
        <v>338</v>
      </c>
      <c r="H627" s="27" t="s">
        <v>157</v>
      </c>
      <c r="I627" s="27">
        <v>1</v>
      </c>
      <c r="J627" s="30">
        <v>299919012</v>
      </c>
      <c r="K627" s="26" t="s">
        <v>206</v>
      </c>
      <c r="L627" s="26" t="s">
        <v>1330</v>
      </c>
      <c r="M627" s="31" t="s">
        <v>1559</v>
      </c>
      <c r="N627" s="6"/>
      <c r="O627" s="6"/>
      <c r="P627" s="23"/>
      <c r="Q627" s="2"/>
      <c r="R627" s="2"/>
      <c r="S627" s="2"/>
      <c r="T627" s="2"/>
      <c r="U627" s="2"/>
      <c r="V627" s="2"/>
      <c r="W627" s="2"/>
      <c r="X627" s="2"/>
      <c r="Y627" s="2"/>
    </row>
    <row r="628" spans="1:25" ht="25.5" hidden="1" customHeight="1">
      <c r="A628" s="26">
        <v>344</v>
      </c>
      <c r="B628" s="27" t="s">
        <v>797</v>
      </c>
      <c r="C628" s="28">
        <v>42671</v>
      </c>
      <c r="D628" s="27"/>
      <c r="E628" s="27" t="s">
        <v>1943</v>
      </c>
      <c r="F628" s="29" t="s">
        <v>1944</v>
      </c>
      <c r="G628" s="27" t="s">
        <v>338</v>
      </c>
      <c r="H628" s="27" t="s">
        <v>157</v>
      </c>
      <c r="I628" s="27">
        <v>1</v>
      </c>
      <c r="J628" s="30">
        <v>103890434</v>
      </c>
      <c r="K628" s="26" t="s">
        <v>206</v>
      </c>
      <c r="L628" s="26" t="s">
        <v>1330</v>
      </c>
      <c r="M628" s="31" t="s">
        <v>1559</v>
      </c>
      <c r="N628" s="6"/>
      <c r="O628" s="6"/>
      <c r="P628" s="23"/>
      <c r="Q628" s="2"/>
      <c r="R628" s="2"/>
      <c r="S628" s="2"/>
      <c r="T628" s="2"/>
      <c r="U628" s="2"/>
      <c r="V628" s="2"/>
      <c r="W628" s="2"/>
      <c r="X628" s="2"/>
      <c r="Y628" s="2"/>
    </row>
    <row r="629" spans="1:25" ht="25.5" hidden="1" customHeight="1">
      <c r="A629" s="26">
        <v>345</v>
      </c>
      <c r="B629" s="27" t="s">
        <v>797</v>
      </c>
      <c r="C629" s="28">
        <v>42671</v>
      </c>
      <c r="D629" s="27"/>
      <c r="E629" s="27" t="s">
        <v>1945</v>
      </c>
      <c r="F629" s="29" t="s">
        <v>1946</v>
      </c>
      <c r="G629" s="27" t="s">
        <v>338</v>
      </c>
      <c r="H629" s="27" t="s">
        <v>157</v>
      </c>
      <c r="I629" s="27">
        <v>1</v>
      </c>
      <c r="J629" s="30">
        <v>103890434</v>
      </c>
      <c r="K629" s="26" t="s">
        <v>206</v>
      </c>
      <c r="L629" s="26" t="s">
        <v>1330</v>
      </c>
      <c r="M629" s="31" t="s">
        <v>1559</v>
      </c>
      <c r="N629" s="6"/>
      <c r="O629" s="6"/>
      <c r="P629" s="23"/>
      <c r="Q629" s="2"/>
      <c r="R629" s="2"/>
      <c r="S629" s="2"/>
      <c r="T629" s="2"/>
      <c r="U629" s="2"/>
      <c r="V629" s="2"/>
      <c r="W629" s="2"/>
      <c r="X629" s="2"/>
      <c r="Y629" s="2"/>
    </row>
    <row r="630" spans="1:25" ht="25.5" hidden="1" customHeight="1">
      <c r="A630" s="26">
        <v>346</v>
      </c>
      <c r="B630" s="27" t="s">
        <v>797</v>
      </c>
      <c r="C630" s="28">
        <v>42671</v>
      </c>
      <c r="D630" s="27"/>
      <c r="E630" s="27" t="s">
        <v>1947</v>
      </c>
      <c r="F630" s="29" t="s">
        <v>1948</v>
      </c>
      <c r="G630" s="27" t="s">
        <v>338</v>
      </c>
      <c r="H630" s="27" t="s">
        <v>157</v>
      </c>
      <c r="I630" s="27">
        <v>1</v>
      </c>
      <c r="J630" s="30">
        <v>788345084</v>
      </c>
      <c r="K630" s="26" t="s">
        <v>206</v>
      </c>
      <c r="L630" s="26" t="s">
        <v>1330</v>
      </c>
      <c r="M630" s="31" t="s">
        <v>1559</v>
      </c>
      <c r="N630" s="6"/>
      <c r="O630" s="6"/>
      <c r="P630" s="23"/>
      <c r="Q630" s="2"/>
      <c r="R630" s="2"/>
      <c r="S630" s="2"/>
      <c r="T630" s="2"/>
      <c r="U630" s="2"/>
      <c r="V630" s="2"/>
      <c r="W630" s="2"/>
      <c r="X630" s="2"/>
      <c r="Y630" s="2"/>
    </row>
    <row r="631" spans="1:25" ht="25.5" hidden="1" customHeight="1">
      <c r="A631" s="26">
        <v>347</v>
      </c>
      <c r="B631" s="27" t="s">
        <v>797</v>
      </c>
      <c r="C631" s="28">
        <v>42671</v>
      </c>
      <c r="D631" s="27"/>
      <c r="E631" s="27" t="s">
        <v>1949</v>
      </c>
      <c r="F631" s="29" t="s">
        <v>1950</v>
      </c>
      <c r="G631" s="27" t="s">
        <v>338</v>
      </c>
      <c r="H631" s="27" t="s">
        <v>157</v>
      </c>
      <c r="I631" s="27">
        <v>1</v>
      </c>
      <c r="J631" s="30">
        <v>788345084</v>
      </c>
      <c r="K631" s="26" t="s">
        <v>206</v>
      </c>
      <c r="L631" s="45" t="s">
        <v>1330</v>
      </c>
      <c r="M631" s="46" t="s">
        <v>1951</v>
      </c>
      <c r="N631" s="6"/>
      <c r="O631" s="6"/>
      <c r="P631" s="23"/>
      <c r="Q631" s="2"/>
      <c r="R631" s="2"/>
      <c r="S631" s="2"/>
      <c r="T631" s="2"/>
      <c r="U631" s="2"/>
      <c r="V631" s="2"/>
      <c r="W631" s="2"/>
      <c r="X631" s="2"/>
      <c r="Y631" s="2"/>
    </row>
    <row r="632" spans="1:25" ht="25.5" hidden="1" customHeight="1">
      <c r="A632" s="26">
        <v>348</v>
      </c>
      <c r="B632" s="27" t="s">
        <v>797</v>
      </c>
      <c r="C632" s="28">
        <v>42671</v>
      </c>
      <c r="D632" s="27"/>
      <c r="E632" s="27" t="s">
        <v>1952</v>
      </c>
      <c r="F632" s="29" t="s">
        <v>1953</v>
      </c>
      <c r="G632" s="27" t="s">
        <v>1754</v>
      </c>
      <c r="H632" s="27" t="s">
        <v>19</v>
      </c>
      <c r="I632" s="27">
        <v>1</v>
      </c>
      <c r="J632" s="30">
        <v>227172189</v>
      </c>
      <c r="K632" s="26" t="s">
        <v>206</v>
      </c>
      <c r="L632" s="26" t="s">
        <v>1514</v>
      </c>
      <c r="M632" s="31" t="s">
        <v>1954</v>
      </c>
      <c r="N632" s="6"/>
      <c r="O632" s="6"/>
      <c r="P632" s="23"/>
      <c r="Q632" s="2"/>
      <c r="R632" s="2"/>
      <c r="S632" s="2"/>
      <c r="T632" s="2"/>
      <c r="U632" s="2"/>
      <c r="V632" s="2"/>
      <c r="W632" s="2"/>
      <c r="X632" s="2"/>
      <c r="Y632" s="2"/>
    </row>
    <row r="633" spans="1:25" ht="25.5" hidden="1" customHeight="1">
      <c r="A633" s="26">
        <v>349</v>
      </c>
      <c r="B633" s="27" t="s">
        <v>797</v>
      </c>
      <c r="C633" s="28">
        <v>42671</v>
      </c>
      <c r="D633" s="27"/>
      <c r="E633" s="27" t="s">
        <v>1955</v>
      </c>
      <c r="F633" s="29" t="s">
        <v>1956</v>
      </c>
      <c r="G633" s="27" t="s">
        <v>1754</v>
      </c>
      <c r="H633" s="27" t="s">
        <v>19</v>
      </c>
      <c r="I633" s="27">
        <v>1</v>
      </c>
      <c r="J633" s="30">
        <v>227172189</v>
      </c>
      <c r="K633" s="26" t="s">
        <v>206</v>
      </c>
      <c r="L633" s="45" t="s">
        <v>1514</v>
      </c>
      <c r="M633" s="46" t="s">
        <v>1957</v>
      </c>
      <c r="N633" s="6"/>
      <c r="O633" s="6"/>
      <c r="P633" s="23"/>
      <c r="Q633" s="2"/>
      <c r="R633" s="2"/>
      <c r="S633" s="2"/>
      <c r="T633" s="2"/>
      <c r="U633" s="2"/>
      <c r="V633" s="2"/>
      <c r="W633" s="2"/>
      <c r="X633" s="2"/>
      <c r="Y633" s="2"/>
    </row>
    <row r="634" spans="1:25" ht="25.5" hidden="1" customHeight="1">
      <c r="A634" s="26">
        <v>350</v>
      </c>
      <c r="B634" s="27" t="s">
        <v>797</v>
      </c>
      <c r="C634" s="28">
        <v>42671</v>
      </c>
      <c r="D634" s="27"/>
      <c r="E634" s="27" t="s">
        <v>1958</v>
      </c>
      <c r="F634" s="29" t="s">
        <v>1959</v>
      </c>
      <c r="G634" s="27" t="s">
        <v>1754</v>
      </c>
      <c r="H634" s="27" t="s">
        <v>19</v>
      </c>
      <c r="I634" s="27">
        <v>1</v>
      </c>
      <c r="J634" s="30">
        <v>227172189</v>
      </c>
      <c r="K634" s="26" t="s">
        <v>206</v>
      </c>
      <c r="L634" s="26" t="s">
        <v>1514</v>
      </c>
      <c r="M634" s="31" t="s">
        <v>1954</v>
      </c>
      <c r="N634" s="6"/>
      <c r="O634" s="6"/>
      <c r="P634" s="23"/>
      <c r="Q634" s="2"/>
      <c r="R634" s="2"/>
      <c r="S634" s="2"/>
      <c r="T634" s="2"/>
      <c r="U634" s="2"/>
      <c r="V634" s="2"/>
      <c r="W634" s="2"/>
      <c r="X634" s="2"/>
      <c r="Y634" s="2"/>
    </row>
    <row r="635" spans="1:25" ht="25.5" hidden="1" customHeight="1">
      <c r="A635" s="26">
        <v>351</v>
      </c>
      <c r="B635" s="27" t="s">
        <v>797</v>
      </c>
      <c r="C635" s="28">
        <v>42671</v>
      </c>
      <c r="D635" s="27"/>
      <c r="E635" s="27" t="s">
        <v>1960</v>
      </c>
      <c r="F635" s="29" t="s">
        <v>1961</v>
      </c>
      <c r="G635" s="27" t="s">
        <v>1754</v>
      </c>
      <c r="H635" s="27" t="s">
        <v>19</v>
      </c>
      <c r="I635" s="27">
        <v>1</v>
      </c>
      <c r="J635" s="30">
        <v>227172189</v>
      </c>
      <c r="K635" s="26" t="s">
        <v>206</v>
      </c>
      <c r="L635" s="26" t="s">
        <v>1514</v>
      </c>
      <c r="M635" s="31" t="s">
        <v>1954</v>
      </c>
      <c r="N635" s="6"/>
      <c r="O635" s="6"/>
      <c r="P635" s="23"/>
      <c r="Q635" s="2"/>
      <c r="R635" s="2"/>
      <c r="S635" s="2"/>
      <c r="T635" s="2"/>
      <c r="U635" s="2"/>
      <c r="V635" s="2"/>
      <c r="W635" s="2"/>
      <c r="X635" s="2"/>
      <c r="Y635" s="2"/>
    </row>
    <row r="636" spans="1:25" ht="25.5" hidden="1" customHeight="1">
      <c r="A636" s="26">
        <v>352</v>
      </c>
      <c r="B636" s="27" t="s">
        <v>797</v>
      </c>
      <c r="C636" s="28">
        <v>42671</v>
      </c>
      <c r="D636" s="27"/>
      <c r="E636" s="27" t="s">
        <v>1962</v>
      </c>
      <c r="F636" s="29" t="s">
        <v>1963</v>
      </c>
      <c r="G636" s="27" t="s">
        <v>1754</v>
      </c>
      <c r="H636" s="27" t="s">
        <v>19</v>
      </c>
      <c r="I636" s="27">
        <v>1</v>
      </c>
      <c r="J636" s="30">
        <v>227172189</v>
      </c>
      <c r="K636" s="26" t="s">
        <v>206</v>
      </c>
      <c r="L636" s="45" t="s">
        <v>1514</v>
      </c>
      <c r="M636" s="46" t="s">
        <v>1957</v>
      </c>
      <c r="N636" s="6"/>
      <c r="O636" s="6"/>
      <c r="P636" s="23"/>
      <c r="Q636" s="2"/>
      <c r="R636" s="2"/>
      <c r="S636" s="2"/>
      <c r="T636" s="2"/>
      <c r="U636" s="2"/>
      <c r="V636" s="2"/>
      <c r="W636" s="2"/>
      <c r="X636" s="2"/>
      <c r="Y636" s="2"/>
    </row>
    <row r="637" spans="1:25" ht="25.5" hidden="1" customHeight="1">
      <c r="A637" s="26">
        <v>353</v>
      </c>
      <c r="B637" s="27" t="s">
        <v>797</v>
      </c>
      <c r="C637" s="28">
        <v>42671</v>
      </c>
      <c r="D637" s="27"/>
      <c r="E637" s="27" t="s">
        <v>1964</v>
      </c>
      <c r="F637" s="29" t="s">
        <v>1965</v>
      </c>
      <c r="G637" s="27" t="s">
        <v>1754</v>
      </c>
      <c r="H637" s="27" t="s">
        <v>19</v>
      </c>
      <c r="I637" s="27">
        <v>1</v>
      </c>
      <c r="J637" s="30">
        <v>227172189</v>
      </c>
      <c r="K637" s="26" t="s">
        <v>206</v>
      </c>
      <c r="L637" s="26" t="s">
        <v>1514</v>
      </c>
      <c r="M637" s="31" t="s">
        <v>1954</v>
      </c>
      <c r="N637" s="6"/>
      <c r="O637" s="6"/>
      <c r="P637" s="23"/>
      <c r="Q637" s="2"/>
      <c r="R637" s="2"/>
      <c r="S637" s="2"/>
      <c r="T637" s="2"/>
      <c r="U637" s="2"/>
      <c r="V637" s="2"/>
      <c r="W637" s="2"/>
      <c r="X637" s="2"/>
      <c r="Y637" s="2"/>
    </row>
    <row r="638" spans="1:25" ht="25.5" hidden="1" customHeight="1">
      <c r="A638" s="26">
        <v>354</v>
      </c>
      <c r="B638" s="27" t="s">
        <v>797</v>
      </c>
      <c r="C638" s="28">
        <v>42671</v>
      </c>
      <c r="D638" s="27"/>
      <c r="E638" s="27" t="s">
        <v>1966</v>
      </c>
      <c r="F638" s="29" t="s">
        <v>1967</v>
      </c>
      <c r="G638" s="27" t="s">
        <v>1754</v>
      </c>
      <c r="H638" s="27" t="s">
        <v>19</v>
      </c>
      <c r="I638" s="27">
        <v>1</v>
      </c>
      <c r="J638" s="30">
        <v>227172189</v>
      </c>
      <c r="K638" s="26" t="s">
        <v>206</v>
      </c>
      <c r="L638" s="26" t="s">
        <v>1514</v>
      </c>
      <c r="M638" s="31" t="s">
        <v>1954</v>
      </c>
      <c r="N638" s="6"/>
      <c r="O638" s="6"/>
      <c r="P638" s="23"/>
      <c r="Q638" s="2"/>
      <c r="R638" s="2"/>
      <c r="S638" s="2"/>
      <c r="T638" s="2"/>
      <c r="U638" s="2"/>
      <c r="V638" s="2"/>
      <c r="W638" s="2"/>
      <c r="X638" s="2"/>
      <c r="Y638" s="2"/>
    </row>
    <row r="639" spans="1:25" ht="25.5" hidden="1" customHeight="1">
      <c r="A639" s="26">
        <v>355</v>
      </c>
      <c r="B639" s="27" t="s">
        <v>797</v>
      </c>
      <c r="C639" s="28">
        <v>42671</v>
      </c>
      <c r="D639" s="27"/>
      <c r="E639" s="27" t="s">
        <v>1968</v>
      </c>
      <c r="F639" s="29" t="s">
        <v>1969</v>
      </c>
      <c r="G639" s="27" t="s">
        <v>1754</v>
      </c>
      <c r="H639" s="27" t="s">
        <v>19</v>
      </c>
      <c r="I639" s="27">
        <v>1</v>
      </c>
      <c r="J639" s="30">
        <v>227172189</v>
      </c>
      <c r="K639" s="26" t="s">
        <v>206</v>
      </c>
      <c r="L639" s="26" t="s">
        <v>1514</v>
      </c>
      <c r="M639" s="31" t="s">
        <v>1954</v>
      </c>
      <c r="N639" s="6"/>
      <c r="O639" s="6"/>
      <c r="P639" s="23"/>
      <c r="Q639" s="2"/>
      <c r="R639" s="2"/>
      <c r="S639" s="2"/>
      <c r="T639" s="2"/>
      <c r="U639" s="2"/>
      <c r="V639" s="2"/>
      <c r="W639" s="2"/>
      <c r="X639" s="2"/>
      <c r="Y639" s="2"/>
    </row>
    <row r="640" spans="1:25" ht="38.25" hidden="1" customHeight="1">
      <c r="A640" s="26">
        <v>356</v>
      </c>
      <c r="B640" s="27" t="s">
        <v>797</v>
      </c>
      <c r="C640" s="28">
        <v>42671</v>
      </c>
      <c r="D640" s="27"/>
      <c r="E640" s="27" t="s">
        <v>1970</v>
      </c>
      <c r="F640" s="29" t="s">
        <v>1971</v>
      </c>
      <c r="G640" s="27" t="s">
        <v>45</v>
      </c>
      <c r="H640" s="27" t="s">
        <v>19</v>
      </c>
      <c r="I640" s="27">
        <v>1</v>
      </c>
      <c r="J640" s="30">
        <v>251264429</v>
      </c>
      <c r="K640" s="26" t="s">
        <v>206</v>
      </c>
      <c r="L640" s="26" t="s">
        <v>1514</v>
      </c>
      <c r="M640" s="31" t="s">
        <v>1954</v>
      </c>
      <c r="N640" s="6"/>
      <c r="O640" s="6"/>
      <c r="P640" s="23"/>
      <c r="Q640" s="2"/>
      <c r="R640" s="2"/>
      <c r="S640" s="2"/>
      <c r="T640" s="2"/>
      <c r="U640" s="2"/>
      <c r="V640" s="2"/>
      <c r="W640" s="2"/>
      <c r="X640" s="2"/>
      <c r="Y640" s="2"/>
    </row>
    <row r="641" spans="1:25" ht="63.75" hidden="1" customHeight="1">
      <c r="A641" s="26">
        <v>357</v>
      </c>
      <c r="B641" s="27" t="s">
        <v>797</v>
      </c>
      <c r="C641" s="28">
        <v>42671</v>
      </c>
      <c r="D641" s="27"/>
      <c r="E641" s="27" t="s">
        <v>1972</v>
      </c>
      <c r="F641" s="29" t="s">
        <v>1973</v>
      </c>
      <c r="G641" s="27" t="s">
        <v>45</v>
      </c>
      <c r="H641" s="27" t="s">
        <v>19</v>
      </c>
      <c r="I641" s="27">
        <v>1</v>
      </c>
      <c r="J641" s="30">
        <v>526151003</v>
      </c>
      <c r="K641" s="26" t="s">
        <v>206</v>
      </c>
      <c r="L641" s="26" t="s">
        <v>1514</v>
      </c>
      <c r="M641" s="31" t="s">
        <v>1954</v>
      </c>
      <c r="N641" s="6"/>
      <c r="O641" s="6"/>
      <c r="P641" s="23"/>
      <c r="Q641" s="2"/>
      <c r="R641" s="2"/>
      <c r="S641" s="2"/>
      <c r="T641" s="2"/>
      <c r="U641" s="2"/>
      <c r="V641" s="2"/>
      <c r="W641" s="2"/>
      <c r="X641" s="2"/>
      <c r="Y641" s="2"/>
    </row>
    <row r="642" spans="1:25" ht="25.5" hidden="1" customHeight="1">
      <c r="A642" s="26">
        <v>358</v>
      </c>
      <c r="B642" s="27" t="s">
        <v>797</v>
      </c>
      <c r="C642" s="28">
        <v>42671</v>
      </c>
      <c r="D642" s="27"/>
      <c r="E642" s="27" t="s">
        <v>1974</v>
      </c>
      <c r="F642" s="29" t="s">
        <v>1975</v>
      </c>
      <c r="G642" s="27" t="s">
        <v>45</v>
      </c>
      <c r="H642" s="27" t="s">
        <v>19</v>
      </c>
      <c r="I642" s="27">
        <v>1</v>
      </c>
      <c r="J642" s="30">
        <v>141027743</v>
      </c>
      <c r="K642" s="26" t="s">
        <v>206</v>
      </c>
      <c r="L642" s="26" t="s">
        <v>1514</v>
      </c>
      <c r="M642" s="31" t="s">
        <v>1954</v>
      </c>
      <c r="N642" s="6"/>
      <c r="O642" s="6"/>
      <c r="P642" s="23"/>
      <c r="Q642" s="2"/>
      <c r="R642" s="2"/>
      <c r="S642" s="2"/>
      <c r="T642" s="2"/>
      <c r="U642" s="2"/>
      <c r="V642" s="2"/>
      <c r="W642" s="2"/>
      <c r="X642" s="2"/>
      <c r="Y642" s="2"/>
    </row>
    <row r="643" spans="1:25" ht="25.5" hidden="1" customHeight="1">
      <c r="A643" s="26">
        <v>359</v>
      </c>
      <c r="B643" s="27" t="s">
        <v>797</v>
      </c>
      <c r="C643" s="28">
        <v>42671</v>
      </c>
      <c r="D643" s="27"/>
      <c r="E643" s="27" t="s">
        <v>1976</v>
      </c>
      <c r="F643" s="29" t="s">
        <v>1977</v>
      </c>
      <c r="G643" s="27" t="s">
        <v>307</v>
      </c>
      <c r="H643" s="27" t="s">
        <v>19</v>
      </c>
      <c r="I643" s="27">
        <v>1</v>
      </c>
      <c r="J643" s="30">
        <v>68633502</v>
      </c>
      <c r="K643" s="26" t="s">
        <v>206</v>
      </c>
      <c r="L643" s="26" t="s">
        <v>1514</v>
      </c>
      <c r="M643" s="31" t="s">
        <v>1954</v>
      </c>
      <c r="N643" s="6"/>
      <c r="O643" s="6"/>
      <c r="P643" s="23"/>
      <c r="Q643" s="2"/>
      <c r="R643" s="2"/>
      <c r="S643" s="2"/>
      <c r="T643" s="2"/>
      <c r="U643" s="2"/>
      <c r="V643" s="2"/>
      <c r="W643" s="2"/>
      <c r="X643" s="2"/>
      <c r="Y643" s="2"/>
    </row>
    <row r="644" spans="1:25" ht="25.5" hidden="1" customHeight="1">
      <c r="A644" s="26">
        <v>360</v>
      </c>
      <c r="B644" s="27" t="s">
        <v>797</v>
      </c>
      <c r="C644" s="28">
        <v>42671</v>
      </c>
      <c r="D644" s="27"/>
      <c r="E644" s="27" t="s">
        <v>1978</v>
      </c>
      <c r="F644" s="29" t="s">
        <v>1979</v>
      </c>
      <c r="G644" s="27" t="s">
        <v>307</v>
      </c>
      <c r="H644" s="27" t="s">
        <v>19</v>
      </c>
      <c r="I644" s="27">
        <v>1</v>
      </c>
      <c r="J644" s="30">
        <v>68633502</v>
      </c>
      <c r="K644" s="26" t="s">
        <v>206</v>
      </c>
      <c r="L644" s="26" t="s">
        <v>1514</v>
      </c>
      <c r="M644" s="31" t="s">
        <v>1954</v>
      </c>
      <c r="N644" s="6"/>
      <c r="O644" s="6"/>
      <c r="P644" s="23"/>
      <c r="Q644" s="2"/>
      <c r="R644" s="2"/>
      <c r="S644" s="2"/>
      <c r="T644" s="2"/>
      <c r="U644" s="2"/>
      <c r="V644" s="2"/>
      <c r="W644" s="2"/>
      <c r="X644" s="2"/>
      <c r="Y644" s="2"/>
    </row>
    <row r="645" spans="1:25" ht="25.5" hidden="1" customHeight="1">
      <c r="A645" s="26">
        <v>361</v>
      </c>
      <c r="B645" s="27" t="s">
        <v>797</v>
      </c>
      <c r="C645" s="28">
        <v>42671</v>
      </c>
      <c r="D645" s="27"/>
      <c r="E645" s="27" t="s">
        <v>1980</v>
      </c>
      <c r="F645" s="29" t="s">
        <v>1981</v>
      </c>
      <c r="G645" s="27" t="s">
        <v>307</v>
      </c>
      <c r="H645" s="27" t="s">
        <v>19</v>
      </c>
      <c r="I645" s="27">
        <v>1</v>
      </c>
      <c r="J645" s="30">
        <v>68633502</v>
      </c>
      <c r="K645" s="26" t="s">
        <v>206</v>
      </c>
      <c r="L645" s="26" t="s">
        <v>1514</v>
      </c>
      <c r="M645" s="31" t="s">
        <v>1954</v>
      </c>
      <c r="N645" s="6"/>
      <c r="O645" s="6"/>
      <c r="P645" s="23"/>
      <c r="Q645" s="2"/>
      <c r="R645" s="2"/>
      <c r="S645" s="2"/>
      <c r="T645" s="2"/>
      <c r="U645" s="2"/>
      <c r="V645" s="2"/>
      <c r="W645" s="2"/>
      <c r="X645" s="2"/>
      <c r="Y645" s="2"/>
    </row>
    <row r="646" spans="1:25" ht="25.5" hidden="1" customHeight="1">
      <c r="A646" s="26">
        <v>362</v>
      </c>
      <c r="B646" s="27" t="s">
        <v>797</v>
      </c>
      <c r="C646" s="28">
        <v>42671</v>
      </c>
      <c r="D646" s="27"/>
      <c r="E646" s="27" t="s">
        <v>1982</v>
      </c>
      <c r="F646" s="29" t="s">
        <v>1983</v>
      </c>
      <c r="G646" s="27" t="s">
        <v>307</v>
      </c>
      <c r="H646" s="27" t="s">
        <v>19</v>
      </c>
      <c r="I646" s="27">
        <v>1</v>
      </c>
      <c r="J646" s="30">
        <v>68633502</v>
      </c>
      <c r="K646" s="26" t="s">
        <v>206</v>
      </c>
      <c r="L646" s="26" t="s">
        <v>1514</v>
      </c>
      <c r="M646" s="31" t="s">
        <v>1954</v>
      </c>
      <c r="N646" s="6"/>
      <c r="O646" s="6"/>
      <c r="P646" s="23"/>
      <c r="Q646" s="2"/>
      <c r="R646" s="2"/>
      <c r="S646" s="2"/>
      <c r="T646" s="2"/>
      <c r="U646" s="2"/>
      <c r="V646" s="2"/>
      <c r="W646" s="2"/>
      <c r="X646" s="2"/>
      <c r="Y646" s="2"/>
    </row>
    <row r="647" spans="1:25" ht="25.5" hidden="1" customHeight="1">
      <c r="A647" s="26">
        <v>363</v>
      </c>
      <c r="B647" s="27" t="s">
        <v>797</v>
      </c>
      <c r="C647" s="28">
        <v>42671</v>
      </c>
      <c r="D647" s="27"/>
      <c r="E647" s="27" t="s">
        <v>1984</v>
      </c>
      <c r="F647" s="29" t="s">
        <v>1985</v>
      </c>
      <c r="G647" s="27" t="s">
        <v>338</v>
      </c>
      <c r="H647" s="27" t="s">
        <v>19</v>
      </c>
      <c r="I647" s="27">
        <v>1</v>
      </c>
      <c r="J647" s="30">
        <v>559527568</v>
      </c>
      <c r="K647" s="26" t="s">
        <v>206</v>
      </c>
      <c r="L647" s="26" t="s">
        <v>1514</v>
      </c>
      <c r="M647" s="31" t="s">
        <v>1986</v>
      </c>
      <c r="N647" s="6"/>
      <c r="O647" s="6"/>
      <c r="P647" s="23"/>
      <c r="Q647" s="2"/>
      <c r="R647" s="2"/>
      <c r="S647" s="2"/>
      <c r="T647" s="2"/>
      <c r="U647" s="2"/>
      <c r="V647" s="2"/>
      <c r="W647" s="2"/>
      <c r="X647" s="2"/>
      <c r="Y647" s="2"/>
    </row>
    <row r="648" spans="1:25" ht="25.5" hidden="1" customHeight="1">
      <c r="A648" s="26">
        <v>364</v>
      </c>
      <c r="B648" s="27" t="s">
        <v>797</v>
      </c>
      <c r="C648" s="28">
        <v>42671</v>
      </c>
      <c r="D648" s="27"/>
      <c r="E648" s="27" t="s">
        <v>1987</v>
      </c>
      <c r="F648" s="29" t="s">
        <v>1988</v>
      </c>
      <c r="G648" s="27" t="s">
        <v>338</v>
      </c>
      <c r="H648" s="27" t="s">
        <v>19</v>
      </c>
      <c r="I648" s="27">
        <v>1</v>
      </c>
      <c r="J648" s="30">
        <v>559527568</v>
      </c>
      <c r="K648" s="26" t="s">
        <v>206</v>
      </c>
      <c r="L648" s="26" t="s">
        <v>1514</v>
      </c>
      <c r="M648" s="31" t="s">
        <v>1986</v>
      </c>
      <c r="N648" s="6"/>
      <c r="O648" s="6"/>
      <c r="P648" s="23"/>
      <c r="Q648" s="2"/>
      <c r="R648" s="2"/>
      <c r="S648" s="2"/>
      <c r="T648" s="2"/>
      <c r="U648" s="2"/>
      <c r="V648" s="2"/>
      <c r="W648" s="2"/>
      <c r="X648" s="2"/>
      <c r="Y648" s="2"/>
    </row>
    <row r="649" spans="1:25" ht="25.5" customHeight="1">
      <c r="A649" s="49">
        <v>365</v>
      </c>
      <c r="B649" s="27" t="s">
        <v>1989</v>
      </c>
      <c r="C649" s="50">
        <v>43827</v>
      </c>
      <c r="D649" s="27"/>
      <c r="E649" s="51" t="s">
        <v>1990</v>
      </c>
      <c r="F649" s="52" t="s">
        <v>1991</v>
      </c>
      <c r="G649" s="27" t="s">
        <v>248</v>
      </c>
      <c r="H649" s="27" t="s">
        <v>19</v>
      </c>
      <c r="I649" s="27">
        <v>1</v>
      </c>
      <c r="J649" s="30">
        <v>65900000</v>
      </c>
      <c r="K649" s="26" t="s">
        <v>20</v>
      </c>
      <c r="L649" s="49" t="s">
        <v>423</v>
      </c>
      <c r="M649" s="54" t="s">
        <v>1992</v>
      </c>
      <c r="N649" s="7"/>
      <c r="O649" s="7" t="str">
        <f ca="1">IFERROR(__xludf.DUMMYFUNCTION("IFERROR(INDEX(Sheet1!$C:$C, MAX(FILTER(ROW(Sheet1!$B:$B), Sheet1!$B:$B=E649))), """")"),"")</f>
        <v/>
      </c>
      <c r="P649" s="23"/>
      <c r="Q649" s="2"/>
      <c r="R649" s="2"/>
      <c r="S649" s="2"/>
      <c r="T649" s="2"/>
      <c r="U649" s="2"/>
      <c r="V649" s="2"/>
      <c r="W649" s="2"/>
      <c r="X649" s="2"/>
      <c r="Y649" s="2"/>
    </row>
    <row r="650" spans="1:25" ht="25.5" hidden="1" customHeight="1">
      <c r="A650" s="26">
        <v>366</v>
      </c>
      <c r="B650" s="27" t="s">
        <v>1993</v>
      </c>
      <c r="C650" s="28">
        <v>42956</v>
      </c>
      <c r="D650" s="27"/>
      <c r="E650" s="27" t="s">
        <v>1994</v>
      </c>
      <c r="F650" s="29" t="s">
        <v>1995</v>
      </c>
      <c r="G650" s="27" t="s">
        <v>338</v>
      </c>
      <c r="H650" s="27" t="s">
        <v>249</v>
      </c>
      <c r="I650" s="27">
        <v>1</v>
      </c>
      <c r="J650" s="30">
        <v>157350000</v>
      </c>
      <c r="K650" s="26" t="s">
        <v>36</v>
      </c>
      <c r="L650" s="26" t="s">
        <v>1542</v>
      </c>
      <c r="M650" s="31" t="s">
        <v>1996</v>
      </c>
      <c r="N650" s="6"/>
      <c r="O650" s="6"/>
      <c r="P650" s="23"/>
      <c r="Q650" s="2"/>
      <c r="R650" s="2"/>
      <c r="S650" s="2"/>
      <c r="T650" s="2"/>
      <c r="U650" s="2"/>
      <c r="V650" s="2"/>
      <c r="W650" s="2"/>
      <c r="X650" s="2"/>
      <c r="Y650" s="2"/>
    </row>
    <row r="651" spans="1:25" ht="25.5" hidden="1" customHeight="1">
      <c r="A651" s="26">
        <v>367</v>
      </c>
      <c r="B651" s="27" t="s">
        <v>1993</v>
      </c>
      <c r="C651" s="28">
        <v>42956</v>
      </c>
      <c r="D651" s="27"/>
      <c r="E651" s="27" t="s">
        <v>1997</v>
      </c>
      <c r="F651" s="29" t="s">
        <v>1998</v>
      </c>
      <c r="G651" s="27" t="s">
        <v>338</v>
      </c>
      <c r="H651" s="27" t="s">
        <v>249</v>
      </c>
      <c r="I651" s="27">
        <v>1</v>
      </c>
      <c r="J651" s="30">
        <v>157350000</v>
      </c>
      <c r="K651" s="26" t="s">
        <v>36</v>
      </c>
      <c r="L651" s="26" t="s">
        <v>1542</v>
      </c>
      <c r="M651" s="31" t="s">
        <v>1996</v>
      </c>
      <c r="N651" s="6"/>
      <c r="O651" s="6"/>
      <c r="P651" s="23"/>
      <c r="Q651" s="2"/>
      <c r="R651" s="2"/>
      <c r="S651" s="2"/>
      <c r="T651" s="2"/>
      <c r="U651" s="2"/>
      <c r="V651" s="2"/>
      <c r="W651" s="2"/>
      <c r="X651" s="2"/>
      <c r="Y651" s="2"/>
    </row>
    <row r="652" spans="1:25" ht="25.5" hidden="1" customHeight="1">
      <c r="A652" s="26">
        <v>368</v>
      </c>
      <c r="B652" s="27" t="s">
        <v>973</v>
      </c>
      <c r="C652" s="28">
        <v>43799</v>
      </c>
      <c r="D652" s="27"/>
      <c r="E652" s="27" t="s">
        <v>1999</v>
      </c>
      <c r="F652" s="29" t="s">
        <v>2000</v>
      </c>
      <c r="G652" s="27" t="s">
        <v>55</v>
      </c>
      <c r="H652" s="27" t="s">
        <v>19</v>
      </c>
      <c r="I652" s="27">
        <v>1</v>
      </c>
      <c r="J652" s="30">
        <v>385252778</v>
      </c>
      <c r="K652" s="26" t="s">
        <v>20</v>
      </c>
      <c r="L652" s="26" t="s">
        <v>295</v>
      </c>
      <c r="M652" s="31" t="s">
        <v>2001</v>
      </c>
      <c r="N652" s="6"/>
      <c r="O652" s="6"/>
      <c r="P652" s="23"/>
      <c r="Q652" s="2"/>
      <c r="R652" s="2"/>
      <c r="S652" s="2"/>
      <c r="T652" s="2"/>
      <c r="U652" s="2"/>
      <c r="V652" s="2"/>
      <c r="W652" s="2"/>
      <c r="X652" s="2"/>
      <c r="Y652" s="2"/>
    </row>
    <row r="653" spans="1:25" ht="25.5" hidden="1" customHeight="1">
      <c r="A653" s="26">
        <v>369</v>
      </c>
      <c r="B653" s="27" t="s">
        <v>973</v>
      </c>
      <c r="C653" s="28">
        <v>43799</v>
      </c>
      <c r="D653" s="27"/>
      <c r="E653" s="27" t="s">
        <v>2002</v>
      </c>
      <c r="F653" s="29" t="s">
        <v>2003</v>
      </c>
      <c r="G653" s="27" t="s">
        <v>55</v>
      </c>
      <c r="H653" s="27" t="s">
        <v>19</v>
      </c>
      <c r="I653" s="27">
        <v>1</v>
      </c>
      <c r="J653" s="30">
        <v>385252778</v>
      </c>
      <c r="K653" s="26" t="s">
        <v>20</v>
      </c>
      <c r="L653" s="26" t="s">
        <v>295</v>
      </c>
      <c r="M653" s="31" t="s">
        <v>2004</v>
      </c>
      <c r="N653" s="6"/>
      <c r="O653" s="6"/>
      <c r="P653" s="23"/>
      <c r="Q653" s="2"/>
      <c r="R653" s="2"/>
      <c r="S653" s="2"/>
      <c r="T653" s="2"/>
      <c r="U653" s="2"/>
      <c r="V653" s="2"/>
      <c r="W653" s="2"/>
      <c r="X653" s="2"/>
      <c r="Y653" s="2"/>
    </row>
    <row r="654" spans="1:25" ht="25.5" hidden="1" customHeight="1">
      <c r="A654" s="26">
        <v>370</v>
      </c>
      <c r="B654" s="27" t="s">
        <v>973</v>
      </c>
      <c r="C654" s="28">
        <v>43799</v>
      </c>
      <c r="D654" s="27"/>
      <c r="E654" s="27" t="s">
        <v>2005</v>
      </c>
      <c r="F654" s="29" t="s">
        <v>2006</v>
      </c>
      <c r="G654" s="27" t="s">
        <v>55</v>
      </c>
      <c r="H654" s="27" t="s">
        <v>19</v>
      </c>
      <c r="I654" s="27">
        <v>1</v>
      </c>
      <c r="J654" s="30">
        <v>385252778</v>
      </c>
      <c r="K654" s="26" t="s">
        <v>20</v>
      </c>
      <c r="L654" s="26" t="s">
        <v>295</v>
      </c>
      <c r="M654" s="31" t="s">
        <v>2004</v>
      </c>
      <c r="N654" s="6"/>
      <c r="O654" s="6"/>
      <c r="P654" s="23"/>
      <c r="Q654" s="2"/>
      <c r="R654" s="2"/>
      <c r="S654" s="2"/>
      <c r="T654" s="2"/>
      <c r="U654" s="2"/>
      <c r="V654" s="2"/>
      <c r="W654" s="2"/>
      <c r="X654" s="2"/>
      <c r="Y654" s="2"/>
    </row>
    <row r="655" spans="1:25" ht="25.5" hidden="1" customHeight="1">
      <c r="A655" s="26">
        <v>371</v>
      </c>
      <c r="B655" s="27" t="s">
        <v>973</v>
      </c>
      <c r="C655" s="28">
        <v>43799</v>
      </c>
      <c r="D655" s="27"/>
      <c r="E655" s="27" t="s">
        <v>2007</v>
      </c>
      <c r="F655" s="29" t="s">
        <v>2008</v>
      </c>
      <c r="G655" s="27" t="s">
        <v>55</v>
      </c>
      <c r="H655" s="27" t="s">
        <v>19</v>
      </c>
      <c r="I655" s="27">
        <v>1</v>
      </c>
      <c r="J655" s="30">
        <v>385252778</v>
      </c>
      <c r="K655" s="26" t="s">
        <v>20</v>
      </c>
      <c r="L655" s="26" t="s">
        <v>295</v>
      </c>
      <c r="M655" s="31" t="s">
        <v>2004</v>
      </c>
      <c r="N655" s="6"/>
      <c r="O655" s="6"/>
      <c r="P655" s="23"/>
      <c r="Q655" s="2"/>
      <c r="R655" s="2"/>
      <c r="S655" s="2"/>
      <c r="T655" s="2"/>
      <c r="U655" s="2"/>
      <c r="V655" s="2"/>
      <c r="W655" s="2"/>
      <c r="X655" s="2"/>
      <c r="Y655" s="2"/>
    </row>
    <row r="656" spans="1:25" ht="25.5" hidden="1" customHeight="1">
      <c r="A656" s="26">
        <v>372</v>
      </c>
      <c r="B656" s="27" t="s">
        <v>973</v>
      </c>
      <c r="C656" s="28">
        <v>43799</v>
      </c>
      <c r="D656" s="27"/>
      <c r="E656" s="27" t="s">
        <v>2009</v>
      </c>
      <c r="F656" s="29" t="s">
        <v>2010</v>
      </c>
      <c r="G656" s="27" t="s">
        <v>55</v>
      </c>
      <c r="H656" s="27" t="s">
        <v>19</v>
      </c>
      <c r="I656" s="27">
        <v>1</v>
      </c>
      <c r="J656" s="30">
        <v>153080573</v>
      </c>
      <c r="K656" s="26" t="s">
        <v>20</v>
      </c>
      <c r="L656" s="26" t="s">
        <v>295</v>
      </c>
      <c r="M656" s="31" t="s">
        <v>2011</v>
      </c>
      <c r="N656" s="6"/>
      <c r="O656" s="6"/>
      <c r="P656" s="23"/>
      <c r="Q656" s="2"/>
      <c r="R656" s="2"/>
      <c r="S656" s="2"/>
      <c r="T656" s="2"/>
      <c r="U656" s="2"/>
      <c r="V656" s="2"/>
      <c r="W656" s="2"/>
      <c r="X656" s="2"/>
      <c r="Y656" s="2"/>
    </row>
    <row r="657" spans="1:25" ht="25.5" hidden="1" customHeight="1">
      <c r="A657" s="26">
        <v>373</v>
      </c>
      <c r="B657" s="27" t="s">
        <v>2012</v>
      </c>
      <c r="C657" s="28">
        <v>43798</v>
      </c>
      <c r="D657" s="27"/>
      <c r="E657" s="27" t="s">
        <v>2013</v>
      </c>
      <c r="F657" s="29" t="s">
        <v>2014</v>
      </c>
      <c r="G657" s="27" t="s">
        <v>2015</v>
      </c>
      <c r="H657" s="27" t="s">
        <v>249</v>
      </c>
      <c r="I657" s="27">
        <v>1</v>
      </c>
      <c r="J657" s="30">
        <v>72900000</v>
      </c>
      <c r="K657" s="26" t="s">
        <v>20</v>
      </c>
      <c r="L657" s="36" t="s">
        <v>229</v>
      </c>
      <c r="M657" s="31" t="str">
        <f>IFERROR(VLOOKUP(E657, TSCD_XUAN!$C$7:$K$1000, 9, 0), "Không tìm thấy")</f>
        <v>Kho lầu 2</v>
      </c>
      <c r="N657" s="6"/>
      <c r="O657" s="6"/>
      <c r="P657" s="23"/>
      <c r="Q657" s="2"/>
      <c r="R657" s="2"/>
      <c r="S657" s="2"/>
      <c r="T657" s="2"/>
      <c r="U657" s="2"/>
      <c r="V657" s="2"/>
      <c r="W657" s="2"/>
      <c r="X657" s="2"/>
      <c r="Y657" s="2"/>
    </row>
    <row r="658" spans="1:25" ht="25.5" hidden="1" customHeight="1">
      <c r="A658" s="26">
        <v>374</v>
      </c>
      <c r="B658" s="27" t="s">
        <v>1989</v>
      </c>
      <c r="C658" s="28">
        <v>43827</v>
      </c>
      <c r="D658" s="27"/>
      <c r="E658" s="27" t="s">
        <v>2016</v>
      </c>
      <c r="F658" s="29" t="s">
        <v>2017</v>
      </c>
      <c r="G658" s="27" t="s">
        <v>2018</v>
      </c>
      <c r="H658" s="27" t="s">
        <v>19</v>
      </c>
      <c r="I658" s="27">
        <v>1</v>
      </c>
      <c r="J658" s="30">
        <v>219000000</v>
      </c>
      <c r="K658" s="26" t="s">
        <v>20</v>
      </c>
      <c r="L658" s="36" t="s">
        <v>229</v>
      </c>
      <c r="M658" s="31" t="str">
        <f>IFERROR(VLOOKUP(E658, TSCD_XUAN!$C$7:$K$1000, 9, 0), "Không tìm thấy")</f>
        <v>A1 - Rack 3</v>
      </c>
      <c r="N658" s="6"/>
      <c r="O658" s="6"/>
      <c r="P658" s="23"/>
      <c r="Q658" s="2"/>
      <c r="R658" s="2"/>
      <c r="S658" s="2"/>
      <c r="T658" s="2"/>
      <c r="U658" s="2"/>
      <c r="V658" s="2"/>
      <c r="W658" s="2"/>
      <c r="X658" s="2"/>
      <c r="Y658" s="2"/>
    </row>
    <row r="659" spans="1:25" ht="25.5" hidden="1" customHeight="1">
      <c r="A659" s="26">
        <v>375</v>
      </c>
      <c r="B659" s="27" t="s">
        <v>1989</v>
      </c>
      <c r="C659" s="28">
        <v>43827</v>
      </c>
      <c r="D659" s="27"/>
      <c r="E659" s="27" t="s">
        <v>2019</v>
      </c>
      <c r="F659" s="29" t="s">
        <v>2020</v>
      </c>
      <c r="G659" s="27" t="s">
        <v>2018</v>
      </c>
      <c r="H659" s="27" t="s">
        <v>19</v>
      </c>
      <c r="I659" s="27">
        <v>1</v>
      </c>
      <c r="J659" s="30">
        <v>219000000</v>
      </c>
      <c r="K659" s="26" t="s">
        <v>20</v>
      </c>
      <c r="L659" s="36" t="s">
        <v>229</v>
      </c>
      <c r="M659" s="31" t="str">
        <f>IFERROR(VLOOKUP(E659, TSCD_XUAN!$C$7:$K$1000, 9, 0), "Không tìm thấy")</f>
        <v>F1 control</v>
      </c>
      <c r="N659" s="6"/>
      <c r="O659" s="6"/>
      <c r="P659" s="23"/>
      <c r="Q659" s="2"/>
      <c r="R659" s="2"/>
      <c r="S659" s="2"/>
      <c r="T659" s="2"/>
      <c r="U659" s="2"/>
      <c r="V659" s="2"/>
      <c r="W659" s="2"/>
      <c r="X659" s="2"/>
      <c r="Y659" s="2"/>
    </row>
    <row r="660" spans="1:25" ht="12.75" hidden="1" customHeight="1">
      <c r="A660" s="26">
        <v>376</v>
      </c>
      <c r="B660" s="27" t="s">
        <v>52</v>
      </c>
      <c r="C660" s="28">
        <v>40875</v>
      </c>
      <c r="D660" s="27"/>
      <c r="E660" s="27" t="s">
        <v>2021</v>
      </c>
      <c r="F660" s="29" t="s">
        <v>2022</v>
      </c>
      <c r="G660" s="27" t="s">
        <v>55</v>
      </c>
      <c r="H660" s="27" t="s">
        <v>19</v>
      </c>
      <c r="I660" s="27">
        <v>1</v>
      </c>
      <c r="J660" s="30">
        <v>59863190</v>
      </c>
      <c r="K660" s="26" t="s">
        <v>36</v>
      </c>
      <c r="L660" s="26" t="s">
        <v>1542</v>
      </c>
      <c r="M660" s="31" t="s">
        <v>2023</v>
      </c>
      <c r="N660" s="6"/>
      <c r="O660" s="6"/>
      <c r="P660" s="23"/>
      <c r="Q660" s="2"/>
      <c r="R660" s="2"/>
      <c r="S660" s="2"/>
      <c r="T660" s="2"/>
      <c r="U660" s="2"/>
      <c r="V660" s="2"/>
      <c r="W660" s="2"/>
      <c r="X660" s="2"/>
      <c r="Y660" s="2"/>
    </row>
    <row r="661" spans="1:25" ht="12.75" hidden="1" customHeight="1">
      <c r="A661" s="26">
        <v>377</v>
      </c>
      <c r="B661" s="27" t="s">
        <v>52</v>
      </c>
      <c r="C661" s="28">
        <v>40875</v>
      </c>
      <c r="D661" s="27"/>
      <c r="E661" s="27" t="s">
        <v>2024</v>
      </c>
      <c r="F661" s="29" t="s">
        <v>2025</v>
      </c>
      <c r="G661" s="27" t="s">
        <v>55</v>
      </c>
      <c r="H661" s="27" t="s">
        <v>19</v>
      </c>
      <c r="I661" s="27">
        <v>1</v>
      </c>
      <c r="J661" s="30">
        <v>59863190</v>
      </c>
      <c r="K661" s="26" t="s">
        <v>36</v>
      </c>
      <c r="L661" s="26" t="s">
        <v>1542</v>
      </c>
      <c r="M661" s="31" t="s">
        <v>2023</v>
      </c>
      <c r="N661" s="6"/>
      <c r="O661" s="6"/>
      <c r="P661" s="23"/>
      <c r="Q661" s="2"/>
      <c r="R661" s="2"/>
      <c r="S661" s="2"/>
      <c r="T661" s="2"/>
      <c r="U661" s="2"/>
      <c r="V661" s="2"/>
      <c r="W661" s="2"/>
      <c r="X661" s="2"/>
      <c r="Y661" s="2"/>
    </row>
    <row r="662" spans="1:25" ht="12.75" customHeight="1">
      <c r="A662" s="26">
        <v>378</v>
      </c>
      <c r="B662" s="27" t="s">
        <v>470</v>
      </c>
      <c r="C662" s="28">
        <v>41983</v>
      </c>
      <c r="D662" s="27"/>
      <c r="E662" s="47" t="s">
        <v>2026</v>
      </c>
      <c r="F662" s="29" t="s">
        <v>2027</v>
      </c>
      <c r="G662" s="27" t="s">
        <v>248</v>
      </c>
      <c r="H662" s="27" t="s">
        <v>19</v>
      </c>
      <c r="I662" s="27">
        <v>1</v>
      </c>
      <c r="J662" s="30">
        <v>160748450</v>
      </c>
      <c r="K662" s="26" t="s">
        <v>20</v>
      </c>
      <c r="L662" s="26" t="s">
        <v>423</v>
      </c>
      <c r="M662" s="31" t="s">
        <v>1745</v>
      </c>
      <c r="N662" s="7"/>
      <c r="O662" s="7" t="str">
        <f ca="1">IFERROR(__xludf.DUMMYFUNCTION("IFERROR(INDEX(Sheet1!$C:$C, MAX(FILTER(ROW(Sheet1!$B:$B), Sheet1!$B:$B=E662))), """")"),"")</f>
        <v/>
      </c>
      <c r="P662" s="23"/>
      <c r="Q662" s="2"/>
      <c r="R662" s="2"/>
      <c r="S662" s="2"/>
      <c r="T662" s="2"/>
      <c r="U662" s="2"/>
      <c r="V662" s="2"/>
      <c r="W662" s="2"/>
      <c r="X662" s="2"/>
      <c r="Y662" s="2"/>
    </row>
    <row r="663" spans="1:25" ht="12.75" customHeight="1">
      <c r="A663" s="26" t="s">
        <v>2028</v>
      </c>
      <c r="B663" s="27"/>
      <c r="C663" s="28"/>
      <c r="D663" s="27"/>
      <c r="E663" s="56" t="s">
        <v>2029</v>
      </c>
      <c r="F663" s="29" t="s">
        <v>2030</v>
      </c>
      <c r="G663" s="27" t="s">
        <v>248</v>
      </c>
      <c r="H663" s="27" t="s">
        <v>19</v>
      </c>
      <c r="I663" s="27">
        <v>1</v>
      </c>
      <c r="J663" s="30">
        <v>33231650</v>
      </c>
      <c r="K663" s="26" t="s">
        <v>20</v>
      </c>
      <c r="L663" s="26" t="s">
        <v>423</v>
      </c>
      <c r="M663" s="31" t="s">
        <v>2031</v>
      </c>
      <c r="N663" s="7"/>
      <c r="O663" s="7" t="str">
        <f ca="1">IFERROR(__xludf.DUMMYFUNCTION("IFERROR(INDEX(Sheet1!$C:$C, MAX(FILTER(ROW(Sheet1!$B:$B), Sheet1!$B:$B=E663))), """")"),"")</f>
        <v/>
      </c>
      <c r="P663" s="23"/>
      <c r="Q663" s="2"/>
      <c r="R663" s="2"/>
      <c r="S663" s="2"/>
      <c r="T663" s="2"/>
      <c r="U663" s="2"/>
      <c r="V663" s="2"/>
      <c r="W663" s="2"/>
      <c r="X663" s="2"/>
      <c r="Y663" s="2"/>
    </row>
    <row r="664" spans="1:25" ht="12.75" hidden="1" customHeight="1">
      <c r="A664" s="26">
        <v>379</v>
      </c>
      <c r="B664" s="27" t="s">
        <v>909</v>
      </c>
      <c r="C664" s="28">
        <v>41999</v>
      </c>
      <c r="D664" s="27"/>
      <c r="E664" s="27" t="s">
        <v>2032</v>
      </c>
      <c r="F664" s="29" t="s">
        <v>2033</v>
      </c>
      <c r="G664" s="27" t="s">
        <v>55</v>
      </c>
      <c r="H664" s="27" t="s">
        <v>19</v>
      </c>
      <c r="I664" s="27">
        <v>1</v>
      </c>
      <c r="J664" s="30">
        <v>49407932</v>
      </c>
      <c r="K664" s="26" t="s">
        <v>20</v>
      </c>
      <c r="L664" s="26" t="s">
        <v>233</v>
      </c>
      <c r="M664" s="31" t="s">
        <v>2034</v>
      </c>
      <c r="N664" s="6"/>
      <c r="O664" s="6"/>
      <c r="P664" s="23"/>
      <c r="Q664" s="2"/>
      <c r="R664" s="2"/>
      <c r="S664" s="2"/>
      <c r="T664" s="2"/>
      <c r="U664" s="2"/>
      <c r="V664" s="2"/>
      <c r="W664" s="2"/>
      <c r="X664" s="2"/>
      <c r="Y664" s="2"/>
    </row>
    <row r="665" spans="1:25" ht="25.5" hidden="1" customHeight="1">
      <c r="A665" s="26" t="s">
        <v>2035</v>
      </c>
      <c r="B665" s="27"/>
      <c r="C665" s="28"/>
      <c r="D665" s="27"/>
      <c r="E665" s="27" t="s">
        <v>2036</v>
      </c>
      <c r="F665" s="29" t="s">
        <v>2037</v>
      </c>
      <c r="G665" s="27" t="s">
        <v>55</v>
      </c>
      <c r="H665" s="27" t="s">
        <v>19</v>
      </c>
      <c r="I665" s="27">
        <v>1</v>
      </c>
      <c r="J665" s="30">
        <v>10740855</v>
      </c>
      <c r="K665" s="26" t="s">
        <v>20</v>
      </c>
      <c r="L665" s="26" t="s">
        <v>233</v>
      </c>
      <c r="M665" s="31" t="s">
        <v>1369</v>
      </c>
      <c r="N665" s="6"/>
      <c r="O665" s="6"/>
      <c r="P665" s="23"/>
      <c r="Q665" s="2"/>
      <c r="R665" s="2"/>
      <c r="S665" s="2"/>
      <c r="T665" s="2"/>
      <c r="U665" s="2"/>
      <c r="V665" s="2"/>
      <c r="W665" s="2"/>
      <c r="X665" s="2"/>
      <c r="Y665" s="2"/>
    </row>
    <row r="666" spans="1:25" ht="25.5" hidden="1" customHeight="1">
      <c r="A666" s="26" t="s">
        <v>2038</v>
      </c>
      <c r="B666" s="27"/>
      <c r="C666" s="28"/>
      <c r="D666" s="27"/>
      <c r="E666" s="27" t="s">
        <v>2039</v>
      </c>
      <c r="F666" s="29" t="s">
        <v>2040</v>
      </c>
      <c r="G666" s="27" t="s">
        <v>55</v>
      </c>
      <c r="H666" s="27" t="s">
        <v>19</v>
      </c>
      <c r="I666" s="27">
        <v>1</v>
      </c>
      <c r="J666" s="30">
        <v>10740855</v>
      </c>
      <c r="K666" s="26" t="s">
        <v>20</v>
      </c>
      <c r="L666" s="26" t="s">
        <v>233</v>
      </c>
      <c r="M666" s="31" t="s">
        <v>1369</v>
      </c>
      <c r="N666" s="6"/>
      <c r="O666" s="6"/>
      <c r="P666" s="23"/>
      <c r="Q666" s="2"/>
      <c r="R666" s="2"/>
      <c r="S666" s="2"/>
      <c r="T666" s="2"/>
      <c r="U666" s="2"/>
      <c r="V666" s="2"/>
      <c r="W666" s="2"/>
      <c r="X666" s="2"/>
      <c r="Y666" s="2"/>
    </row>
    <row r="667" spans="1:25" ht="25.5" customHeight="1">
      <c r="A667" s="26">
        <v>380</v>
      </c>
      <c r="B667" s="27" t="s">
        <v>2041</v>
      </c>
      <c r="C667" s="28">
        <v>42184</v>
      </c>
      <c r="D667" s="27"/>
      <c r="E667" s="47" t="s">
        <v>2042</v>
      </c>
      <c r="F667" s="29" t="s">
        <v>2043</v>
      </c>
      <c r="G667" s="27" t="s">
        <v>55</v>
      </c>
      <c r="H667" s="27" t="s">
        <v>19</v>
      </c>
      <c r="I667" s="27">
        <v>1</v>
      </c>
      <c r="J667" s="30">
        <v>57165919</v>
      </c>
      <c r="K667" s="26" t="s">
        <v>20</v>
      </c>
      <c r="L667" s="26" t="s">
        <v>423</v>
      </c>
      <c r="M667" s="31" t="s">
        <v>2044</v>
      </c>
      <c r="N667" s="7"/>
      <c r="O667" s="7" t="str">
        <f ca="1">IFERROR(__xludf.DUMMYFUNCTION("IFERROR(INDEX(Sheet1!$C:$C, MAX(FILTER(ROW(Sheet1!$B:$B), Sheet1!$B:$B=E667))), """")"),"")</f>
        <v/>
      </c>
      <c r="P667" s="23"/>
      <c r="Q667" s="2"/>
      <c r="R667" s="2"/>
      <c r="S667" s="2"/>
      <c r="T667" s="2"/>
      <c r="U667" s="2"/>
      <c r="V667" s="2"/>
      <c r="W667" s="2"/>
      <c r="X667" s="2"/>
      <c r="Y667" s="2"/>
    </row>
    <row r="668" spans="1:25" ht="38.25" customHeight="1">
      <c r="A668" s="49" t="s">
        <v>2045</v>
      </c>
      <c r="B668" s="27"/>
      <c r="C668" s="50"/>
      <c r="D668" s="27"/>
      <c r="E668" s="73" t="s">
        <v>2046</v>
      </c>
      <c r="F668" s="52" t="s">
        <v>2047</v>
      </c>
      <c r="G668" s="27" t="s">
        <v>55</v>
      </c>
      <c r="H668" s="27" t="s">
        <v>249</v>
      </c>
      <c r="I668" s="27">
        <v>1</v>
      </c>
      <c r="J668" s="30">
        <v>0</v>
      </c>
      <c r="K668" s="26" t="s">
        <v>20</v>
      </c>
      <c r="L668" s="49" t="s">
        <v>423</v>
      </c>
      <c r="M668" s="54" t="s">
        <v>2048</v>
      </c>
      <c r="N668" s="7"/>
      <c r="O668" s="7" t="str">
        <f ca="1">IFERROR(__xludf.DUMMYFUNCTION("IFERROR(INDEX(Sheet1!$C:$C, MAX(FILTER(ROW(Sheet1!$B:$B), Sheet1!$B:$B=E668))), """")"),"")</f>
        <v/>
      </c>
      <c r="P668" s="23"/>
      <c r="Q668" s="2"/>
      <c r="R668" s="2"/>
      <c r="S668" s="2"/>
      <c r="T668" s="2"/>
      <c r="U668" s="2"/>
      <c r="V668" s="2"/>
      <c r="W668" s="2"/>
      <c r="X668" s="2"/>
      <c r="Y668" s="2"/>
    </row>
    <row r="669" spans="1:25" ht="38.25" customHeight="1">
      <c r="A669" s="49" t="s">
        <v>2049</v>
      </c>
      <c r="B669" s="27"/>
      <c r="C669" s="50"/>
      <c r="D669" s="27"/>
      <c r="E669" s="51" t="s">
        <v>2050</v>
      </c>
      <c r="F669" s="52" t="s">
        <v>2051</v>
      </c>
      <c r="G669" s="27" t="s">
        <v>55</v>
      </c>
      <c r="H669" s="27" t="s">
        <v>249</v>
      </c>
      <c r="I669" s="27">
        <v>1</v>
      </c>
      <c r="J669" s="30">
        <v>0</v>
      </c>
      <c r="K669" s="26" t="s">
        <v>20</v>
      </c>
      <c r="L669" s="49" t="s">
        <v>423</v>
      </c>
      <c r="M669" s="54" t="s">
        <v>2048</v>
      </c>
      <c r="N669" s="7"/>
      <c r="O669" s="7" t="str">
        <f ca="1">IFERROR(__xludf.DUMMYFUNCTION("IFERROR(INDEX(Sheet1!$C:$C, MAX(FILTER(ROW(Sheet1!$B:$B), Sheet1!$B:$B=E669))), """")"),"")</f>
        <v/>
      </c>
      <c r="P669" s="23"/>
      <c r="Q669" s="2"/>
      <c r="R669" s="2"/>
      <c r="S669" s="2"/>
      <c r="T669" s="2"/>
      <c r="U669" s="2"/>
      <c r="V669" s="2"/>
      <c r="W669" s="2"/>
      <c r="X669" s="2"/>
      <c r="Y669" s="2"/>
    </row>
    <row r="670" spans="1:25" ht="25.5" hidden="1" customHeight="1">
      <c r="A670" s="26">
        <v>381</v>
      </c>
      <c r="B670" s="27" t="s">
        <v>599</v>
      </c>
      <c r="C670" s="28">
        <v>42671</v>
      </c>
      <c r="D670" s="27"/>
      <c r="E670" s="27" t="s">
        <v>2052</v>
      </c>
      <c r="F670" s="29" t="s">
        <v>2053</v>
      </c>
      <c r="G670" s="27" t="s">
        <v>307</v>
      </c>
      <c r="H670" s="27" t="s">
        <v>19</v>
      </c>
      <c r="I670" s="27">
        <v>1</v>
      </c>
      <c r="J670" s="30">
        <v>46981879</v>
      </c>
      <c r="K670" s="26" t="s">
        <v>36</v>
      </c>
      <c r="L670" s="26" t="s">
        <v>2054</v>
      </c>
      <c r="M670" s="31" t="s">
        <v>2055</v>
      </c>
      <c r="N670" s="6"/>
      <c r="O670" s="6"/>
      <c r="P670" s="23"/>
      <c r="Q670" s="2"/>
      <c r="R670" s="2"/>
      <c r="S670" s="2"/>
      <c r="T670" s="2"/>
      <c r="U670" s="2"/>
      <c r="V670" s="2"/>
      <c r="W670" s="2"/>
      <c r="X670" s="2"/>
      <c r="Y670" s="2"/>
    </row>
    <row r="671" spans="1:25" ht="25.5" hidden="1" customHeight="1">
      <c r="A671" s="26">
        <v>382</v>
      </c>
      <c r="B671" s="27" t="s">
        <v>599</v>
      </c>
      <c r="C671" s="28">
        <v>42671</v>
      </c>
      <c r="D671" s="27"/>
      <c r="E671" s="27" t="s">
        <v>2056</v>
      </c>
      <c r="F671" s="29" t="s">
        <v>2057</v>
      </c>
      <c r="G671" s="27" t="s">
        <v>307</v>
      </c>
      <c r="H671" s="27" t="s">
        <v>19</v>
      </c>
      <c r="I671" s="27">
        <v>1</v>
      </c>
      <c r="J671" s="30">
        <v>46981879</v>
      </c>
      <c r="K671" s="26" t="s">
        <v>36</v>
      </c>
      <c r="L671" s="26" t="s">
        <v>2054</v>
      </c>
      <c r="M671" s="31" t="s">
        <v>2058</v>
      </c>
      <c r="N671" s="6"/>
      <c r="O671" s="6"/>
      <c r="P671" s="23"/>
      <c r="Q671" s="2"/>
      <c r="R671" s="2"/>
      <c r="S671" s="2"/>
      <c r="T671" s="2"/>
      <c r="U671" s="2"/>
      <c r="V671" s="2"/>
      <c r="W671" s="2"/>
      <c r="X671" s="2"/>
      <c r="Y671" s="2"/>
    </row>
    <row r="672" spans="1:25" ht="25.5" hidden="1" customHeight="1">
      <c r="A672" s="26">
        <v>383</v>
      </c>
      <c r="B672" s="27" t="s">
        <v>1993</v>
      </c>
      <c r="C672" s="28">
        <v>42956</v>
      </c>
      <c r="D672" s="27"/>
      <c r="E672" s="27" t="s">
        <v>2059</v>
      </c>
      <c r="F672" s="29" t="s">
        <v>2060</v>
      </c>
      <c r="G672" s="27" t="s">
        <v>307</v>
      </c>
      <c r="H672" s="27" t="s">
        <v>19</v>
      </c>
      <c r="I672" s="27">
        <v>1</v>
      </c>
      <c r="J672" s="30">
        <v>40750000</v>
      </c>
      <c r="K672" s="26" t="s">
        <v>36</v>
      </c>
      <c r="L672" s="26" t="s">
        <v>2054</v>
      </c>
      <c r="M672" s="31" t="s">
        <v>2061</v>
      </c>
      <c r="N672" s="6"/>
      <c r="O672" s="6"/>
      <c r="P672" s="23"/>
      <c r="Q672" s="2"/>
      <c r="R672" s="2"/>
      <c r="S672" s="2"/>
      <c r="T672" s="2"/>
      <c r="U672" s="2"/>
      <c r="V672" s="2"/>
      <c r="W672" s="2"/>
      <c r="X672" s="2"/>
      <c r="Y672" s="2"/>
    </row>
    <row r="673" spans="1:26" ht="25.5" hidden="1" customHeight="1">
      <c r="A673" s="26">
        <v>384</v>
      </c>
      <c r="B673" s="27" t="s">
        <v>1993</v>
      </c>
      <c r="C673" s="28">
        <v>42956</v>
      </c>
      <c r="D673" s="27"/>
      <c r="E673" s="27" t="s">
        <v>2062</v>
      </c>
      <c r="F673" s="29" t="s">
        <v>2063</v>
      </c>
      <c r="G673" s="27" t="s">
        <v>307</v>
      </c>
      <c r="H673" s="27" t="s">
        <v>19</v>
      </c>
      <c r="I673" s="27">
        <v>1</v>
      </c>
      <c r="J673" s="30">
        <v>40750000</v>
      </c>
      <c r="K673" s="26" t="s">
        <v>36</v>
      </c>
      <c r="L673" s="26" t="s">
        <v>2054</v>
      </c>
      <c r="M673" s="31" t="s">
        <v>2064</v>
      </c>
      <c r="N673" s="6"/>
      <c r="O673" s="6"/>
      <c r="P673" s="23"/>
      <c r="Q673" s="2"/>
      <c r="R673" s="2"/>
      <c r="S673" s="2"/>
      <c r="T673" s="2"/>
      <c r="U673" s="2"/>
      <c r="V673" s="2"/>
      <c r="W673" s="2"/>
      <c r="X673" s="2"/>
      <c r="Y673" s="2"/>
    </row>
    <row r="674" spans="1:26" ht="25.5" hidden="1" customHeight="1">
      <c r="A674" s="26">
        <v>385</v>
      </c>
      <c r="B674" s="27" t="s">
        <v>797</v>
      </c>
      <c r="C674" s="28">
        <v>42671</v>
      </c>
      <c r="D674" s="27"/>
      <c r="E674" s="27" t="s">
        <v>2065</v>
      </c>
      <c r="F674" s="29" t="s">
        <v>2066</v>
      </c>
      <c r="G674" s="27" t="s">
        <v>307</v>
      </c>
      <c r="H674" s="27" t="s">
        <v>19</v>
      </c>
      <c r="I674" s="27">
        <v>1</v>
      </c>
      <c r="J674" s="30">
        <v>46539155</v>
      </c>
      <c r="K674" s="26" t="s">
        <v>206</v>
      </c>
      <c r="L674" s="26" t="s">
        <v>1514</v>
      </c>
      <c r="M674" s="31" t="s">
        <v>2067</v>
      </c>
      <c r="N674" s="6"/>
      <c r="O674" s="6"/>
      <c r="P674" s="23"/>
      <c r="Q674" s="2"/>
      <c r="R674" s="2"/>
      <c r="S674" s="2"/>
      <c r="T674" s="2"/>
      <c r="U674" s="2"/>
      <c r="V674" s="2"/>
      <c r="W674" s="2"/>
      <c r="X674" s="2"/>
      <c r="Y674" s="2"/>
    </row>
    <row r="675" spans="1:26" ht="25.5" hidden="1" customHeight="1">
      <c r="A675" s="26">
        <v>386</v>
      </c>
      <c r="B675" s="27" t="s">
        <v>1989</v>
      </c>
      <c r="C675" s="28">
        <v>43827</v>
      </c>
      <c r="D675" s="27"/>
      <c r="E675" s="27" t="s">
        <v>2068</v>
      </c>
      <c r="F675" s="29" t="s">
        <v>2069</v>
      </c>
      <c r="G675" s="27" t="s">
        <v>2070</v>
      </c>
      <c r="H675" s="27" t="s">
        <v>19</v>
      </c>
      <c r="I675" s="27">
        <v>1</v>
      </c>
      <c r="J675" s="30">
        <v>48450000</v>
      </c>
      <c r="K675" s="26" t="s">
        <v>20</v>
      </c>
      <c r="L675" s="26" t="s">
        <v>295</v>
      </c>
      <c r="M675" s="31" t="s">
        <v>2071</v>
      </c>
      <c r="N675" s="6"/>
      <c r="O675" s="6"/>
      <c r="P675" s="23"/>
      <c r="Q675" s="2"/>
      <c r="R675" s="2"/>
      <c r="S675" s="2"/>
      <c r="T675" s="2"/>
      <c r="U675" s="2"/>
      <c r="V675" s="2"/>
      <c r="W675" s="2"/>
      <c r="X675" s="2"/>
      <c r="Y675" s="2"/>
    </row>
    <row r="676" spans="1:26" ht="25.5" hidden="1" customHeight="1">
      <c r="A676" s="26">
        <v>387</v>
      </c>
      <c r="B676" s="27" t="s">
        <v>1989</v>
      </c>
      <c r="C676" s="28">
        <v>43827</v>
      </c>
      <c r="D676" s="27"/>
      <c r="E676" s="27" t="s">
        <v>2072</v>
      </c>
      <c r="F676" s="29" t="s">
        <v>2073</v>
      </c>
      <c r="G676" s="27" t="s">
        <v>2070</v>
      </c>
      <c r="H676" s="27" t="s">
        <v>19</v>
      </c>
      <c r="I676" s="27">
        <v>1</v>
      </c>
      <c r="J676" s="30">
        <v>48450000</v>
      </c>
      <c r="K676" s="26" t="s">
        <v>20</v>
      </c>
      <c r="L676" s="26" t="s">
        <v>233</v>
      </c>
      <c r="M676" s="31" t="s">
        <v>2074</v>
      </c>
      <c r="N676" s="6"/>
      <c r="O676" s="6"/>
      <c r="P676" s="23"/>
      <c r="Q676" s="2"/>
      <c r="R676" s="2"/>
      <c r="S676" s="2"/>
      <c r="T676" s="2"/>
      <c r="U676" s="2"/>
      <c r="V676" s="2"/>
      <c r="W676" s="2"/>
      <c r="X676" s="2"/>
      <c r="Y676" s="2"/>
    </row>
    <row r="677" spans="1:26" ht="25.5" hidden="1" customHeight="1">
      <c r="A677" s="26">
        <v>388</v>
      </c>
      <c r="B677" s="27" t="s">
        <v>1989</v>
      </c>
      <c r="C677" s="28">
        <v>43827</v>
      </c>
      <c r="D677" s="27"/>
      <c r="E677" s="27" t="s">
        <v>2075</v>
      </c>
      <c r="F677" s="29" t="s">
        <v>2076</v>
      </c>
      <c r="G677" s="27" t="s">
        <v>2070</v>
      </c>
      <c r="H677" s="27" t="s">
        <v>19</v>
      </c>
      <c r="I677" s="27">
        <v>1</v>
      </c>
      <c r="J677" s="30">
        <v>48450000</v>
      </c>
      <c r="K677" s="26" t="s">
        <v>20</v>
      </c>
      <c r="L677" s="26" t="s">
        <v>295</v>
      </c>
      <c r="M677" s="31" t="s">
        <v>2077</v>
      </c>
      <c r="N677" s="6"/>
      <c r="O677" s="6"/>
      <c r="P677" s="23"/>
      <c r="Q677" s="2"/>
      <c r="R677" s="2"/>
      <c r="S677" s="2"/>
      <c r="T677" s="2"/>
      <c r="U677" s="2"/>
      <c r="V677" s="2"/>
      <c r="W677" s="2"/>
      <c r="X677" s="2"/>
      <c r="Y677" s="2"/>
    </row>
    <row r="678" spans="1:26" ht="25.5" customHeight="1">
      <c r="A678" s="49">
        <v>389</v>
      </c>
      <c r="B678" s="27" t="s">
        <v>1989</v>
      </c>
      <c r="C678" s="50">
        <v>43827</v>
      </c>
      <c r="D678" s="27"/>
      <c r="E678" s="51" t="s">
        <v>2078</v>
      </c>
      <c r="F678" s="52" t="s">
        <v>2079</v>
      </c>
      <c r="G678" s="27" t="s">
        <v>2070</v>
      </c>
      <c r="H678" s="27" t="s">
        <v>19</v>
      </c>
      <c r="I678" s="27">
        <v>1</v>
      </c>
      <c r="J678" s="30">
        <v>48450000</v>
      </c>
      <c r="K678" s="26" t="s">
        <v>20</v>
      </c>
      <c r="L678" s="49" t="s">
        <v>423</v>
      </c>
      <c r="M678" s="54" t="s">
        <v>2080</v>
      </c>
      <c r="N678" s="7"/>
      <c r="O678" s="7" t="str">
        <f ca="1">IFERROR(__xludf.DUMMYFUNCTION("IFERROR(INDEX(Sheet1!$C:$C, MAX(FILTER(ROW(Sheet1!$B:$B), Sheet1!$B:$B=E678))), """")"),"")</f>
        <v/>
      </c>
      <c r="P678" s="23"/>
      <c r="Q678" s="2"/>
      <c r="R678" s="2"/>
      <c r="S678" s="2"/>
      <c r="T678" s="2"/>
      <c r="U678" s="2"/>
      <c r="V678" s="2"/>
      <c r="W678" s="2"/>
      <c r="X678" s="2"/>
      <c r="Y678" s="2"/>
    </row>
    <row r="679" spans="1:26" ht="25.5" hidden="1" customHeight="1">
      <c r="A679" s="17">
        <v>390</v>
      </c>
      <c r="B679" s="27" t="s">
        <v>1198</v>
      </c>
      <c r="C679" s="19">
        <v>36160</v>
      </c>
      <c r="D679" s="27" t="s">
        <v>2081</v>
      </c>
      <c r="E679" s="18" t="s">
        <v>2082</v>
      </c>
      <c r="F679" s="20" t="s">
        <v>2083</v>
      </c>
      <c r="G679" s="18"/>
      <c r="H679" s="18" t="s">
        <v>249</v>
      </c>
      <c r="I679" s="18">
        <v>1</v>
      </c>
      <c r="J679" s="21">
        <v>42145125</v>
      </c>
      <c r="K679" s="17" t="s">
        <v>20</v>
      </c>
      <c r="L679" s="17" t="s">
        <v>21</v>
      </c>
      <c r="M679" s="22" t="s">
        <v>22</v>
      </c>
      <c r="N679" s="23"/>
      <c r="O679" s="23"/>
      <c r="P679" s="23"/>
      <c r="Q679" s="24"/>
      <c r="R679" s="24"/>
      <c r="S679" s="24"/>
      <c r="T679" s="24"/>
      <c r="U679" s="24"/>
      <c r="V679" s="24"/>
      <c r="W679" s="24"/>
      <c r="X679" s="24"/>
      <c r="Y679" s="24"/>
      <c r="Z679" s="25"/>
    </row>
    <row r="680" spans="1:26" ht="12.75" hidden="1" customHeight="1">
      <c r="A680" s="17" t="s">
        <v>2084</v>
      </c>
      <c r="B680" s="27"/>
      <c r="C680" s="19"/>
      <c r="D680" s="27"/>
      <c r="E680" s="18" t="s">
        <v>2085</v>
      </c>
      <c r="F680" s="20" t="s">
        <v>2086</v>
      </c>
      <c r="G680" s="18"/>
      <c r="H680" s="18"/>
      <c r="I680" s="18">
        <v>1</v>
      </c>
      <c r="J680" s="21">
        <v>0</v>
      </c>
      <c r="K680" s="17" t="s">
        <v>20</v>
      </c>
      <c r="L680" s="17" t="s">
        <v>21</v>
      </c>
      <c r="M680" s="22" t="s">
        <v>22</v>
      </c>
      <c r="N680" s="23"/>
      <c r="O680" s="23"/>
      <c r="P680" s="23"/>
      <c r="Q680" s="24"/>
      <c r="R680" s="24"/>
      <c r="S680" s="24"/>
      <c r="T680" s="24"/>
      <c r="U680" s="24"/>
      <c r="V680" s="24"/>
      <c r="W680" s="24"/>
      <c r="X680" s="24"/>
      <c r="Y680" s="24"/>
      <c r="Z680" s="25"/>
    </row>
    <row r="681" spans="1:26" ht="12.75" hidden="1" customHeight="1">
      <c r="A681" s="17" t="s">
        <v>2087</v>
      </c>
      <c r="B681" s="27"/>
      <c r="C681" s="19"/>
      <c r="D681" s="27"/>
      <c r="E681" s="18" t="s">
        <v>2088</v>
      </c>
      <c r="F681" s="20" t="s">
        <v>2089</v>
      </c>
      <c r="G681" s="18"/>
      <c r="H681" s="18"/>
      <c r="I681" s="18">
        <v>1</v>
      </c>
      <c r="J681" s="21"/>
      <c r="K681" s="17" t="s">
        <v>20</v>
      </c>
      <c r="L681" s="17" t="s">
        <v>21</v>
      </c>
      <c r="M681" s="22" t="s">
        <v>22</v>
      </c>
      <c r="N681" s="23"/>
      <c r="O681" s="23"/>
      <c r="P681" s="23"/>
      <c r="Q681" s="24"/>
      <c r="R681" s="24"/>
      <c r="S681" s="24"/>
      <c r="T681" s="24"/>
      <c r="U681" s="24"/>
      <c r="V681" s="24"/>
      <c r="W681" s="24"/>
      <c r="X681" s="24"/>
      <c r="Y681" s="24"/>
      <c r="Z681" s="25"/>
    </row>
    <row r="682" spans="1:26" ht="12.75" hidden="1" customHeight="1">
      <c r="A682" s="17" t="s">
        <v>2090</v>
      </c>
      <c r="B682" s="27"/>
      <c r="C682" s="19"/>
      <c r="D682" s="27"/>
      <c r="E682" s="18" t="s">
        <v>2091</v>
      </c>
      <c r="F682" s="20" t="s">
        <v>2092</v>
      </c>
      <c r="G682" s="18"/>
      <c r="H682" s="18"/>
      <c r="I682" s="18">
        <v>1</v>
      </c>
      <c r="J682" s="21"/>
      <c r="K682" s="17" t="s">
        <v>20</v>
      </c>
      <c r="L682" s="17" t="s">
        <v>21</v>
      </c>
      <c r="M682" s="22" t="s">
        <v>22</v>
      </c>
      <c r="N682" s="23"/>
      <c r="O682" s="23"/>
      <c r="P682" s="23"/>
      <c r="Q682" s="24"/>
      <c r="R682" s="24"/>
      <c r="S682" s="24"/>
      <c r="T682" s="24"/>
      <c r="U682" s="24"/>
      <c r="V682" s="24"/>
      <c r="W682" s="24"/>
      <c r="X682" s="24"/>
      <c r="Y682" s="24"/>
      <c r="Z682" s="25"/>
    </row>
    <row r="683" spans="1:26" ht="25.5" hidden="1" customHeight="1">
      <c r="A683" s="17">
        <v>391</v>
      </c>
      <c r="B683" s="27" t="s">
        <v>1198</v>
      </c>
      <c r="C683" s="19">
        <v>36160</v>
      </c>
      <c r="D683" s="27" t="s">
        <v>2081</v>
      </c>
      <c r="E683" s="18" t="s">
        <v>2093</v>
      </c>
      <c r="F683" s="20" t="s">
        <v>2083</v>
      </c>
      <c r="G683" s="18"/>
      <c r="H683" s="18" t="s">
        <v>249</v>
      </c>
      <c r="I683" s="18">
        <v>1</v>
      </c>
      <c r="J683" s="21">
        <v>42145125</v>
      </c>
      <c r="K683" s="17" t="s">
        <v>20</v>
      </c>
      <c r="L683" s="17" t="s">
        <v>21</v>
      </c>
      <c r="M683" s="22" t="s">
        <v>22</v>
      </c>
      <c r="N683" s="23"/>
      <c r="O683" s="23"/>
      <c r="P683" s="23"/>
      <c r="Q683" s="24"/>
      <c r="R683" s="24"/>
      <c r="S683" s="24"/>
      <c r="T683" s="24"/>
      <c r="U683" s="24"/>
      <c r="V683" s="24"/>
      <c r="W683" s="24"/>
      <c r="X683" s="24"/>
      <c r="Y683" s="24"/>
      <c r="Z683" s="25"/>
    </row>
    <row r="684" spans="1:26" ht="12.75" hidden="1" customHeight="1">
      <c r="A684" s="17" t="s">
        <v>2094</v>
      </c>
      <c r="B684" s="27"/>
      <c r="C684" s="19"/>
      <c r="D684" s="27"/>
      <c r="E684" s="18" t="s">
        <v>2095</v>
      </c>
      <c r="F684" s="20" t="s">
        <v>2086</v>
      </c>
      <c r="G684" s="18"/>
      <c r="H684" s="18"/>
      <c r="I684" s="18">
        <v>1</v>
      </c>
      <c r="J684" s="21">
        <v>0</v>
      </c>
      <c r="K684" s="17" t="s">
        <v>20</v>
      </c>
      <c r="L684" s="17" t="s">
        <v>21</v>
      </c>
      <c r="M684" s="22" t="s">
        <v>22</v>
      </c>
      <c r="N684" s="23"/>
      <c r="O684" s="23"/>
      <c r="P684" s="23"/>
      <c r="Q684" s="24"/>
      <c r="R684" s="24"/>
      <c r="S684" s="24"/>
      <c r="T684" s="24"/>
      <c r="U684" s="24"/>
      <c r="V684" s="24"/>
      <c r="W684" s="24"/>
      <c r="X684" s="24"/>
      <c r="Y684" s="24"/>
      <c r="Z684" s="25"/>
    </row>
    <row r="685" spans="1:26" ht="12.75" hidden="1" customHeight="1">
      <c r="A685" s="17" t="s">
        <v>2096</v>
      </c>
      <c r="B685" s="27"/>
      <c r="C685" s="19"/>
      <c r="D685" s="27"/>
      <c r="E685" s="18" t="s">
        <v>2097</v>
      </c>
      <c r="F685" s="20" t="s">
        <v>2089</v>
      </c>
      <c r="G685" s="18"/>
      <c r="H685" s="18"/>
      <c r="I685" s="18">
        <v>1</v>
      </c>
      <c r="J685" s="21"/>
      <c r="K685" s="17" t="s">
        <v>20</v>
      </c>
      <c r="L685" s="17" t="s">
        <v>21</v>
      </c>
      <c r="M685" s="22" t="s">
        <v>22</v>
      </c>
      <c r="N685" s="23"/>
      <c r="O685" s="23"/>
      <c r="P685" s="23"/>
      <c r="Q685" s="24"/>
      <c r="R685" s="24"/>
      <c r="S685" s="24"/>
      <c r="T685" s="24"/>
      <c r="U685" s="24"/>
      <c r="V685" s="24"/>
      <c r="W685" s="24"/>
      <c r="X685" s="24"/>
      <c r="Y685" s="24"/>
      <c r="Z685" s="25"/>
    </row>
    <row r="686" spans="1:26" ht="12.75" hidden="1" customHeight="1">
      <c r="A686" s="17" t="s">
        <v>2098</v>
      </c>
      <c r="B686" s="27"/>
      <c r="C686" s="19"/>
      <c r="D686" s="27"/>
      <c r="E686" s="18" t="s">
        <v>2099</v>
      </c>
      <c r="F686" s="20" t="s">
        <v>2092</v>
      </c>
      <c r="G686" s="18"/>
      <c r="H686" s="18"/>
      <c r="I686" s="18">
        <v>1</v>
      </c>
      <c r="J686" s="21"/>
      <c r="K686" s="17" t="s">
        <v>20</v>
      </c>
      <c r="L686" s="17" t="s">
        <v>21</v>
      </c>
      <c r="M686" s="22" t="s">
        <v>22</v>
      </c>
      <c r="N686" s="23"/>
      <c r="O686" s="23"/>
      <c r="P686" s="23"/>
      <c r="Q686" s="24"/>
      <c r="R686" s="24"/>
      <c r="S686" s="24"/>
      <c r="T686" s="24"/>
      <c r="U686" s="24"/>
      <c r="V686" s="24"/>
      <c r="W686" s="24"/>
      <c r="X686" s="24"/>
      <c r="Y686" s="24"/>
      <c r="Z686" s="25"/>
    </row>
    <row r="687" spans="1:26" ht="25.5" hidden="1" customHeight="1">
      <c r="A687" s="17">
        <v>392</v>
      </c>
      <c r="B687" s="27" t="s">
        <v>1198</v>
      </c>
      <c r="C687" s="19">
        <v>36160</v>
      </c>
      <c r="D687" s="27" t="s">
        <v>2081</v>
      </c>
      <c r="E687" s="18" t="s">
        <v>2100</v>
      </c>
      <c r="F687" s="20" t="s">
        <v>2083</v>
      </c>
      <c r="G687" s="18"/>
      <c r="H687" s="18" t="s">
        <v>249</v>
      </c>
      <c r="I687" s="18">
        <v>1</v>
      </c>
      <c r="J687" s="21">
        <v>42145125</v>
      </c>
      <c r="K687" s="17" t="s">
        <v>20</v>
      </c>
      <c r="L687" s="17" t="s">
        <v>21</v>
      </c>
      <c r="M687" s="22" t="s">
        <v>22</v>
      </c>
      <c r="N687" s="23"/>
      <c r="O687" s="23"/>
      <c r="P687" s="23"/>
      <c r="Q687" s="24"/>
      <c r="R687" s="24"/>
      <c r="S687" s="24"/>
      <c r="T687" s="24"/>
      <c r="U687" s="24"/>
      <c r="V687" s="24"/>
      <c r="W687" s="24"/>
      <c r="X687" s="24"/>
      <c r="Y687" s="24"/>
      <c r="Z687" s="25"/>
    </row>
    <row r="688" spans="1:26" ht="12.75" hidden="1" customHeight="1">
      <c r="A688" s="17" t="s">
        <v>2101</v>
      </c>
      <c r="B688" s="27"/>
      <c r="C688" s="19"/>
      <c r="D688" s="27"/>
      <c r="E688" s="18" t="s">
        <v>2102</v>
      </c>
      <c r="F688" s="20" t="s">
        <v>2103</v>
      </c>
      <c r="G688" s="18"/>
      <c r="H688" s="18"/>
      <c r="I688" s="18">
        <v>1</v>
      </c>
      <c r="J688" s="21"/>
      <c r="K688" s="17" t="s">
        <v>20</v>
      </c>
      <c r="L688" s="17" t="s">
        <v>21</v>
      </c>
      <c r="M688" s="22" t="s">
        <v>22</v>
      </c>
      <c r="N688" s="23"/>
      <c r="O688" s="23"/>
      <c r="P688" s="23"/>
      <c r="Q688" s="24"/>
      <c r="R688" s="24"/>
      <c r="S688" s="24"/>
      <c r="T688" s="24"/>
      <c r="U688" s="24"/>
      <c r="V688" s="24"/>
      <c r="W688" s="24"/>
      <c r="X688" s="24"/>
      <c r="Y688" s="24"/>
      <c r="Z688" s="25"/>
    </row>
    <row r="689" spans="1:26" ht="12.75" hidden="1" customHeight="1">
      <c r="A689" s="17" t="s">
        <v>2104</v>
      </c>
      <c r="B689" s="27"/>
      <c r="C689" s="19"/>
      <c r="D689" s="27"/>
      <c r="E689" s="18" t="s">
        <v>2105</v>
      </c>
      <c r="F689" s="20" t="s">
        <v>2089</v>
      </c>
      <c r="G689" s="18"/>
      <c r="H689" s="18"/>
      <c r="I689" s="18">
        <v>1</v>
      </c>
      <c r="J689" s="21"/>
      <c r="K689" s="17" t="s">
        <v>20</v>
      </c>
      <c r="L689" s="17" t="s">
        <v>21</v>
      </c>
      <c r="M689" s="22" t="s">
        <v>22</v>
      </c>
      <c r="N689" s="23"/>
      <c r="O689" s="23"/>
      <c r="P689" s="23"/>
      <c r="Q689" s="24"/>
      <c r="R689" s="24"/>
      <c r="S689" s="24"/>
      <c r="T689" s="24"/>
      <c r="U689" s="24"/>
      <c r="V689" s="24"/>
      <c r="W689" s="24"/>
      <c r="X689" s="24"/>
      <c r="Y689" s="24"/>
      <c r="Z689" s="25"/>
    </row>
    <row r="690" spans="1:26" ht="12.75" hidden="1" customHeight="1">
      <c r="A690" s="17" t="s">
        <v>2106</v>
      </c>
      <c r="B690" s="27"/>
      <c r="C690" s="19"/>
      <c r="D690" s="27"/>
      <c r="E690" s="18" t="s">
        <v>2107</v>
      </c>
      <c r="F690" s="20" t="s">
        <v>2092</v>
      </c>
      <c r="G690" s="18"/>
      <c r="H690" s="18"/>
      <c r="I690" s="18">
        <v>1</v>
      </c>
      <c r="J690" s="21"/>
      <c r="K690" s="17" t="s">
        <v>20</v>
      </c>
      <c r="L690" s="17" t="s">
        <v>21</v>
      </c>
      <c r="M690" s="22" t="s">
        <v>22</v>
      </c>
      <c r="N690" s="23"/>
      <c r="O690" s="23"/>
      <c r="P690" s="23"/>
      <c r="Q690" s="24"/>
      <c r="R690" s="24"/>
      <c r="S690" s="24"/>
      <c r="T690" s="24"/>
      <c r="U690" s="24"/>
      <c r="V690" s="24"/>
      <c r="W690" s="24"/>
      <c r="X690" s="24"/>
      <c r="Y690" s="24"/>
      <c r="Z690" s="25"/>
    </row>
    <row r="691" spans="1:26" ht="25.5" hidden="1" customHeight="1">
      <c r="A691" s="17">
        <v>393</v>
      </c>
      <c r="B691" s="27" t="s">
        <v>1198</v>
      </c>
      <c r="C691" s="19">
        <v>36160</v>
      </c>
      <c r="D691" s="27" t="s">
        <v>2081</v>
      </c>
      <c r="E691" s="18" t="s">
        <v>2108</v>
      </c>
      <c r="F691" s="20" t="s">
        <v>2083</v>
      </c>
      <c r="G691" s="18"/>
      <c r="H691" s="18" t="s">
        <v>249</v>
      </c>
      <c r="I691" s="18">
        <v>1</v>
      </c>
      <c r="J691" s="21">
        <v>42145125</v>
      </c>
      <c r="K691" s="17" t="s">
        <v>20</v>
      </c>
      <c r="L691" s="17" t="s">
        <v>21</v>
      </c>
      <c r="M691" s="22" t="s">
        <v>22</v>
      </c>
      <c r="N691" s="23"/>
      <c r="O691" s="23"/>
      <c r="P691" s="23"/>
      <c r="Q691" s="24"/>
      <c r="R691" s="24"/>
      <c r="S691" s="24"/>
      <c r="T691" s="24"/>
      <c r="U691" s="24"/>
      <c r="V691" s="24"/>
      <c r="W691" s="24"/>
      <c r="X691" s="24"/>
      <c r="Y691" s="24"/>
      <c r="Z691" s="25"/>
    </row>
    <row r="692" spans="1:26" ht="12.75" hidden="1" customHeight="1">
      <c r="A692" s="17" t="s">
        <v>2109</v>
      </c>
      <c r="B692" s="27"/>
      <c r="C692" s="19"/>
      <c r="D692" s="27"/>
      <c r="E692" s="18" t="s">
        <v>2110</v>
      </c>
      <c r="F692" s="20" t="s">
        <v>2103</v>
      </c>
      <c r="G692" s="18"/>
      <c r="H692" s="18"/>
      <c r="I692" s="18">
        <v>1</v>
      </c>
      <c r="J692" s="21"/>
      <c r="K692" s="17" t="s">
        <v>20</v>
      </c>
      <c r="L692" s="17" t="s">
        <v>21</v>
      </c>
      <c r="M692" s="22" t="s">
        <v>22</v>
      </c>
      <c r="N692" s="23"/>
      <c r="O692" s="23"/>
      <c r="P692" s="23"/>
      <c r="Q692" s="24"/>
      <c r="R692" s="24"/>
      <c r="S692" s="24"/>
      <c r="T692" s="24"/>
      <c r="U692" s="24"/>
      <c r="V692" s="24"/>
      <c r="W692" s="24"/>
      <c r="X692" s="24"/>
      <c r="Y692" s="24"/>
      <c r="Z692" s="25"/>
    </row>
    <row r="693" spans="1:26" ht="12.75" hidden="1" customHeight="1">
      <c r="A693" s="17" t="s">
        <v>2111</v>
      </c>
      <c r="B693" s="27"/>
      <c r="C693" s="19"/>
      <c r="D693" s="27"/>
      <c r="E693" s="18" t="s">
        <v>2112</v>
      </c>
      <c r="F693" s="20" t="s">
        <v>2089</v>
      </c>
      <c r="G693" s="18"/>
      <c r="H693" s="18"/>
      <c r="I693" s="18">
        <v>1</v>
      </c>
      <c r="J693" s="21"/>
      <c r="K693" s="17" t="s">
        <v>20</v>
      </c>
      <c r="L693" s="17" t="s">
        <v>21</v>
      </c>
      <c r="M693" s="22" t="s">
        <v>22</v>
      </c>
      <c r="N693" s="23"/>
      <c r="O693" s="23"/>
      <c r="P693" s="23"/>
      <c r="Q693" s="24"/>
      <c r="R693" s="24"/>
      <c r="S693" s="24"/>
      <c r="T693" s="24"/>
      <c r="U693" s="24"/>
      <c r="V693" s="24"/>
      <c r="W693" s="24"/>
      <c r="X693" s="24"/>
      <c r="Y693" s="24"/>
      <c r="Z693" s="25"/>
    </row>
    <row r="694" spans="1:26" ht="12.75" hidden="1" customHeight="1">
      <c r="A694" s="17" t="s">
        <v>2113</v>
      </c>
      <c r="B694" s="27"/>
      <c r="C694" s="19"/>
      <c r="D694" s="27"/>
      <c r="E694" s="18" t="s">
        <v>2114</v>
      </c>
      <c r="F694" s="20" t="s">
        <v>2092</v>
      </c>
      <c r="G694" s="18"/>
      <c r="H694" s="18"/>
      <c r="I694" s="18">
        <v>1</v>
      </c>
      <c r="J694" s="21"/>
      <c r="K694" s="17" t="s">
        <v>20</v>
      </c>
      <c r="L694" s="17" t="s">
        <v>21</v>
      </c>
      <c r="M694" s="22" t="s">
        <v>22</v>
      </c>
      <c r="N694" s="23"/>
      <c r="O694" s="23"/>
      <c r="P694" s="23"/>
      <c r="Q694" s="24"/>
      <c r="R694" s="24"/>
      <c r="S694" s="24"/>
      <c r="T694" s="24"/>
      <c r="U694" s="24"/>
      <c r="V694" s="24"/>
      <c r="W694" s="24"/>
      <c r="X694" s="24"/>
      <c r="Y694" s="24"/>
      <c r="Z694" s="25"/>
    </row>
    <row r="695" spans="1:26" ht="12.75" hidden="1" customHeight="1">
      <c r="A695" s="26">
        <v>394</v>
      </c>
      <c r="B695" s="27" t="s">
        <v>2115</v>
      </c>
      <c r="C695" s="28">
        <v>39813</v>
      </c>
      <c r="D695" s="27"/>
      <c r="E695" s="27" t="s">
        <v>2116</v>
      </c>
      <c r="F695" s="29" t="s">
        <v>2117</v>
      </c>
      <c r="G695" s="27" t="s">
        <v>2070</v>
      </c>
      <c r="H695" s="27" t="s">
        <v>249</v>
      </c>
      <c r="I695" s="27">
        <v>1</v>
      </c>
      <c r="J695" s="30">
        <v>30833841</v>
      </c>
      <c r="K695" s="26" t="s">
        <v>20</v>
      </c>
      <c r="L695" s="26" t="s">
        <v>284</v>
      </c>
      <c r="M695" s="31" t="s">
        <v>1224</v>
      </c>
      <c r="N695" s="6"/>
      <c r="O695" s="6"/>
      <c r="P695" s="23"/>
      <c r="Q695" s="2"/>
      <c r="R695" s="2"/>
      <c r="S695" s="2"/>
      <c r="T695" s="2"/>
      <c r="U695" s="2"/>
      <c r="V695" s="2"/>
      <c r="W695" s="2"/>
      <c r="X695" s="2"/>
      <c r="Y695" s="2"/>
    </row>
    <row r="696" spans="1:26" ht="12.75" hidden="1" customHeight="1">
      <c r="A696" s="26">
        <v>395</v>
      </c>
      <c r="B696" s="27" t="s">
        <v>2115</v>
      </c>
      <c r="C696" s="28">
        <v>39813</v>
      </c>
      <c r="D696" s="27"/>
      <c r="E696" s="27" t="s">
        <v>2118</v>
      </c>
      <c r="F696" s="29" t="s">
        <v>2119</v>
      </c>
      <c r="G696" s="27" t="s">
        <v>2070</v>
      </c>
      <c r="H696" s="27" t="s">
        <v>249</v>
      </c>
      <c r="I696" s="27">
        <v>1</v>
      </c>
      <c r="J696" s="30">
        <v>30833841</v>
      </c>
      <c r="K696" s="26" t="s">
        <v>20</v>
      </c>
      <c r="L696" s="26" t="s">
        <v>284</v>
      </c>
      <c r="M696" s="31" t="s">
        <v>1224</v>
      </c>
      <c r="N696" s="6"/>
      <c r="O696" s="6"/>
      <c r="P696" s="23"/>
      <c r="Q696" s="2"/>
      <c r="R696" s="2"/>
      <c r="S696" s="2"/>
      <c r="T696" s="2"/>
      <c r="U696" s="2"/>
      <c r="V696" s="2"/>
      <c r="W696" s="2"/>
      <c r="X696" s="2"/>
      <c r="Y696" s="2"/>
    </row>
    <row r="697" spans="1:26" ht="25.5" hidden="1" customHeight="1">
      <c r="A697" s="26">
        <v>396</v>
      </c>
      <c r="B697" s="27" t="s">
        <v>1444</v>
      </c>
      <c r="C697" s="28">
        <v>39980</v>
      </c>
      <c r="D697" s="27"/>
      <c r="E697" s="27" t="s">
        <v>2120</v>
      </c>
      <c r="F697" s="29" t="s">
        <v>2121</v>
      </c>
      <c r="G697" s="27" t="s">
        <v>573</v>
      </c>
      <c r="H697" s="27" t="s">
        <v>249</v>
      </c>
      <c r="I697" s="27">
        <v>1</v>
      </c>
      <c r="J697" s="30">
        <v>44886906</v>
      </c>
      <c r="K697" s="26" t="s">
        <v>20</v>
      </c>
      <c r="L697" s="26" t="s">
        <v>284</v>
      </c>
      <c r="M697" s="31" t="s">
        <v>2122</v>
      </c>
      <c r="N697" s="6"/>
      <c r="O697" s="6"/>
      <c r="P697" s="23"/>
      <c r="Q697" s="2"/>
      <c r="R697" s="2"/>
      <c r="S697" s="2"/>
      <c r="T697" s="2"/>
      <c r="U697" s="2"/>
      <c r="V697" s="2"/>
      <c r="W697" s="2"/>
      <c r="X697" s="2"/>
      <c r="Y697" s="2"/>
    </row>
    <row r="698" spans="1:26" ht="25.5" hidden="1" customHeight="1">
      <c r="A698" s="26">
        <v>397</v>
      </c>
      <c r="B698" s="27" t="s">
        <v>1444</v>
      </c>
      <c r="C698" s="28">
        <v>39980</v>
      </c>
      <c r="D698" s="27"/>
      <c r="E698" s="27" t="s">
        <v>2123</v>
      </c>
      <c r="F698" s="29" t="s">
        <v>2124</v>
      </c>
      <c r="G698" s="27" t="s">
        <v>573</v>
      </c>
      <c r="H698" s="27" t="s">
        <v>249</v>
      </c>
      <c r="I698" s="27">
        <v>1</v>
      </c>
      <c r="J698" s="30">
        <v>44886906</v>
      </c>
      <c r="K698" s="26" t="s">
        <v>20</v>
      </c>
      <c r="L698" s="26" t="s">
        <v>284</v>
      </c>
      <c r="M698" s="31" t="s">
        <v>2122</v>
      </c>
      <c r="N698" s="6"/>
      <c r="O698" s="6"/>
      <c r="P698" s="23"/>
      <c r="Q698" s="2"/>
      <c r="R698" s="2"/>
      <c r="S698" s="2"/>
      <c r="T698" s="2"/>
      <c r="U698" s="2"/>
      <c r="V698" s="2"/>
      <c r="W698" s="2"/>
      <c r="X698" s="2"/>
      <c r="Y698" s="2"/>
    </row>
    <row r="699" spans="1:26" ht="25.5" hidden="1" customHeight="1">
      <c r="A699" s="26">
        <v>398</v>
      </c>
      <c r="B699" s="27" t="s">
        <v>1444</v>
      </c>
      <c r="C699" s="28">
        <v>39980</v>
      </c>
      <c r="D699" s="27"/>
      <c r="E699" s="27" t="s">
        <v>2125</v>
      </c>
      <c r="F699" s="29" t="s">
        <v>2126</v>
      </c>
      <c r="G699" s="27" t="s">
        <v>573</v>
      </c>
      <c r="H699" s="27" t="s">
        <v>249</v>
      </c>
      <c r="I699" s="27">
        <v>1</v>
      </c>
      <c r="J699" s="30">
        <v>44886906</v>
      </c>
      <c r="K699" s="26" t="s">
        <v>20</v>
      </c>
      <c r="L699" s="26" t="s">
        <v>284</v>
      </c>
      <c r="M699" s="31" t="s">
        <v>2122</v>
      </c>
      <c r="N699" s="6"/>
      <c r="O699" s="6"/>
      <c r="P699" s="23"/>
      <c r="Q699" s="2"/>
      <c r="R699" s="2"/>
      <c r="S699" s="2"/>
      <c r="T699" s="2"/>
      <c r="U699" s="2"/>
      <c r="V699" s="2"/>
      <c r="W699" s="2"/>
      <c r="X699" s="2"/>
      <c r="Y699" s="2"/>
    </row>
    <row r="700" spans="1:26" ht="25.5" hidden="1" customHeight="1">
      <c r="A700" s="26">
        <v>399</v>
      </c>
      <c r="B700" s="27" t="s">
        <v>1444</v>
      </c>
      <c r="C700" s="28">
        <v>39980</v>
      </c>
      <c r="D700" s="27"/>
      <c r="E700" s="27" t="s">
        <v>2127</v>
      </c>
      <c r="F700" s="29" t="s">
        <v>2128</v>
      </c>
      <c r="G700" s="27" t="s">
        <v>573</v>
      </c>
      <c r="H700" s="27" t="s">
        <v>249</v>
      </c>
      <c r="I700" s="27">
        <v>1</v>
      </c>
      <c r="J700" s="30">
        <v>44886906</v>
      </c>
      <c r="K700" s="26" t="s">
        <v>20</v>
      </c>
      <c r="L700" s="26" t="s">
        <v>284</v>
      </c>
      <c r="M700" s="31" t="s">
        <v>2122</v>
      </c>
      <c r="N700" s="6"/>
      <c r="O700" s="6"/>
      <c r="P700" s="23"/>
      <c r="Q700" s="2"/>
      <c r="R700" s="2"/>
      <c r="S700" s="2"/>
      <c r="T700" s="2"/>
      <c r="U700" s="2"/>
      <c r="V700" s="2"/>
      <c r="W700" s="2"/>
      <c r="X700" s="2"/>
      <c r="Y700" s="2"/>
    </row>
    <row r="701" spans="1:26" ht="25.5" hidden="1" customHeight="1">
      <c r="A701" s="26">
        <v>400</v>
      </c>
      <c r="B701" s="27" t="s">
        <v>1444</v>
      </c>
      <c r="C701" s="28">
        <v>39980</v>
      </c>
      <c r="D701" s="27"/>
      <c r="E701" s="27" t="s">
        <v>2129</v>
      </c>
      <c r="F701" s="29" t="s">
        <v>2130</v>
      </c>
      <c r="G701" s="27" t="s">
        <v>573</v>
      </c>
      <c r="H701" s="27" t="s">
        <v>249</v>
      </c>
      <c r="I701" s="27">
        <v>1</v>
      </c>
      <c r="J701" s="30">
        <v>44886906</v>
      </c>
      <c r="K701" s="26" t="s">
        <v>20</v>
      </c>
      <c r="L701" s="26" t="s">
        <v>284</v>
      </c>
      <c r="M701" s="31" t="s">
        <v>2122</v>
      </c>
      <c r="N701" s="6"/>
      <c r="O701" s="6"/>
      <c r="P701" s="23"/>
      <c r="Q701" s="2"/>
      <c r="R701" s="2"/>
      <c r="S701" s="2"/>
      <c r="T701" s="2"/>
      <c r="U701" s="2"/>
      <c r="V701" s="2"/>
      <c r="W701" s="2"/>
      <c r="X701" s="2"/>
      <c r="Y701" s="2"/>
    </row>
    <row r="702" spans="1:26" ht="25.5" hidden="1" customHeight="1">
      <c r="A702" s="26">
        <v>401</v>
      </c>
      <c r="B702" s="27" t="s">
        <v>1444</v>
      </c>
      <c r="C702" s="28">
        <v>39980</v>
      </c>
      <c r="D702" s="27"/>
      <c r="E702" s="27" t="s">
        <v>2131</v>
      </c>
      <c r="F702" s="29" t="s">
        <v>2132</v>
      </c>
      <c r="G702" s="27" t="s">
        <v>573</v>
      </c>
      <c r="H702" s="27" t="s">
        <v>249</v>
      </c>
      <c r="I702" s="27">
        <v>1</v>
      </c>
      <c r="J702" s="30">
        <v>44886906</v>
      </c>
      <c r="K702" s="26" t="s">
        <v>20</v>
      </c>
      <c r="L702" s="26" t="s">
        <v>284</v>
      </c>
      <c r="M702" s="31" t="s">
        <v>2122</v>
      </c>
      <c r="N702" s="6"/>
      <c r="O702" s="6"/>
      <c r="P702" s="23"/>
      <c r="Q702" s="2"/>
      <c r="R702" s="2"/>
      <c r="S702" s="2"/>
      <c r="T702" s="2"/>
      <c r="U702" s="2"/>
      <c r="V702" s="2"/>
      <c r="W702" s="2"/>
      <c r="X702" s="2"/>
      <c r="Y702" s="2"/>
    </row>
    <row r="703" spans="1:26" ht="25.5" hidden="1" customHeight="1">
      <c r="A703" s="26">
        <v>402</v>
      </c>
      <c r="B703" s="27" t="s">
        <v>1444</v>
      </c>
      <c r="C703" s="28">
        <v>39980</v>
      </c>
      <c r="D703" s="27"/>
      <c r="E703" s="27" t="s">
        <v>2133</v>
      </c>
      <c r="F703" s="29" t="s">
        <v>2134</v>
      </c>
      <c r="G703" s="27" t="s">
        <v>573</v>
      </c>
      <c r="H703" s="27" t="s">
        <v>249</v>
      </c>
      <c r="I703" s="27">
        <v>1</v>
      </c>
      <c r="J703" s="30">
        <v>44886906</v>
      </c>
      <c r="K703" s="26" t="s">
        <v>20</v>
      </c>
      <c r="L703" s="26" t="s">
        <v>284</v>
      </c>
      <c r="M703" s="31" t="s">
        <v>2122</v>
      </c>
      <c r="N703" s="6"/>
      <c r="O703" s="6"/>
      <c r="P703" s="23"/>
      <c r="Q703" s="2"/>
      <c r="R703" s="2"/>
      <c r="S703" s="2"/>
      <c r="T703" s="2"/>
      <c r="U703" s="2"/>
      <c r="V703" s="2"/>
      <c r="W703" s="2"/>
      <c r="X703" s="2"/>
      <c r="Y703" s="2"/>
    </row>
    <row r="704" spans="1:26" ht="25.5" hidden="1" customHeight="1">
      <c r="A704" s="26">
        <v>403</v>
      </c>
      <c r="B704" s="27" t="s">
        <v>1444</v>
      </c>
      <c r="C704" s="28">
        <v>39980</v>
      </c>
      <c r="D704" s="27"/>
      <c r="E704" s="27" t="s">
        <v>2135</v>
      </c>
      <c r="F704" s="29" t="s">
        <v>2136</v>
      </c>
      <c r="G704" s="27" t="s">
        <v>573</v>
      </c>
      <c r="H704" s="27" t="s">
        <v>249</v>
      </c>
      <c r="I704" s="27">
        <v>1</v>
      </c>
      <c r="J704" s="30">
        <v>44886906</v>
      </c>
      <c r="K704" s="26" t="s">
        <v>20</v>
      </c>
      <c r="L704" s="26" t="s">
        <v>284</v>
      </c>
      <c r="M704" s="31" t="s">
        <v>2122</v>
      </c>
      <c r="N704" s="6"/>
      <c r="O704" s="6"/>
      <c r="P704" s="23"/>
      <c r="Q704" s="2"/>
      <c r="R704" s="2"/>
      <c r="S704" s="2"/>
      <c r="T704" s="2"/>
      <c r="U704" s="2"/>
      <c r="V704" s="2"/>
      <c r="W704" s="2"/>
      <c r="X704" s="2"/>
      <c r="Y704" s="2"/>
    </row>
    <row r="705" spans="1:25" ht="25.5" hidden="1" customHeight="1">
      <c r="A705" s="26">
        <v>404</v>
      </c>
      <c r="B705" s="27" t="s">
        <v>1444</v>
      </c>
      <c r="C705" s="28">
        <v>39980</v>
      </c>
      <c r="D705" s="27"/>
      <c r="E705" s="27" t="s">
        <v>2137</v>
      </c>
      <c r="F705" s="29" t="s">
        <v>2138</v>
      </c>
      <c r="G705" s="27" t="s">
        <v>573</v>
      </c>
      <c r="H705" s="27" t="s">
        <v>249</v>
      </c>
      <c r="I705" s="27">
        <v>1</v>
      </c>
      <c r="J705" s="30">
        <v>44886906</v>
      </c>
      <c r="K705" s="26" t="s">
        <v>20</v>
      </c>
      <c r="L705" s="26" t="s">
        <v>284</v>
      </c>
      <c r="M705" s="31" t="s">
        <v>2122</v>
      </c>
      <c r="N705" s="6"/>
      <c r="O705" s="6"/>
      <c r="P705" s="23"/>
      <c r="Q705" s="2"/>
      <c r="R705" s="2"/>
      <c r="S705" s="2"/>
      <c r="T705" s="2"/>
      <c r="U705" s="2"/>
      <c r="V705" s="2"/>
      <c r="W705" s="2"/>
      <c r="X705" s="2"/>
      <c r="Y705" s="2"/>
    </row>
    <row r="706" spans="1:25" ht="25.5" hidden="1" customHeight="1">
      <c r="A706" s="26">
        <v>405</v>
      </c>
      <c r="B706" s="27" t="s">
        <v>1444</v>
      </c>
      <c r="C706" s="28">
        <v>39980</v>
      </c>
      <c r="D706" s="27"/>
      <c r="E706" s="27" t="s">
        <v>2139</v>
      </c>
      <c r="F706" s="29" t="s">
        <v>2140</v>
      </c>
      <c r="G706" s="27" t="s">
        <v>573</v>
      </c>
      <c r="H706" s="27" t="s">
        <v>249</v>
      </c>
      <c r="I706" s="27">
        <v>1</v>
      </c>
      <c r="J706" s="30">
        <v>44886906</v>
      </c>
      <c r="K706" s="26" t="s">
        <v>20</v>
      </c>
      <c r="L706" s="26" t="s">
        <v>284</v>
      </c>
      <c r="M706" s="31" t="s">
        <v>2122</v>
      </c>
      <c r="N706" s="6"/>
      <c r="O706" s="6"/>
      <c r="P706" s="23"/>
      <c r="Q706" s="2"/>
      <c r="R706" s="2"/>
      <c r="S706" s="2"/>
      <c r="T706" s="2"/>
      <c r="U706" s="2"/>
      <c r="V706" s="2"/>
      <c r="W706" s="2"/>
      <c r="X706" s="2"/>
      <c r="Y706" s="2"/>
    </row>
    <row r="707" spans="1:25" ht="12.75" hidden="1" customHeight="1">
      <c r="A707" s="26">
        <v>406</v>
      </c>
      <c r="B707" s="27" t="s">
        <v>1516</v>
      </c>
      <c r="C707" s="28">
        <v>40352</v>
      </c>
      <c r="D707" s="27"/>
      <c r="E707" s="27" t="s">
        <v>2141</v>
      </c>
      <c r="F707" s="29" t="s">
        <v>2142</v>
      </c>
      <c r="G707" s="27" t="s">
        <v>573</v>
      </c>
      <c r="H707" s="27" t="s">
        <v>19</v>
      </c>
      <c r="I707" s="27">
        <v>1</v>
      </c>
      <c r="J707" s="30">
        <v>47554119</v>
      </c>
      <c r="K707" s="26" t="s">
        <v>20</v>
      </c>
      <c r="L707" s="26" t="s">
        <v>284</v>
      </c>
      <c r="M707" s="31" t="s">
        <v>2143</v>
      </c>
      <c r="N707" s="6"/>
      <c r="O707" s="6"/>
      <c r="P707" s="23"/>
      <c r="Q707" s="2"/>
      <c r="R707" s="2"/>
      <c r="S707" s="2"/>
      <c r="T707" s="2"/>
      <c r="U707" s="2"/>
      <c r="V707" s="2"/>
      <c r="W707" s="2"/>
      <c r="X707" s="2"/>
      <c r="Y707" s="2"/>
    </row>
    <row r="708" spans="1:25" ht="12.75" hidden="1" customHeight="1">
      <c r="A708" s="26">
        <v>407</v>
      </c>
      <c r="B708" s="27" t="s">
        <v>1516</v>
      </c>
      <c r="C708" s="28">
        <v>40352</v>
      </c>
      <c r="D708" s="27"/>
      <c r="E708" s="27" t="s">
        <v>2144</v>
      </c>
      <c r="F708" s="29" t="s">
        <v>2142</v>
      </c>
      <c r="G708" s="27" t="s">
        <v>573</v>
      </c>
      <c r="H708" s="27" t="s">
        <v>19</v>
      </c>
      <c r="I708" s="27">
        <v>1</v>
      </c>
      <c r="J708" s="30">
        <v>47554119</v>
      </c>
      <c r="K708" s="26" t="s">
        <v>20</v>
      </c>
      <c r="L708" s="26" t="s">
        <v>284</v>
      </c>
      <c r="M708" s="31" t="s">
        <v>2145</v>
      </c>
      <c r="N708" s="6"/>
      <c r="O708" s="6"/>
      <c r="P708" s="23"/>
      <c r="Q708" s="2"/>
      <c r="R708" s="2"/>
      <c r="S708" s="2"/>
      <c r="T708" s="2"/>
      <c r="U708" s="2"/>
      <c r="V708" s="2"/>
      <c r="W708" s="2"/>
      <c r="X708" s="2"/>
      <c r="Y708" s="2"/>
    </row>
    <row r="709" spans="1:25" ht="12.75" hidden="1" customHeight="1">
      <c r="A709" s="26">
        <v>408</v>
      </c>
      <c r="B709" s="27" t="s">
        <v>1516</v>
      </c>
      <c r="C709" s="28">
        <v>40352</v>
      </c>
      <c r="D709" s="27"/>
      <c r="E709" s="27" t="s">
        <v>2146</v>
      </c>
      <c r="F709" s="29" t="s">
        <v>2142</v>
      </c>
      <c r="G709" s="27" t="s">
        <v>573</v>
      </c>
      <c r="H709" s="27" t="s">
        <v>19</v>
      </c>
      <c r="I709" s="27">
        <v>1</v>
      </c>
      <c r="J709" s="30">
        <v>47554119</v>
      </c>
      <c r="K709" s="26" t="s">
        <v>20</v>
      </c>
      <c r="L709" s="26" t="s">
        <v>284</v>
      </c>
      <c r="M709" s="31" t="s">
        <v>2145</v>
      </c>
      <c r="N709" s="6"/>
      <c r="O709" s="6"/>
      <c r="P709" s="23"/>
      <c r="Q709" s="2"/>
      <c r="R709" s="2"/>
      <c r="S709" s="2"/>
      <c r="T709" s="2"/>
      <c r="U709" s="2"/>
      <c r="V709" s="2"/>
      <c r="W709" s="2"/>
      <c r="X709" s="2"/>
      <c r="Y709" s="2"/>
    </row>
    <row r="710" spans="1:25" ht="12.75" hidden="1" customHeight="1">
      <c r="A710" s="26">
        <v>409</v>
      </c>
      <c r="B710" s="27" t="s">
        <v>1516</v>
      </c>
      <c r="C710" s="28">
        <v>40352</v>
      </c>
      <c r="D710" s="27"/>
      <c r="E710" s="27" t="s">
        <v>2147</v>
      </c>
      <c r="F710" s="29" t="s">
        <v>2142</v>
      </c>
      <c r="G710" s="27" t="s">
        <v>573</v>
      </c>
      <c r="H710" s="27" t="s">
        <v>19</v>
      </c>
      <c r="I710" s="27">
        <v>1</v>
      </c>
      <c r="J710" s="30">
        <v>47554119</v>
      </c>
      <c r="K710" s="26" t="s">
        <v>20</v>
      </c>
      <c r="L710" s="26" t="s">
        <v>284</v>
      </c>
      <c r="M710" s="31" t="s">
        <v>2145</v>
      </c>
      <c r="N710" s="6"/>
      <c r="O710" s="6"/>
      <c r="P710" s="23"/>
      <c r="Q710" s="2"/>
      <c r="R710" s="2"/>
      <c r="S710" s="2"/>
      <c r="T710" s="2"/>
      <c r="U710" s="2"/>
      <c r="V710" s="2"/>
      <c r="W710" s="2"/>
      <c r="X710" s="2"/>
      <c r="Y710" s="2"/>
    </row>
    <row r="711" spans="1:25" ht="12.75" hidden="1" customHeight="1">
      <c r="A711" s="26">
        <v>410</v>
      </c>
      <c r="B711" s="27" t="s">
        <v>1516</v>
      </c>
      <c r="C711" s="28">
        <v>40352</v>
      </c>
      <c r="D711" s="27"/>
      <c r="E711" s="27" t="s">
        <v>2148</v>
      </c>
      <c r="F711" s="29" t="s">
        <v>2142</v>
      </c>
      <c r="G711" s="27" t="s">
        <v>573</v>
      </c>
      <c r="H711" s="27" t="s">
        <v>19</v>
      </c>
      <c r="I711" s="27">
        <v>1</v>
      </c>
      <c r="J711" s="30">
        <v>47554119</v>
      </c>
      <c r="K711" s="26" t="s">
        <v>20</v>
      </c>
      <c r="L711" s="26" t="s">
        <v>284</v>
      </c>
      <c r="M711" s="31" t="s">
        <v>2145</v>
      </c>
      <c r="N711" s="6"/>
      <c r="O711" s="6"/>
      <c r="P711" s="23"/>
      <c r="Q711" s="2"/>
      <c r="R711" s="2"/>
      <c r="S711" s="2"/>
      <c r="T711" s="2"/>
      <c r="U711" s="2"/>
      <c r="V711" s="2"/>
      <c r="W711" s="2"/>
      <c r="X711" s="2"/>
      <c r="Y711" s="2"/>
    </row>
    <row r="712" spans="1:25" ht="12.75" hidden="1" customHeight="1">
      <c r="A712" s="26">
        <v>411</v>
      </c>
      <c r="B712" s="27" t="s">
        <v>1516</v>
      </c>
      <c r="C712" s="28">
        <v>40352</v>
      </c>
      <c r="D712" s="27"/>
      <c r="E712" s="27" t="s">
        <v>2149</v>
      </c>
      <c r="F712" s="29" t="s">
        <v>2142</v>
      </c>
      <c r="G712" s="27" t="s">
        <v>573</v>
      </c>
      <c r="H712" s="27" t="s">
        <v>19</v>
      </c>
      <c r="I712" s="27">
        <v>1</v>
      </c>
      <c r="J712" s="30">
        <v>47554119</v>
      </c>
      <c r="K712" s="26" t="s">
        <v>20</v>
      </c>
      <c r="L712" s="26" t="s">
        <v>284</v>
      </c>
      <c r="M712" s="31" t="s">
        <v>2145</v>
      </c>
      <c r="N712" s="6"/>
      <c r="O712" s="6"/>
      <c r="P712" s="23"/>
      <c r="Q712" s="2"/>
      <c r="R712" s="2"/>
      <c r="S712" s="2"/>
      <c r="T712" s="2"/>
      <c r="U712" s="2"/>
      <c r="V712" s="2"/>
      <c r="W712" s="2"/>
      <c r="X712" s="2"/>
      <c r="Y712" s="2"/>
    </row>
    <row r="713" spans="1:25" ht="12.75" hidden="1" customHeight="1">
      <c r="A713" s="26">
        <v>412</v>
      </c>
      <c r="B713" s="27" t="s">
        <v>1516</v>
      </c>
      <c r="C713" s="28">
        <v>40352</v>
      </c>
      <c r="D713" s="27"/>
      <c r="E713" s="27" t="s">
        <v>2150</v>
      </c>
      <c r="F713" s="29" t="s">
        <v>2142</v>
      </c>
      <c r="G713" s="27" t="s">
        <v>573</v>
      </c>
      <c r="H713" s="27" t="s">
        <v>19</v>
      </c>
      <c r="I713" s="27">
        <v>1</v>
      </c>
      <c r="J713" s="30">
        <v>47554119</v>
      </c>
      <c r="K713" s="26" t="s">
        <v>20</v>
      </c>
      <c r="L713" s="26" t="s">
        <v>284</v>
      </c>
      <c r="M713" s="31" t="s">
        <v>2145</v>
      </c>
      <c r="N713" s="6"/>
      <c r="O713" s="6"/>
      <c r="P713" s="23"/>
      <c r="Q713" s="2"/>
      <c r="R713" s="2"/>
      <c r="S713" s="2"/>
      <c r="T713" s="2"/>
      <c r="U713" s="2"/>
      <c r="V713" s="2"/>
      <c r="W713" s="2"/>
      <c r="X713" s="2"/>
      <c r="Y713" s="2"/>
    </row>
    <row r="714" spans="1:25" ht="12.75" hidden="1" customHeight="1">
      <c r="A714" s="26">
        <v>413</v>
      </c>
      <c r="B714" s="27" t="s">
        <v>1516</v>
      </c>
      <c r="C714" s="28">
        <v>40352</v>
      </c>
      <c r="D714" s="27"/>
      <c r="E714" s="27" t="s">
        <v>2151</v>
      </c>
      <c r="F714" s="29" t="s">
        <v>2142</v>
      </c>
      <c r="G714" s="27" t="s">
        <v>573</v>
      </c>
      <c r="H714" s="27" t="s">
        <v>19</v>
      </c>
      <c r="I714" s="27">
        <v>1</v>
      </c>
      <c r="J714" s="30">
        <v>47554119</v>
      </c>
      <c r="K714" s="26" t="s">
        <v>20</v>
      </c>
      <c r="L714" s="26" t="s">
        <v>284</v>
      </c>
      <c r="M714" s="31" t="s">
        <v>2145</v>
      </c>
      <c r="N714" s="6"/>
      <c r="O714" s="6"/>
      <c r="P714" s="23"/>
      <c r="Q714" s="2"/>
      <c r="R714" s="2"/>
      <c r="S714" s="2"/>
      <c r="T714" s="2"/>
      <c r="U714" s="2"/>
      <c r="V714" s="2"/>
      <c r="W714" s="2"/>
      <c r="X714" s="2"/>
      <c r="Y714" s="2"/>
    </row>
    <row r="715" spans="1:25" ht="12.75" hidden="1" customHeight="1">
      <c r="A715" s="26">
        <v>414</v>
      </c>
      <c r="B715" s="27" t="s">
        <v>1516</v>
      </c>
      <c r="C715" s="28">
        <v>40352</v>
      </c>
      <c r="D715" s="27"/>
      <c r="E715" s="27" t="s">
        <v>2152</v>
      </c>
      <c r="F715" s="29" t="s">
        <v>2142</v>
      </c>
      <c r="G715" s="27" t="s">
        <v>573</v>
      </c>
      <c r="H715" s="27" t="s">
        <v>19</v>
      </c>
      <c r="I715" s="27">
        <v>1</v>
      </c>
      <c r="J715" s="30">
        <v>47554119</v>
      </c>
      <c r="K715" s="26" t="s">
        <v>20</v>
      </c>
      <c r="L715" s="26" t="s">
        <v>284</v>
      </c>
      <c r="M715" s="31" t="s">
        <v>2145</v>
      </c>
      <c r="N715" s="6"/>
      <c r="O715" s="6"/>
      <c r="P715" s="23"/>
      <c r="Q715" s="2"/>
      <c r="R715" s="2"/>
      <c r="S715" s="2"/>
      <c r="T715" s="2"/>
      <c r="U715" s="2"/>
      <c r="V715" s="2"/>
      <c r="W715" s="2"/>
      <c r="X715" s="2"/>
      <c r="Y715" s="2"/>
    </row>
    <row r="716" spans="1:25" ht="12.75" hidden="1" customHeight="1">
      <c r="A716" s="26">
        <v>415</v>
      </c>
      <c r="B716" s="27" t="s">
        <v>1516</v>
      </c>
      <c r="C716" s="28">
        <v>40352</v>
      </c>
      <c r="D716" s="27"/>
      <c r="E716" s="27" t="s">
        <v>2153</v>
      </c>
      <c r="F716" s="29" t="s">
        <v>2142</v>
      </c>
      <c r="G716" s="27" t="s">
        <v>573</v>
      </c>
      <c r="H716" s="27" t="s">
        <v>19</v>
      </c>
      <c r="I716" s="27">
        <v>1</v>
      </c>
      <c r="J716" s="30">
        <v>47554119</v>
      </c>
      <c r="K716" s="26" t="s">
        <v>20</v>
      </c>
      <c r="L716" s="26" t="s">
        <v>284</v>
      </c>
      <c r="M716" s="31" t="s">
        <v>2145</v>
      </c>
      <c r="N716" s="6"/>
      <c r="O716" s="6"/>
      <c r="P716" s="23"/>
      <c r="Q716" s="2"/>
      <c r="R716" s="2"/>
      <c r="S716" s="2"/>
      <c r="T716" s="2"/>
      <c r="U716" s="2"/>
      <c r="V716" s="2"/>
      <c r="W716" s="2"/>
      <c r="X716" s="2"/>
      <c r="Y716" s="2"/>
    </row>
    <row r="717" spans="1:25" ht="12.75" hidden="1" customHeight="1">
      <c r="A717" s="26">
        <v>416</v>
      </c>
      <c r="B717" s="27" t="s">
        <v>1516</v>
      </c>
      <c r="C717" s="28">
        <v>40352</v>
      </c>
      <c r="D717" s="27"/>
      <c r="E717" s="27" t="s">
        <v>2154</v>
      </c>
      <c r="F717" s="29" t="s">
        <v>2142</v>
      </c>
      <c r="G717" s="27" t="s">
        <v>573</v>
      </c>
      <c r="H717" s="27" t="s">
        <v>19</v>
      </c>
      <c r="I717" s="27">
        <v>1</v>
      </c>
      <c r="J717" s="30">
        <v>47554119</v>
      </c>
      <c r="K717" s="26" t="s">
        <v>20</v>
      </c>
      <c r="L717" s="26" t="s">
        <v>284</v>
      </c>
      <c r="M717" s="31" t="s">
        <v>2145</v>
      </c>
      <c r="N717" s="6"/>
      <c r="O717" s="6"/>
      <c r="P717" s="23"/>
      <c r="Q717" s="2"/>
      <c r="R717" s="2"/>
      <c r="S717" s="2"/>
      <c r="T717" s="2"/>
      <c r="U717" s="2"/>
      <c r="V717" s="2"/>
      <c r="W717" s="2"/>
      <c r="X717" s="2"/>
      <c r="Y717" s="2"/>
    </row>
    <row r="718" spans="1:25" ht="12.75" hidden="1" customHeight="1">
      <c r="A718" s="26">
        <v>417</v>
      </c>
      <c r="B718" s="27" t="s">
        <v>1516</v>
      </c>
      <c r="C718" s="28">
        <v>40352</v>
      </c>
      <c r="D718" s="27"/>
      <c r="E718" s="27" t="s">
        <v>2155</v>
      </c>
      <c r="F718" s="29" t="s">
        <v>2142</v>
      </c>
      <c r="G718" s="27" t="s">
        <v>573</v>
      </c>
      <c r="H718" s="27" t="s">
        <v>19</v>
      </c>
      <c r="I718" s="27">
        <v>1</v>
      </c>
      <c r="J718" s="30">
        <v>47554119</v>
      </c>
      <c r="K718" s="26" t="s">
        <v>20</v>
      </c>
      <c r="L718" s="26" t="s">
        <v>284</v>
      </c>
      <c r="M718" s="31" t="s">
        <v>2145</v>
      </c>
      <c r="N718" s="6"/>
      <c r="O718" s="6"/>
      <c r="P718" s="23"/>
      <c r="Q718" s="2"/>
      <c r="R718" s="2"/>
      <c r="S718" s="2"/>
      <c r="T718" s="2"/>
      <c r="U718" s="2"/>
      <c r="V718" s="2"/>
      <c r="W718" s="2"/>
      <c r="X718" s="2"/>
      <c r="Y718" s="2"/>
    </row>
    <row r="719" spans="1:25" ht="12.75" hidden="1" customHeight="1">
      <c r="A719" s="26">
        <v>418</v>
      </c>
      <c r="B719" s="27" t="s">
        <v>1516</v>
      </c>
      <c r="C719" s="28">
        <v>40352</v>
      </c>
      <c r="D719" s="27"/>
      <c r="E719" s="27" t="s">
        <v>2156</v>
      </c>
      <c r="F719" s="29" t="s">
        <v>2142</v>
      </c>
      <c r="G719" s="27" t="s">
        <v>573</v>
      </c>
      <c r="H719" s="27" t="s">
        <v>19</v>
      </c>
      <c r="I719" s="27">
        <v>1</v>
      </c>
      <c r="J719" s="30">
        <v>47554119</v>
      </c>
      <c r="K719" s="26" t="s">
        <v>20</v>
      </c>
      <c r="L719" s="26" t="s">
        <v>284</v>
      </c>
      <c r="M719" s="31" t="s">
        <v>2145</v>
      </c>
      <c r="N719" s="6"/>
      <c r="O719" s="6"/>
      <c r="P719" s="23"/>
      <c r="Q719" s="2"/>
      <c r="R719" s="2"/>
      <c r="S719" s="2"/>
      <c r="T719" s="2"/>
      <c r="U719" s="2"/>
      <c r="V719" s="2"/>
      <c r="W719" s="2"/>
      <c r="X719" s="2"/>
      <c r="Y719" s="2"/>
    </row>
    <row r="720" spans="1:25" ht="12.75" hidden="1" customHeight="1">
      <c r="A720" s="26">
        <v>419</v>
      </c>
      <c r="B720" s="27" t="s">
        <v>1516</v>
      </c>
      <c r="C720" s="28">
        <v>40352</v>
      </c>
      <c r="D720" s="27"/>
      <c r="E720" s="27" t="s">
        <v>2157</v>
      </c>
      <c r="F720" s="29" t="s">
        <v>2142</v>
      </c>
      <c r="G720" s="27" t="s">
        <v>573</v>
      </c>
      <c r="H720" s="27" t="s">
        <v>19</v>
      </c>
      <c r="I720" s="27">
        <v>1</v>
      </c>
      <c r="J720" s="30">
        <v>47554119</v>
      </c>
      <c r="K720" s="26" t="s">
        <v>20</v>
      </c>
      <c r="L720" s="26" t="s">
        <v>284</v>
      </c>
      <c r="M720" s="31" t="s">
        <v>1224</v>
      </c>
      <c r="N720" s="6"/>
      <c r="O720" s="6"/>
      <c r="P720" s="23"/>
      <c r="Q720" s="2"/>
      <c r="R720" s="2"/>
      <c r="S720" s="2"/>
      <c r="T720" s="2"/>
      <c r="U720" s="2"/>
      <c r="V720" s="2"/>
      <c r="W720" s="2"/>
      <c r="X720" s="2"/>
      <c r="Y720" s="2"/>
    </row>
    <row r="721" spans="1:25" ht="12.75" hidden="1" customHeight="1">
      <c r="A721" s="26">
        <v>420</v>
      </c>
      <c r="B721" s="27" t="s">
        <v>1516</v>
      </c>
      <c r="C721" s="28">
        <v>40352</v>
      </c>
      <c r="D721" s="27"/>
      <c r="E721" s="27" t="s">
        <v>2158</v>
      </c>
      <c r="F721" s="29" t="s">
        <v>2159</v>
      </c>
      <c r="G721" s="27" t="s">
        <v>573</v>
      </c>
      <c r="H721" s="27" t="s">
        <v>19</v>
      </c>
      <c r="I721" s="27">
        <v>1</v>
      </c>
      <c r="J721" s="30">
        <v>41172398</v>
      </c>
      <c r="K721" s="26" t="s">
        <v>20</v>
      </c>
      <c r="L721" s="26" t="s">
        <v>284</v>
      </c>
      <c r="M721" s="31" t="s">
        <v>1224</v>
      </c>
      <c r="N721" s="6"/>
      <c r="O721" s="6"/>
      <c r="P721" s="23"/>
      <c r="Q721" s="2"/>
      <c r="R721" s="2"/>
      <c r="S721" s="2"/>
      <c r="T721" s="2"/>
      <c r="U721" s="2"/>
      <c r="V721" s="2"/>
      <c r="W721" s="2"/>
      <c r="X721" s="2"/>
      <c r="Y721" s="2"/>
    </row>
    <row r="722" spans="1:25" ht="12.75" hidden="1" customHeight="1">
      <c r="A722" s="26">
        <v>421</v>
      </c>
      <c r="B722" s="27" t="s">
        <v>1516</v>
      </c>
      <c r="C722" s="28">
        <v>40352</v>
      </c>
      <c r="D722" s="27"/>
      <c r="E722" s="27" t="s">
        <v>2160</v>
      </c>
      <c r="F722" s="29" t="s">
        <v>2159</v>
      </c>
      <c r="G722" s="27" t="s">
        <v>573</v>
      </c>
      <c r="H722" s="27" t="s">
        <v>19</v>
      </c>
      <c r="I722" s="27">
        <v>1</v>
      </c>
      <c r="J722" s="30">
        <v>41172398</v>
      </c>
      <c r="K722" s="26" t="s">
        <v>20</v>
      </c>
      <c r="L722" s="26" t="s">
        <v>284</v>
      </c>
      <c r="M722" s="31" t="s">
        <v>2145</v>
      </c>
      <c r="N722" s="6"/>
      <c r="O722" s="6"/>
      <c r="P722" s="23"/>
      <c r="Q722" s="2"/>
      <c r="R722" s="2"/>
      <c r="S722" s="2"/>
      <c r="T722" s="2"/>
      <c r="U722" s="2"/>
      <c r="V722" s="2"/>
      <c r="W722" s="2"/>
      <c r="X722" s="2"/>
      <c r="Y722" s="2"/>
    </row>
    <row r="723" spans="1:25" ht="12.75" hidden="1" customHeight="1">
      <c r="A723" s="26">
        <v>422</v>
      </c>
      <c r="B723" s="27" t="s">
        <v>1516</v>
      </c>
      <c r="C723" s="28">
        <v>40352</v>
      </c>
      <c r="D723" s="27"/>
      <c r="E723" s="27" t="s">
        <v>2161</v>
      </c>
      <c r="F723" s="29" t="s">
        <v>2159</v>
      </c>
      <c r="G723" s="27" t="s">
        <v>573</v>
      </c>
      <c r="H723" s="27" t="s">
        <v>19</v>
      </c>
      <c r="I723" s="27">
        <v>1</v>
      </c>
      <c r="J723" s="30">
        <v>41172398</v>
      </c>
      <c r="K723" s="26" t="s">
        <v>20</v>
      </c>
      <c r="L723" s="26" t="s">
        <v>284</v>
      </c>
      <c r="M723" s="31" t="s">
        <v>2145</v>
      </c>
      <c r="N723" s="6"/>
      <c r="O723" s="6"/>
      <c r="P723" s="23"/>
      <c r="Q723" s="2"/>
      <c r="R723" s="2"/>
      <c r="S723" s="2"/>
      <c r="T723" s="2"/>
      <c r="U723" s="2"/>
      <c r="V723" s="2"/>
      <c r="W723" s="2"/>
      <c r="X723" s="2"/>
      <c r="Y723" s="2"/>
    </row>
    <row r="724" spans="1:25" ht="12.75" hidden="1" customHeight="1">
      <c r="A724" s="26">
        <v>423</v>
      </c>
      <c r="B724" s="27" t="s">
        <v>1516</v>
      </c>
      <c r="C724" s="28">
        <v>40352</v>
      </c>
      <c r="D724" s="27"/>
      <c r="E724" s="27" t="s">
        <v>2162</v>
      </c>
      <c r="F724" s="29" t="s">
        <v>2159</v>
      </c>
      <c r="G724" s="27" t="s">
        <v>573</v>
      </c>
      <c r="H724" s="27" t="s">
        <v>19</v>
      </c>
      <c r="I724" s="27">
        <v>1</v>
      </c>
      <c r="J724" s="30">
        <v>41172398</v>
      </c>
      <c r="K724" s="26" t="s">
        <v>20</v>
      </c>
      <c r="L724" s="26" t="s">
        <v>284</v>
      </c>
      <c r="M724" s="31" t="s">
        <v>2145</v>
      </c>
      <c r="N724" s="6"/>
      <c r="O724" s="6"/>
      <c r="P724" s="23"/>
      <c r="Q724" s="2"/>
      <c r="R724" s="2"/>
      <c r="S724" s="2"/>
      <c r="T724" s="2"/>
      <c r="U724" s="2"/>
      <c r="V724" s="2"/>
      <c r="W724" s="2"/>
      <c r="X724" s="2"/>
      <c r="Y724" s="2"/>
    </row>
    <row r="725" spans="1:25" ht="12.75" hidden="1" customHeight="1">
      <c r="A725" s="26">
        <v>424</v>
      </c>
      <c r="B725" s="27" t="s">
        <v>1516</v>
      </c>
      <c r="C725" s="28">
        <v>40352</v>
      </c>
      <c r="D725" s="27"/>
      <c r="E725" s="27" t="s">
        <v>2163</v>
      </c>
      <c r="F725" s="29" t="s">
        <v>2159</v>
      </c>
      <c r="G725" s="27" t="s">
        <v>573</v>
      </c>
      <c r="H725" s="27" t="s">
        <v>19</v>
      </c>
      <c r="I725" s="27">
        <v>1</v>
      </c>
      <c r="J725" s="30">
        <v>41172398</v>
      </c>
      <c r="K725" s="26" t="s">
        <v>20</v>
      </c>
      <c r="L725" s="26" t="s">
        <v>284</v>
      </c>
      <c r="M725" s="31" t="s">
        <v>2145</v>
      </c>
      <c r="N725" s="6"/>
      <c r="O725" s="6"/>
      <c r="P725" s="23"/>
      <c r="Q725" s="2"/>
      <c r="R725" s="2"/>
      <c r="S725" s="2"/>
      <c r="T725" s="2"/>
      <c r="U725" s="2"/>
      <c r="V725" s="2"/>
      <c r="W725" s="2"/>
      <c r="X725" s="2"/>
      <c r="Y725" s="2"/>
    </row>
    <row r="726" spans="1:25" ht="12.75" hidden="1" customHeight="1">
      <c r="A726" s="26">
        <v>425</v>
      </c>
      <c r="B726" s="27" t="s">
        <v>1516</v>
      </c>
      <c r="C726" s="28">
        <v>40352</v>
      </c>
      <c r="D726" s="27"/>
      <c r="E726" s="27" t="s">
        <v>2164</v>
      </c>
      <c r="F726" s="29" t="s">
        <v>2159</v>
      </c>
      <c r="G726" s="27" t="s">
        <v>573</v>
      </c>
      <c r="H726" s="27" t="s">
        <v>19</v>
      </c>
      <c r="I726" s="27">
        <v>1</v>
      </c>
      <c r="J726" s="30">
        <v>41172398</v>
      </c>
      <c r="K726" s="26" t="s">
        <v>20</v>
      </c>
      <c r="L726" s="26" t="s">
        <v>284</v>
      </c>
      <c r="M726" s="31" t="s">
        <v>2145</v>
      </c>
      <c r="N726" s="6"/>
      <c r="O726" s="6"/>
      <c r="P726" s="23"/>
      <c r="Q726" s="2"/>
      <c r="R726" s="2"/>
      <c r="S726" s="2"/>
      <c r="T726" s="2"/>
      <c r="U726" s="2"/>
      <c r="V726" s="2"/>
      <c r="W726" s="2"/>
      <c r="X726" s="2"/>
      <c r="Y726" s="2"/>
    </row>
    <row r="727" spans="1:25" ht="12.75" hidden="1" customHeight="1">
      <c r="A727" s="26">
        <v>426</v>
      </c>
      <c r="B727" s="27" t="s">
        <v>1516</v>
      </c>
      <c r="C727" s="28">
        <v>40352</v>
      </c>
      <c r="D727" s="27"/>
      <c r="E727" s="27" t="s">
        <v>2165</v>
      </c>
      <c r="F727" s="29" t="s">
        <v>2159</v>
      </c>
      <c r="G727" s="27" t="s">
        <v>573</v>
      </c>
      <c r="H727" s="27" t="s">
        <v>19</v>
      </c>
      <c r="I727" s="27">
        <v>1</v>
      </c>
      <c r="J727" s="30">
        <v>41172398</v>
      </c>
      <c r="K727" s="26" t="s">
        <v>20</v>
      </c>
      <c r="L727" s="26" t="s">
        <v>284</v>
      </c>
      <c r="M727" s="31" t="s">
        <v>1224</v>
      </c>
      <c r="N727" s="6"/>
      <c r="O727" s="6"/>
      <c r="P727" s="23"/>
      <c r="Q727" s="2"/>
      <c r="R727" s="2"/>
      <c r="S727" s="2"/>
      <c r="T727" s="2"/>
      <c r="U727" s="2"/>
      <c r="V727" s="2"/>
      <c r="W727" s="2"/>
      <c r="X727" s="2"/>
      <c r="Y727" s="2"/>
    </row>
    <row r="728" spans="1:25" ht="12.75" hidden="1" customHeight="1">
      <c r="A728" s="26">
        <v>427</v>
      </c>
      <c r="B728" s="27" t="s">
        <v>1516</v>
      </c>
      <c r="C728" s="28">
        <v>40352</v>
      </c>
      <c r="D728" s="27"/>
      <c r="E728" s="27" t="s">
        <v>2166</v>
      </c>
      <c r="F728" s="29" t="s">
        <v>2159</v>
      </c>
      <c r="G728" s="27" t="s">
        <v>573</v>
      </c>
      <c r="H728" s="27" t="s">
        <v>19</v>
      </c>
      <c r="I728" s="27">
        <v>1</v>
      </c>
      <c r="J728" s="30">
        <v>41172398</v>
      </c>
      <c r="K728" s="26" t="s">
        <v>20</v>
      </c>
      <c r="L728" s="26" t="s">
        <v>284</v>
      </c>
      <c r="M728" s="31" t="s">
        <v>1224</v>
      </c>
      <c r="N728" s="6"/>
      <c r="O728" s="6"/>
      <c r="P728" s="23"/>
      <c r="Q728" s="2"/>
      <c r="R728" s="2"/>
      <c r="S728" s="2"/>
      <c r="T728" s="2"/>
      <c r="U728" s="2"/>
      <c r="V728" s="2"/>
      <c r="W728" s="2"/>
      <c r="X728" s="2"/>
      <c r="Y728" s="2"/>
    </row>
    <row r="729" spans="1:25" ht="12.75" hidden="1" customHeight="1">
      <c r="A729" s="26">
        <v>428</v>
      </c>
      <c r="B729" s="27" t="s">
        <v>1516</v>
      </c>
      <c r="C729" s="28">
        <v>40352</v>
      </c>
      <c r="D729" s="27"/>
      <c r="E729" s="27" t="s">
        <v>2167</v>
      </c>
      <c r="F729" s="29" t="s">
        <v>2159</v>
      </c>
      <c r="G729" s="27" t="s">
        <v>573</v>
      </c>
      <c r="H729" s="27" t="s">
        <v>19</v>
      </c>
      <c r="I729" s="27">
        <v>1</v>
      </c>
      <c r="J729" s="30">
        <v>41172398</v>
      </c>
      <c r="K729" s="26" t="s">
        <v>20</v>
      </c>
      <c r="L729" s="26" t="s">
        <v>284</v>
      </c>
      <c r="M729" s="31" t="s">
        <v>1224</v>
      </c>
      <c r="N729" s="6"/>
      <c r="O729" s="6"/>
      <c r="P729" s="23"/>
      <c r="Q729" s="2"/>
      <c r="R729" s="2"/>
      <c r="S729" s="2"/>
      <c r="T729" s="2"/>
      <c r="U729" s="2"/>
      <c r="V729" s="2"/>
      <c r="W729" s="2"/>
      <c r="X729" s="2"/>
      <c r="Y729" s="2"/>
    </row>
    <row r="730" spans="1:25" ht="12.75" hidden="1" customHeight="1">
      <c r="A730" s="26">
        <v>429</v>
      </c>
      <c r="B730" s="27" t="s">
        <v>1516</v>
      </c>
      <c r="C730" s="28">
        <v>40352</v>
      </c>
      <c r="D730" s="27"/>
      <c r="E730" s="27" t="s">
        <v>2168</v>
      </c>
      <c r="F730" s="29" t="s">
        <v>2159</v>
      </c>
      <c r="G730" s="27" t="s">
        <v>573</v>
      </c>
      <c r="H730" s="27" t="s">
        <v>19</v>
      </c>
      <c r="I730" s="27">
        <v>1</v>
      </c>
      <c r="J730" s="30">
        <v>41172398</v>
      </c>
      <c r="K730" s="26" t="s">
        <v>20</v>
      </c>
      <c r="L730" s="26" t="s">
        <v>284</v>
      </c>
      <c r="M730" s="31" t="s">
        <v>1224</v>
      </c>
      <c r="N730" s="6"/>
      <c r="O730" s="6"/>
      <c r="P730" s="23"/>
      <c r="Q730" s="2"/>
      <c r="R730" s="2"/>
      <c r="S730" s="2"/>
      <c r="T730" s="2"/>
      <c r="U730" s="2"/>
      <c r="V730" s="2"/>
      <c r="W730" s="2"/>
      <c r="X730" s="2"/>
      <c r="Y730" s="2"/>
    </row>
    <row r="731" spans="1:25" ht="12.75" hidden="1" customHeight="1">
      <c r="A731" s="26">
        <v>430</v>
      </c>
      <c r="B731" s="27" t="s">
        <v>1516</v>
      </c>
      <c r="C731" s="28">
        <v>40352</v>
      </c>
      <c r="D731" s="27"/>
      <c r="E731" s="27" t="s">
        <v>2169</v>
      </c>
      <c r="F731" s="29" t="s">
        <v>2159</v>
      </c>
      <c r="G731" s="27" t="s">
        <v>573</v>
      </c>
      <c r="H731" s="27" t="s">
        <v>19</v>
      </c>
      <c r="I731" s="27">
        <v>1</v>
      </c>
      <c r="J731" s="30">
        <v>41172398</v>
      </c>
      <c r="K731" s="26" t="s">
        <v>20</v>
      </c>
      <c r="L731" s="26" t="s">
        <v>284</v>
      </c>
      <c r="M731" s="31" t="s">
        <v>1224</v>
      </c>
      <c r="N731" s="6"/>
      <c r="O731" s="6"/>
      <c r="P731" s="23"/>
      <c r="Q731" s="2"/>
      <c r="R731" s="2"/>
      <c r="S731" s="2"/>
      <c r="T731" s="2"/>
      <c r="U731" s="2"/>
      <c r="V731" s="2"/>
      <c r="W731" s="2"/>
      <c r="X731" s="2"/>
      <c r="Y731" s="2"/>
    </row>
    <row r="732" spans="1:25" ht="12.75" hidden="1" customHeight="1">
      <c r="A732" s="26">
        <v>431</v>
      </c>
      <c r="B732" s="27" t="s">
        <v>1516</v>
      </c>
      <c r="C732" s="28">
        <v>40352</v>
      </c>
      <c r="D732" s="27"/>
      <c r="E732" s="27" t="s">
        <v>2170</v>
      </c>
      <c r="F732" s="29" t="s">
        <v>2159</v>
      </c>
      <c r="G732" s="27" t="s">
        <v>573</v>
      </c>
      <c r="H732" s="27" t="s">
        <v>19</v>
      </c>
      <c r="I732" s="27">
        <v>1</v>
      </c>
      <c r="J732" s="30">
        <v>41172398</v>
      </c>
      <c r="K732" s="26" t="s">
        <v>20</v>
      </c>
      <c r="L732" s="26" t="s">
        <v>284</v>
      </c>
      <c r="M732" s="31" t="s">
        <v>1224</v>
      </c>
      <c r="N732" s="6"/>
      <c r="O732" s="6"/>
      <c r="P732" s="23"/>
      <c r="Q732" s="2"/>
      <c r="R732" s="2"/>
      <c r="S732" s="2"/>
      <c r="T732" s="2"/>
      <c r="U732" s="2"/>
      <c r="V732" s="2"/>
      <c r="W732" s="2"/>
      <c r="X732" s="2"/>
      <c r="Y732" s="2"/>
    </row>
    <row r="733" spans="1:25" ht="25.5" hidden="1" customHeight="1">
      <c r="A733" s="26">
        <v>432</v>
      </c>
      <c r="B733" s="27" t="s">
        <v>1516</v>
      </c>
      <c r="C733" s="28">
        <v>40352</v>
      </c>
      <c r="D733" s="27"/>
      <c r="E733" s="27" t="s">
        <v>2171</v>
      </c>
      <c r="F733" s="29" t="s">
        <v>2172</v>
      </c>
      <c r="G733" s="27" t="s">
        <v>248</v>
      </c>
      <c r="H733" s="27" t="s">
        <v>19</v>
      </c>
      <c r="I733" s="27">
        <v>1</v>
      </c>
      <c r="J733" s="30">
        <v>120164584</v>
      </c>
      <c r="K733" s="26" t="s">
        <v>20</v>
      </c>
      <c r="L733" s="26" t="s">
        <v>284</v>
      </c>
      <c r="M733" s="31" t="s">
        <v>2173</v>
      </c>
      <c r="N733" s="6"/>
      <c r="O733" s="6"/>
      <c r="P733" s="23"/>
      <c r="Q733" s="2"/>
      <c r="R733" s="2"/>
      <c r="S733" s="2"/>
      <c r="T733" s="2"/>
      <c r="U733" s="2"/>
      <c r="V733" s="2"/>
      <c r="W733" s="2"/>
      <c r="X733" s="2"/>
      <c r="Y733" s="2"/>
    </row>
    <row r="734" spans="1:25" ht="25.5" hidden="1" customHeight="1">
      <c r="A734" s="26">
        <v>433</v>
      </c>
      <c r="B734" s="27" t="s">
        <v>1516</v>
      </c>
      <c r="C734" s="28">
        <v>40352</v>
      </c>
      <c r="D734" s="27"/>
      <c r="E734" s="27" t="s">
        <v>2174</v>
      </c>
      <c r="F734" s="29" t="s">
        <v>2175</v>
      </c>
      <c r="G734" s="27" t="s">
        <v>248</v>
      </c>
      <c r="H734" s="27" t="s">
        <v>19</v>
      </c>
      <c r="I734" s="27">
        <v>1</v>
      </c>
      <c r="J734" s="30">
        <v>120164584</v>
      </c>
      <c r="K734" s="26" t="s">
        <v>20</v>
      </c>
      <c r="L734" s="26" t="s">
        <v>284</v>
      </c>
      <c r="M734" s="31" t="s">
        <v>2176</v>
      </c>
      <c r="N734" s="6"/>
      <c r="O734" s="6"/>
      <c r="P734" s="23"/>
      <c r="Q734" s="2"/>
      <c r="R734" s="2"/>
      <c r="S734" s="2"/>
      <c r="T734" s="2"/>
      <c r="U734" s="2"/>
      <c r="V734" s="2"/>
      <c r="W734" s="2"/>
      <c r="X734" s="2"/>
      <c r="Y734" s="2"/>
    </row>
    <row r="735" spans="1:25" ht="25.5" hidden="1" customHeight="1">
      <c r="A735" s="26">
        <v>434</v>
      </c>
      <c r="B735" s="27" t="s">
        <v>1516</v>
      </c>
      <c r="C735" s="28">
        <v>40352</v>
      </c>
      <c r="D735" s="27"/>
      <c r="E735" s="27" t="s">
        <v>2177</v>
      </c>
      <c r="F735" s="29" t="s">
        <v>2178</v>
      </c>
      <c r="G735" s="27" t="s">
        <v>248</v>
      </c>
      <c r="H735" s="27" t="s">
        <v>19</v>
      </c>
      <c r="I735" s="27">
        <v>1</v>
      </c>
      <c r="J735" s="30">
        <v>120164585</v>
      </c>
      <c r="K735" s="26" t="s">
        <v>20</v>
      </c>
      <c r="L735" s="26" t="s">
        <v>284</v>
      </c>
      <c r="M735" s="31" t="s">
        <v>2179</v>
      </c>
      <c r="N735" s="6"/>
      <c r="O735" s="6"/>
      <c r="P735" s="23"/>
      <c r="Q735" s="2"/>
      <c r="R735" s="2"/>
      <c r="S735" s="2"/>
      <c r="T735" s="2"/>
      <c r="U735" s="2"/>
      <c r="V735" s="2"/>
      <c r="W735" s="2"/>
      <c r="X735" s="2"/>
      <c r="Y735" s="2"/>
    </row>
    <row r="736" spans="1:25" ht="25.5" hidden="1" customHeight="1">
      <c r="A736" s="26">
        <v>435</v>
      </c>
      <c r="B736" s="27" t="s">
        <v>2180</v>
      </c>
      <c r="C736" s="28">
        <v>40408</v>
      </c>
      <c r="D736" s="27"/>
      <c r="E736" s="27" t="s">
        <v>2181</v>
      </c>
      <c r="F736" s="29" t="s">
        <v>2182</v>
      </c>
      <c r="G736" s="27"/>
      <c r="H736" s="27" t="s">
        <v>19</v>
      </c>
      <c r="I736" s="27">
        <v>1</v>
      </c>
      <c r="J736" s="30">
        <v>63956667</v>
      </c>
      <c r="K736" s="26" t="s">
        <v>20</v>
      </c>
      <c r="L736" s="26" t="s">
        <v>233</v>
      </c>
      <c r="M736" s="31" t="s">
        <v>2183</v>
      </c>
      <c r="N736" s="6"/>
      <c r="O736" s="6"/>
      <c r="P736" s="23"/>
      <c r="Q736" s="2"/>
      <c r="R736" s="2"/>
      <c r="S736" s="2"/>
      <c r="T736" s="2"/>
      <c r="U736" s="2"/>
      <c r="V736" s="2"/>
      <c r="W736" s="2"/>
      <c r="X736" s="2"/>
      <c r="Y736" s="2"/>
    </row>
    <row r="737" spans="1:26" ht="25.5" hidden="1" customHeight="1">
      <c r="A737" s="26">
        <v>436</v>
      </c>
      <c r="B737" s="27" t="s">
        <v>2180</v>
      </c>
      <c r="C737" s="28">
        <v>40408</v>
      </c>
      <c r="D737" s="27"/>
      <c r="E737" s="27" t="s">
        <v>2184</v>
      </c>
      <c r="F737" s="29" t="s">
        <v>2185</v>
      </c>
      <c r="G737" s="27"/>
      <c r="H737" s="27" t="s">
        <v>19</v>
      </c>
      <c r="I737" s="27">
        <v>1</v>
      </c>
      <c r="J737" s="30">
        <v>63956667</v>
      </c>
      <c r="K737" s="26" t="s">
        <v>20</v>
      </c>
      <c r="L737" s="26" t="s">
        <v>233</v>
      </c>
      <c r="M737" s="31" t="s">
        <v>2183</v>
      </c>
      <c r="N737" s="6"/>
      <c r="O737" s="6"/>
      <c r="P737" s="23"/>
      <c r="Q737" s="2"/>
      <c r="R737" s="2"/>
      <c r="S737" s="2"/>
      <c r="T737" s="2"/>
      <c r="U737" s="2"/>
      <c r="V737" s="2"/>
      <c r="W737" s="2"/>
      <c r="X737" s="2"/>
      <c r="Y737" s="2"/>
    </row>
    <row r="738" spans="1:26" ht="25.5" hidden="1" customHeight="1">
      <c r="A738" s="17">
        <v>437</v>
      </c>
      <c r="B738" s="27" t="s">
        <v>2180</v>
      </c>
      <c r="C738" s="19">
        <v>40408</v>
      </c>
      <c r="D738" s="27"/>
      <c r="E738" s="18" t="s">
        <v>2186</v>
      </c>
      <c r="F738" s="20" t="s">
        <v>2187</v>
      </c>
      <c r="G738" s="18"/>
      <c r="H738" s="18" t="s">
        <v>19</v>
      </c>
      <c r="I738" s="18">
        <v>1</v>
      </c>
      <c r="J738" s="21">
        <v>63956666</v>
      </c>
      <c r="K738" s="17" t="s">
        <v>20</v>
      </c>
      <c r="L738" s="17" t="s">
        <v>21</v>
      </c>
      <c r="M738" s="74" t="s">
        <v>22</v>
      </c>
      <c r="N738" s="23"/>
      <c r="O738" s="23"/>
      <c r="P738" s="23"/>
      <c r="Q738" s="24"/>
      <c r="R738" s="24"/>
      <c r="S738" s="24"/>
      <c r="T738" s="24"/>
      <c r="U738" s="24"/>
      <c r="V738" s="24"/>
      <c r="W738" s="24"/>
      <c r="X738" s="24"/>
      <c r="Y738" s="24"/>
      <c r="Z738" s="25"/>
    </row>
    <row r="739" spans="1:26" ht="12.75" hidden="1" customHeight="1">
      <c r="A739" s="26">
        <v>438</v>
      </c>
      <c r="B739" s="27" t="s">
        <v>2188</v>
      </c>
      <c r="C739" s="28">
        <v>41411</v>
      </c>
      <c r="D739" s="27"/>
      <c r="E739" s="27" t="s">
        <v>2189</v>
      </c>
      <c r="F739" s="29" t="s">
        <v>2190</v>
      </c>
      <c r="G739" s="27" t="s">
        <v>55</v>
      </c>
      <c r="H739" s="27" t="s">
        <v>19</v>
      </c>
      <c r="I739" s="27">
        <v>1</v>
      </c>
      <c r="J739" s="30">
        <v>104228947</v>
      </c>
      <c r="K739" s="26" t="s">
        <v>20</v>
      </c>
      <c r="L739" s="26" t="s">
        <v>233</v>
      </c>
      <c r="M739" s="31" t="s">
        <v>2183</v>
      </c>
      <c r="N739" s="6"/>
      <c r="O739" s="6"/>
      <c r="P739" s="23"/>
      <c r="Q739" s="2"/>
      <c r="R739" s="2"/>
      <c r="S739" s="2"/>
      <c r="T739" s="2"/>
      <c r="U739" s="2"/>
      <c r="V739" s="2"/>
      <c r="W739" s="2"/>
      <c r="X739" s="2"/>
      <c r="Y739" s="2"/>
    </row>
    <row r="740" spans="1:26" ht="12.75" hidden="1" customHeight="1">
      <c r="A740" s="26">
        <v>439</v>
      </c>
      <c r="B740" s="27" t="s">
        <v>2188</v>
      </c>
      <c r="C740" s="28">
        <v>41411</v>
      </c>
      <c r="D740" s="27"/>
      <c r="E740" s="27" t="s">
        <v>2191</v>
      </c>
      <c r="F740" s="29" t="s">
        <v>2192</v>
      </c>
      <c r="G740" s="27" t="s">
        <v>55</v>
      </c>
      <c r="H740" s="27" t="s">
        <v>19</v>
      </c>
      <c r="I740" s="27">
        <v>1</v>
      </c>
      <c r="J740" s="30">
        <v>110438469</v>
      </c>
      <c r="K740" s="26" t="s">
        <v>20</v>
      </c>
      <c r="L740" s="26" t="s">
        <v>233</v>
      </c>
      <c r="M740" s="31" t="s">
        <v>2183</v>
      </c>
      <c r="N740" s="6"/>
      <c r="O740" s="6"/>
      <c r="P740" s="23"/>
      <c r="Q740" s="2"/>
      <c r="R740" s="2"/>
      <c r="S740" s="2"/>
      <c r="T740" s="2"/>
      <c r="U740" s="2"/>
      <c r="V740" s="2"/>
      <c r="W740" s="2"/>
      <c r="X740" s="2"/>
      <c r="Y740" s="2"/>
    </row>
    <row r="741" spans="1:26" ht="12.75" hidden="1" customHeight="1">
      <c r="A741" s="26">
        <v>440</v>
      </c>
      <c r="B741" s="27" t="s">
        <v>2188</v>
      </c>
      <c r="C741" s="28">
        <v>41411</v>
      </c>
      <c r="D741" s="27"/>
      <c r="E741" s="27" t="s">
        <v>2193</v>
      </c>
      <c r="F741" s="29" t="s">
        <v>2194</v>
      </c>
      <c r="G741" s="27" t="s">
        <v>55</v>
      </c>
      <c r="H741" s="27" t="s">
        <v>19</v>
      </c>
      <c r="I741" s="27">
        <v>1</v>
      </c>
      <c r="J741" s="30">
        <v>55853472</v>
      </c>
      <c r="K741" s="26" t="s">
        <v>20</v>
      </c>
      <c r="L741" s="26" t="s">
        <v>233</v>
      </c>
      <c r="M741" s="31" t="s">
        <v>2183</v>
      </c>
      <c r="N741" s="6"/>
      <c r="O741" s="6"/>
      <c r="P741" s="23"/>
      <c r="Q741" s="2"/>
      <c r="R741" s="2"/>
      <c r="S741" s="2"/>
      <c r="T741" s="2"/>
      <c r="U741" s="2"/>
      <c r="V741" s="2"/>
      <c r="W741" s="2"/>
      <c r="X741" s="2"/>
      <c r="Y741" s="2"/>
    </row>
    <row r="742" spans="1:26" ht="12.75" hidden="1" customHeight="1">
      <c r="A742" s="26">
        <v>441</v>
      </c>
      <c r="B742" s="27" t="s">
        <v>2188</v>
      </c>
      <c r="C742" s="28">
        <v>41411</v>
      </c>
      <c r="D742" s="27"/>
      <c r="E742" s="27" t="s">
        <v>2195</v>
      </c>
      <c r="F742" s="29" t="s">
        <v>2196</v>
      </c>
      <c r="G742" s="27" t="s">
        <v>55</v>
      </c>
      <c r="H742" s="27" t="s">
        <v>19</v>
      </c>
      <c r="I742" s="27">
        <v>1</v>
      </c>
      <c r="J742" s="30">
        <v>55853472</v>
      </c>
      <c r="K742" s="26" t="s">
        <v>20</v>
      </c>
      <c r="L742" s="26" t="s">
        <v>233</v>
      </c>
      <c r="M742" s="31" t="s">
        <v>2183</v>
      </c>
      <c r="N742" s="6"/>
      <c r="O742" s="6"/>
      <c r="P742" s="23"/>
      <c r="Q742" s="2"/>
      <c r="R742" s="2"/>
      <c r="S742" s="2"/>
      <c r="T742" s="2"/>
      <c r="U742" s="2"/>
      <c r="V742" s="2"/>
      <c r="W742" s="2"/>
      <c r="X742" s="2"/>
      <c r="Y742" s="2"/>
    </row>
    <row r="743" spans="1:26" ht="12.75" hidden="1" customHeight="1">
      <c r="A743" s="26">
        <v>442</v>
      </c>
      <c r="B743" s="27" t="s">
        <v>2188</v>
      </c>
      <c r="C743" s="28">
        <v>41411</v>
      </c>
      <c r="D743" s="27"/>
      <c r="E743" s="27" t="s">
        <v>2197</v>
      </c>
      <c r="F743" s="29" t="s">
        <v>2198</v>
      </c>
      <c r="G743" s="27" t="s">
        <v>55</v>
      </c>
      <c r="H743" s="27" t="s">
        <v>19</v>
      </c>
      <c r="I743" s="27">
        <v>1</v>
      </c>
      <c r="J743" s="30">
        <v>61869620</v>
      </c>
      <c r="K743" s="26" t="s">
        <v>20</v>
      </c>
      <c r="L743" s="26" t="s">
        <v>233</v>
      </c>
      <c r="M743" s="72" t="s">
        <v>1369</v>
      </c>
      <c r="N743" s="6"/>
      <c r="O743" s="6"/>
      <c r="P743" s="23"/>
      <c r="Q743" s="2"/>
      <c r="R743" s="2"/>
      <c r="S743" s="2"/>
      <c r="T743" s="2"/>
      <c r="U743" s="2"/>
      <c r="V743" s="2"/>
      <c r="W743" s="2"/>
      <c r="X743" s="2"/>
      <c r="Y743" s="2"/>
    </row>
    <row r="744" spans="1:26" ht="12.75" hidden="1" customHeight="1">
      <c r="A744" s="17">
        <v>443</v>
      </c>
      <c r="B744" s="27" t="s">
        <v>2188</v>
      </c>
      <c r="C744" s="19">
        <v>41411</v>
      </c>
      <c r="D744" s="27"/>
      <c r="E744" s="18" t="s">
        <v>2199</v>
      </c>
      <c r="F744" s="20" t="s">
        <v>2200</v>
      </c>
      <c r="G744" s="18" t="s">
        <v>55</v>
      </c>
      <c r="H744" s="18" t="s">
        <v>19</v>
      </c>
      <c r="I744" s="18">
        <v>1</v>
      </c>
      <c r="J744" s="21">
        <v>65103298</v>
      </c>
      <c r="K744" s="17" t="s">
        <v>20</v>
      </c>
      <c r="L744" s="17" t="s">
        <v>21</v>
      </c>
      <c r="M744" s="22" t="s">
        <v>22</v>
      </c>
      <c r="N744" s="23"/>
      <c r="O744" s="23"/>
      <c r="P744" s="23"/>
      <c r="Q744" s="24"/>
      <c r="R744" s="24"/>
      <c r="S744" s="24"/>
      <c r="T744" s="24"/>
      <c r="U744" s="24"/>
      <c r="V744" s="24"/>
      <c r="W744" s="24"/>
      <c r="X744" s="24"/>
      <c r="Y744" s="24"/>
      <c r="Z744" s="25"/>
    </row>
    <row r="745" spans="1:26" ht="25.5" hidden="1" customHeight="1">
      <c r="A745" s="26">
        <v>444</v>
      </c>
      <c r="B745" s="27" t="s">
        <v>2188</v>
      </c>
      <c r="C745" s="28">
        <v>41411</v>
      </c>
      <c r="D745" s="27"/>
      <c r="E745" s="27" t="s">
        <v>2201</v>
      </c>
      <c r="F745" s="29" t="s">
        <v>2202</v>
      </c>
      <c r="G745" s="27" t="s">
        <v>55</v>
      </c>
      <c r="H745" s="27" t="s">
        <v>19</v>
      </c>
      <c r="I745" s="27">
        <v>1</v>
      </c>
      <c r="J745" s="30">
        <v>83395536</v>
      </c>
      <c r="K745" s="26" t="s">
        <v>20</v>
      </c>
      <c r="L745" s="26" t="s">
        <v>233</v>
      </c>
      <c r="M745" s="31" t="s">
        <v>2183</v>
      </c>
      <c r="N745" s="6"/>
      <c r="O745" s="6"/>
      <c r="P745" s="23"/>
      <c r="Q745" s="2"/>
      <c r="R745" s="2"/>
      <c r="S745" s="2"/>
      <c r="T745" s="2"/>
      <c r="U745" s="2"/>
      <c r="V745" s="2"/>
      <c r="W745" s="2"/>
      <c r="X745" s="2"/>
      <c r="Y745" s="2"/>
    </row>
    <row r="746" spans="1:26" ht="25.5" hidden="1" customHeight="1">
      <c r="A746" s="26">
        <v>445</v>
      </c>
      <c r="B746" s="27" t="s">
        <v>2188</v>
      </c>
      <c r="C746" s="28">
        <v>41411</v>
      </c>
      <c r="D746" s="27"/>
      <c r="E746" s="27" t="s">
        <v>2203</v>
      </c>
      <c r="F746" s="29" t="s">
        <v>2204</v>
      </c>
      <c r="G746" s="27" t="s">
        <v>55</v>
      </c>
      <c r="H746" s="27" t="s">
        <v>19</v>
      </c>
      <c r="I746" s="27">
        <v>1</v>
      </c>
      <c r="J746" s="30">
        <v>83395536</v>
      </c>
      <c r="K746" s="26" t="s">
        <v>20</v>
      </c>
      <c r="L746" s="26" t="s">
        <v>233</v>
      </c>
      <c r="M746" s="31" t="s">
        <v>2183</v>
      </c>
      <c r="N746" s="6"/>
      <c r="O746" s="6"/>
      <c r="P746" s="23"/>
      <c r="Q746" s="2"/>
      <c r="R746" s="2"/>
      <c r="S746" s="2"/>
      <c r="T746" s="2"/>
      <c r="U746" s="2"/>
      <c r="V746" s="2"/>
      <c r="W746" s="2"/>
      <c r="X746" s="2"/>
      <c r="Y746" s="2"/>
    </row>
    <row r="747" spans="1:26" ht="25.5" hidden="1" customHeight="1">
      <c r="A747" s="26">
        <v>446</v>
      </c>
      <c r="B747" s="27" t="s">
        <v>2188</v>
      </c>
      <c r="C747" s="28">
        <v>41411</v>
      </c>
      <c r="D747" s="27"/>
      <c r="E747" s="27" t="s">
        <v>2205</v>
      </c>
      <c r="F747" s="29" t="s">
        <v>2206</v>
      </c>
      <c r="G747" s="27" t="s">
        <v>55</v>
      </c>
      <c r="H747" s="27" t="s">
        <v>19</v>
      </c>
      <c r="I747" s="27">
        <v>1</v>
      </c>
      <c r="J747" s="30">
        <v>83395536</v>
      </c>
      <c r="K747" s="26" t="s">
        <v>20</v>
      </c>
      <c r="L747" s="26" t="s">
        <v>233</v>
      </c>
      <c r="M747" s="31" t="s">
        <v>2183</v>
      </c>
      <c r="N747" s="6"/>
      <c r="O747" s="6"/>
      <c r="P747" s="23"/>
      <c r="Q747" s="2"/>
      <c r="R747" s="2"/>
      <c r="S747" s="2"/>
      <c r="T747" s="2"/>
      <c r="U747" s="2"/>
      <c r="V747" s="2"/>
      <c r="W747" s="2"/>
      <c r="X747" s="2"/>
      <c r="Y747" s="2"/>
    </row>
    <row r="748" spans="1:26" ht="25.5" hidden="1" customHeight="1">
      <c r="A748" s="26">
        <v>447</v>
      </c>
      <c r="B748" s="27" t="s">
        <v>2188</v>
      </c>
      <c r="C748" s="28">
        <v>41411</v>
      </c>
      <c r="D748" s="27"/>
      <c r="E748" s="27" t="s">
        <v>2207</v>
      </c>
      <c r="F748" s="29" t="s">
        <v>2208</v>
      </c>
      <c r="G748" s="27" t="s">
        <v>55</v>
      </c>
      <c r="H748" s="27" t="s">
        <v>19</v>
      </c>
      <c r="I748" s="27">
        <v>1</v>
      </c>
      <c r="J748" s="30">
        <v>83395536</v>
      </c>
      <c r="K748" s="26" t="s">
        <v>20</v>
      </c>
      <c r="L748" s="26" t="s">
        <v>233</v>
      </c>
      <c r="M748" s="31" t="s">
        <v>2183</v>
      </c>
      <c r="N748" s="6"/>
      <c r="O748" s="6"/>
      <c r="P748" s="23"/>
      <c r="Q748" s="2"/>
      <c r="R748" s="2"/>
      <c r="S748" s="2"/>
      <c r="T748" s="2"/>
      <c r="U748" s="2"/>
      <c r="V748" s="2"/>
      <c r="W748" s="2"/>
      <c r="X748" s="2"/>
      <c r="Y748" s="2"/>
    </row>
    <row r="749" spans="1:26" ht="25.5" hidden="1" customHeight="1">
      <c r="A749" s="26">
        <v>448</v>
      </c>
      <c r="B749" s="27" t="s">
        <v>2188</v>
      </c>
      <c r="C749" s="28">
        <v>41411</v>
      </c>
      <c r="D749" s="27"/>
      <c r="E749" s="27" t="s">
        <v>2209</v>
      </c>
      <c r="F749" s="29" t="s">
        <v>2210</v>
      </c>
      <c r="G749" s="27" t="s">
        <v>55</v>
      </c>
      <c r="H749" s="27" t="s">
        <v>19</v>
      </c>
      <c r="I749" s="27">
        <v>1</v>
      </c>
      <c r="J749" s="30">
        <v>83395536</v>
      </c>
      <c r="K749" s="26" t="s">
        <v>20</v>
      </c>
      <c r="L749" s="26" t="s">
        <v>233</v>
      </c>
      <c r="M749" s="31" t="s">
        <v>2183</v>
      </c>
      <c r="N749" s="6"/>
      <c r="O749" s="6"/>
      <c r="P749" s="23"/>
      <c r="Q749" s="2"/>
      <c r="R749" s="2"/>
      <c r="S749" s="2"/>
      <c r="T749" s="2"/>
      <c r="U749" s="2"/>
      <c r="V749" s="2"/>
      <c r="W749" s="2"/>
      <c r="X749" s="2"/>
      <c r="Y749" s="2"/>
    </row>
    <row r="750" spans="1:26" ht="25.5" hidden="1" customHeight="1">
      <c r="A750" s="26">
        <v>449</v>
      </c>
      <c r="B750" s="27" t="s">
        <v>2188</v>
      </c>
      <c r="C750" s="28">
        <v>41411</v>
      </c>
      <c r="D750" s="27"/>
      <c r="E750" s="27" t="s">
        <v>2211</v>
      </c>
      <c r="F750" s="29" t="s">
        <v>2212</v>
      </c>
      <c r="G750" s="27" t="s">
        <v>55</v>
      </c>
      <c r="H750" s="27" t="s">
        <v>19</v>
      </c>
      <c r="I750" s="27">
        <v>1</v>
      </c>
      <c r="J750" s="30">
        <v>83395536</v>
      </c>
      <c r="K750" s="26" t="s">
        <v>20</v>
      </c>
      <c r="L750" s="26" t="s">
        <v>233</v>
      </c>
      <c r="M750" s="31" t="s">
        <v>2183</v>
      </c>
      <c r="N750" s="6"/>
      <c r="O750" s="6"/>
      <c r="P750" s="23"/>
      <c r="Q750" s="2"/>
      <c r="R750" s="2"/>
      <c r="S750" s="2"/>
      <c r="T750" s="2"/>
      <c r="U750" s="2"/>
      <c r="V750" s="2"/>
      <c r="W750" s="2"/>
      <c r="X750" s="2"/>
      <c r="Y750" s="2"/>
    </row>
    <row r="751" spans="1:26" ht="25.5" hidden="1" customHeight="1">
      <c r="A751" s="26">
        <v>450</v>
      </c>
      <c r="B751" s="27" t="s">
        <v>2188</v>
      </c>
      <c r="C751" s="28">
        <v>41411</v>
      </c>
      <c r="D751" s="27"/>
      <c r="E751" s="27" t="s">
        <v>2213</v>
      </c>
      <c r="F751" s="29" t="s">
        <v>2214</v>
      </c>
      <c r="G751" s="27" t="s">
        <v>55</v>
      </c>
      <c r="H751" s="27" t="s">
        <v>19</v>
      </c>
      <c r="I751" s="27">
        <v>1</v>
      </c>
      <c r="J751" s="30">
        <v>62095224</v>
      </c>
      <c r="K751" s="26" t="s">
        <v>20</v>
      </c>
      <c r="L751" s="26" t="s">
        <v>233</v>
      </c>
      <c r="M751" s="31" t="s">
        <v>2183</v>
      </c>
      <c r="N751" s="6"/>
      <c r="O751" s="6"/>
      <c r="P751" s="23"/>
      <c r="Q751" s="2"/>
      <c r="R751" s="2"/>
      <c r="S751" s="2"/>
      <c r="T751" s="2"/>
      <c r="U751" s="2"/>
      <c r="V751" s="2"/>
      <c r="W751" s="2"/>
      <c r="X751" s="2"/>
      <c r="Y751" s="2"/>
    </row>
    <row r="752" spans="1:26" ht="25.5" hidden="1" customHeight="1">
      <c r="A752" s="26">
        <v>451</v>
      </c>
      <c r="B752" s="27" t="s">
        <v>2188</v>
      </c>
      <c r="C752" s="28">
        <v>41411</v>
      </c>
      <c r="D752" s="27"/>
      <c r="E752" s="27" t="s">
        <v>2215</v>
      </c>
      <c r="F752" s="29" t="s">
        <v>2216</v>
      </c>
      <c r="G752" s="27" t="s">
        <v>55</v>
      </c>
      <c r="H752" s="27" t="s">
        <v>19</v>
      </c>
      <c r="I752" s="27">
        <v>1</v>
      </c>
      <c r="J752" s="30">
        <v>62095224</v>
      </c>
      <c r="K752" s="26" t="s">
        <v>20</v>
      </c>
      <c r="L752" s="26" t="s">
        <v>233</v>
      </c>
      <c r="M752" s="31" t="s">
        <v>2183</v>
      </c>
      <c r="N752" s="6"/>
      <c r="O752" s="6"/>
      <c r="P752" s="23"/>
      <c r="Q752" s="2"/>
      <c r="R752" s="2"/>
      <c r="S752" s="2"/>
      <c r="T752" s="2"/>
      <c r="U752" s="2"/>
      <c r="V752" s="2"/>
      <c r="W752" s="2"/>
      <c r="X752" s="2"/>
      <c r="Y752" s="2"/>
    </row>
    <row r="753" spans="1:26" ht="25.5" hidden="1" customHeight="1">
      <c r="A753" s="26">
        <v>452</v>
      </c>
      <c r="B753" s="27" t="s">
        <v>2188</v>
      </c>
      <c r="C753" s="28">
        <v>41411</v>
      </c>
      <c r="D753" s="27"/>
      <c r="E753" s="27" t="s">
        <v>2217</v>
      </c>
      <c r="F753" s="29" t="s">
        <v>2218</v>
      </c>
      <c r="G753" s="27" t="s">
        <v>55</v>
      </c>
      <c r="H753" s="27" t="s">
        <v>19</v>
      </c>
      <c r="I753" s="27">
        <v>1</v>
      </c>
      <c r="J753" s="30">
        <v>69379058</v>
      </c>
      <c r="K753" s="26" t="s">
        <v>20</v>
      </c>
      <c r="L753" s="26" t="s">
        <v>233</v>
      </c>
      <c r="M753" s="31" t="s">
        <v>2183</v>
      </c>
      <c r="N753" s="6"/>
      <c r="O753" s="6"/>
      <c r="P753" s="23"/>
      <c r="Q753" s="2"/>
      <c r="R753" s="2"/>
      <c r="S753" s="2"/>
      <c r="T753" s="2"/>
      <c r="U753" s="2"/>
      <c r="V753" s="2"/>
      <c r="W753" s="2"/>
      <c r="X753" s="2"/>
      <c r="Y753" s="2"/>
    </row>
    <row r="754" spans="1:26" ht="25.5" hidden="1" customHeight="1">
      <c r="A754" s="26">
        <v>453</v>
      </c>
      <c r="B754" s="27" t="s">
        <v>1690</v>
      </c>
      <c r="C754" s="28">
        <v>41982</v>
      </c>
      <c r="D754" s="27"/>
      <c r="E754" s="27" t="s">
        <v>2219</v>
      </c>
      <c r="F754" s="29" t="s">
        <v>2220</v>
      </c>
      <c r="G754" s="27" t="s">
        <v>407</v>
      </c>
      <c r="H754" s="27" t="s">
        <v>19</v>
      </c>
      <c r="I754" s="27">
        <v>1</v>
      </c>
      <c r="J754" s="30">
        <v>37978476</v>
      </c>
      <c r="K754" s="26" t="s">
        <v>20</v>
      </c>
      <c r="L754" s="26" t="s">
        <v>284</v>
      </c>
      <c r="M754" s="31" t="s">
        <v>2145</v>
      </c>
      <c r="N754" s="6"/>
      <c r="O754" s="6"/>
      <c r="P754" s="23"/>
      <c r="Q754" s="2"/>
      <c r="R754" s="2"/>
      <c r="S754" s="2"/>
      <c r="T754" s="2"/>
      <c r="U754" s="2"/>
      <c r="V754" s="2"/>
      <c r="W754" s="2"/>
      <c r="X754" s="2"/>
      <c r="Y754" s="2"/>
    </row>
    <row r="755" spans="1:26" ht="25.5" hidden="1" customHeight="1">
      <c r="A755" s="26">
        <v>454</v>
      </c>
      <c r="B755" s="27" t="s">
        <v>1690</v>
      </c>
      <c r="C755" s="28">
        <v>41982</v>
      </c>
      <c r="D755" s="27"/>
      <c r="E755" s="27" t="s">
        <v>2221</v>
      </c>
      <c r="F755" s="29" t="s">
        <v>2222</v>
      </c>
      <c r="G755" s="27" t="s">
        <v>407</v>
      </c>
      <c r="H755" s="27" t="s">
        <v>19</v>
      </c>
      <c r="I755" s="27">
        <v>1</v>
      </c>
      <c r="J755" s="30">
        <v>37978476</v>
      </c>
      <c r="K755" s="26" t="s">
        <v>20</v>
      </c>
      <c r="L755" s="26" t="s">
        <v>284</v>
      </c>
      <c r="M755" s="31" t="s">
        <v>1224</v>
      </c>
      <c r="N755" s="6"/>
      <c r="O755" s="6"/>
      <c r="P755" s="23"/>
      <c r="Q755" s="2"/>
      <c r="R755" s="2"/>
      <c r="S755" s="2"/>
      <c r="T755" s="2"/>
      <c r="U755" s="2"/>
      <c r="V755" s="2"/>
      <c r="W755" s="2"/>
      <c r="X755" s="2"/>
      <c r="Y755" s="2"/>
    </row>
    <row r="756" spans="1:26" ht="25.5" hidden="1" customHeight="1">
      <c r="A756" s="26">
        <v>455</v>
      </c>
      <c r="B756" s="27" t="s">
        <v>1690</v>
      </c>
      <c r="C756" s="28">
        <v>41982</v>
      </c>
      <c r="D756" s="27"/>
      <c r="E756" s="27" t="s">
        <v>2223</v>
      </c>
      <c r="F756" s="29" t="s">
        <v>2224</v>
      </c>
      <c r="G756" s="27" t="s">
        <v>407</v>
      </c>
      <c r="H756" s="27" t="s">
        <v>19</v>
      </c>
      <c r="I756" s="27">
        <v>1</v>
      </c>
      <c r="J756" s="30">
        <v>37978476</v>
      </c>
      <c r="K756" s="26" t="s">
        <v>20</v>
      </c>
      <c r="L756" s="26" t="s">
        <v>284</v>
      </c>
      <c r="M756" s="31" t="s">
        <v>2145</v>
      </c>
      <c r="N756" s="6"/>
      <c r="O756" s="6"/>
      <c r="P756" s="23"/>
      <c r="Q756" s="2"/>
      <c r="R756" s="2"/>
      <c r="S756" s="2"/>
      <c r="T756" s="2"/>
      <c r="U756" s="2"/>
      <c r="V756" s="2"/>
      <c r="W756" s="2"/>
      <c r="X756" s="2"/>
      <c r="Y756" s="2"/>
    </row>
    <row r="757" spans="1:26" ht="25.5" hidden="1" customHeight="1">
      <c r="A757" s="26">
        <v>456</v>
      </c>
      <c r="B757" s="27" t="s">
        <v>1690</v>
      </c>
      <c r="C757" s="28">
        <v>41982</v>
      </c>
      <c r="D757" s="27"/>
      <c r="E757" s="27" t="s">
        <v>2225</v>
      </c>
      <c r="F757" s="29" t="s">
        <v>2226</v>
      </c>
      <c r="G757" s="27" t="s">
        <v>407</v>
      </c>
      <c r="H757" s="27" t="s">
        <v>19</v>
      </c>
      <c r="I757" s="27">
        <v>1</v>
      </c>
      <c r="J757" s="30">
        <v>37978476</v>
      </c>
      <c r="K757" s="26" t="s">
        <v>20</v>
      </c>
      <c r="L757" s="26" t="s">
        <v>284</v>
      </c>
      <c r="M757" s="31" t="s">
        <v>1224</v>
      </c>
      <c r="N757" s="6"/>
      <c r="O757" s="6"/>
      <c r="P757" s="23"/>
      <c r="Q757" s="2"/>
      <c r="R757" s="2"/>
      <c r="S757" s="2"/>
      <c r="T757" s="2"/>
      <c r="U757" s="2"/>
      <c r="V757" s="2"/>
      <c r="W757" s="2"/>
      <c r="X757" s="2"/>
      <c r="Y757" s="2"/>
    </row>
    <row r="758" spans="1:26" ht="12.75" hidden="1" customHeight="1">
      <c r="A758" s="17">
        <v>457</v>
      </c>
      <c r="B758" s="27" t="s">
        <v>1690</v>
      </c>
      <c r="C758" s="19">
        <v>41982</v>
      </c>
      <c r="D758" s="27"/>
      <c r="E758" s="18" t="s">
        <v>2227</v>
      </c>
      <c r="F758" s="20" t="s">
        <v>2228</v>
      </c>
      <c r="G758" s="18" t="s">
        <v>1008</v>
      </c>
      <c r="H758" s="18" t="s">
        <v>249</v>
      </c>
      <c r="I758" s="18">
        <v>1</v>
      </c>
      <c r="J758" s="21">
        <v>36544867</v>
      </c>
      <c r="K758" s="17" t="s">
        <v>20</v>
      </c>
      <c r="L758" s="17" t="s">
        <v>21</v>
      </c>
      <c r="M758" s="22" t="s">
        <v>22</v>
      </c>
      <c r="N758" s="23"/>
      <c r="O758" s="23"/>
      <c r="P758" s="23"/>
      <c r="Q758" s="24"/>
      <c r="R758" s="24"/>
      <c r="S758" s="24"/>
      <c r="T758" s="24"/>
      <c r="U758" s="24"/>
      <c r="V758" s="24"/>
      <c r="W758" s="24"/>
      <c r="X758" s="24"/>
      <c r="Y758" s="24"/>
      <c r="Z758" s="25"/>
    </row>
    <row r="759" spans="1:26" ht="12.75" hidden="1" customHeight="1">
      <c r="A759" s="17">
        <v>458</v>
      </c>
      <c r="B759" s="27" t="s">
        <v>1690</v>
      </c>
      <c r="C759" s="19">
        <v>41982</v>
      </c>
      <c r="D759" s="27"/>
      <c r="E759" s="18" t="s">
        <v>2229</v>
      </c>
      <c r="F759" s="20" t="s">
        <v>2230</v>
      </c>
      <c r="G759" s="18" t="s">
        <v>1008</v>
      </c>
      <c r="H759" s="18" t="s">
        <v>249</v>
      </c>
      <c r="I759" s="18">
        <v>1</v>
      </c>
      <c r="J759" s="21">
        <v>36544867</v>
      </c>
      <c r="K759" s="17" t="s">
        <v>20</v>
      </c>
      <c r="L759" s="17" t="s">
        <v>21</v>
      </c>
      <c r="M759" s="22" t="s">
        <v>22</v>
      </c>
      <c r="N759" s="23"/>
      <c r="O759" s="23"/>
      <c r="P759" s="23"/>
      <c r="Q759" s="24"/>
      <c r="R759" s="24"/>
      <c r="S759" s="24"/>
      <c r="T759" s="24"/>
      <c r="U759" s="24"/>
      <c r="V759" s="24"/>
      <c r="W759" s="24"/>
      <c r="X759" s="24"/>
      <c r="Y759" s="24"/>
      <c r="Z759" s="25"/>
    </row>
    <row r="760" spans="1:26" ht="12.75" hidden="1" customHeight="1">
      <c r="A760" s="17">
        <v>459</v>
      </c>
      <c r="B760" s="27" t="s">
        <v>1690</v>
      </c>
      <c r="C760" s="19">
        <v>41982</v>
      </c>
      <c r="D760" s="27"/>
      <c r="E760" s="18" t="s">
        <v>2231</v>
      </c>
      <c r="F760" s="20" t="s">
        <v>2232</v>
      </c>
      <c r="G760" s="18" t="s">
        <v>1008</v>
      </c>
      <c r="H760" s="18" t="s">
        <v>249</v>
      </c>
      <c r="I760" s="18">
        <v>1</v>
      </c>
      <c r="J760" s="21">
        <v>36544867</v>
      </c>
      <c r="K760" s="17" t="s">
        <v>20</v>
      </c>
      <c r="L760" s="17" t="s">
        <v>21</v>
      </c>
      <c r="M760" s="22" t="s">
        <v>22</v>
      </c>
      <c r="N760" s="23"/>
      <c r="O760" s="23"/>
      <c r="P760" s="23"/>
      <c r="Q760" s="24"/>
      <c r="R760" s="24"/>
      <c r="S760" s="24"/>
      <c r="T760" s="24"/>
      <c r="U760" s="24"/>
      <c r="V760" s="24"/>
      <c r="W760" s="24"/>
      <c r="X760" s="24"/>
      <c r="Y760" s="24"/>
      <c r="Z760" s="25"/>
    </row>
    <row r="761" spans="1:26" ht="12.75" hidden="1" customHeight="1">
      <c r="A761" s="17">
        <v>460</v>
      </c>
      <c r="B761" s="27" t="s">
        <v>1690</v>
      </c>
      <c r="C761" s="19">
        <v>41982</v>
      </c>
      <c r="D761" s="27"/>
      <c r="E761" s="18" t="s">
        <v>2233</v>
      </c>
      <c r="F761" s="20" t="s">
        <v>2234</v>
      </c>
      <c r="G761" s="18" t="s">
        <v>1008</v>
      </c>
      <c r="H761" s="18" t="s">
        <v>249</v>
      </c>
      <c r="I761" s="18">
        <v>1</v>
      </c>
      <c r="J761" s="21">
        <v>36544867</v>
      </c>
      <c r="K761" s="17" t="s">
        <v>20</v>
      </c>
      <c r="L761" s="17" t="s">
        <v>21</v>
      </c>
      <c r="M761" s="22" t="s">
        <v>22</v>
      </c>
      <c r="N761" s="23"/>
      <c r="O761" s="23"/>
      <c r="P761" s="23"/>
      <c r="Q761" s="24"/>
      <c r="R761" s="24"/>
      <c r="S761" s="24"/>
      <c r="T761" s="24"/>
      <c r="U761" s="24"/>
      <c r="V761" s="24"/>
      <c r="W761" s="24"/>
      <c r="X761" s="24"/>
      <c r="Y761" s="24"/>
      <c r="Z761" s="25"/>
    </row>
    <row r="762" spans="1:26" ht="12.75" hidden="1" customHeight="1">
      <c r="A762" s="17">
        <v>461</v>
      </c>
      <c r="B762" s="27" t="s">
        <v>1690</v>
      </c>
      <c r="C762" s="19">
        <v>41982</v>
      </c>
      <c r="D762" s="27"/>
      <c r="E762" s="18" t="s">
        <v>2235</v>
      </c>
      <c r="F762" s="20" t="s">
        <v>2236</v>
      </c>
      <c r="G762" s="18" t="s">
        <v>1008</v>
      </c>
      <c r="H762" s="18" t="s">
        <v>249</v>
      </c>
      <c r="I762" s="18">
        <v>1</v>
      </c>
      <c r="J762" s="21">
        <v>36544867</v>
      </c>
      <c r="K762" s="17" t="s">
        <v>20</v>
      </c>
      <c r="L762" s="17" t="s">
        <v>21</v>
      </c>
      <c r="M762" s="22" t="s">
        <v>22</v>
      </c>
      <c r="N762" s="23"/>
      <c r="O762" s="23"/>
      <c r="P762" s="23"/>
      <c r="Q762" s="24"/>
      <c r="R762" s="24"/>
      <c r="S762" s="24"/>
      <c r="T762" s="24"/>
      <c r="U762" s="24"/>
      <c r="V762" s="24"/>
      <c r="W762" s="24"/>
      <c r="X762" s="24"/>
      <c r="Y762" s="24"/>
      <c r="Z762" s="25"/>
    </row>
    <row r="763" spans="1:26" ht="12.75" hidden="1" customHeight="1">
      <c r="A763" s="17">
        <v>462</v>
      </c>
      <c r="B763" s="27" t="s">
        <v>1690</v>
      </c>
      <c r="C763" s="19">
        <v>41982</v>
      </c>
      <c r="D763" s="27"/>
      <c r="E763" s="18" t="s">
        <v>2237</v>
      </c>
      <c r="F763" s="20" t="s">
        <v>2238</v>
      </c>
      <c r="G763" s="18" t="s">
        <v>1008</v>
      </c>
      <c r="H763" s="18" t="s">
        <v>249</v>
      </c>
      <c r="I763" s="18">
        <v>1</v>
      </c>
      <c r="J763" s="21">
        <v>36544867</v>
      </c>
      <c r="K763" s="17" t="s">
        <v>20</v>
      </c>
      <c r="L763" s="17" t="s">
        <v>21</v>
      </c>
      <c r="M763" s="22" t="s">
        <v>22</v>
      </c>
      <c r="N763" s="23"/>
      <c r="O763" s="23"/>
      <c r="P763" s="23"/>
      <c r="Q763" s="24"/>
      <c r="R763" s="24"/>
      <c r="S763" s="24"/>
      <c r="T763" s="24"/>
      <c r="U763" s="24"/>
      <c r="V763" s="24"/>
      <c r="W763" s="24"/>
      <c r="X763" s="24"/>
      <c r="Y763" s="24"/>
      <c r="Z763" s="25"/>
    </row>
    <row r="764" spans="1:26" ht="12.75" hidden="1" customHeight="1">
      <c r="A764" s="17">
        <v>463</v>
      </c>
      <c r="B764" s="27" t="s">
        <v>1690</v>
      </c>
      <c r="C764" s="19">
        <v>41982</v>
      </c>
      <c r="D764" s="27"/>
      <c r="E764" s="18" t="s">
        <v>2239</v>
      </c>
      <c r="F764" s="20" t="s">
        <v>2240</v>
      </c>
      <c r="G764" s="18" t="s">
        <v>1008</v>
      </c>
      <c r="H764" s="18" t="s">
        <v>249</v>
      </c>
      <c r="I764" s="18">
        <v>1</v>
      </c>
      <c r="J764" s="21">
        <v>36544867</v>
      </c>
      <c r="K764" s="17" t="s">
        <v>20</v>
      </c>
      <c r="L764" s="17" t="s">
        <v>21</v>
      </c>
      <c r="M764" s="22" t="s">
        <v>22</v>
      </c>
      <c r="N764" s="23"/>
      <c r="O764" s="23"/>
      <c r="P764" s="23"/>
      <c r="Q764" s="24"/>
      <c r="R764" s="24"/>
      <c r="S764" s="24"/>
      <c r="T764" s="24"/>
      <c r="U764" s="24"/>
      <c r="V764" s="24"/>
      <c r="W764" s="24"/>
      <c r="X764" s="24"/>
      <c r="Y764" s="24"/>
      <c r="Z764" s="25"/>
    </row>
    <row r="765" spans="1:26" ht="12.75" hidden="1" customHeight="1">
      <c r="A765" s="17">
        <v>464</v>
      </c>
      <c r="B765" s="27" t="s">
        <v>1690</v>
      </c>
      <c r="C765" s="19">
        <v>41982</v>
      </c>
      <c r="D765" s="27"/>
      <c r="E765" s="18" t="s">
        <v>2241</v>
      </c>
      <c r="F765" s="20" t="s">
        <v>2242</v>
      </c>
      <c r="G765" s="18" t="s">
        <v>1008</v>
      </c>
      <c r="H765" s="18" t="s">
        <v>249</v>
      </c>
      <c r="I765" s="18">
        <v>1</v>
      </c>
      <c r="J765" s="21">
        <v>36544867</v>
      </c>
      <c r="K765" s="17" t="s">
        <v>20</v>
      </c>
      <c r="L765" s="17" t="s">
        <v>21</v>
      </c>
      <c r="M765" s="22" t="s">
        <v>22</v>
      </c>
      <c r="N765" s="23"/>
      <c r="O765" s="23"/>
      <c r="P765" s="23"/>
      <c r="Q765" s="24"/>
      <c r="R765" s="24"/>
      <c r="S765" s="24"/>
      <c r="T765" s="24"/>
      <c r="U765" s="24"/>
      <c r="V765" s="24"/>
      <c r="W765" s="24"/>
      <c r="X765" s="24"/>
      <c r="Y765" s="24"/>
      <c r="Z765" s="25"/>
    </row>
    <row r="766" spans="1:26" ht="12.75" hidden="1" customHeight="1">
      <c r="A766" s="26">
        <v>465</v>
      </c>
      <c r="B766" s="27" t="s">
        <v>1690</v>
      </c>
      <c r="C766" s="28">
        <v>41982</v>
      </c>
      <c r="D766" s="27"/>
      <c r="E766" s="27" t="s">
        <v>2243</v>
      </c>
      <c r="F766" s="29" t="s">
        <v>2244</v>
      </c>
      <c r="G766" s="27" t="s">
        <v>55</v>
      </c>
      <c r="H766" s="27" t="s">
        <v>19</v>
      </c>
      <c r="I766" s="27">
        <v>1</v>
      </c>
      <c r="J766" s="30">
        <v>176467423</v>
      </c>
      <c r="K766" s="26" t="s">
        <v>20</v>
      </c>
      <c r="L766" s="26" t="s">
        <v>233</v>
      </c>
      <c r="M766" s="31" t="s">
        <v>2245</v>
      </c>
      <c r="N766" s="6"/>
      <c r="O766" s="6"/>
      <c r="P766" s="23"/>
      <c r="Q766" s="2"/>
      <c r="R766" s="2"/>
      <c r="S766" s="2"/>
      <c r="T766" s="2"/>
      <c r="U766" s="2"/>
      <c r="V766" s="2"/>
      <c r="W766" s="2"/>
      <c r="X766" s="2"/>
      <c r="Y766" s="2"/>
    </row>
    <row r="767" spans="1:26" ht="12.75" hidden="1" customHeight="1">
      <c r="A767" s="26">
        <v>466</v>
      </c>
      <c r="B767" s="27" t="s">
        <v>1690</v>
      </c>
      <c r="C767" s="28">
        <v>41982</v>
      </c>
      <c r="D767" s="27"/>
      <c r="E767" s="27" t="s">
        <v>2246</v>
      </c>
      <c r="F767" s="29" t="s">
        <v>2247</v>
      </c>
      <c r="G767" s="27" t="s">
        <v>55</v>
      </c>
      <c r="H767" s="27" t="s">
        <v>19</v>
      </c>
      <c r="I767" s="27">
        <v>1</v>
      </c>
      <c r="J767" s="30">
        <v>176467423</v>
      </c>
      <c r="K767" s="26" t="s">
        <v>20</v>
      </c>
      <c r="L767" s="26" t="s">
        <v>233</v>
      </c>
      <c r="M767" s="31" t="s">
        <v>2183</v>
      </c>
      <c r="N767" s="6"/>
      <c r="O767" s="6"/>
      <c r="P767" s="23"/>
      <c r="Q767" s="2"/>
      <c r="R767" s="2"/>
      <c r="S767" s="2"/>
      <c r="T767" s="2"/>
      <c r="U767" s="2"/>
      <c r="V767" s="2"/>
      <c r="W767" s="2"/>
      <c r="X767" s="2"/>
      <c r="Y767" s="2"/>
    </row>
    <row r="768" spans="1:26" ht="12.75" hidden="1" customHeight="1">
      <c r="A768" s="26">
        <v>467</v>
      </c>
      <c r="B768" s="27" t="s">
        <v>1690</v>
      </c>
      <c r="C768" s="28">
        <v>41982</v>
      </c>
      <c r="D768" s="27"/>
      <c r="E768" s="27" t="s">
        <v>2248</v>
      </c>
      <c r="F768" s="29" t="s">
        <v>2249</v>
      </c>
      <c r="G768" s="27" t="s">
        <v>55</v>
      </c>
      <c r="H768" s="27" t="s">
        <v>19</v>
      </c>
      <c r="I768" s="27">
        <v>1</v>
      </c>
      <c r="J768" s="30">
        <v>176467423</v>
      </c>
      <c r="K768" s="26" t="s">
        <v>20</v>
      </c>
      <c r="L768" s="26" t="s">
        <v>284</v>
      </c>
      <c r="M768" s="31" t="s">
        <v>2250</v>
      </c>
      <c r="N768" s="6"/>
      <c r="O768" s="6"/>
      <c r="P768" s="23"/>
      <c r="Q768" s="2"/>
      <c r="R768" s="2"/>
      <c r="S768" s="2"/>
      <c r="T768" s="2"/>
      <c r="U768" s="2"/>
      <c r="V768" s="2"/>
      <c r="W768" s="2"/>
      <c r="X768" s="2"/>
      <c r="Y768" s="2"/>
    </row>
    <row r="769" spans="1:26" ht="12.75" hidden="1" customHeight="1">
      <c r="A769" s="26">
        <v>468</v>
      </c>
      <c r="B769" s="27" t="s">
        <v>1690</v>
      </c>
      <c r="C769" s="28">
        <v>41982</v>
      </c>
      <c r="D769" s="27"/>
      <c r="E769" s="27" t="s">
        <v>2251</v>
      </c>
      <c r="F769" s="29" t="s">
        <v>2252</v>
      </c>
      <c r="G769" s="27" t="s">
        <v>55</v>
      </c>
      <c r="H769" s="27" t="s">
        <v>19</v>
      </c>
      <c r="I769" s="27">
        <v>1</v>
      </c>
      <c r="J769" s="30">
        <v>176467423</v>
      </c>
      <c r="K769" s="26" t="s">
        <v>20</v>
      </c>
      <c r="L769" s="26" t="s">
        <v>284</v>
      </c>
      <c r="M769" s="31" t="s">
        <v>2250</v>
      </c>
      <c r="N769" s="6"/>
      <c r="O769" s="6"/>
      <c r="P769" s="23"/>
      <c r="Q769" s="2"/>
      <c r="R769" s="2"/>
      <c r="S769" s="2"/>
      <c r="T769" s="2"/>
      <c r="U769" s="2"/>
      <c r="V769" s="2"/>
      <c r="W769" s="2"/>
      <c r="X769" s="2"/>
      <c r="Y769" s="2"/>
    </row>
    <row r="770" spans="1:26" ht="25.5" hidden="1" customHeight="1">
      <c r="A770" s="26">
        <v>469</v>
      </c>
      <c r="B770" s="27" t="s">
        <v>470</v>
      </c>
      <c r="C770" s="28">
        <v>41983</v>
      </c>
      <c r="D770" s="27"/>
      <c r="E770" s="27" t="s">
        <v>2253</v>
      </c>
      <c r="F770" s="29" t="s">
        <v>2254</v>
      </c>
      <c r="G770" s="27" t="s">
        <v>407</v>
      </c>
      <c r="H770" s="27" t="s">
        <v>19</v>
      </c>
      <c r="I770" s="27">
        <v>1</v>
      </c>
      <c r="J770" s="30">
        <v>53582816</v>
      </c>
      <c r="K770" s="26" t="s">
        <v>20</v>
      </c>
      <c r="L770" s="26" t="s">
        <v>284</v>
      </c>
      <c r="M770" s="31" t="s">
        <v>2250</v>
      </c>
      <c r="N770" s="6"/>
      <c r="O770" s="6"/>
      <c r="P770" s="23"/>
      <c r="Q770" s="2"/>
      <c r="R770" s="2"/>
      <c r="S770" s="2"/>
      <c r="T770" s="2"/>
      <c r="U770" s="2"/>
      <c r="V770" s="2"/>
      <c r="W770" s="2"/>
      <c r="X770" s="2"/>
      <c r="Y770" s="2"/>
    </row>
    <row r="771" spans="1:26" ht="25.5" hidden="1" customHeight="1">
      <c r="A771" s="26">
        <v>470</v>
      </c>
      <c r="B771" s="27" t="s">
        <v>470</v>
      </c>
      <c r="C771" s="28">
        <v>41983</v>
      </c>
      <c r="D771" s="27"/>
      <c r="E771" s="27" t="s">
        <v>2255</v>
      </c>
      <c r="F771" s="29" t="s">
        <v>2256</v>
      </c>
      <c r="G771" s="27" t="s">
        <v>407</v>
      </c>
      <c r="H771" s="27" t="s">
        <v>19</v>
      </c>
      <c r="I771" s="27">
        <v>1</v>
      </c>
      <c r="J771" s="30">
        <v>53582816</v>
      </c>
      <c r="K771" s="26" t="s">
        <v>20</v>
      </c>
      <c r="L771" s="26" t="s">
        <v>284</v>
      </c>
      <c r="M771" s="31" t="s">
        <v>2145</v>
      </c>
      <c r="N771" s="6"/>
      <c r="O771" s="6"/>
      <c r="P771" s="23"/>
      <c r="Q771" s="2"/>
      <c r="R771" s="2"/>
      <c r="S771" s="2"/>
      <c r="T771" s="2"/>
      <c r="U771" s="2"/>
      <c r="V771" s="2"/>
      <c r="W771" s="2"/>
      <c r="X771" s="2"/>
      <c r="Y771" s="2"/>
    </row>
    <row r="772" spans="1:26" ht="25.5" hidden="1" customHeight="1">
      <c r="A772" s="26">
        <v>471</v>
      </c>
      <c r="B772" s="27" t="s">
        <v>470</v>
      </c>
      <c r="C772" s="28">
        <v>41983</v>
      </c>
      <c r="D772" s="27"/>
      <c r="E772" s="27" t="s">
        <v>2257</v>
      </c>
      <c r="F772" s="29" t="s">
        <v>2258</v>
      </c>
      <c r="G772" s="27" t="s">
        <v>407</v>
      </c>
      <c r="H772" s="27" t="s">
        <v>19</v>
      </c>
      <c r="I772" s="27">
        <v>1</v>
      </c>
      <c r="J772" s="30">
        <v>53582816</v>
      </c>
      <c r="K772" s="26" t="s">
        <v>20</v>
      </c>
      <c r="L772" s="26" t="s">
        <v>284</v>
      </c>
      <c r="M772" s="31" t="s">
        <v>2145</v>
      </c>
      <c r="N772" s="6"/>
      <c r="O772" s="6"/>
      <c r="P772" s="23"/>
      <c r="Q772" s="2"/>
      <c r="R772" s="2"/>
      <c r="S772" s="2"/>
      <c r="T772" s="2"/>
      <c r="U772" s="2"/>
      <c r="V772" s="2"/>
      <c r="W772" s="2"/>
      <c r="X772" s="2"/>
      <c r="Y772" s="2"/>
    </row>
    <row r="773" spans="1:26" ht="25.5" hidden="1" customHeight="1">
      <c r="A773" s="26">
        <v>472</v>
      </c>
      <c r="B773" s="27" t="s">
        <v>470</v>
      </c>
      <c r="C773" s="28">
        <v>41983</v>
      </c>
      <c r="D773" s="27"/>
      <c r="E773" s="27" t="s">
        <v>2259</v>
      </c>
      <c r="F773" s="29" t="s">
        <v>2260</v>
      </c>
      <c r="G773" s="27" t="s">
        <v>407</v>
      </c>
      <c r="H773" s="27" t="s">
        <v>19</v>
      </c>
      <c r="I773" s="27">
        <v>1</v>
      </c>
      <c r="J773" s="30">
        <v>53582816</v>
      </c>
      <c r="K773" s="26" t="s">
        <v>20</v>
      </c>
      <c r="L773" s="26" t="s">
        <v>284</v>
      </c>
      <c r="M773" s="31" t="s">
        <v>2145</v>
      </c>
      <c r="N773" s="6"/>
      <c r="O773" s="6"/>
      <c r="P773" s="23"/>
      <c r="Q773" s="2"/>
      <c r="R773" s="2"/>
      <c r="S773" s="2"/>
      <c r="T773" s="2"/>
      <c r="U773" s="2"/>
      <c r="V773" s="2"/>
      <c r="W773" s="2"/>
      <c r="X773" s="2"/>
      <c r="Y773" s="2"/>
    </row>
    <row r="774" spans="1:26" ht="25.5" hidden="1" customHeight="1">
      <c r="A774" s="26">
        <v>473</v>
      </c>
      <c r="B774" s="27" t="s">
        <v>470</v>
      </c>
      <c r="C774" s="28">
        <v>41983</v>
      </c>
      <c r="D774" s="27"/>
      <c r="E774" s="27" t="s">
        <v>2261</v>
      </c>
      <c r="F774" s="29" t="s">
        <v>2262</v>
      </c>
      <c r="G774" s="27" t="s">
        <v>407</v>
      </c>
      <c r="H774" s="27" t="s">
        <v>19</v>
      </c>
      <c r="I774" s="27">
        <v>1</v>
      </c>
      <c r="J774" s="30">
        <v>53582816</v>
      </c>
      <c r="K774" s="26" t="s">
        <v>20</v>
      </c>
      <c r="L774" s="26" t="s">
        <v>284</v>
      </c>
      <c r="M774" s="31" t="s">
        <v>2145</v>
      </c>
      <c r="N774" s="6"/>
      <c r="O774" s="6"/>
      <c r="P774" s="23"/>
      <c r="Q774" s="2"/>
      <c r="R774" s="2"/>
      <c r="S774" s="2"/>
      <c r="T774" s="2"/>
      <c r="U774" s="2"/>
      <c r="V774" s="2"/>
      <c r="W774" s="2"/>
      <c r="X774" s="2"/>
      <c r="Y774" s="2"/>
    </row>
    <row r="775" spans="1:26" ht="25.5" hidden="1" customHeight="1">
      <c r="A775" s="26">
        <v>474</v>
      </c>
      <c r="B775" s="27" t="s">
        <v>470</v>
      </c>
      <c r="C775" s="28">
        <v>41983</v>
      </c>
      <c r="D775" s="27"/>
      <c r="E775" s="27" t="s">
        <v>2263</v>
      </c>
      <c r="F775" s="29" t="s">
        <v>2264</v>
      </c>
      <c r="G775" s="27" t="s">
        <v>407</v>
      </c>
      <c r="H775" s="27" t="s">
        <v>19</v>
      </c>
      <c r="I775" s="27">
        <v>1</v>
      </c>
      <c r="J775" s="30">
        <v>53582816</v>
      </c>
      <c r="K775" s="26" t="s">
        <v>20</v>
      </c>
      <c r="L775" s="26" t="s">
        <v>284</v>
      </c>
      <c r="M775" s="31" t="s">
        <v>2145</v>
      </c>
      <c r="N775" s="6"/>
      <c r="O775" s="6"/>
      <c r="P775" s="23"/>
      <c r="Q775" s="2"/>
      <c r="R775" s="2"/>
      <c r="S775" s="2"/>
      <c r="T775" s="2"/>
      <c r="U775" s="2"/>
      <c r="V775" s="2"/>
      <c r="W775" s="2"/>
      <c r="X775" s="2"/>
      <c r="Y775" s="2"/>
    </row>
    <row r="776" spans="1:26" ht="25.5" hidden="1" customHeight="1">
      <c r="A776" s="26">
        <v>475</v>
      </c>
      <c r="B776" s="27" t="s">
        <v>470</v>
      </c>
      <c r="C776" s="28">
        <v>41983</v>
      </c>
      <c r="D776" s="27"/>
      <c r="E776" s="27" t="s">
        <v>2265</v>
      </c>
      <c r="F776" s="29" t="s">
        <v>2266</v>
      </c>
      <c r="G776" s="27" t="s">
        <v>407</v>
      </c>
      <c r="H776" s="27" t="s">
        <v>19</v>
      </c>
      <c r="I776" s="27">
        <v>1</v>
      </c>
      <c r="J776" s="30">
        <v>53582816</v>
      </c>
      <c r="K776" s="26" t="s">
        <v>20</v>
      </c>
      <c r="L776" s="26" t="s">
        <v>284</v>
      </c>
      <c r="M776" s="31" t="s">
        <v>2145</v>
      </c>
      <c r="N776" s="6"/>
      <c r="O776" s="6"/>
      <c r="P776" s="23"/>
      <c r="Q776" s="2"/>
      <c r="R776" s="2"/>
      <c r="S776" s="2"/>
      <c r="T776" s="2"/>
      <c r="U776" s="2"/>
      <c r="V776" s="2"/>
      <c r="W776" s="2"/>
      <c r="X776" s="2"/>
      <c r="Y776" s="2"/>
    </row>
    <row r="777" spans="1:26" ht="25.5" hidden="1" customHeight="1">
      <c r="A777" s="26">
        <v>476</v>
      </c>
      <c r="B777" s="27" t="s">
        <v>470</v>
      </c>
      <c r="C777" s="28">
        <v>41983</v>
      </c>
      <c r="D777" s="27"/>
      <c r="E777" s="27" t="s">
        <v>2267</v>
      </c>
      <c r="F777" s="29" t="s">
        <v>2268</v>
      </c>
      <c r="G777" s="27" t="s">
        <v>407</v>
      </c>
      <c r="H777" s="27" t="s">
        <v>19</v>
      </c>
      <c r="I777" s="27">
        <v>1</v>
      </c>
      <c r="J777" s="30">
        <v>53582816</v>
      </c>
      <c r="K777" s="26" t="s">
        <v>20</v>
      </c>
      <c r="L777" s="26" t="s">
        <v>284</v>
      </c>
      <c r="M777" s="31" t="s">
        <v>1224</v>
      </c>
      <c r="N777" s="6"/>
      <c r="O777" s="6"/>
      <c r="P777" s="23"/>
      <c r="Q777" s="2"/>
      <c r="R777" s="2"/>
      <c r="S777" s="2"/>
      <c r="T777" s="2"/>
      <c r="U777" s="2"/>
      <c r="V777" s="2"/>
      <c r="W777" s="2"/>
      <c r="X777" s="2"/>
      <c r="Y777" s="2"/>
    </row>
    <row r="778" spans="1:26" ht="25.5" hidden="1" customHeight="1">
      <c r="A778" s="26">
        <v>477</v>
      </c>
      <c r="B778" s="27" t="s">
        <v>470</v>
      </c>
      <c r="C778" s="28">
        <v>41983</v>
      </c>
      <c r="D778" s="27"/>
      <c r="E778" s="27" t="s">
        <v>2269</v>
      </c>
      <c r="F778" s="29" t="s">
        <v>2270</v>
      </c>
      <c r="G778" s="27" t="s">
        <v>407</v>
      </c>
      <c r="H778" s="27" t="s">
        <v>19</v>
      </c>
      <c r="I778" s="27">
        <v>1</v>
      </c>
      <c r="J778" s="30">
        <v>53582816</v>
      </c>
      <c r="K778" s="26" t="s">
        <v>20</v>
      </c>
      <c r="L778" s="26" t="s">
        <v>284</v>
      </c>
      <c r="M778" s="31" t="s">
        <v>1224</v>
      </c>
      <c r="N778" s="6"/>
      <c r="O778" s="6"/>
      <c r="P778" s="23"/>
      <c r="Q778" s="2"/>
      <c r="R778" s="2"/>
      <c r="S778" s="2"/>
      <c r="T778" s="2"/>
      <c r="U778" s="2"/>
      <c r="V778" s="2"/>
      <c r="W778" s="2"/>
      <c r="X778" s="2"/>
      <c r="Y778" s="2"/>
    </row>
    <row r="779" spans="1:26" ht="25.5" hidden="1" customHeight="1">
      <c r="A779" s="26">
        <v>478</v>
      </c>
      <c r="B779" s="27" t="s">
        <v>470</v>
      </c>
      <c r="C779" s="28">
        <v>41983</v>
      </c>
      <c r="D779" s="27"/>
      <c r="E779" s="27" t="s">
        <v>2271</v>
      </c>
      <c r="F779" s="29" t="s">
        <v>2272</v>
      </c>
      <c r="G779" s="27" t="s">
        <v>407</v>
      </c>
      <c r="H779" s="27" t="s">
        <v>19</v>
      </c>
      <c r="I779" s="27">
        <v>1</v>
      </c>
      <c r="J779" s="30">
        <v>53582816</v>
      </c>
      <c r="K779" s="26" t="s">
        <v>20</v>
      </c>
      <c r="L779" s="26" t="s">
        <v>284</v>
      </c>
      <c r="M779" s="31" t="s">
        <v>2145</v>
      </c>
      <c r="N779" s="6"/>
      <c r="O779" s="6"/>
      <c r="P779" s="23"/>
      <c r="Q779" s="2"/>
      <c r="R779" s="2"/>
      <c r="S779" s="2"/>
      <c r="T779" s="2"/>
      <c r="U779" s="2"/>
      <c r="V779" s="2"/>
      <c r="W779" s="2"/>
      <c r="X779" s="2"/>
      <c r="Y779" s="2"/>
    </row>
    <row r="780" spans="1:26" ht="25.5" hidden="1" customHeight="1">
      <c r="A780" s="26">
        <v>479</v>
      </c>
      <c r="B780" s="27" t="s">
        <v>470</v>
      </c>
      <c r="C780" s="28">
        <v>41983</v>
      </c>
      <c r="D780" s="27"/>
      <c r="E780" s="27" t="s">
        <v>2273</v>
      </c>
      <c r="F780" s="29" t="s">
        <v>2274</v>
      </c>
      <c r="G780" s="27" t="s">
        <v>407</v>
      </c>
      <c r="H780" s="27" t="s">
        <v>19</v>
      </c>
      <c r="I780" s="27">
        <v>1</v>
      </c>
      <c r="J780" s="30">
        <v>53582816</v>
      </c>
      <c r="K780" s="26" t="s">
        <v>20</v>
      </c>
      <c r="L780" s="26" t="s">
        <v>284</v>
      </c>
      <c r="M780" s="31" t="s">
        <v>2145</v>
      </c>
      <c r="N780" s="6"/>
      <c r="O780" s="6"/>
      <c r="P780" s="23"/>
      <c r="Q780" s="2"/>
      <c r="R780" s="2"/>
      <c r="S780" s="2"/>
      <c r="T780" s="2"/>
      <c r="U780" s="2"/>
      <c r="V780" s="2"/>
      <c r="W780" s="2"/>
      <c r="X780" s="2"/>
      <c r="Y780" s="2"/>
    </row>
    <row r="781" spans="1:26" ht="25.5" hidden="1" customHeight="1">
      <c r="A781" s="26">
        <v>480</v>
      </c>
      <c r="B781" s="27" t="s">
        <v>470</v>
      </c>
      <c r="C781" s="28">
        <v>41983</v>
      </c>
      <c r="D781" s="27"/>
      <c r="E781" s="27" t="s">
        <v>2275</v>
      </c>
      <c r="F781" s="29" t="s">
        <v>2276</v>
      </c>
      <c r="G781" s="27" t="s">
        <v>407</v>
      </c>
      <c r="H781" s="27" t="s">
        <v>19</v>
      </c>
      <c r="I781" s="27">
        <v>1</v>
      </c>
      <c r="J781" s="30">
        <v>53582816</v>
      </c>
      <c r="K781" s="26" t="s">
        <v>20</v>
      </c>
      <c r="L781" s="26" t="s">
        <v>284</v>
      </c>
      <c r="M781" s="31" t="s">
        <v>2145</v>
      </c>
      <c r="N781" s="6"/>
      <c r="O781" s="6"/>
      <c r="P781" s="23"/>
      <c r="Q781" s="2"/>
      <c r="R781" s="2"/>
      <c r="S781" s="2"/>
      <c r="T781" s="2"/>
      <c r="U781" s="2"/>
      <c r="V781" s="2"/>
      <c r="W781" s="2"/>
      <c r="X781" s="2"/>
      <c r="Y781" s="2"/>
    </row>
    <row r="782" spans="1:26" ht="25.5" hidden="1" customHeight="1">
      <c r="A782" s="17">
        <v>481</v>
      </c>
      <c r="B782" s="27" t="s">
        <v>470</v>
      </c>
      <c r="C782" s="19">
        <v>41983</v>
      </c>
      <c r="D782" s="27"/>
      <c r="E782" s="18" t="s">
        <v>2277</v>
      </c>
      <c r="F782" s="20" t="s">
        <v>2278</v>
      </c>
      <c r="G782" s="18" t="s">
        <v>407</v>
      </c>
      <c r="H782" s="18" t="s">
        <v>19</v>
      </c>
      <c r="I782" s="18">
        <v>1</v>
      </c>
      <c r="J782" s="21">
        <v>35292528</v>
      </c>
      <c r="K782" s="17" t="s">
        <v>20</v>
      </c>
      <c r="L782" s="17" t="s">
        <v>21</v>
      </c>
      <c r="M782" s="22" t="s">
        <v>22</v>
      </c>
      <c r="N782" s="23"/>
      <c r="O782" s="23"/>
      <c r="P782" s="23"/>
      <c r="Q782" s="24"/>
      <c r="R782" s="24"/>
      <c r="S782" s="24"/>
      <c r="T782" s="24"/>
      <c r="U782" s="24"/>
      <c r="V782" s="24"/>
      <c r="W782" s="24"/>
      <c r="X782" s="24"/>
      <c r="Y782" s="24"/>
      <c r="Z782" s="25"/>
    </row>
    <row r="783" spans="1:26" ht="25.5" hidden="1" customHeight="1">
      <c r="A783" s="26">
        <v>482</v>
      </c>
      <c r="B783" s="27" t="s">
        <v>470</v>
      </c>
      <c r="C783" s="28">
        <v>41983</v>
      </c>
      <c r="D783" s="27"/>
      <c r="E783" s="27" t="s">
        <v>2279</v>
      </c>
      <c r="F783" s="29" t="s">
        <v>2280</v>
      </c>
      <c r="G783" s="27" t="s">
        <v>407</v>
      </c>
      <c r="H783" s="27" t="s">
        <v>19</v>
      </c>
      <c r="I783" s="27">
        <v>1</v>
      </c>
      <c r="J783" s="30">
        <v>35292528</v>
      </c>
      <c r="K783" s="26" t="s">
        <v>20</v>
      </c>
      <c r="L783" s="26" t="s">
        <v>284</v>
      </c>
      <c r="M783" s="31" t="s">
        <v>2281</v>
      </c>
      <c r="N783" s="6"/>
      <c r="O783" s="6"/>
      <c r="P783" s="23"/>
      <c r="Q783" s="2"/>
      <c r="R783" s="2"/>
      <c r="S783" s="2"/>
      <c r="T783" s="2"/>
      <c r="U783" s="2"/>
      <c r="V783" s="2"/>
      <c r="W783" s="2"/>
      <c r="X783" s="2"/>
      <c r="Y783" s="2"/>
    </row>
    <row r="784" spans="1:26" ht="25.5" hidden="1" customHeight="1">
      <c r="A784" s="26">
        <v>483</v>
      </c>
      <c r="B784" s="27" t="s">
        <v>470</v>
      </c>
      <c r="C784" s="28">
        <v>41983</v>
      </c>
      <c r="D784" s="27"/>
      <c r="E784" s="27" t="s">
        <v>2282</v>
      </c>
      <c r="F784" s="29" t="s">
        <v>2283</v>
      </c>
      <c r="G784" s="27" t="s">
        <v>407</v>
      </c>
      <c r="H784" s="27" t="s">
        <v>19</v>
      </c>
      <c r="I784" s="27">
        <v>1</v>
      </c>
      <c r="J784" s="30">
        <v>35292528</v>
      </c>
      <c r="K784" s="26" t="s">
        <v>20</v>
      </c>
      <c r="L784" s="26" t="s">
        <v>284</v>
      </c>
      <c r="M784" s="31" t="s">
        <v>2284</v>
      </c>
      <c r="N784" s="6"/>
      <c r="O784" s="6"/>
      <c r="P784" s="23"/>
      <c r="Q784" s="2"/>
      <c r="R784" s="2"/>
      <c r="S784" s="2"/>
      <c r="T784" s="2"/>
      <c r="U784" s="2"/>
      <c r="V784" s="2"/>
      <c r="W784" s="2"/>
      <c r="X784" s="2"/>
      <c r="Y784" s="2"/>
    </row>
    <row r="785" spans="1:26" ht="25.5" hidden="1" customHeight="1">
      <c r="A785" s="26">
        <v>484</v>
      </c>
      <c r="B785" s="27" t="s">
        <v>470</v>
      </c>
      <c r="C785" s="28">
        <v>41983</v>
      </c>
      <c r="D785" s="27"/>
      <c r="E785" s="27" t="s">
        <v>2285</v>
      </c>
      <c r="F785" s="29" t="s">
        <v>2286</v>
      </c>
      <c r="G785" s="27" t="s">
        <v>407</v>
      </c>
      <c r="H785" s="27" t="s">
        <v>19</v>
      </c>
      <c r="I785" s="27">
        <v>1</v>
      </c>
      <c r="J785" s="30">
        <v>35292528</v>
      </c>
      <c r="K785" s="26" t="s">
        <v>20</v>
      </c>
      <c r="L785" s="26" t="s">
        <v>284</v>
      </c>
      <c r="M785" s="31" t="s">
        <v>2250</v>
      </c>
      <c r="N785" s="6"/>
      <c r="O785" s="6"/>
      <c r="P785" s="23"/>
      <c r="Q785" s="2"/>
      <c r="R785" s="2"/>
      <c r="S785" s="2"/>
      <c r="T785" s="2"/>
      <c r="U785" s="2"/>
      <c r="V785" s="2"/>
      <c r="W785" s="2"/>
      <c r="X785" s="2"/>
      <c r="Y785" s="2"/>
    </row>
    <row r="786" spans="1:26" ht="25.5" hidden="1" customHeight="1">
      <c r="A786" s="26">
        <v>485</v>
      </c>
      <c r="B786" s="27" t="s">
        <v>470</v>
      </c>
      <c r="C786" s="28">
        <v>41983</v>
      </c>
      <c r="D786" s="27"/>
      <c r="E786" s="27" t="s">
        <v>2287</v>
      </c>
      <c r="F786" s="29" t="s">
        <v>2288</v>
      </c>
      <c r="G786" s="27" t="s">
        <v>407</v>
      </c>
      <c r="H786" s="27" t="s">
        <v>19</v>
      </c>
      <c r="I786" s="27">
        <v>1</v>
      </c>
      <c r="J786" s="30">
        <v>35292528</v>
      </c>
      <c r="K786" s="26" t="s">
        <v>20</v>
      </c>
      <c r="L786" s="26" t="s">
        <v>284</v>
      </c>
      <c r="M786" s="31" t="s">
        <v>2250</v>
      </c>
      <c r="N786" s="6"/>
      <c r="O786" s="6"/>
      <c r="P786" s="23"/>
      <c r="Q786" s="2"/>
      <c r="R786" s="2"/>
      <c r="S786" s="2"/>
      <c r="T786" s="2"/>
      <c r="U786" s="2"/>
      <c r="V786" s="2"/>
      <c r="W786" s="2"/>
      <c r="X786" s="2"/>
      <c r="Y786" s="2"/>
    </row>
    <row r="787" spans="1:26" ht="25.5" hidden="1" customHeight="1">
      <c r="A787" s="26">
        <v>486</v>
      </c>
      <c r="B787" s="27" t="s">
        <v>470</v>
      </c>
      <c r="C787" s="28">
        <v>41983</v>
      </c>
      <c r="D787" s="27"/>
      <c r="E787" s="27" t="s">
        <v>2289</v>
      </c>
      <c r="F787" s="29" t="s">
        <v>2290</v>
      </c>
      <c r="G787" s="27" t="s">
        <v>407</v>
      </c>
      <c r="H787" s="27" t="s">
        <v>19</v>
      </c>
      <c r="I787" s="27">
        <v>1</v>
      </c>
      <c r="J787" s="30">
        <v>35292528</v>
      </c>
      <c r="K787" s="26" t="s">
        <v>20</v>
      </c>
      <c r="L787" s="26" t="s">
        <v>284</v>
      </c>
      <c r="M787" s="31" t="s">
        <v>2281</v>
      </c>
      <c r="N787" s="6"/>
      <c r="O787" s="6"/>
      <c r="P787" s="23"/>
      <c r="Q787" s="2"/>
      <c r="R787" s="2"/>
      <c r="S787" s="2"/>
      <c r="T787" s="2"/>
      <c r="U787" s="2"/>
      <c r="V787" s="2"/>
      <c r="W787" s="2"/>
      <c r="X787" s="2"/>
      <c r="Y787" s="2"/>
    </row>
    <row r="788" spans="1:26" ht="25.5" hidden="1" customHeight="1">
      <c r="A788" s="26">
        <v>487</v>
      </c>
      <c r="B788" s="27" t="s">
        <v>470</v>
      </c>
      <c r="C788" s="28">
        <v>41983</v>
      </c>
      <c r="D788" s="27"/>
      <c r="E788" s="27" t="s">
        <v>2291</v>
      </c>
      <c r="F788" s="29" t="s">
        <v>2292</v>
      </c>
      <c r="G788" s="27" t="s">
        <v>407</v>
      </c>
      <c r="H788" s="27" t="s">
        <v>19</v>
      </c>
      <c r="I788" s="27">
        <v>1</v>
      </c>
      <c r="J788" s="30">
        <v>35292528</v>
      </c>
      <c r="K788" s="26" t="s">
        <v>20</v>
      </c>
      <c r="L788" s="26" t="s">
        <v>284</v>
      </c>
      <c r="M788" s="31" t="s">
        <v>2250</v>
      </c>
      <c r="N788" s="6"/>
      <c r="O788" s="6"/>
      <c r="P788" s="23"/>
      <c r="Q788" s="2"/>
      <c r="R788" s="2"/>
      <c r="S788" s="2"/>
      <c r="T788" s="2"/>
      <c r="U788" s="2"/>
      <c r="V788" s="2"/>
      <c r="W788" s="2"/>
      <c r="X788" s="2"/>
      <c r="Y788" s="2"/>
    </row>
    <row r="789" spans="1:26" ht="25.5" hidden="1" customHeight="1">
      <c r="A789" s="26">
        <v>488</v>
      </c>
      <c r="B789" s="27" t="s">
        <v>470</v>
      </c>
      <c r="C789" s="28">
        <v>41983</v>
      </c>
      <c r="D789" s="27"/>
      <c r="E789" s="27" t="s">
        <v>2293</v>
      </c>
      <c r="F789" s="29" t="s">
        <v>2294</v>
      </c>
      <c r="G789" s="27" t="s">
        <v>407</v>
      </c>
      <c r="H789" s="27" t="s">
        <v>19</v>
      </c>
      <c r="I789" s="27">
        <v>1</v>
      </c>
      <c r="J789" s="30">
        <v>35292528</v>
      </c>
      <c r="K789" s="26" t="s">
        <v>20</v>
      </c>
      <c r="L789" s="26" t="s">
        <v>284</v>
      </c>
      <c r="M789" s="31" t="s">
        <v>2250</v>
      </c>
      <c r="N789" s="6"/>
      <c r="O789" s="6"/>
      <c r="P789" s="23"/>
      <c r="Q789" s="2"/>
      <c r="R789" s="2"/>
      <c r="S789" s="2"/>
      <c r="T789" s="2"/>
      <c r="U789" s="2"/>
      <c r="V789" s="2"/>
      <c r="W789" s="2"/>
      <c r="X789" s="2"/>
      <c r="Y789" s="2"/>
    </row>
    <row r="790" spans="1:26" ht="38.25" customHeight="1">
      <c r="A790" s="26">
        <v>489</v>
      </c>
      <c r="B790" s="27" t="s">
        <v>470</v>
      </c>
      <c r="C790" s="28">
        <v>41983</v>
      </c>
      <c r="D790" s="27"/>
      <c r="E790" s="47" t="s">
        <v>2295</v>
      </c>
      <c r="F790" s="29" t="s">
        <v>2296</v>
      </c>
      <c r="G790" s="27" t="s">
        <v>55</v>
      </c>
      <c r="H790" s="27" t="s">
        <v>19</v>
      </c>
      <c r="I790" s="27">
        <v>1</v>
      </c>
      <c r="J790" s="30">
        <v>510608170</v>
      </c>
      <c r="K790" s="26" t="s">
        <v>20</v>
      </c>
      <c r="L790" s="26" t="s">
        <v>423</v>
      </c>
      <c r="M790" s="31" t="s">
        <v>2297</v>
      </c>
      <c r="N790" s="7"/>
      <c r="O790" s="7" t="str">
        <f ca="1">IFERROR(__xludf.DUMMYFUNCTION("IFERROR(INDEX(Sheet1!$C:$C, MAX(FILTER(ROW(Sheet1!$B:$B), Sheet1!$B:$B=E790))), """")"),"")</f>
        <v/>
      </c>
      <c r="P790" s="23"/>
      <c r="Q790" s="2"/>
      <c r="R790" s="2"/>
      <c r="S790" s="2"/>
      <c r="T790" s="2"/>
      <c r="U790" s="2"/>
      <c r="V790" s="2"/>
      <c r="W790" s="2"/>
      <c r="X790" s="2"/>
      <c r="Y790" s="2"/>
    </row>
    <row r="791" spans="1:26" ht="12.75" hidden="1" customHeight="1">
      <c r="A791" s="26">
        <v>490</v>
      </c>
      <c r="B791" s="27" t="s">
        <v>470</v>
      </c>
      <c r="C791" s="28">
        <v>41983</v>
      </c>
      <c r="D791" s="27"/>
      <c r="E791" s="27" t="s">
        <v>2298</v>
      </c>
      <c r="F791" s="29" t="s">
        <v>2299</v>
      </c>
      <c r="G791" s="27" t="s">
        <v>55</v>
      </c>
      <c r="H791" s="27" t="s">
        <v>249</v>
      </c>
      <c r="I791" s="27">
        <v>1</v>
      </c>
      <c r="J791" s="30">
        <v>98441868</v>
      </c>
      <c r="K791" s="26" t="s">
        <v>20</v>
      </c>
      <c r="L791" s="26" t="s">
        <v>233</v>
      </c>
      <c r="M791" s="31" t="s">
        <v>2183</v>
      </c>
      <c r="N791" s="6"/>
      <c r="O791" s="6"/>
      <c r="P791" s="23"/>
      <c r="Q791" s="2"/>
      <c r="R791" s="2"/>
      <c r="S791" s="2"/>
      <c r="T791" s="2"/>
      <c r="U791" s="2"/>
      <c r="V791" s="2"/>
      <c r="W791" s="2"/>
      <c r="X791" s="2"/>
      <c r="Y791" s="2"/>
    </row>
    <row r="792" spans="1:26" ht="12.75" hidden="1" customHeight="1">
      <c r="A792" s="26">
        <v>491</v>
      </c>
      <c r="B792" s="27" t="s">
        <v>470</v>
      </c>
      <c r="C792" s="28">
        <v>41983</v>
      </c>
      <c r="D792" s="27"/>
      <c r="E792" s="27" t="s">
        <v>2300</v>
      </c>
      <c r="F792" s="29" t="s">
        <v>2301</v>
      </c>
      <c r="G792" s="27" t="s">
        <v>55</v>
      </c>
      <c r="H792" s="27" t="s">
        <v>249</v>
      </c>
      <c r="I792" s="27">
        <v>1</v>
      </c>
      <c r="J792" s="30">
        <v>98441868</v>
      </c>
      <c r="K792" s="26" t="s">
        <v>20</v>
      </c>
      <c r="L792" s="26" t="s">
        <v>233</v>
      </c>
      <c r="M792" s="31" t="s">
        <v>2183</v>
      </c>
      <c r="N792" s="6"/>
      <c r="O792" s="6"/>
      <c r="P792" s="23"/>
      <c r="Q792" s="2"/>
      <c r="R792" s="2"/>
      <c r="S792" s="2"/>
      <c r="T792" s="2"/>
      <c r="U792" s="2"/>
      <c r="V792" s="2"/>
      <c r="W792" s="2"/>
      <c r="X792" s="2"/>
      <c r="Y792" s="2"/>
    </row>
    <row r="793" spans="1:26" ht="12.75" hidden="1" customHeight="1">
      <c r="A793" s="26">
        <v>492</v>
      </c>
      <c r="B793" s="27" t="s">
        <v>470</v>
      </c>
      <c r="C793" s="28">
        <v>41983</v>
      </c>
      <c r="D793" s="27"/>
      <c r="E793" s="27" t="s">
        <v>2302</v>
      </c>
      <c r="F793" s="29" t="s">
        <v>2303</v>
      </c>
      <c r="G793" s="27" t="s">
        <v>55</v>
      </c>
      <c r="H793" s="27" t="s">
        <v>249</v>
      </c>
      <c r="I793" s="27">
        <v>1</v>
      </c>
      <c r="J793" s="30">
        <v>98441868</v>
      </c>
      <c r="K793" s="26" t="s">
        <v>20</v>
      </c>
      <c r="L793" s="26" t="s">
        <v>233</v>
      </c>
      <c r="M793" s="31" t="s">
        <v>2183</v>
      </c>
      <c r="N793" s="6"/>
      <c r="O793" s="6"/>
      <c r="P793" s="23"/>
      <c r="Q793" s="2"/>
      <c r="R793" s="2"/>
      <c r="S793" s="2"/>
      <c r="T793" s="2"/>
      <c r="U793" s="2"/>
      <c r="V793" s="2"/>
      <c r="W793" s="2"/>
      <c r="X793" s="2"/>
      <c r="Y793" s="2"/>
    </row>
    <row r="794" spans="1:26" ht="12.75" hidden="1" customHeight="1">
      <c r="A794" s="26">
        <v>493</v>
      </c>
      <c r="B794" s="27" t="s">
        <v>470</v>
      </c>
      <c r="C794" s="28">
        <v>41983</v>
      </c>
      <c r="D794" s="27"/>
      <c r="E794" s="27" t="s">
        <v>2304</v>
      </c>
      <c r="F794" s="29" t="s">
        <v>2305</v>
      </c>
      <c r="G794" s="27" t="s">
        <v>55</v>
      </c>
      <c r="H794" s="27" t="s">
        <v>19</v>
      </c>
      <c r="I794" s="27">
        <v>1</v>
      </c>
      <c r="J794" s="30">
        <v>53657104</v>
      </c>
      <c r="K794" s="26" t="s">
        <v>20</v>
      </c>
      <c r="L794" s="26" t="s">
        <v>233</v>
      </c>
      <c r="M794" s="31" t="s">
        <v>2183</v>
      </c>
      <c r="N794" s="6"/>
      <c r="O794" s="6"/>
      <c r="P794" s="23"/>
      <c r="Q794" s="2"/>
      <c r="R794" s="2"/>
      <c r="S794" s="2"/>
      <c r="T794" s="2"/>
      <c r="U794" s="2"/>
      <c r="V794" s="2"/>
      <c r="W794" s="2"/>
      <c r="X794" s="2"/>
      <c r="Y794" s="2"/>
    </row>
    <row r="795" spans="1:26" ht="12.75" hidden="1" customHeight="1">
      <c r="A795" s="26">
        <v>494</v>
      </c>
      <c r="B795" s="27" t="s">
        <v>470</v>
      </c>
      <c r="C795" s="28">
        <v>41983</v>
      </c>
      <c r="D795" s="27"/>
      <c r="E795" s="27" t="s">
        <v>2306</v>
      </c>
      <c r="F795" s="29" t="s">
        <v>2307</v>
      </c>
      <c r="G795" s="27" t="s">
        <v>55</v>
      </c>
      <c r="H795" s="27" t="s">
        <v>19</v>
      </c>
      <c r="I795" s="27">
        <v>1</v>
      </c>
      <c r="J795" s="30">
        <v>53657104</v>
      </c>
      <c r="K795" s="26" t="s">
        <v>20</v>
      </c>
      <c r="L795" s="26" t="s">
        <v>233</v>
      </c>
      <c r="M795" s="31" t="s">
        <v>2183</v>
      </c>
      <c r="N795" s="6"/>
      <c r="O795" s="6"/>
      <c r="P795" s="23"/>
      <c r="Q795" s="2"/>
      <c r="R795" s="2"/>
      <c r="S795" s="2"/>
      <c r="T795" s="2"/>
      <c r="U795" s="2"/>
      <c r="V795" s="2"/>
      <c r="W795" s="2"/>
      <c r="X795" s="2"/>
      <c r="Y795" s="2"/>
    </row>
    <row r="796" spans="1:26" ht="12.75" hidden="1" customHeight="1">
      <c r="A796" s="26">
        <v>495</v>
      </c>
      <c r="B796" s="27" t="s">
        <v>470</v>
      </c>
      <c r="C796" s="28">
        <v>41983</v>
      </c>
      <c r="D796" s="27"/>
      <c r="E796" s="27" t="s">
        <v>2308</v>
      </c>
      <c r="F796" s="29" t="s">
        <v>2309</v>
      </c>
      <c r="G796" s="27" t="s">
        <v>55</v>
      </c>
      <c r="H796" s="27" t="s">
        <v>19</v>
      </c>
      <c r="I796" s="27">
        <v>1</v>
      </c>
      <c r="J796" s="30">
        <v>53657104</v>
      </c>
      <c r="K796" s="26" t="s">
        <v>20</v>
      </c>
      <c r="L796" s="26" t="s">
        <v>233</v>
      </c>
      <c r="M796" s="31" t="s">
        <v>2183</v>
      </c>
      <c r="N796" s="6"/>
      <c r="O796" s="6"/>
      <c r="P796" s="23"/>
      <c r="Q796" s="2"/>
      <c r="R796" s="2"/>
      <c r="S796" s="2"/>
      <c r="T796" s="2"/>
      <c r="U796" s="2"/>
      <c r="V796" s="2"/>
      <c r="W796" s="2"/>
      <c r="X796" s="2"/>
      <c r="Y796" s="2"/>
    </row>
    <row r="797" spans="1:26" ht="12.75" hidden="1" customHeight="1">
      <c r="A797" s="26">
        <v>496</v>
      </c>
      <c r="B797" s="27" t="s">
        <v>470</v>
      </c>
      <c r="C797" s="28">
        <v>41983</v>
      </c>
      <c r="D797" s="27"/>
      <c r="E797" s="27" t="s">
        <v>2310</v>
      </c>
      <c r="F797" s="29" t="s">
        <v>2311</v>
      </c>
      <c r="G797" s="27" t="s">
        <v>55</v>
      </c>
      <c r="H797" s="27" t="s">
        <v>19</v>
      </c>
      <c r="I797" s="27">
        <v>1</v>
      </c>
      <c r="J797" s="30">
        <v>53657104</v>
      </c>
      <c r="K797" s="26" t="s">
        <v>20</v>
      </c>
      <c r="L797" s="26" t="s">
        <v>233</v>
      </c>
      <c r="M797" s="31" t="s">
        <v>2183</v>
      </c>
      <c r="N797" s="6"/>
      <c r="O797" s="6"/>
      <c r="P797" s="23"/>
      <c r="Q797" s="2"/>
      <c r="R797" s="2"/>
      <c r="S797" s="2"/>
      <c r="T797" s="2"/>
      <c r="U797" s="2"/>
      <c r="V797" s="2"/>
      <c r="W797" s="2"/>
      <c r="X797" s="2"/>
      <c r="Y797" s="2"/>
    </row>
    <row r="798" spans="1:26" ht="12.75" hidden="1" customHeight="1">
      <c r="A798" s="26">
        <v>497</v>
      </c>
      <c r="B798" s="27" t="s">
        <v>470</v>
      </c>
      <c r="C798" s="28">
        <v>41983</v>
      </c>
      <c r="D798" s="27"/>
      <c r="E798" s="27" t="s">
        <v>2312</v>
      </c>
      <c r="F798" s="29" t="s">
        <v>2313</v>
      </c>
      <c r="G798" s="27" t="s">
        <v>55</v>
      </c>
      <c r="H798" s="27" t="s">
        <v>19</v>
      </c>
      <c r="I798" s="27">
        <v>1</v>
      </c>
      <c r="J798" s="30">
        <v>77288471</v>
      </c>
      <c r="K798" s="26" t="s">
        <v>20</v>
      </c>
      <c r="L798" s="26" t="s">
        <v>233</v>
      </c>
      <c r="M798" s="31" t="s">
        <v>2183</v>
      </c>
      <c r="N798" s="6"/>
      <c r="O798" s="6"/>
      <c r="P798" s="23"/>
      <c r="Q798" s="2"/>
      <c r="R798" s="2"/>
      <c r="S798" s="2"/>
      <c r="T798" s="2"/>
      <c r="U798" s="2"/>
      <c r="V798" s="2"/>
      <c r="W798" s="2"/>
      <c r="X798" s="2"/>
      <c r="Y798" s="2"/>
    </row>
    <row r="799" spans="1:26" ht="12.75" hidden="1" customHeight="1">
      <c r="A799" s="26">
        <v>498</v>
      </c>
      <c r="B799" s="27" t="s">
        <v>470</v>
      </c>
      <c r="C799" s="28">
        <v>41983</v>
      </c>
      <c r="D799" s="27"/>
      <c r="E799" s="27" t="s">
        <v>2314</v>
      </c>
      <c r="F799" s="29" t="s">
        <v>2315</v>
      </c>
      <c r="G799" s="27" t="s">
        <v>55</v>
      </c>
      <c r="H799" s="27" t="s">
        <v>19</v>
      </c>
      <c r="I799" s="27">
        <v>1</v>
      </c>
      <c r="J799" s="30">
        <v>77288471</v>
      </c>
      <c r="K799" s="26" t="s">
        <v>20</v>
      </c>
      <c r="L799" s="26" t="s">
        <v>233</v>
      </c>
      <c r="M799" s="31" t="s">
        <v>2183</v>
      </c>
      <c r="N799" s="6"/>
      <c r="O799" s="6"/>
      <c r="P799" s="23"/>
      <c r="Q799" s="2"/>
      <c r="R799" s="2"/>
      <c r="S799" s="2"/>
      <c r="T799" s="2"/>
      <c r="U799" s="2"/>
      <c r="V799" s="2"/>
      <c r="W799" s="2"/>
      <c r="X799" s="2"/>
      <c r="Y799" s="2"/>
    </row>
    <row r="800" spans="1:26" ht="12.75" hidden="1" customHeight="1">
      <c r="A800" s="17">
        <v>499</v>
      </c>
      <c r="B800" s="27" t="s">
        <v>470</v>
      </c>
      <c r="C800" s="19">
        <v>41983</v>
      </c>
      <c r="D800" s="27"/>
      <c r="E800" s="18" t="s">
        <v>2316</v>
      </c>
      <c r="F800" s="20" t="s">
        <v>2317</v>
      </c>
      <c r="G800" s="18" t="s">
        <v>55</v>
      </c>
      <c r="H800" s="18" t="s">
        <v>19</v>
      </c>
      <c r="I800" s="18">
        <v>1</v>
      </c>
      <c r="J800" s="21">
        <v>77288471</v>
      </c>
      <c r="K800" s="17" t="s">
        <v>20</v>
      </c>
      <c r="L800" s="17" t="s">
        <v>21</v>
      </c>
      <c r="M800" s="22" t="s">
        <v>22</v>
      </c>
      <c r="N800" s="23"/>
      <c r="O800" s="23"/>
      <c r="P800" s="23"/>
      <c r="Q800" s="24"/>
      <c r="R800" s="24"/>
      <c r="S800" s="24"/>
      <c r="T800" s="24"/>
      <c r="U800" s="24"/>
      <c r="V800" s="24"/>
      <c r="W800" s="24"/>
      <c r="X800" s="24"/>
      <c r="Y800" s="24"/>
      <c r="Z800" s="25"/>
    </row>
    <row r="801" spans="1:25" ht="12.75" hidden="1" customHeight="1">
      <c r="A801" s="26">
        <v>500</v>
      </c>
      <c r="B801" s="27" t="s">
        <v>470</v>
      </c>
      <c r="C801" s="28">
        <v>41983</v>
      </c>
      <c r="D801" s="27"/>
      <c r="E801" s="27" t="s">
        <v>2318</v>
      </c>
      <c r="F801" s="29" t="s">
        <v>2319</v>
      </c>
      <c r="G801" s="27" t="s">
        <v>55</v>
      </c>
      <c r="H801" s="27" t="s">
        <v>19</v>
      </c>
      <c r="I801" s="27">
        <v>1</v>
      </c>
      <c r="J801" s="30">
        <v>77288471</v>
      </c>
      <c r="K801" s="26" t="s">
        <v>20</v>
      </c>
      <c r="L801" s="26" t="s">
        <v>233</v>
      </c>
      <c r="M801" s="31" t="s">
        <v>2183</v>
      </c>
      <c r="N801" s="6"/>
      <c r="O801" s="6"/>
      <c r="P801" s="23"/>
      <c r="Q801" s="2"/>
      <c r="R801" s="2"/>
      <c r="S801" s="2"/>
      <c r="T801" s="2"/>
      <c r="U801" s="2"/>
      <c r="V801" s="2"/>
      <c r="W801" s="2"/>
      <c r="X801" s="2"/>
      <c r="Y801" s="2"/>
    </row>
    <row r="802" spans="1:25" ht="12.75" hidden="1" customHeight="1">
      <c r="A802" s="26">
        <v>501</v>
      </c>
      <c r="B802" s="27" t="s">
        <v>470</v>
      </c>
      <c r="C802" s="28">
        <v>41983</v>
      </c>
      <c r="D802" s="27"/>
      <c r="E802" s="27" t="s">
        <v>2320</v>
      </c>
      <c r="F802" s="29" t="s">
        <v>2321</v>
      </c>
      <c r="G802" s="27" t="s">
        <v>55</v>
      </c>
      <c r="H802" s="27" t="s">
        <v>19</v>
      </c>
      <c r="I802" s="27">
        <v>1</v>
      </c>
      <c r="J802" s="30">
        <v>77288471</v>
      </c>
      <c r="K802" s="26" t="s">
        <v>20</v>
      </c>
      <c r="L802" s="26" t="s">
        <v>233</v>
      </c>
      <c r="M802" s="31" t="s">
        <v>2245</v>
      </c>
      <c r="N802" s="6"/>
      <c r="O802" s="6"/>
      <c r="P802" s="23"/>
      <c r="Q802" s="2"/>
      <c r="R802" s="2"/>
      <c r="S802" s="2"/>
      <c r="T802" s="2"/>
      <c r="U802" s="2"/>
      <c r="V802" s="2"/>
      <c r="W802" s="2"/>
      <c r="X802" s="2"/>
      <c r="Y802" s="2"/>
    </row>
    <row r="803" spans="1:25" ht="12.75" hidden="1" customHeight="1">
      <c r="A803" s="26">
        <v>502</v>
      </c>
      <c r="B803" s="27" t="s">
        <v>470</v>
      </c>
      <c r="C803" s="28">
        <v>41983</v>
      </c>
      <c r="D803" s="27"/>
      <c r="E803" s="27" t="s">
        <v>2322</v>
      </c>
      <c r="F803" s="29" t="s">
        <v>2323</v>
      </c>
      <c r="G803" s="27" t="s">
        <v>55</v>
      </c>
      <c r="H803" s="27" t="s">
        <v>19</v>
      </c>
      <c r="I803" s="27">
        <v>1</v>
      </c>
      <c r="J803" s="30">
        <v>77288471</v>
      </c>
      <c r="K803" s="26" t="s">
        <v>20</v>
      </c>
      <c r="L803" s="26" t="s">
        <v>233</v>
      </c>
      <c r="M803" s="31" t="s">
        <v>2183</v>
      </c>
      <c r="N803" s="6"/>
      <c r="O803" s="6"/>
      <c r="P803" s="23"/>
      <c r="Q803" s="2"/>
      <c r="R803" s="2"/>
      <c r="S803" s="2"/>
      <c r="T803" s="2"/>
      <c r="U803" s="2"/>
      <c r="V803" s="2"/>
      <c r="W803" s="2"/>
      <c r="X803" s="2"/>
      <c r="Y803" s="2"/>
    </row>
    <row r="804" spans="1:25" ht="12.75" hidden="1" customHeight="1">
      <c r="A804" s="26">
        <v>503</v>
      </c>
      <c r="B804" s="27" t="s">
        <v>470</v>
      </c>
      <c r="C804" s="28">
        <v>41983</v>
      </c>
      <c r="D804" s="27"/>
      <c r="E804" s="27" t="s">
        <v>2324</v>
      </c>
      <c r="F804" s="29" t="s">
        <v>2325</v>
      </c>
      <c r="G804" s="27" t="s">
        <v>55</v>
      </c>
      <c r="H804" s="27" t="s">
        <v>19</v>
      </c>
      <c r="I804" s="27">
        <v>1</v>
      </c>
      <c r="J804" s="30">
        <v>77288471</v>
      </c>
      <c r="K804" s="26" t="s">
        <v>20</v>
      </c>
      <c r="L804" s="26" t="s">
        <v>233</v>
      </c>
      <c r="M804" s="31" t="s">
        <v>2183</v>
      </c>
      <c r="N804" s="6"/>
      <c r="O804" s="6"/>
      <c r="P804" s="23"/>
      <c r="Q804" s="2"/>
      <c r="R804" s="2"/>
      <c r="S804" s="2"/>
      <c r="T804" s="2"/>
      <c r="U804" s="2"/>
      <c r="V804" s="2"/>
      <c r="W804" s="2"/>
      <c r="X804" s="2"/>
      <c r="Y804" s="2"/>
    </row>
    <row r="805" spans="1:25" ht="12.75" hidden="1" customHeight="1">
      <c r="A805" s="26">
        <v>504</v>
      </c>
      <c r="B805" s="27" t="s">
        <v>470</v>
      </c>
      <c r="C805" s="28">
        <v>41983</v>
      </c>
      <c r="D805" s="27"/>
      <c r="E805" s="27" t="s">
        <v>2326</v>
      </c>
      <c r="F805" s="29" t="s">
        <v>2327</v>
      </c>
      <c r="G805" s="27" t="s">
        <v>55</v>
      </c>
      <c r="H805" s="27" t="s">
        <v>19</v>
      </c>
      <c r="I805" s="27">
        <v>1</v>
      </c>
      <c r="J805" s="30">
        <v>77288471</v>
      </c>
      <c r="K805" s="26" t="s">
        <v>20</v>
      </c>
      <c r="L805" s="26" t="s">
        <v>233</v>
      </c>
      <c r="M805" s="31" t="s">
        <v>2183</v>
      </c>
      <c r="N805" s="6"/>
      <c r="O805" s="6"/>
      <c r="P805" s="23"/>
      <c r="Q805" s="2"/>
      <c r="R805" s="2"/>
      <c r="S805" s="2"/>
      <c r="T805" s="2"/>
      <c r="U805" s="2"/>
      <c r="V805" s="2"/>
      <c r="W805" s="2"/>
      <c r="X805" s="2"/>
      <c r="Y805" s="2"/>
    </row>
    <row r="806" spans="1:25" ht="12.75" hidden="1" customHeight="1">
      <c r="A806" s="26">
        <v>505</v>
      </c>
      <c r="B806" s="27" t="s">
        <v>470</v>
      </c>
      <c r="C806" s="28">
        <v>41983</v>
      </c>
      <c r="D806" s="27"/>
      <c r="E806" s="27" t="s">
        <v>2328</v>
      </c>
      <c r="F806" s="29" t="s">
        <v>2329</v>
      </c>
      <c r="G806" s="27" t="s">
        <v>55</v>
      </c>
      <c r="H806" s="27" t="s">
        <v>19</v>
      </c>
      <c r="I806" s="27">
        <v>1</v>
      </c>
      <c r="J806" s="30">
        <v>70120491</v>
      </c>
      <c r="K806" s="26" t="s">
        <v>20</v>
      </c>
      <c r="L806" s="26" t="s">
        <v>233</v>
      </c>
      <c r="M806" s="31" t="s">
        <v>2183</v>
      </c>
      <c r="N806" s="6"/>
      <c r="O806" s="6"/>
      <c r="P806" s="23"/>
      <c r="Q806" s="2"/>
      <c r="R806" s="2"/>
      <c r="S806" s="2"/>
      <c r="T806" s="2"/>
      <c r="U806" s="2"/>
      <c r="V806" s="2"/>
      <c r="W806" s="2"/>
      <c r="X806" s="2"/>
      <c r="Y806" s="2"/>
    </row>
    <row r="807" spans="1:25" ht="12.75" hidden="1" customHeight="1">
      <c r="A807" s="26">
        <v>506</v>
      </c>
      <c r="B807" s="27" t="s">
        <v>470</v>
      </c>
      <c r="C807" s="28">
        <v>41983</v>
      </c>
      <c r="D807" s="27"/>
      <c r="E807" s="27" t="s">
        <v>2330</v>
      </c>
      <c r="F807" s="29" t="s">
        <v>2331</v>
      </c>
      <c r="G807" s="27" t="s">
        <v>55</v>
      </c>
      <c r="H807" s="27" t="s">
        <v>19</v>
      </c>
      <c r="I807" s="27">
        <v>1</v>
      </c>
      <c r="J807" s="30">
        <v>70120491</v>
      </c>
      <c r="K807" s="26" t="s">
        <v>20</v>
      </c>
      <c r="L807" s="26" t="s">
        <v>233</v>
      </c>
      <c r="M807" s="31" t="s">
        <v>2183</v>
      </c>
      <c r="N807" s="6"/>
      <c r="O807" s="6"/>
      <c r="P807" s="23"/>
      <c r="Q807" s="2"/>
      <c r="R807" s="2"/>
      <c r="S807" s="2"/>
      <c r="T807" s="2"/>
      <c r="U807" s="2"/>
      <c r="V807" s="2"/>
      <c r="W807" s="2"/>
      <c r="X807" s="2"/>
      <c r="Y807" s="2"/>
    </row>
    <row r="808" spans="1:25" ht="12.75" hidden="1" customHeight="1">
      <c r="A808" s="26">
        <v>507</v>
      </c>
      <c r="B808" s="27" t="s">
        <v>470</v>
      </c>
      <c r="C808" s="28">
        <v>41983</v>
      </c>
      <c r="D808" s="27"/>
      <c r="E808" s="27" t="s">
        <v>2332</v>
      </c>
      <c r="F808" s="29" t="s">
        <v>2333</v>
      </c>
      <c r="G808" s="27" t="s">
        <v>55</v>
      </c>
      <c r="H808" s="27" t="s">
        <v>19</v>
      </c>
      <c r="I808" s="27">
        <v>1</v>
      </c>
      <c r="J808" s="30">
        <v>70120491</v>
      </c>
      <c r="K808" s="26" t="s">
        <v>20</v>
      </c>
      <c r="L808" s="26" t="s">
        <v>233</v>
      </c>
      <c r="M808" s="31" t="s">
        <v>2183</v>
      </c>
      <c r="N808" s="6"/>
      <c r="O808" s="6"/>
      <c r="P808" s="23"/>
      <c r="Q808" s="2"/>
      <c r="R808" s="2"/>
      <c r="S808" s="2"/>
      <c r="T808" s="2"/>
      <c r="U808" s="2"/>
      <c r="V808" s="2"/>
      <c r="W808" s="2"/>
      <c r="X808" s="2"/>
      <c r="Y808" s="2"/>
    </row>
    <row r="809" spans="1:25" ht="12.75" hidden="1" customHeight="1">
      <c r="A809" s="26">
        <v>508</v>
      </c>
      <c r="B809" s="27" t="s">
        <v>470</v>
      </c>
      <c r="C809" s="28">
        <v>41983</v>
      </c>
      <c r="D809" s="27"/>
      <c r="E809" s="27" t="s">
        <v>2334</v>
      </c>
      <c r="F809" s="29" t="s">
        <v>2335</v>
      </c>
      <c r="G809" s="27" t="s">
        <v>55</v>
      </c>
      <c r="H809" s="27" t="s">
        <v>19</v>
      </c>
      <c r="I809" s="27">
        <v>1</v>
      </c>
      <c r="J809" s="30">
        <v>70120491</v>
      </c>
      <c r="K809" s="26" t="s">
        <v>20</v>
      </c>
      <c r="L809" s="26" t="s">
        <v>233</v>
      </c>
      <c r="M809" s="31" t="s">
        <v>2183</v>
      </c>
      <c r="N809" s="6"/>
      <c r="O809" s="6"/>
      <c r="P809" s="23"/>
      <c r="Q809" s="2"/>
      <c r="R809" s="2"/>
      <c r="S809" s="2"/>
      <c r="T809" s="2"/>
      <c r="U809" s="2"/>
      <c r="V809" s="2"/>
      <c r="W809" s="2"/>
      <c r="X809" s="2"/>
      <c r="Y809" s="2"/>
    </row>
    <row r="810" spans="1:25" ht="12.75" hidden="1" customHeight="1">
      <c r="A810" s="26">
        <v>509</v>
      </c>
      <c r="B810" s="27" t="s">
        <v>470</v>
      </c>
      <c r="C810" s="28">
        <v>41983</v>
      </c>
      <c r="D810" s="27"/>
      <c r="E810" s="27" t="s">
        <v>2336</v>
      </c>
      <c r="F810" s="29" t="s">
        <v>2337</v>
      </c>
      <c r="G810" s="27" t="s">
        <v>55</v>
      </c>
      <c r="H810" s="27" t="s">
        <v>19</v>
      </c>
      <c r="I810" s="27">
        <v>1</v>
      </c>
      <c r="J810" s="30">
        <v>70120491</v>
      </c>
      <c r="K810" s="26" t="s">
        <v>20</v>
      </c>
      <c r="L810" s="26" t="s">
        <v>233</v>
      </c>
      <c r="M810" s="31" t="s">
        <v>2183</v>
      </c>
      <c r="N810" s="6"/>
      <c r="O810" s="6"/>
      <c r="P810" s="23"/>
      <c r="Q810" s="2"/>
      <c r="R810" s="2"/>
      <c r="S810" s="2"/>
      <c r="T810" s="2"/>
      <c r="U810" s="2"/>
      <c r="V810" s="2"/>
      <c r="W810" s="2"/>
      <c r="X810" s="2"/>
      <c r="Y810" s="2"/>
    </row>
    <row r="811" spans="1:25" ht="12.75" hidden="1" customHeight="1">
      <c r="A811" s="26">
        <v>510</v>
      </c>
      <c r="B811" s="27" t="s">
        <v>470</v>
      </c>
      <c r="C811" s="28">
        <v>41983</v>
      </c>
      <c r="D811" s="27"/>
      <c r="E811" s="27" t="s">
        <v>2338</v>
      </c>
      <c r="F811" s="29" t="s">
        <v>2339</v>
      </c>
      <c r="G811" s="27" t="s">
        <v>55</v>
      </c>
      <c r="H811" s="27" t="s">
        <v>19</v>
      </c>
      <c r="I811" s="27">
        <v>1</v>
      </c>
      <c r="J811" s="30">
        <v>70120491</v>
      </c>
      <c r="K811" s="26" t="s">
        <v>20</v>
      </c>
      <c r="L811" s="26" t="s">
        <v>233</v>
      </c>
      <c r="M811" s="31" t="s">
        <v>2183</v>
      </c>
      <c r="N811" s="6"/>
      <c r="O811" s="6"/>
      <c r="P811" s="23"/>
      <c r="Q811" s="2"/>
      <c r="R811" s="2"/>
      <c r="S811" s="2"/>
      <c r="T811" s="2"/>
      <c r="U811" s="2"/>
      <c r="V811" s="2"/>
      <c r="W811" s="2"/>
      <c r="X811" s="2"/>
      <c r="Y811" s="2"/>
    </row>
    <row r="812" spans="1:25" ht="25.5" hidden="1" customHeight="1">
      <c r="A812" s="26">
        <v>511</v>
      </c>
      <c r="B812" s="27" t="s">
        <v>2340</v>
      </c>
      <c r="C812" s="28">
        <v>37986</v>
      </c>
      <c r="D812" s="27" t="s">
        <v>2341</v>
      </c>
      <c r="E812" s="27" t="s">
        <v>2342</v>
      </c>
      <c r="F812" s="29" t="s">
        <v>2343</v>
      </c>
      <c r="G812" s="27"/>
      <c r="H812" s="27" t="s">
        <v>19</v>
      </c>
      <c r="I812" s="27">
        <v>1</v>
      </c>
      <c r="J812" s="30">
        <v>52462406</v>
      </c>
      <c r="K812" s="26" t="s">
        <v>206</v>
      </c>
      <c r="L812" s="26" t="s">
        <v>1514</v>
      </c>
      <c r="M812" s="31" t="s">
        <v>2067</v>
      </c>
      <c r="N812" s="6"/>
      <c r="O812" s="6"/>
      <c r="P812" s="23"/>
      <c r="Q812" s="2"/>
      <c r="R812" s="2"/>
      <c r="S812" s="2"/>
      <c r="T812" s="2"/>
      <c r="U812" s="2"/>
      <c r="V812" s="2"/>
      <c r="W812" s="2"/>
      <c r="X812" s="2"/>
      <c r="Y812" s="2"/>
    </row>
    <row r="813" spans="1:25" ht="12.75" hidden="1" customHeight="1">
      <c r="A813" s="26" t="s">
        <v>2344</v>
      </c>
      <c r="B813" s="27"/>
      <c r="C813" s="28"/>
      <c r="D813" s="27"/>
      <c r="E813" s="27" t="s">
        <v>2345</v>
      </c>
      <c r="F813" s="29" t="s">
        <v>2346</v>
      </c>
      <c r="G813" s="27"/>
      <c r="H813" s="27"/>
      <c r="I813" s="27">
        <v>1</v>
      </c>
      <c r="J813" s="30"/>
      <c r="K813" s="26" t="s">
        <v>206</v>
      </c>
      <c r="L813" s="26" t="s">
        <v>1514</v>
      </c>
      <c r="M813" s="31"/>
      <c r="N813" s="6"/>
      <c r="O813" s="6"/>
      <c r="P813" s="23"/>
      <c r="Q813" s="2"/>
      <c r="R813" s="2"/>
      <c r="S813" s="2"/>
      <c r="T813" s="2"/>
      <c r="U813" s="2"/>
      <c r="V813" s="2"/>
      <c r="W813" s="2"/>
      <c r="X813" s="2"/>
      <c r="Y813" s="2"/>
    </row>
    <row r="814" spans="1:25" ht="12.75" hidden="1" customHeight="1">
      <c r="A814" s="26" t="s">
        <v>2347</v>
      </c>
      <c r="B814" s="27"/>
      <c r="C814" s="28"/>
      <c r="D814" s="27"/>
      <c r="E814" s="27" t="s">
        <v>2348</v>
      </c>
      <c r="F814" s="29" t="s">
        <v>2349</v>
      </c>
      <c r="G814" s="27"/>
      <c r="H814" s="27"/>
      <c r="I814" s="27">
        <v>1</v>
      </c>
      <c r="J814" s="30">
        <v>0</v>
      </c>
      <c r="K814" s="26" t="s">
        <v>206</v>
      </c>
      <c r="L814" s="26" t="s">
        <v>1514</v>
      </c>
      <c r="M814" s="31"/>
      <c r="N814" s="6"/>
      <c r="O814" s="6"/>
      <c r="P814" s="23"/>
      <c r="Q814" s="2"/>
      <c r="R814" s="2"/>
      <c r="S814" s="2"/>
      <c r="T814" s="2"/>
      <c r="U814" s="2"/>
      <c r="V814" s="2"/>
      <c r="W814" s="2"/>
      <c r="X814" s="2"/>
      <c r="Y814" s="2"/>
    </row>
    <row r="815" spans="1:25" ht="12.75" hidden="1" customHeight="1">
      <c r="A815" s="26">
        <v>512</v>
      </c>
      <c r="B815" s="27" t="s">
        <v>2350</v>
      </c>
      <c r="C815" s="28">
        <v>39945</v>
      </c>
      <c r="D815" s="27"/>
      <c r="E815" s="27" t="s">
        <v>2351</v>
      </c>
      <c r="F815" s="29" t="s">
        <v>2352</v>
      </c>
      <c r="G815" s="27" t="s">
        <v>55</v>
      </c>
      <c r="H815" s="27" t="s">
        <v>249</v>
      </c>
      <c r="I815" s="27">
        <v>1</v>
      </c>
      <c r="J815" s="30">
        <v>167046265</v>
      </c>
      <c r="K815" s="26" t="s">
        <v>20</v>
      </c>
      <c r="L815" s="26" t="s">
        <v>233</v>
      </c>
      <c r="M815" s="31" t="s">
        <v>2353</v>
      </c>
      <c r="N815" s="6"/>
      <c r="O815" s="6"/>
      <c r="P815" s="23"/>
      <c r="Q815" s="2"/>
      <c r="R815" s="2"/>
      <c r="S815" s="2"/>
      <c r="T815" s="2"/>
      <c r="U815" s="2"/>
      <c r="V815" s="2"/>
      <c r="W815" s="2"/>
      <c r="X815" s="2"/>
      <c r="Y815" s="2"/>
    </row>
    <row r="816" spans="1:25" ht="25" hidden="1">
      <c r="A816" s="26">
        <v>513</v>
      </c>
      <c r="B816" s="27" t="s">
        <v>2354</v>
      </c>
      <c r="C816" s="28">
        <v>40045</v>
      </c>
      <c r="D816" s="27"/>
      <c r="E816" s="27" t="s">
        <v>2355</v>
      </c>
      <c r="F816" s="29" t="s">
        <v>2356</v>
      </c>
      <c r="G816" s="27" t="s">
        <v>55</v>
      </c>
      <c r="H816" s="27" t="s">
        <v>249</v>
      </c>
      <c r="I816" s="27">
        <v>1</v>
      </c>
      <c r="J816" s="30">
        <v>169640260</v>
      </c>
      <c r="K816" s="26" t="s">
        <v>20</v>
      </c>
      <c r="L816" s="36" t="s">
        <v>229</v>
      </c>
      <c r="M816" s="31" t="str">
        <f>IFERROR(VLOOKUP(E816, TSCD_XUAN!$C$7:$K$1000, 9, 0), "Không tìm thấy")</f>
        <v>F1 control</v>
      </c>
      <c r="N816" s="6"/>
      <c r="O816" s="6" t="s">
        <v>923</v>
      </c>
      <c r="P816" s="23"/>
      <c r="Q816" s="2"/>
      <c r="R816" s="2"/>
      <c r="S816" s="2"/>
      <c r="T816" s="2"/>
      <c r="U816" s="2"/>
      <c r="V816" s="2"/>
      <c r="W816" s="2"/>
      <c r="X816" s="2"/>
      <c r="Y816" s="2"/>
    </row>
    <row r="817" spans="1:26" ht="25.5" hidden="1" customHeight="1">
      <c r="A817" s="38">
        <v>514</v>
      </c>
      <c r="B817" s="27" t="s">
        <v>1064</v>
      </c>
      <c r="C817" s="40">
        <v>39963</v>
      </c>
      <c r="D817" s="27"/>
      <c r="E817" s="39" t="s">
        <v>2357</v>
      </c>
      <c r="F817" s="41" t="s">
        <v>2358</v>
      </c>
      <c r="G817" s="27" t="s">
        <v>55</v>
      </c>
      <c r="H817" s="27" t="s">
        <v>249</v>
      </c>
      <c r="I817" s="27">
        <v>1</v>
      </c>
      <c r="J817" s="42">
        <v>168900954</v>
      </c>
      <c r="K817" s="38" t="s">
        <v>206</v>
      </c>
      <c r="L817" s="38" t="s">
        <v>1040</v>
      </c>
      <c r="M817" s="43" t="s">
        <v>2067</v>
      </c>
      <c r="N817" s="6"/>
      <c r="O817" s="6"/>
      <c r="P817" s="23"/>
      <c r="Q817" s="2"/>
      <c r="R817" s="2"/>
      <c r="S817" s="2"/>
      <c r="T817" s="2"/>
      <c r="U817" s="2"/>
      <c r="V817" s="2"/>
      <c r="W817" s="2"/>
      <c r="X817" s="2"/>
      <c r="Y817" s="2"/>
    </row>
    <row r="818" spans="1:26" ht="25.5" hidden="1" customHeight="1">
      <c r="A818" s="38">
        <v>515</v>
      </c>
      <c r="B818" s="27" t="s">
        <v>1064</v>
      </c>
      <c r="C818" s="40">
        <v>39963</v>
      </c>
      <c r="D818" s="27"/>
      <c r="E818" s="39" t="s">
        <v>2359</v>
      </c>
      <c r="F818" s="41" t="s">
        <v>2360</v>
      </c>
      <c r="G818" s="27" t="s">
        <v>55</v>
      </c>
      <c r="H818" s="27" t="s">
        <v>249</v>
      </c>
      <c r="I818" s="27">
        <v>1</v>
      </c>
      <c r="J818" s="42">
        <v>168900954</v>
      </c>
      <c r="K818" s="38" t="s">
        <v>206</v>
      </c>
      <c r="L818" s="38" t="s">
        <v>1040</v>
      </c>
      <c r="M818" s="43" t="s">
        <v>2067</v>
      </c>
      <c r="N818" s="6"/>
      <c r="O818" s="6"/>
      <c r="P818" s="23"/>
      <c r="Q818" s="2"/>
      <c r="R818" s="2"/>
      <c r="S818" s="2"/>
      <c r="T818" s="2"/>
      <c r="U818" s="2"/>
      <c r="V818" s="2"/>
      <c r="W818" s="2"/>
      <c r="X818" s="2"/>
      <c r="Y818" s="2"/>
    </row>
    <row r="819" spans="1:26" ht="25.5" hidden="1" customHeight="1">
      <c r="A819" s="38">
        <v>516</v>
      </c>
      <c r="B819" s="27" t="s">
        <v>1064</v>
      </c>
      <c r="C819" s="40">
        <v>39963</v>
      </c>
      <c r="D819" s="27"/>
      <c r="E819" s="39" t="s">
        <v>2361</v>
      </c>
      <c r="F819" s="41" t="s">
        <v>2362</v>
      </c>
      <c r="G819" s="27" t="s">
        <v>55</v>
      </c>
      <c r="H819" s="27" t="s">
        <v>249</v>
      </c>
      <c r="I819" s="27">
        <v>1</v>
      </c>
      <c r="J819" s="42">
        <v>168900955</v>
      </c>
      <c r="K819" s="38" t="s">
        <v>206</v>
      </c>
      <c r="L819" s="38" t="s">
        <v>1040</v>
      </c>
      <c r="M819" s="43" t="s">
        <v>2067</v>
      </c>
      <c r="N819" s="6"/>
      <c r="O819" s="6"/>
      <c r="P819" s="23"/>
      <c r="Q819" s="2"/>
      <c r="R819" s="2"/>
      <c r="S819" s="2"/>
      <c r="T819" s="2"/>
      <c r="U819" s="2"/>
      <c r="V819" s="2"/>
      <c r="W819" s="2"/>
      <c r="X819" s="2"/>
      <c r="Y819" s="2"/>
    </row>
    <row r="820" spans="1:26" ht="12.75" hidden="1" customHeight="1">
      <c r="A820" s="26">
        <v>517</v>
      </c>
      <c r="B820" s="27" t="s">
        <v>1064</v>
      </c>
      <c r="C820" s="28">
        <v>39963</v>
      </c>
      <c r="D820" s="27"/>
      <c r="E820" s="27" t="s">
        <v>2363</v>
      </c>
      <c r="F820" s="29" t="s">
        <v>2364</v>
      </c>
      <c r="G820" s="27"/>
      <c r="H820" s="27" t="s">
        <v>249</v>
      </c>
      <c r="I820" s="27">
        <v>1</v>
      </c>
      <c r="J820" s="30">
        <v>184289407</v>
      </c>
      <c r="K820" s="26" t="s">
        <v>206</v>
      </c>
      <c r="L820" s="26" t="s">
        <v>1040</v>
      </c>
      <c r="M820" s="31" t="s">
        <v>2067</v>
      </c>
      <c r="N820" s="6"/>
      <c r="O820" s="6"/>
      <c r="P820" s="23"/>
      <c r="Q820" s="2"/>
      <c r="R820" s="2"/>
      <c r="S820" s="2"/>
      <c r="T820" s="2"/>
      <c r="U820" s="2"/>
      <c r="V820" s="2"/>
      <c r="W820" s="2"/>
      <c r="X820" s="2"/>
      <c r="Y820" s="2"/>
    </row>
    <row r="821" spans="1:26" ht="38.25" hidden="1" customHeight="1">
      <c r="A821" s="26">
        <v>518</v>
      </c>
      <c r="B821" s="27" t="s">
        <v>1005</v>
      </c>
      <c r="C821" s="28">
        <v>39994</v>
      </c>
      <c r="D821" s="27"/>
      <c r="E821" s="27" t="s">
        <v>2365</v>
      </c>
      <c r="F821" s="29" t="s">
        <v>2366</v>
      </c>
      <c r="G821" s="27"/>
      <c r="H821" s="27" t="s">
        <v>249</v>
      </c>
      <c r="I821" s="27">
        <v>1</v>
      </c>
      <c r="J821" s="30">
        <v>231548036</v>
      </c>
      <c r="K821" s="26" t="s">
        <v>206</v>
      </c>
      <c r="L821" s="26" t="s">
        <v>1040</v>
      </c>
      <c r="M821" s="31" t="s">
        <v>1954</v>
      </c>
      <c r="N821" s="6"/>
      <c r="O821" s="6"/>
      <c r="P821" s="23"/>
      <c r="Q821" s="2"/>
      <c r="R821" s="2"/>
      <c r="S821" s="2"/>
      <c r="T821" s="2"/>
      <c r="U821" s="2"/>
      <c r="V821" s="2"/>
      <c r="W821" s="2"/>
      <c r="X821" s="2"/>
      <c r="Y821" s="2"/>
    </row>
    <row r="822" spans="1:26" ht="38.25" hidden="1" customHeight="1">
      <c r="A822" s="38">
        <v>519</v>
      </c>
      <c r="B822" s="27" t="s">
        <v>1005</v>
      </c>
      <c r="C822" s="40">
        <v>39994</v>
      </c>
      <c r="D822" s="27"/>
      <c r="E822" s="39" t="s">
        <v>2367</v>
      </c>
      <c r="F822" s="41" t="s">
        <v>2368</v>
      </c>
      <c r="G822" s="27"/>
      <c r="H822" s="27" t="s">
        <v>249</v>
      </c>
      <c r="I822" s="27">
        <v>1</v>
      </c>
      <c r="J822" s="42">
        <v>231548036</v>
      </c>
      <c r="K822" s="38" t="s">
        <v>206</v>
      </c>
      <c r="L822" s="38" t="s">
        <v>1040</v>
      </c>
      <c r="M822" s="43" t="s">
        <v>1954</v>
      </c>
      <c r="N822" s="6"/>
      <c r="O822" s="6"/>
      <c r="P822" s="23"/>
      <c r="Q822" s="2"/>
      <c r="R822" s="2"/>
      <c r="S822" s="2"/>
      <c r="T822" s="2"/>
      <c r="U822" s="2"/>
      <c r="V822" s="2"/>
      <c r="W822" s="2"/>
      <c r="X822" s="2"/>
      <c r="Y822" s="2"/>
    </row>
    <row r="823" spans="1:26" ht="38.25" hidden="1" customHeight="1">
      <c r="A823" s="26">
        <v>520</v>
      </c>
      <c r="B823" s="27" t="s">
        <v>1005</v>
      </c>
      <c r="C823" s="28">
        <v>39994</v>
      </c>
      <c r="D823" s="27"/>
      <c r="E823" s="27" t="s">
        <v>2369</v>
      </c>
      <c r="F823" s="29" t="s">
        <v>2370</v>
      </c>
      <c r="G823" s="27"/>
      <c r="H823" s="27" t="s">
        <v>249</v>
      </c>
      <c r="I823" s="27">
        <v>1</v>
      </c>
      <c r="J823" s="30">
        <v>231548036</v>
      </c>
      <c r="K823" s="26" t="s">
        <v>206</v>
      </c>
      <c r="L823" s="26" t="s">
        <v>1040</v>
      </c>
      <c r="M823" s="31" t="s">
        <v>1954</v>
      </c>
      <c r="N823" s="6"/>
      <c r="O823" s="6"/>
      <c r="P823" s="23"/>
      <c r="Q823" s="2"/>
      <c r="R823" s="2"/>
      <c r="S823" s="2"/>
      <c r="T823" s="2"/>
      <c r="U823" s="2"/>
      <c r="V823" s="2"/>
      <c r="W823" s="2"/>
      <c r="X823" s="2"/>
      <c r="Y823" s="2"/>
    </row>
    <row r="824" spans="1:26" ht="38.25" hidden="1" customHeight="1">
      <c r="A824" s="38">
        <v>521</v>
      </c>
      <c r="B824" s="27" t="s">
        <v>1005</v>
      </c>
      <c r="C824" s="40">
        <v>39994</v>
      </c>
      <c r="D824" s="27"/>
      <c r="E824" s="39" t="s">
        <v>2371</v>
      </c>
      <c r="F824" s="41" t="s">
        <v>2372</v>
      </c>
      <c r="G824" s="27"/>
      <c r="H824" s="27" t="s">
        <v>249</v>
      </c>
      <c r="I824" s="27">
        <v>1</v>
      </c>
      <c r="J824" s="42">
        <v>231548034</v>
      </c>
      <c r="K824" s="38" t="s">
        <v>206</v>
      </c>
      <c r="L824" s="38" t="s">
        <v>1040</v>
      </c>
      <c r="M824" s="43" t="s">
        <v>1954</v>
      </c>
      <c r="N824" s="6"/>
      <c r="O824" s="6"/>
      <c r="P824" s="23"/>
      <c r="Q824" s="2"/>
      <c r="R824" s="2"/>
      <c r="S824" s="2"/>
      <c r="T824" s="2"/>
      <c r="U824" s="2"/>
      <c r="V824" s="2"/>
      <c r="W824" s="2"/>
      <c r="X824" s="2"/>
      <c r="Y824" s="2"/>
    </row>
    <row r="825" spans="1:26" ht="38.25" hidden="1" customHeight="1">
      <c r="A825" s="38">
        <v>522</v>
      </c>
      <c r="B825" s="27" t="s">
        <v>1005</v>
      </c>
      <c r="C825" s="40">
        <v>39994</v>
      </c>
      <c r="D825" s="27"/>
      <c r="E825" s="39" t="s">
        <v>2373</v>
      </c>
      <c r="F825" s="41" t="s">
        <v>2374</v>
      </c>
      <c r="G825" s="27"/>
      <c r="H825" s="27" t="s">
        <v>249</v>
      </c>
      <c r="I825" s="27">
        <v>1</v>
      </c>
      <c r="J825" s="42">
        <v>316607946</v>
      </c>
      <c r="K825" s="38" t="s">
        <v>206</v>
      </c>
      <c r="L825" s="38" t="s">
        <v>1040</v>
      </c>
      <c r="M825" s="43" t="s">
        <v>1954</v>
      </c>
      <c r="N825" s="6"/>
      <c r="O825" s="6"/>
      <c r="P825" s="23"/>
      <c r="Q825" s="2"/>
      <c r="R825" s="2"/>
      <c r="S825" s="2"/>
      <c r="T825" s="2"/>
      <c r="U825" s="2"/>
      <c r="V825" s="2"/>
      <c r="W825" s="2"/>
      <c r="X825" s="2"/>
      <c r="Y825" s="2"/>
    </row>
    <row r="826" spans="1:26" ht="25.5" hidden="1" customHeight="1">
      <c r="A826" s="17">
        <v>523</v>
      </c>
      <c r="B826" s="27" t="s">
        <v>470</v>
      </c>
      <c r="C826" s="19">
        <v>41983</v>
      </c>
      <c r="D826" s="27"/>
      <c r="E826" s="18" t="s">
        <v>2375</v>
      </c>
      <c r="F826" s="20" t="s">
        <v>2376</v>
      </c>
      <c r="G826" s="18" t="s">
        <v>55</v>
      </c>
      <c r="H826" s="18" t="s">
        <v>19</v>
      </c>
      <c r="I826" s="18">
        <v>1</v>
      </c>
      <c r="J826" s="21">
        <v>613626286</v>
      </c>
      <c r="K826" s="17" t="s">
        <v>20</v>
      </c>
      <c r="L826" s="17" t="s">
        <v>21</v>
      </c>
      <c r="M826" s="22" t="s">
        <v>22</v>
      </c>
      <c r="N826" s="23"/>
      <c r="O826" s="23"/>
      <c r="P826" s="23"/>
      <c r="Q826" s="24"/>
      <c r="R826" s="24"/>
      <c r="S826" s="24"/>
      <c r="T826" s="24"/>
      <c r="U826" s="24"/>
      <c r="V826" s="24"/>
      <c r="W826" s="24"/>
      <c r="X826" s="24"/>
      <c r="Y826" s="24"/>
      <c r="Z826" s="25"/>
    </row>
    <row r="827" spans="1:26" ht="25.5" hidden="1" customHeight="1">
      <c r="A827" s="26">
        <v>524</v>
      </c>
      <c r="B827" s="27" t="s">
        <v>909</v>
      </c>
      <c r="C827" s="28">
        <v>41999</v>
      </c>
      <c r="D827" s="27"/>
      <c r="E827" s="27" t="s">
        <v>2377</v>
      </c>
      <c r="F827" s="29" t="s">
        <v>2378</v>
      </c>
      <c r="G827" s="27" t="s">
        <v>55</v>
      </c>
      <c r="H827" s="27" t="s">
        <v>19</v>
      </c>
      <c r="I827" s="27">
        <v>1</v>
      </c>
      <c r="J827" s="30">
        <v>621895482</v>
      </c>
      <c r="K827" s="26" t="s">
        <v>20</v>
      </c>
      <c r="L827" s="26" t="s">
        <v>233</v>
      </c>
      <c r="M827" s="31" t="s">
        <v>2379</v>
      </c>
      <c r="N827" s="6"/>
      <c r="O827" s="6"/>
      <c r="P827" s="23"/>
      <c r="Q827" s="2"/>
      <c r="R827" s="2"/>
      <c r="S827" s="2"/>
      <c r="T827" s="2"/>
      <c r="U827" s="2"/>
      <c r="V827" s="2"/>
      <c r="W827" s="2"/>
      <c r="X827" s="2"/>
      <c r="Y827" s="2"/>
    </row>
    <row r="828" spans="1:26" ht="12.75" customHeight="1">
      <c r="A828" s="26">
        <v>525</v>
      </c>
      <c r="B828" s="27" t="s">
        <v>470</v>
      </c>
      <c r="C828" s="28">
        <v>41983</v>
      </c>
      <c r="D828" s="27"/>
      <c r="E828" s="47" t="s">
        <v>2380</v>
      </c>
      <c r="F828" s="29" t="s">
        <v>2381</v>
      </c>
      <c r="G828" s="27" t="s">
        <v>55</v>
      </c>
      <c r="H828" s="27" t="s">
        <v>19</v>
      </c>
      <c r="I828" s="27">
        <v>1</v>
      </c>
      <c r="J828" s="30">
        <v>652010131</v>
      </c>
      <c r="K828" s="26" t="s">
        <v>20</v>
      </c>
      <c r="L828" s="26" t="s">
        <v>423</v>
      </c>
      <c r="M828" s="31" t="s">
        <v>2382</v>
      </c>
      <c r="N828" s="7"/>
      <c r="O828" s="7" t="str">
        <f ca="1">IFERROR(__xludf.DUMMYFUNCTION("IFERROR(INDEX(Sheet1!$C:$C, MAX(FILTER(ROW(Sheet1!$B:$B), Sheet1!$B:$B=E828))), """")"),"")</f>
        <v/>
      </c>
      <c r="P828" s="23"/>
      <c r="Q828" s="2"/>
      <c r="R828" s="2"/>
      <c r="S828" s="2"/>
      <c r="T828" s="2"/>
      <c r="U828" s="2"/>
      <c r="V828" s="2"/>
      <c r="W828" s="2"/>
      <c r="X828" s="2"/>
      <c r="Y828" s="2"/>
    </row>
    <row r="829" spans="1:26" ht="25">
      <c r="A829" s="26" t="s">
        <v>2383</v>
      </c>
      <c r="B829" s="27"/>
      <c r="C829" s="28"/>
      <c r="D829" s="27"/>
      <c r="E829" s="47" t="s">
        <v>2384</v>
      </c>
      <c r="F829" s="29" t="s">
        <v>2385</v>
      </c>
      <c r="G829" s="27" t="s">
        <v>248</v>
      </c>
      <c r="H829" s="27" t="s">
        <v>249</v>
      </c>
      <c r="I829" s="27">
        <v>1</v>
      </c>
      <c r="J829" s="30">
        <v>0</v>
      </c>
      <c r="K829" s="26" t="s">
        <v>20</v>
      </c>
      <c r="L829" s="26" t="s">
        <v>423</v>
      </c>
      <c r="M829" s="31" t="s">
        <v>2386</v>
      </c>
      <c r="N829" s="7"/>
      <c r="O829" s="7" t="str">
        <f ca="1">IFERROR(__xludf.DUMMYFUNCTION("IFERROR(INDEX(Sheet1!$C:$C, MAX(FILTER(ROW(Sheet1!$B:$B), Sheet1!$B:$B=E829))), """")"),"")</f>
        <v/>
      </c>
      <c r="P829" s="23"/>
      <c r="Q829" s="2"/>
      <c r="R829" s="2"/>
      <c r="S829" s="2"/>
      <c r="T829" s="2"/>
      <c r="U829" s="2"/>
      <c r="V829" s="2"/>
      <c r="W829" s="2"/>
      <c r="X829" s="2"/>
      <c r="Y829" s="2"/>
    </row>
    <row r="830" spans="1:26" ht="12.75" customHeight="1">
      <c r="A830" s="26">
        <v>526</v>
      </c>
      <c r="B830" s="27" t="s">
        <v>470</v>
      </c>
      <c r="C830" s="28">
        <v>41983</v>
      </c>
      <c r="D830" s="27"/>
      <c r="E830" s="47" t="s">
        <v>2387</v>
      </c>
      <c r="F830" s="29" t="s">
        <v>2381</v>
      </c>
      <c r="G830" s="27" t="s">
        <v>55</v>
      </c>
      <c r="H830" s="27" t="s">
        <v>19</v>
      </c>
      <c r="I830" s="27">
        <v>1</v>
      </c>
      <c r="J830" s="30">
        <v>652010131</v>
      </c>
      <c r="K830" s="26" t="s">
        <v>20</v>
      </c>
      <c r="L830" s="26" t="s">
        <v>423</v>
      </c>
      <c r="M830" s="31" t="s">
        <v>2388</v>
      </c>
      <c r="N830" s="7"/>
      <c r="O830" s="7" t="str">
        <f ca="1">IFERROR(__xludf.DUMMYFUNCTION("IFERROR(INDEX(Sheet1!$C:$C, MAX(FILTER(ROW(Sheet1!$B:$B), Sheet1!$B:$B=E830))), """")"),"")</f>
        <v/>
      </c>
      <c r="P830" s="23"/>
      <c r="Q830" s="2"/>
      <c r="R830" s="2"/>
      <c r="S830" s="2"/>
      <c r="T830" s="2"/>
      <c r="U830" s="2"/>
      <c r="V830" s="2"/>
      <c r="W830" s="2"/>
      <c r="X830" s="2"/>
      <c r="Y830" s="2"/>
    </row>
    <row r="831" spans="1:26" ht="38.25" hidden="1" customHeight="1">
      <c r="A831" s="26" t="s">
        <v>2389</v>
      </c>
      <c r="B831" s="27"/>
      <c r="C831" s="28"/>
      <c r="D831" s="27"/>
      <c r="E831" s="27" t="s">
        <v>2390</v>
      </c>
      <c r="F831" s="29" t="s">
        <v>2391</v>
      </c>
      <c r="G831" s="27" t="s">
        <v>248</v>
      </c>
      <c r="H831" s="27" t="s">
        <v>249</v>
      </c>
      <c r="I831" s="27">
        <v>1</v>
      </c>
      <c r="J831" s="30">
        <v>0</v>
      </c>
      <c r="K831" s="26" t="s">
        <v>20</v>
      </c>
      <c r="L831" s="36" t="s">
        <v>229</v>
      </c>
      <c r="M831" s="31" t="str">
        <f>IFERROR(VLOOKUP(E831, TSCD_XUAN!$C$7:$K$1000, 9, 0), "Không tìm thấy")</f>
        <v>A2-Control, Màn hình điều khiển SW KAHUNA. A1 CONTROL</v>
      </c>
      <c r="N831" s="6"/>
      <c r="O831" s="6"/>
      <c r="P831" s="23"/>
      <c r="Q831" s="2"/>
      <c r="R831" s="2"/>
      <c r="S831" s="2"/>
      <c r="T831" s="2"/>
      <c r="U831" s="2"/>
      <c r="V831" s="2"/>
      <c r="W831" s="2"/>
      <c r="X831" s="2"/>
      <c r="Y831" s="2"/>
    </row>
    <row r="832" spans="1:26" ht="25.5" hidden="1" customHeight="1">
      <c r="A832" s="26">
        <v>527</v>
      </c>
      <c r="B832" s="27" t="s">
        <v>909</v>
      </c>
      <c r="C832" s="28">
        <v>41999</v>
      </c>
      <c r="D832" s="27"/>
      <c r="E832" s="27" t="s">
        <v>2392</v>
      </c>
      <c r="F832" s="29" t="s">
        <v>2393</v>
      </c>
      <c r="G832" s="27" t="s">
        <v>55</v>
      </c>
      <c r="H832" s="27" t="s">
        <v>19</v>
      </c>
      <c r="I832" s="27">
        <v>1</v>
      </c>
      <c r="J832" s="30">
        <v>113853059</v>
      </c>
      <c r="K832" s="26" t="s">
        <v>20</v>
      </c>
      <c r="L832" s="26" t="s">
        <v>233</v>
      </c>
      <c r="M832" s="31" t="s">
        <v>2353</v>
      </c>
      <c r="N832" s="6"/>
      <c r="O832" s="6"/>
      <c r="P832" s="23"/>
      <c r="Q832" s="2"/>
      <c r="R832" s="2"/>
      <c r="S832" s="2"/>
      <c r="T832" s="2"/>
      <c r="U832" s="2"/>
      <c r="V832" s="2"/>
      <c r="W832" s="2"/>
      <c r="X832" s="2"/>
      <c r="Y832" s="2"/>
    </row>
    <row r="833" spans="1:25" ht="12.75" hidden="1" customHeight="1">
      <c r="A833" s="26">
        <v>528</v>
      </c>
      <c r="B833" s="27" t="s">
        <v>2041</v>
      </c>
      <c r="C833" s="28">
        <v>42184</v>
      </c>
      <c r="D833" s="27"/>
      <c r="E833" s="27" t="s">
        <v>2394</v>
      </c>
      <c r="F833" s="29" t="s">
        <v>2395</v>
      </c>
      <c r="G833" s="27" t="s">
        <v>1008</v>
      </c>
      <c r="H833" s="27" t="s">
        <v>249</v>
      </c>
      <c r="I833" s="27">
        <v>1</v>
      </c>
      <c r="J833" s="30">
        <v>65579017</v>
      </c>
      <c r="K833" s="26" t="s">
        <v>20</v>
      </c>
      <c r="L833" s="26" t="s">
        <v>295</v>
      </c>
      <c r="M833" s="31" t="s">
        <v>2077</v>
      </c>
      <c r="N833" s="6"/>
      <c r="O833" s="6"/>
      <c r="P833" s="23"/>
      <c r="Q833" s="2"/>
      <c r="R833" s="2"/>
      <c r="S833" s="2"/>
      <c r="T833" s="2"/>
      <c r="U833" s="2"/>
      <c r="V833" s="2"/>
      <c r="W833" s="2"/>
      <c r="X833" s="2"/>
      <c r="Y833" s="2"/>
    </row>
    <row r="834" spans="1:25" ht="25.5" hidden="1" customHeight="1">
      <c r="A834" s="26">
        <v>529</v>
      </c>
      <c r="B834" s="27" t="s">
        <v>1763</v>
      </c>
      <c r="C834" s="28">
        <v>42368</v>
      </c>
      <c r="D834" s="27"/>
      <c r="E834" s="27" t="s">
        <v>2396</v>
      </c>
      <c r="F834" s="29" t="s">
        <v>2397</v>
      </c>
      <c r="G834" s="27" t="s">
        <v>2398</v>
      </c>
      <c r="H834" s="27" t="s">
        <v>19</v>
      </c>
      <c r="I834" s="27">
        <v>1</v>
      </c>
      <c r="J834" s="30">
        <v>328338602</v>
      </c>
      <c r="K834" s="26" t="s">
        <v>36</v>
      </c>
      <c r="L834" s="26" t="s">
        <v>37</v>
      </c>
      <c r="M834" s="31" t="s">
        <v>2399</v>
      </c>
      <c r="N834" s="6"/>
      <c r="O834" s="6"/>
      <c r="P834" s="23"/>
      <c r="Q834" s="2"/>
      <c r="R834" s="2"/>
      <c r="S834" s="2"/>
      <c r="T834" s="2"/>
      <c r="U834" s="2"/>
      <c r="V834" s="2"/>
      <c r="W834" s="2"/>
      <c r="X834" s="2"/>
      <c r="Y834" s="2"/>
    </row>
    <row r="835" spans="1:25" ht="25.5" hidden="1" customHeight="1">
      <c r="A835" s="26">
        <v>530</v>
      </c>
      <c r="B835" s="27" t="s">
        <v>1763</v>
      </c>
      <c r="C835" s="28">
        <v>42368</v>
      </c>
      <c r="D835" s="27"/>
      <c r="E835" s="27" t="s">
        <v>2400</v>
      </c>
      <c r="F835" s="29" t="s">
        <v>2401</v>
      </c>
      <c r="G835" s="27" t="s">
        <v>2398</v>
      </c>
      <c r="H835" s="27" t="s">
        <v>19</v>
      </c>
      <c r="I835" s="27">
        <v>1</v>
      </c>
      <c r="J835" s="30">
        <v>328338602</v>
      </c>
      <c r="K835" s="26" t="s">
        <v>36</v>
      </c>
      <c r="L835" s="26" t="s">
        <v>1542</v>
      </c>
      <c r="M835" s="31" t="s">
        <v>1900</v>
      </c>
      <c r="N835" s="6"/>
      <c r="O835" s="6"/>
      <c r="P835" s="23"/>
      <c r="Q835" s="2"/>
      <c r="R835" s="2"/>
      <c r="S835" s="2"/>
      <c r="T835" s="2"/>
      <c r="U835" s="2"/>
      <c r="V835" s="2"/>
      <c r="W835" s="2"/>
      <c r="X835" s="2"/>
      <c r="Y835" s="2"/>
    </row>
    <row r="836" spans="1:25" ht="51" hidden="1" customHeight="1">
      <c r="A836" s="26">
        <v>531</v>
      </c>
      <c r="B836" s="27" t="s">
        <v>599</v>
      </c>
      <c r="C836" s="28">
        <v>42671</v>
      </c>
      <c r="D836" s="27"/>
      <c r="E836" s="27" t="s">
        <v>2402</v>
      </c>
      <c r="F836" s="29" t="s">
        <v>2403</v>
      </c>
      <c r="G836" s="27" t="s">
        <v>338</v>
      </c>
      <c r="H836" s="27" t="s">
        <v>157</v>
      </c>
      <c r="I836" s="27">
        <v>1</v>
      </c>
      <c r="J836" s="30">
        <v>644887478</v>
      </c>
      <c r="K836" s="26" t="s">
        <v>36</v>
      </c>
      <c r="L836" s="26" t="s">
        <v>1542</v>
      </c>
      <c r="M836" s="31" t="s">
        <v>1900</v>
      </c>
      <c r="N836" s="6"/>
      <c r="O836" s="6"/>
      <c r="P836" s="23"/>
      <c r="Q836" s="2"/>
      <c r="R836" s="2"/>
      <c r="S836" s="2"/>
      <c r="T836" s="2"/>
      <c r="U836" s="2"/>
      <c r="V836" s="2"/>
      <c r="W836" s="2"/>
      <c r="X836" s="2"/>
      <c r="Y836" s="2"/>
    </row>
    <row r="837" spans="1:25" ht="51" hidden="1" customHeight="1">
      <c r="A837" s="26">
        <v>532</v>
      </c>
      <c r="B837" s="27" t="s">
        <v>599</v>
      </c>
      <c r="C837" s="28">
        <v>42671</v>
      </c>
      <c r="D837" s="27"/>
      <c r="E837" s="27" t="s">
        <v>2404</v>
      </c>
      <c r="F837" s="29" t="s">
        <v>2405</v>
      </c>
      <c r="G837" s="27" t="s">
        <v>338</v>
      </c>
      <c r="H837" s="27" t="s">
        <v>157</v>
      </c>
      <c r="I837" s="27">
        <v>1</v>
      </c>
      <c r="J837" s="30">
        <v>644887478</v>
      </c>
      <c r="K837" s="26" t="s">
        <v>36</v>
      </c>
      <c r="L837" s="26" t="s">
        <v>1542</v>
      </c>
      <c r="M837" s="31" t="s">
        <v>1909</v>
      </c>
      <c r="N837" s="6"/>
      <c r="O837" s="6"/>
      <c r="P837" s="23"/>
      <c r="Q837" s="2"/>
      <c r="R837" s="2"/>
      <c r="S837" s="2"/>
      <c r="T837" s="2"/>
      <c r="U837" s="2"/>
      <c r="V837" s="2"/>
      <c r="W837" s="2"/>
      <c r="X837" s="2"/>
      <c r="Y837" s="2"/>
    </row>
    <row r="838" spans="1:25" ht="25.5" hidden="1" customHeight="1">
      <c r="A838" s="26">
        <v>533</v>
      </c>
      <c r="B838" s="27" t="s">
        <v>599</v>
      </c>
      <c r="C838" s="28">
        <v>42671</v>
      </c>
      <c r="D838" s="27"/>
      <c r="E838" s="27" t="s">
        <v>2406</v>
      </c>
      <c r="F838" s="29" t="s">
        <v>2407</v>
      </c>
      <c r="G838" s="27" t="s">
        <v>248</v>
      </c>
      <c r="H838" s="27" t="s">
        <v>19</v>
      </c>
      <c r="I838" s="27">
        <v>1</v>
      </c>
      <c r="J838" s="30">
        <v>341201513</v>
      </c>
      <c r="K838" s="26" t="s">
        <v>36</v>
      </c>
      <c r="L838" s="45" t="s">
        <v>169</v>
      </c>
      <c r="M838" s="46" t="s">
        <v>2408</v>
      </c>
      <c r="N838" s="6"/>
      <c r="O838" s="6"/>
      <c r="P838" s="23"/>
      <c r="Q838" s="2"/>
      <c r="R838" s="2"/>
      <c r="S838" s="2"/>
      <c r="T838" s="2"/>
      <c r="U838" s="2"/>
      <c r="V838" s="2"/>
      <c r="W838" s="2"/>
      <c r="X838" s="2"/>
      <c r="Y838" s="2"/>
    </row>
    <row r="839" spans="1:25" ht="25.5" hidden="1" customHeight="1">
      <c r="A839" s="26">
        <v>534</v>
      </c>
      <c r="B839" s="27" t="s">
        <v>599</v>
      </c>
      <c r="C839" s="28">
        <v>42671</v>
      </c>
      <c r="D839" s="27"/>
      <c r="E839" s="27" t="s">
        <v>2409</v>
      </c>
      <c r="F839" s="29" t="s">
        <v>2410</v>
      </c>
      <c r="G839" s="27" t="s">
        <v>248</v>
      </c>
      <c r="H839" s="27" t="s">
        <v>19</v>
      </c>
      <c r="I839" s="27">
        <v>1</v>
      </c>
      <c r="J839" s="30">
        <v>341201513</v>
      </c>
      <c r="K839" s="26" t="s">
        <v>36</v>
      </c>
      <c r="L839" s="26" t="s">
        <v>169</v>
      </c>
      <c r="M839" s="31" t="s">
        <v>2411</v>
      </c>
      <c r="N839" s="6"/>
      <c r="O839" s="6"/>
      <c r="P839" s="23"/>
      <c r="Q839" s="2"/>
      <c r="R839" s="2"/>
      <c r="S839" s="2"/>
      <c r="T839" s="2"/>
      <c r="U839" s="2"/>
      <c r="V839" s="2"/>
      <c r="W839" s="2"/>
      <c r="X839" s="2"/>
      <c r="Y839" s="2"/>
    </row>
    <row r="840" spans="1:25" ht="25.5" hidden="1" customHeight="1">
      <c r="A840" s="26">
        <v>535</v>
      </c>
      <c r="B840" s="27" t="s">
        <v>599</v>
      </c>
      <c r="C840" s="28">
        <v>42671</v>
      </c>
      <c r="D840" s="27"/>
      <c r="E840" s="27" t="s">
        <v>2412</v>
      </c>
      <c r="F840" s="29" t="s">
        <v>2413</v>
      </c>
      <c r="G840" s="27" t="s">
        <v>307</v>
      </c>
      <c r="H840" s="27" t="s">
        <v>19</v>
      </c>
      <c r="I840" s="27">
        <v>1</v>
      </c>
      <c r="J840" s="30">
        <v>34674284</v>
      </c>
      <c r="K840" s="26" t="s">
        <v>36</v>
      </c>
      <c r="L840" s="26" t="s">
        <v>169</v>
      </c>
      <c r="M840" s="31" t="s">
        <v>2414</v>
      </c>
      <c r="N840" s="6"/>
      <c r="O840" s="6"/>
      <c r="P840" s="23"/>
      <c r="Q840" s="2"/>
      <c r="R840" s="2"/>
      <c r="S840" s="2"/>
      <c r="T840" s="2"/>
      <c r="U840" s="2"/>
      <c r="V840" s="2"/>
      <c r="W840" s="2"/>
      <c r="X840" s="2"/>
      <c r="Y840" s="2"/>
    </row>
    <row r="841" spans="1:25" ht="25.5" hidden="1" customHeight="1">
      <c r="A841" s="26">
        <v>536</v>
      </c>
      <c r="B841" s="27" t="s">
        <v>599</v>
      </c>
      <c r="C841" s="28">
        <v>42671</v>
      </c>
      <c r="D841" s="27"/>
      <c r="E841" s="27" t="s">
        <v>2415</v>
      </c>
      <c r="F841" s="29" t="s">
        <v>2416</v>
      </c>
      <c r="G841" s="27" t="s">
        <v>307</v>
      </c>
      <c r="H841" s="27" t="s">
        <v>19</v>
      </c>
      <c r="I841" s="27">
        <v>1</v>
      </c>
      <c r="J841" s="30">
        <v>34674284</v>
      </c>
      <c r="K841" s="26" t="s">
        <v>36</v>
      </c>
      <c r="L841" s="26" t="s">
        <v>169</v>
      </c>
      <c r="M841" s="31" t="s">
        <v>2414</v>
      </c>
      <c r="N841" s="6"/>
      <c r="O841" s="6"/>
      <c r="P841" s="23"/>
      <c r="Q841" s="2"/>
      <c r="R841" s="2"/>
      <c r="S841" s="2"/>
      <c r="T841" s="2"/>
      <c r="U841" s="2"/>
      <c r="V841" s="2"/>
      <c r="W841" s="2"/>
      <c r="X841" s="2"/>
      <c r="Y841" s="2"/>
    </row>
    <row r="842" spans="1:25" ht="25.5" hidden="1" customHeight="1">
      <c r="A842" s="26">
        <v>537</v>
      </c>
      <c r="B842" s="27" t="s">
        <v>797</v>
      </c>
      <c r="C842" s="28">
        <v>42671</v>
      </c>
      <c r="D842" s="27"/>
      <c r="E842" s="27" t="s">
        <v>2417</v>
      </c>
      <c r="F842" s="29" t="s">
        <v>2418</v>
      </c>
      <c r="G842" s="27" t="s">
        <v>248</v>
      </c>
      <c r="H842" s="27" t="s">
        <v>19</v>
      </c>
      <c r="I842" s="27">
        <v>1</v>
      </c>
      <c r="J842" s="30">
        <v>337056305</v>
      </c>
      <c r="K842" s="26" t="s">
        <v>206</v>
      </c>
      <c r="L842" s="26" t="s">
        <v>1040</v>
      </c>
      <c r="M842" s="31" t="s">
        <v>2067</v>
      </c>
      <c r="N842" s="6"/>
      <c r="O842" s="6"/>
      <c r="P842" s="23"/>
      <c r="Q842" s="2"/>
      <c r="R842" s="2"/>
      <c r="S842" s="2"/>
      <c r="T842" s="2"/>
      <c r="U842" s="2"/>
      <c r="V842" s="2"/>
      <c r="W842" s="2"/>
      <c r="X842" s="2"/>
      <c r="Y842" s="2"/>
    </row>
    <row r="843" spans="1:25" ht="25.5" hidden="1" customHeight="1">
      <c r="A843" s="26">
        <v>538</v>
      </c>
      <c r="B843" s="27" t="s">
        <v>797</v>
      </c>
      <c r="C843" s="28">
        <v>42671</v>
      </c>
      <c r="D843" s="27"/>
      <c r="E843" s="27" t="s">
        <v>2419</v>
      </c>
      <c r="F843" s="29" t="s">
        <v>2420</v>
      </c>
      <c r="G843" s="27" t="s">
        <v>248</v>
      </c>
      <c r="H843" s="27" t="s">
        <v>19</v>
      </c>
      <c r="I843" s="27">
        <v>1</v>
      </c>
      <c r="J843" s="30">
        <v>337056305</v>
      </c>
      <c r="K843" s="26" t="s">
        <v>206</v>
      </c>
      <c r="L843" s="26" t="s">
        <v>1040</v>
      </c>
      <c r="M843" s="31" t="s">
        <v>2067</v>
      </c>
      <c r="N843" s="6"/>
      <c r="O843" s="6"/>
      <c r="P843" s="23"/>
      <c r="Q843" s="2"/>
      <c r="R843" s="2"/>
      <c r="S843" s="2"/>
      <c r="T843" s="2"/>
      <c r="U843" s="2"/>
      <c r="V843" s="2"/>
      <c r="W843" s="2"/>
      <c r="X843" s="2"/>
      <c r="Y843" s="2"/>
    </row>
    <row r="844" spans="1:25" ht="12.75" hidden="1" customHeight="1">
      <c r="A844" s="26">
        <v>539</v>
      </c>
      <c r="B844" s="27" t="s">
        <v>973</v>
      </c>
      <c r="C844" s="28">
        <v>43799</v>
      </c>
      <c r="D844" s="27"/>
      <c r="E844" s="27" t="s">
        <v>2421</v>
      </c>
      <c r="F844" s="29" t="s">
        <v>2422</v>
      </c>
      <c r="G844" s="27" t="s">
        <v>338</v>
      </c>
      <c r="H844" s="27" t="s">
        <v>19</v>
      </c>
      <c r="I844" s="27">
        <v>1</v>
      </c>
      <c r="J844" s="30">
        <v>293404434</v>
      </c>
      <c r="K844" s="26" t="s">
        <v>20</v>
      </c>
      <c r="L844" s="26" t="s">
        <v>295</v>
      </c>
      <c r="M844" s="31" t="s">
        <v>2423</v>
      </c>
      <c r="N844" s="6"/>
      <c r="O844" s="6"/>
      <c r="P844" s="23"/>
      <c r="Q844" s="2"/>
      <c r="R844" s="2"/>
      <c r="S844" s="2"/>
      <c r="T844" s="2"/>
      <c r="U844" s="2"/>
      <c r="V844" s="2"/>
      <c r="W844" s="2"/>
      <c r="X844" s="2"/>
      <c r="Y844" s="2"/>
    </row>
    <row r="845" spans="1:25" ht="25.5" hidden="1" customHeight="1">
      <c r="A845" s="26">
        <v>540</v>
      </c>
      <c r="B845" s="27" t="s">
        <v>1989</v>
      </c>
      <c r="C845" s="28">
        <v>43827</v>
      </c>
      <c r="D845" s="27"/>
      <c r="E845" s="27" t="s">
        <v>2424</v>
      </c>
      <c r="F845" s="29" t="s">
        <v>2425</v>
      </c>
      <c r="G845" s="27" t="s">
        <v>2426</v>
      </c>
      <c r="H845" s="27" t="s">
        <v>19</v>
      </c>
      <c r="I845" s="27">
        <v>1</v>
      </c>
      <c r="J845" s="30">
        <v>73500000</v>
      </c>
      <c r="K845" s="26" t="s">
        <v>206</v>
      </c>
      <c r="L845" s="26" t="s">
        <v>2427</v>
      </c>
      <c r="M845" s="31" t="s">
        <v>2428</v>
      </c>
      <c r="N845" s="6"/>
      <c r="O845" s="6"/>
      <c r="P845" s="23"/>
      <c r="Q845" s="2"/>
      <c r="R845" s="2"/>
      <c r="S845" s="2"/>
      <c r="T845" s="2"/>
      <c r="U845" s="2"/>
      <c r="V845" s="2"/>
      <c r="W845" s="2"/>
      <c r="X845" s="2"/>
      <c r="Y845" s="2"/>
    </row>
    <row r="846" spans="1:25" ht="12.75" hidden="1" customHeight="1">
      <c r="A846" s="26">
        <v>541</v>
      </c>
      <c r="B846" s="27" t="s">
        <v>52</v>
      </c>
      <c r="C846" s="28">
        <v>40875</v>
      </c>
      <c r="D846" s="27"/>
      <c r="E846" s="27" t="s">
        <v>2429</v>
      </c>
      <c r="F846" s="29" t="s">
        <v>2430</v>
      </c>
      <c r="G846" s="27" t="s">
        <v>338</v>
      </c>
      <c r="H846" s="27" t="s">
        <v>19</v>
      </c>
      <c r="I846" s="27">
        <v>1</v>
      </c>
      <c r="J846" s="30">
        <v>352228733</v>
      </c>
      <c r="K846" s="26" t="s">
        <v>36</v>
      </c>
      <c r="L846" s="26" t="s">
        <v>169</v>
      </c>
      <c r="M846" s="31" t="s">
        <v>178</v>
      </c>
      <c r="N846" s="6"/>
      <c r="O846" s="6"/>
      <c r="P846" s="23"/>
      <c r="Q846" s="2"/>
      <c r="R846" s="2"/>
      <c r="S846" s="2"/>
      <c r="T846" s="2"/>
      <c r="U846" s="2"/>
      <c r="V846" s="2"/>
      <c r="W846" s="2"/>
      <c r="X846" s="2"/>
      <c r="Y846" s="2"/>
    </row>
    <row r="847" spans="1:25" ht="25.5" hidden="1" customHeight="1">
      <c r="A847" s="26" t="s">
        <v>2431</v>
      </c>
      <c r="B847" s="27"/>
      <c r="C847" s="28"/>
      <c r="D847" s="27"/>
      <c r="E847" s="27" t="s">
        <v>2432</v>
      </c>
      <c r="F847" s="29" t="s">
        <v>2433</v>
      </c>
      <c r="G847" s="27"/>
      <c r="H847" s="27"/>
      <c r="I847" s="27">
        <v>1</v>
      </c>
      <c r="J847" s="30">
        <v>330704890</v>
      </c>
      <c r="K847" s="26" t="s">
        <v>36</v>
      </c>
      <c r="L847" s="26" t="s">
        <v>169</v>
      </c>
      <c r="M847" s="31"/>
      <c r="N847" s="6"/>
      <c r="O847" s="6"/>
      <c r="P847" s="23"/>
      <c r="Q847" s="2"/>
      <c r="R847" s="2"/>
      <c r="S847" s="2"/>
      <c r="T847" s="2"/>
      <c r="U847" s="2"/>
      <c r="V847" s="2"/>
      <c r="W847" s="2"/>
      <c r="X847" s="2"/>
      <c r="Y847" s="2"/>
    </row>
    <row r="848" spans="1:25" ht="12.75" hidden="1" customHeight="1">
      <c r="A848" s="26" t="s">
        <v>2434</v>
      </c>
      <c r="B848" s="27"/>
      <c r="C848" s="28"/>
      <c r="D848" s="27"/>
      <c r="E848" s="27" t="s">
        <v>2435</v>
      </c>
      <c r="F848" s="29" t="s">
        <v>2436</v>
      </c>
      <c r="G848" s="27"/>
      <c r="H848" s="27"/>
      <c r="I848" s="27">
        <v>1</v>
      </c>
      <c r="J848" s="30">
        <v>16142883</v>
      </c>
      <c r="K848" s="26" t="s">
        <v>36</v>
      </c>
      <c r="L848" s="26" t="s">
        <v>169</v>
      </c>
      <c r="M848" s="31"/>
      <c r="N848" s="6"/>
      <c r="O848" s="6"/>
      <c r="P848" s="23"/>
      <c r="Q848" s="2"/>
      <c r="R848" s="2"/>
      <c r="S848" s="2"/>
      <c r="T848" s="2"/>
      <c r="U848" s="2"/>
      <c r="V848" s="2"/>
      <c r="W848" s="2"/>
      <c r="X848" s="2"/>
      <c r="Y848" s="2"/>
    </row>
    <row r="849" spans="1:25" ht="12.75" hidden="1" customHeight="1">
      <c r="A849" s="26">
        <v>542</v>
      </c>
      <c r="B849" s="27" t="s">
        <v>52</v>
      </c>
      <c r="C849" s="28">
        <v>40875</v>
      </c>
      <c r="D849" s="27"/>
      <c r="E849" s="27" t="s">
        <v>2437</v>
      </c>
      <c r="F849" s="29" t="s">
        <v>2430</v>
      </c>
      <c r="G849" s="27" t="s">
        <v>338</v>
      </c>
      <c r="H849" s="27" t="s">
        <v>19</v>
      </c>
      <c r="I849" s="27">
        <v>1</v>
      </c>
      <c r="J849" s="30">
        <v>352228733</v>
      </c>
      <c r="K849" s="26" t="s">
        <v>36</v>
      </c>
      <c r="L849" s="26" t="s">
        <v>169</v>
      </c>
      <c r="M849" s="31" t="s">
        <v>178</v>
      </c>
      <c r="N849" s="6"/>
      <c r="O849" s="6"/>
      <c r="P849" s="23"/>
      <c r="Q849" s="2"/>
      <c r="R849" s="2"/>
      <c r="S849" s="2"/>
      <c r="T849" s="2"/>
      <c r="U849" s="2"/>
      <c r="V849" s="2"/>
      <c r="W849" s="2"/>
      <c r="X849" s="2"/>
      <c r="Y849" s="2"/>
    </row>
    <row r="850" spans="1:25" ht="25.5" hidden="1" customHeight="1">
      <c r="A850" s="26" t="s">
        <v>2438</v>
      </c>
      <c r="B850" s="27"/>
      <c r="C850" s="28"/>
      <c r="D850" s="27"/>
      <c r="E850" s="27" t="s">
        <v>2439</v>
      </c>
      <c r="F850" s="29" t="s">
        <v>2440</v>
      </c>
      <c r="G850" s="27"/>
      <c r="H850" s="27"/>
      <c r="I850" s="27">
        <v>1</v>
      </c>
      <c r="J850" s="30">
        <v>330704890</v>
      </c>
      <c r="K850" s="26" t="s">
        <v>36</v>
      </c>
      <c r="L850" s="26" t="s">
        <v>169</v>
      </c>
      <c r="M850" s="31"/>
      <c r="N850" s="6"/>
      <c r="O850" s="6"/>
      <c r="P850" s="23"/>
      <c r="Q850" s="2"/>
      <c r="R850" s="2"/>
      <c r="S850" s="2"/>
      <c r="T850" s="2"/>
      <c r="U850" s="2"/>
      <c r="V850" s="2"/>
      <c r="W850" s="2"/>
      <c r="X850" s="2"/>
      <c r="Y850" s="2"/>
    </row>
    <row r="851" spans="1:25" ht="12.75" hidden="1" customHeight="1">
      <c r="A851" s="26" t="s">
        <v>2441</v>
      </c>
      <c r="B851" s="27"/>
      <c r="C851" s="28"/>
      <c r="D851" s="27"/>
      <c r="E851" s="27" t="s">
        <v>2442</v>
      </c>
      <c r="F851" s="29" t="s">
        <v>2443</v>
      </c>
      <c r="G851" s="27"/>
      <c r="H851" s="27"/>
      <c r="I851" s="27">
        <v>1</v>
      </c>
      <c r="J851" s="30">
        <v>16142883</v>
      </c>
      <c r="K851" s="26" t="s">
        <v>36</v>
      </c>
      <c r="L851" s="26" t="s">
        <v>169</v>
      </c>
      <c r="M851" s="31"/>
      <c r="N851" s="6"/>
      <c r="O851" s="6"/>
      <c r="P851" s="23"/>
      <c r="Q851" s="2"/>
      <c r="R851" s="2"/>
      <c r="S851" s="2"/>
      <c r="T851" s="2"/>
      <c r="U851" s="2"/>
      <c r="V851" s="2"/>
      <c r="W851" s="2"/>
      <c r="X851" s="2"/>
      <c r="Y851" s="2"/>
    </row>
    <row r="852" spans="1:25" ht="12.75" hidden="1" customHeight="1">
      <c r="A852" s="26">
        <v>543</v>
      </c>
      <c r="B852" s="27" t="s">
        <v>197</v>
      </c>
      <c r="C852" s="28">
        <v>40948</v>
      </c>
      <c r="D852" s="27"/>
      <c r="E852" s="27" t="s">
        <v>2444</v>
      </c>
      <c r="F852" s="29" t="s">
        <v>2445</v>
      </c>
      <c r="G852" s="27" t="s">
        <v>248</v>
      </c>
      <c r="H852" s="27" t="s">
        <v>19</v>
      </c>
      <c r="I852" s="27">
        <v>1</v>
      </c>
      <c r="J852" s="30">
        <v>227859998</v>
      </c>
      <c r="K852" s="26" t="s">
        <v>206</v>
      </c>
      <c r="L852" s="26" t="s">
        <v>2446</v>
      </c>
      <c r="M852" s="31" t="s">
        <v>2447</v>
      </c>
      <c r="N852" s="6"/>
      <c r="O852" s="6"/>
      <c r="P852" s="23"/>
      <c r="Q852" s="2"/>
      <c r="R852" s="2"/>
      <c r="S852" s="2"/>
      <c r="T852" s="2"/>
      <c r="U852" s="2"/>
      <c r="V852" s="2"/>
      <c r="W852" s="2"/>
      <c r="X852" s="2"/>
      <c r="Y852" s="2"/>
    </row>
    <row r="853" spans="1:25" ht="12.75" hidden="1" customHeight="1">
      <c r="A853" s="26">
        <v>544</v>
      </c>
      <c r="B853" s="27" t="s">
        <v>197</v>
      </c>
      <c r="C853" s="28">
        <v>40948</v>
      </c>
      <c r="D853" s="27"/>
      <c r="E853" s="27" t="s">
        <v>2448</v>
      </c>
      <c r="F853" s="29" t="s">
        <v>2449</v>
      </c>
      <c r="G853" s="27" t="s">
        <v>248</v>
      </c>
      <c r="H853" s="27" t="s">
        <v>19</v>
      </c>
      <c r="I853" s="27">
        <v>1</v>
      </c>
      <c r="J853" s="30">
        <v>227859998</v>
      </c>
      <c r="K853" s="26" t="s">
        <v>206</v>
      </c>
      <c r="L853" s="26" t="s">
        <v>1040</v>
      </c>
      <c r="M853" s="31" t="s">
        <v>2450</v>
      </c>
      <c r="N853" s="6"/>
      <c r="O853" s="6"/>
      <c r="P853" s="23"/>
      <c r="Q853" s="2"/>
      <c r="R853" s="2"/>
      <c r="S853" s="2"/>
      <c r="T853" s="2"/>
      <c r="U853" s="2"/>
      <c r="V853" s="2"/>
      <c r="W853" s="2"/>
      <c r="X853" s="2"/>
      <c r="Y853" s="2"/>
    </row>
    <row r="854" spans="1:25" ht="25.5" hidden="1" customHeight="1">
      <c r="A854" s="26">
        <v>545</v>
      </c>
      <c r="B854" s="27" t="s">
        <v>197</v>
      </c>
      <c r="C854" s="28">
        <v>40948</v>
      </c>
      <c r="D854" s="27"/>
      <c r="E854" s="27" t="s">
        <v>2451</v>
      </c>
      <c r="F854" s="29" t="s">
        <v>2452</v>
      </c>
      <c r="G854" s="27" t="s">
        <v>248</v>
      </c>
      <c r="H854" s="27" t="s">
        <v>19</v>
      </c>
      <c r="I854" s="27">
        <v>1</v>
      </c>
      <c r="J854" s="30">
        <v>227859998</v>
      </c>
      <c r="K854" s="26" t="s">
        <v>36</v>
      </c>
      <c r="L854" s="26" t="s">
        <v>2054</v>
      </c>
      <c r="M854" s="31" t="s">
        <v>2453</v>
      </c>
      <c r="N854" s="6"/>
      <c r="O854" s="6"/>
      <c r="P854" s="23"/>
      <c r="Q854" s="2"/>
      <c r="R854" s="2"/>
      <c r="S854" s="2"/>
      <c r="T854" s="2"/>
      <c r="U854" s="2"/>
      <c r="V854" s="2"/>
      <c r="W854" s="2"/>
      <c r="X854" s="2"/>
      <c r="Y854" s="2"/>
    </row>
    <row r="855" spans="1:25" ht="25.5" hidden="1" customHeight="1">
      <c r="A855" s="26">
        <v>546</v>
      </c>
      <c r="B855" s="27" t="s">
        <v>197</v>
      </c>
      <c r="C855" s="28">
        <v>40948</v>
      </c>
      <c r="D855" s="27"/>
      <c r="E855" s="27" t="s">
        <v>2454</v>
      </c>
      <c r="F855" s="29" t="s">
        <v>2455</v>
      </c>
      <c r="G855" s="27" t="s">
        <v>248</v>
      </c>
      <c r="H855" s="27" t="s">
        <v>19</v>
      </c>
      <c r="I855" s="27">
        <v>1</v>
      </c>
      <c r="J855" s="30">
        <v>227859999</v>
      </c>
      <c r="K855" s="26" t="s">
        <v>36</v>
      </c>
      <c r="L855" s="26" t="s">
        <v>2054</v>
      </c>
      <c r="M855" s="31" t="s">
        <v>2456</v>
      </c>
      <c r="N855" s="6"/>
      <c r="O855" s="6"/>
      <c r="P855" s="23"/>
      <c r="Q855" s="2"/>
      <c r="R855" s="2"/>
      <c r="S855" s="2"/>
      <c r="T855" s="2"/>
      <c r="U855" s="2"/>
      <c r="V855" s="2"/>
      <c r="W855" s="2"/>
      <c r="X855" s="2"/>
      <c r="Y855" s="2"/>
    </row>
    <row r="856" spans="1:25" ht="25.5" hidden="1" customHeight="1">
      <c r="A856" s="38">
        <v>547</v>
      </c>
      <c r="B856" s="27" t="s">
        <v>197</v>
      </c>
      <c r="C856" s="40">
        <v>40948</v>
      </c>
      <c r="D856" s="27"/>
      <c r="E856" s="39" t="s">
        <v>2457</v>
      </c>
      <c r="F856" s="41" t="s">
        <v>2458</v>
      </c>
      <c r="G856" s="27" t="s">
        <v>2459</v>
      </c>
      <c r="H856" s="27" t="s">
        <v>19</v>
      </c>
      <c r="I856" s="27">
        <v>1</v>
      </c>
      <c r="J856" s="42">
        <v>659537414</v>
      </c>
      <c r="K856" s="38" t="s">
        <v>206</v>
      </c>
      <c r="L856" s="38" t="s">
        <v>1040</v>
      </c>
      <c r="M856" s="43" t="s">
        <v>2023</v>
      </c>
      <c r="N856" s="6"/>
      <c r="O856" s="6"/>
      <c r="P856" s="23"/>
      <c r="Q856" s="2"/>
      <c r="R856" s="2"/>
      <c r="S856" s="2"/>
      <c r="T856" s="2"/>
      <c r="U856" s="2"/>
      <c r="V856" s="2"/>
      <c r="W856" s="2"/>
      <c r="X856" s="2"/>
      <c r="Y856" s="2"/>
    </row>
    <row r="857" spans="1:25" ht="25.5" customHeight="1">
      <c r="A857" s="45">
        <v>548</v>
      </c>
      <c r="B857" s="27" t="s">
        <v>281</v>
      </c>
      <c r="C857" s="75">
        <v>41044</v>
      </c>
      <c r="D857" s="27"/>
      <c r="E857" s="76" t="s">
        <v>2460</v>
      </c>
      <c r="F857" s="77" t="s">
        <v>2461</v>
      </c>
      <c r="G857" s="27" t="s">
        <v>2459</v>
      </c>
      <c r="H857" s="27" t="s">
        <v>19</v>
      </c>
      <c r="I857" s="27">
        <v>1</v>
      </c>
      <c r="J857" s="30">
        <v>637907000</v>
      </c>
      <c r="K857" s="26" t="s">
        <v>20</v>
      </c>
      <c r="L857" s="45" t="s">
        <v>423</v>
      </c>
      <c r="M857" s="46" t="s">
        <v>2462</v>
      </c>
      <c r="N857" s="7"/>
      <c r="O857" s="7" t="str">
        <f ca="1">IFERROR(__xludf.DUMMYFUNCTION("IFERROR(INDEX(Sheet1!$C:$C, MAX(FILTER(ROW(Sheet1!$B:$B), Sheet1!$B:$B=E857))), """")"),"")</f>
        <v/>
      </c>
      <c r="P857" s="23"/>
      <c r="Q857" s="2"/>
      <c r="R857" s="2"/>
      <c r="S857" s="2"/>
      <c r="T857" s="2"/>
      <c r="U857" s="2"/>
      <c r="V857" s="2"/>
      <c r="W857" s="2"/>
      <c r="X857" s="2"/>
      <c r="Y857" s="2"/>
    </row>
    <row r="858" spans="1:25" ht="51" hidden="1" customHeight="1">
      <c r="A858" s="26">
        <v>549</v>
      </c>
      <c r="B858" s="27" t="s">
        <v>2463</v>
      </c>
      <c r="C858" s="28">
        <v>41635</v>
      </c>
      <c r="D858" s="27"/>
      <c r="E858" s="27" t="s">
        <v>2464</v>
      </c>
      <c r="F858" s="29" t="s">
        <v>2465</v>
      </c>
      <c r="G858" s="27" t="s">
        <v>1635</v>
      </c>
      <c r="H858" s="27" t="s">
        <v>19</v>
      </c>
      <c r="I858" s="27">
        <v>1</v>
      </c>
      <c r="J858" s="30">
        <v>703956316</v>
      </c>
      <c r="K858" s="26" t="s">
        <v>20</v>
      </c>
      <c r="L858" s="26" t="s">
        <v>233</v>
      </c>
      <c r="M858" s="31" t="s">
        <v>2466</v>
      </c>
      <c r="N858" s="6"/>
      <c r="O858" s="6"/>
      <c r="P858" s="23"/>
      <c r="Q858" s="2"/>
      <c r="R858" s="2"/>
      <c r="S858" s="2"/>
      <c r="T858" s="2"/>
      <c r="U858" s="2"/>
      <c r="V858" s="2"/>
      <c r="W858" s="2"/>
      <c r="X858" s="2"/>
      <c r="Y858" s="2"/>
    </row>
    <row r="859" spans="1:25" ht="25.5" hidden="1" customHeight="1">
      <c r="A859" s="38">
        <v>550</v>
      </c>
      <c r="B859" s="27" t="s">
        <v>1377</v>
      </c>
      <c r="C859" s="40">
        <v>37986</v>
      </c>
      <c r="D859" s="27" t="s">
        <v>2467</v>
      </c>
      <c r="E859" s="39" t="s">
        <v>2468</v>
      </c>
      <c r="F859" s="41" t="s">
        <v>2469</v>
      </c>
      <c r="G859" s="27"/>
      <c r="H859" s="27"/>
      <c r="I859" s="27">
        <v>1</v>
      </c>
      <c r="J859" s="42">
        <v>40281204</v>
      </c>
      <c r="K859" s="38" t="s">
        <v>206</v>
      </c>
      <c r="L859" s="38" t="s">
        <v>1040</v>
      </c>
      <c r="M859" s="78" t="s">
        <v>2470</v>
      </c>
      <c r="N859" s="6"/>
      <c r="O859" s="6"/>
      <c r="P859" s="23"/>
      <c r="Q859" s="2"/>
      <c r="R859" s="2"/>
      <c r="S859" s="2"/>
      <c r="T859" s="2"/>
      <c r="U859" s="2"/>
      <c r="V859" s="2"/>
      <c r="W859" s="2"/>
      <c r="X859" s="2"/>
      <c r="Y859" s="2"/>
    </row>
    <row r="860" spans="1:25" ht="12.75" hidden="1" customHeight="1">
      <c r="A860" s="26">
        <v>551</v>
      </c>
      <c r="B860" s="27" t="s">
        <v>2471</v>
      </c>
      <c r="C860" s="28">
        <v>35430</v>
      </c>
      <c r="D860" s="27" t="s">
        <v>2472</v>
      </c>
      <c r="E860" s="27" t="s">
        <v>2473</v>
      </c>
      <c r="F860" s="29" t="s">
        <v>2474</v>
      </c>
      <c r="G860" s="27"/>
      <c r="H860" s="27" t="s">
        <v>19</v>
      </c>
      <c r="I860" s="27">
        <v>1</v>
      </c>
      <c r="J860" s="30">
        <v>30059830</v>
      </c>
      <c r="K860" s="26" t="s">
        <v>206</v>
      </c>
      <c r="L860" s="26" t="s">
        <v>1040</v>
      </c>
      <c r="M860" s="31" t="s">
        <v>2475</v>
      </c>
      <c r="N860" s="6"/>
      <c r="O860" s="6"/>
      <c r="P860" s="23"/>
      <c r="Q860" s="2"/>
      <c r="R860" s="2"/>
      <c r="S860" s="2"/>
      <c r="T860" s="2"/>
      <c r="U860" s="2"/>
      <c r="V860" s="2"/>
      <c r="W860" s="2"/>
      <c r="X860" s="2"/>
      <c r="Y860" s="2"/>
    </row>
    <row r="861" spans="1:25" ht="38.25" hidden="1" customHeight="1">
      <c r="A861" s="26">
        <v>552</v>
      </c>
      <c r="B861" s="27" t="s">
        <v>2476</v>
      </c>
      <c r="C861" s="28">
        <v>36891</v>
      </c>
      <c r="D861" s="27" t="s">
        <v>2477</v>
      </c>
      <c r="E861" s="27" t="s">
        <v>2478</v>
      </c>
      <c r="F861" s="29" t="s">
        <v>2479</v>
      </c>
      <c r="G861" s="27"/>
      <c r="H861" s="27" t="s">
        <v>19</v>
      </c>
      <c r="I861" s="27">
        <v>1</v>
      </c>
      <c r="J861" s="30">
        <v>276630986</v>
      </c>
      <c r="K861" s="26" t="s">
        <v>206</v>
      </c>
      <c r="L861" s="26" t="s">
        <v>1040</v>
      </c>
      <c r="M861" s="31" t="s">
        <v>2475</v>
      </c>
      <c r="N861" s="6"/>
      <c r="O861" s="6"/>
      <c r="P861" s="23"/>
      <c r="Q861" s="2"/>
      <c r="R861" s="2"/>
      <c r="S861" s="2"/>
      <c r="T861" s="2"/>
      <c r="U861" s="2"/>
      <c r="V861" s="2"/>
      <c r="W861" s="2"/>
      <c r="X861" s="2"/>
      <c r="Y861" s="2"/>
    </row>
    <row r="862" spans="1:25" ht="25.5" hidden="1" customHeight="1">
      <c r="A862" s="38">
        <v>553</v>
      </c>
      <c r="B862" s="27" t="s">
        <v>2480</v>
      </c>
      <c r="C862" s="40">
        <v>37256</v>
      </c>
      <c r="D862" s="27" t="s">
        <v>2481</v>
      </c>
      <c r="E862" s="39" t="s">
        <v>2482</v>
      </c>
      <c r="F862" s="41" t="s">
        <v>2483</v>
      </c>
      <c r="G862" s="27"/>
      <c r="H862" s="27" t="s">
        <v>249</v>
      </c>
      <c r="I862" s="27">
        <v>1</v>
      </c>
      <c r="J862" s="42">
        <v>32713372</v>
      </c>
      <c r="K862" s="38" t="s">
        <v>206</v>
      </c>
      <c r="L862" s="38" t="s">
        <v>1040</v>
      </c>
      <c r="M862" s="43" t="s">
        <v>2067</v>
      </c>
      <c r="N862" s="6"/>
      <c r="O862" s="6"/>
      <c r="P862" s="23"/>
      <c r="Q862" s="2"/>
      <c r="R862" s="2"/>
      <c r="S862" s="2"/>
      <c r="T862" s="2"/>
      <c r="U862" s="2"/>
      <c r="V862" s="2"/>
      <c r="W862" s="2"/>
      <c r="X862" s="2"/>
      <c r="Y862" s="2"/>
    </row>
    <row r="863" spans="1:25" ht="12.75" hidden="1" customHeight="1">
      <c r="A863" s="38">
        <v>554</v>
      </c>
      <c r="B863" s="27" t="s">
        <v>2484</v>
      </c>
      <c r="C863" s="40">
        <v>37256</v>
      </c>
      <c r="D863" s="27" t="s">
        <v>2485</v>
      </c>
      <c r="E863" s="39" t="s">
        <v>2486</v>
      </c>
      <c r="F863" s="41" t="s">
        <v>2487</v>
      </c>
      <c r="G863" s="27"/>
      <c r="H863" s="27" t="s">
        <v>19</v>
      </c>
      <c r="I863" s="27">
        <v>1</v>
      </c>
      <c r="J863" s="42">
        <v>49068643</v>
      </c>
      <c r="K863" s="38" t="s">
        <v>206</v>
      </c>
      <c r="L863" s="38" t="s">
        <v>1040</v>
      </c>
      <c r="M863" s="43" t="s">
        <v>1136</v>
      </c>
      <c r="N863" s="6"/>
      <c r="O863" s="6"/>
      <c r="P863" s="23"/>
      <c r="Q863" s="2"/>
      <c r="R863" s="2"/>
      <c r="S863" s="2"/>
      <c r="T863" s="2"/>
      <c r="U863" s="2"/>
      <c r="V863" s="2"/>
      <c r="W863" s="2"/>
      <c r="X863" s="2"/>
      <c r="Y863" s="2"/>
    </row>
    <row r="864" spans="1:25" ht="25.5" hidden="1" customHeight="1">
      <c r="A864" s="38" t="s">
        <v>2488</v>
      </c>
      <c r="B864" s="27"/>
      <c r="C864" s="40"/>
      <c r="D864" s="27"/>
      <c r="E864" s="39" t="s">
        <v>2489</v>
      </c>
      <c r="F864" s="41" t="s">
        <v>2490</v>
      </c>
      <c r="G864" s="27"/>
      <c r="H864" s="27"/>
      <c r="I864" s="27">
        <v>1</v>
      </c>
      <c r="J864" s="42">
        <v>0</v>
      </c>
      <c r="K864" s="38" t="s">
        <v>206</v>
      </c>
      <c r="L864" s="38" t="s">
        <v>1040</v>
      </c>
      <c r="M864" s="43"/>
      <c r="N864" s="6"/>
      <c r="O864" s="6"/>
      <c r="P864" s="23"/>
      <c r="Q864" s="2"/>
      <c r="R864" s="2"/>
      <c r="S864" s="2"/>
      <c r="T864" s="2"/>
      <c r="U864" s="2"/>
      <c r="V864" s="2"/>
      <c r="W864" s="2"/>
      <c r="X864" s="2"/>
      <c r="Y864" s="2"/>
    </row>
    <row r="865" spans="1:26" ht="25.5" hidden="1" customHeight="1">
      <c r="A865" s="38" t="s">
        <v>2491</v>
      </c>
      <c r="B865" s="27"/>
      <c r="C865" s="40"/>
      <c r="D865" s="27"/>
      <c r="E865" s="39" t="s">
        <v>2492</v>
      </c>
      <c r="F865" s="41" t="s">
        <v>2493</v>
      </c>
      <c r="G865" s="27"/>
      <c r="H865" s="27"/>
      <c r="I865" s="27">
        <v>1</v>
      </c>
      <c r="J865" s="42">
        <v>0</v>
      </c>
      <c r="K865" s="38" t="s">
        <v>206</v>
      </c>
      <c r="L865" s="38" t="s">
        <v>1040</v>
      </c>
      <c r="M865" s="43"/>
      <c r="N865" s="6"/>
      <c r="O865" s="6"/>
      <c r="P865" s="23"/>
      <c r="Q865" s="2"/>
      <c r="R865" s="2"/>
      <c r="S865" s="2"/>
      <c r="T865" s="2"/>
      <c r="U865" s="2"/>
      <c r="V865" s="2"/>
      <c r="W865" s="2"/>
      <c r="X865" s="2"/>
      <c r="Y865" s="2"/>
    </row>
    <row r="866" spans="1:26" ht="25.5" hidden="1" customHeight="1">
      <c r="A866" s="38" t="s">
        <v>2494</v>
      </c>
      <c r="B866" s="27"/>
      <c r="C866" s="40"/>
      <c r="D866" s="27"/>
      <c r="E866" s="39" t="s">
        <v>2495</v>
      </c>
      <c r="F866" s="41" t="s">
        <v>2496</v>
      </c>
      <c r="G866" s="27"/>
      <c r="H866" s="27"/>
      <c r="I866" s="27">
        <v>1</v>
      </c>
      <c r="J866" s="42">
        <v>0</v>
      </c>
      <c r="K866" s="38" t="s">
        <v>206</v>
      </c>
      <c r="L866" s="38" t="s">
        <v>1040</v>
      </c>
      <c r="M866" s="43"/>
      <c r="N866" s="6"/>
      <c r="O866" s="6"/>
      <c r="P866" s="23"/>
      <c r="Q866" s="2"/>
      <c r="R866" s="2"/>
      <c r="S866" s="2"/>
      <c r="T866" s="2"/>
      <c r="U866" s="2"/>
      <c r="V866" s="2"/>
      <c r="W866" s="2"/>
      <c r="X866" s="2"/>
      <c r="Y866" s="2"/>
    </row>
    <row r="867" spans="1:26" ht="12.75" hidden="1" customHeight="1">
      <c r="A867" s="17">
        <v>555</v>
      </c>
      <c r="B867" s="27" t="s">
        <v>1198</v>
      </c>
      <c r="C867" s="19">
        <v>36160</v>
      </c>
      <c r="D867" s="27" t="s">
        <v>2497</v>
      </c>
      <c r="E867" s="18" t="s">
        <v>2498</v>
      </c>
      <c r="F867" s="20" t="s">
        <v>2499</v>
      </c>
      <c r="G867" s="18"/>
      <c r="H867" s="18" t="s">
        <v>19</v>
      </c>
      <c r="I867" s="18">
        <v>1</v>
      </c>
      <c r="J867" s="21">
        <v>249252300</v>
      </c>
      <c r="K867" s="17" t="s">
        <v>20</v>
      </c>
      <c r="L867" s="17" t="s">
        <v>21</v>
      </c>
      <c r="M867" s="22" t="s">
        <v>22</v>
      </c>
      <c r="N867" s="23"/>
      <c r="O867" s="23"/>
      <c r="P867" s="23"/>
      <c r="Q867" s="24"/>
      <c r="R867" s="24"/>
      <c r="S867" s="24"/>
      <c r="T867" s="24"/>
      <c r="U867" s="24"/>
      <c r="V867" s="24"/>
      <c r="W867" s="24"/>
      <c r="X867" s="24"/>
      <c r="Y867" s="24"/>
      <c r="Z867" s="25"/>
    </row>
    <row r="868" spans="1:26" ht="12.75" hidden="1" customHeight="1">
      <c r="A868" s="17" t="s">
        <v>2500</v>
      </c>
      <c r="B868" s="27"/>
      <c r="C868" s="19"/>
      <c r="D868" s="27"/>
      <c r="E868" s="18" t="s">
        <v>2501</v>
      </c>
      <c r="F868" s="20" t="s">
        <v>2502</v>
      </c>
      <c r="G868" s="18"/>
      <c r="H868" s="18"/>
      <c r="I868" s="18">
        <v>1</v>
      </c>
      <c r="J868" s="21"/>
      <c r="K868" s="17" t="s">
        <v>20</v>
      </c>
      <c r="L868" s="17" t="s">
        <v>21</v>
      </c>
      <c r="M868" s="22" t="s">
        <v>22</v>
      </c>
      <c r="N868" s="23"/>
      <c r="O868" s="23"/>
      <c r="P868" s="23"/>
      <c r="Q868" s="24"/>
      <c r="R868" s="24"/>
      <c r="S868" s="24"/>
      <c r="T868" s="24"/>
      <c r="U868" s="24"/>
      <c r="V868" s="24"/>
      <c r="W868" s="24"/>
      <c r="X868" s="24"/>
      <c r="Y868" s="24"/>
      <c r="Z868" s="25"/>
    </row>
    <row r="869" spans="1:26" ht="12.75" hidden="1" customHeight="1">
      <c r="A869" s="26">
        <v>556</v>
      </c>
      <c r="B869" s="27" t="s">
        <v>1377</v>
      </c>
      <c r="C869" s="28">
        <v>37986</v>
      </c>
      <c r="D869" s="27" t="s">
        <v>2503</v>
      </c>
      <c r="E869" s="27" t="s">
        <v>2504</v>
      </c>
      <c r="F869" s="29" t="s">
        <v>2505</v>
      </c>
      <c r="G869" s="27"/>
      <c r="H869" s="27"/>
      <c r="I869" s="27">
        <v>1</v>
      </c>
      <c r="J869" s="30">
        <v>79367230</v>
      </c>
      <c r="K869" s="26" t="s">
        <v>206</v>
      </c>
      <c r="L869" s="26" t="s">
        <v>1040</v>
      </c>
      <c r="M869" s="31" t="s">
        <v>2506</v>
      </c>
      <c r="N869" s="6"/>
      <c r="O869" s="6"/>
      <c r="P869" s="23"/>
      <c r="Q869" s="2"/>
      <c r="R869" s="2"/>
      <c r="S869" s="2"/>
      <c r="T869" s="2"/>
      <c r="U869" s="2"/>
      <c r="V869" s="2"/>
      <c r="W869" s="2"/>
      <c r="X869" s="2"/>
      <c r="Y869" s="2"/>
    </row>
    <row r="870" spans="1:26" ht="12.75" hidden="1" customHeight="1">
      <c r="A870" s="26" t="s">
        <v>2507</v>
      </c>
      <c r="B870" s="27"/>
      <c r="C870" s="28"/>
      <c r="D870" s="27"/>
      <c r="E870" s="27" t="s">
        <v>2508</v>
      </c>
      <c r="F870" s="29" t="s">
        <v>2509</v>
      </c>
      <c r="G870" s="27"/>
      <c r="H870" s="27"/>
      <c r="I870" s="27">
        <v>1</v>
      </c>
      <c r="J870" s="30"/>
      <c r="K870" s="26" t="s">
        <v>206</v>
      </c>
      <c r="L870" s="26" t="s">
        <v>1040</v>
      </c>
      <c r="M870" s="31"/>
      <c r="N870" s="6"/>
      <c r="O870" s="6"/>
      <c r="P870" s="23"/>
      <c r="Q870" s="2"/>
      <c r="R870" s="2"/>
      <c r="S870" s="2"/>
      <c r="T870" s="2"/>
      <c r="U870" s="2"/>
      <c r="V870" s="2"/>
      <c r="W870" s="2"/>
      <c r="X870" s="2"/>
      <c r="Y870" s="2"/>
    </row>
    <row r="871" spans="1:26" ht="12.75" hidden="1" customHeight="1">
      <c r="A871" s="26" t="s">
        <v>2510</v>
      </c>
      <c r="B871" s="27"/>
      <c r="C871" s="28"/>
      <c r="D871" s="27"/>
      <c r="E871" s="27" t="s">
        <v>2511</v>
      </c>
      <c r="F871" s="29" t="s">
        <v>2512</v>
      </c>
      <c r="G871" s="27"/>
      <c r="H871" s="27"/>
      <c r="I871" s="27">
        <v>1</v>
      </c>
      <c r="J871" s="30"/>
      <c r="K871" s="26" t="s">
        <v>206</v>
      </c>
      <c r="L871" s="26" t="s">
        <v>1040</v>
      </c>
      <c r="M871" s="31"/>
      <c r="N871" s="6"/>
      <c r="O871" s="6"/>
      <c r="P871" s="23"/>
      <c r="Q871" s="2"/>
      <c r="R871" s="2"/>
      <c r="S871" s="2"/>
      <c r="T871" s="2"/>
      <c r="U871" s="2"/>
      <c r="V871" s="2"/>
      <c r="W871" s="2"/>
      <c r="X871" s="2"/>
      <c r="Y871" s="2"/>
    </row>
    <row r="872" spans="1:26" ht="12.75" hidden="1" customHeight="1">
      <c r="A872" s="26">
        <v>557</v>
      </c>
      <c r="B872" s="27" t="s">
        <v>2513</v>
      </c>
      <c r="C872" s="28">
        <v>36993</v>
      </c>
      <c r="D872" s="27" t="s">
        <v>2514</v>
      </c>
      <c r="E872" s="27" t="s">
        <v>2515</v>
      </c>
      <c r="F872" s="29" t="s">
        <v>2516</v>
      </c>
      <c r="G872" s="27"/>
      <c r="H872" s="27"/>
      <c r="I872" s="27">
        <v>1</v>
      </c>
      <c r="J872" s="30">
        <v>35000000</v>
      </c>
      <c r="K872" s="26" t="s">
        <v>206</v>
      </c>
      <c r="L872" s="26" t="s">
        <v>1040</v>
      </c>
      <c r="M872" s="31" t="s">
        <v>2475</v>
      </c>
      <c r="N872" s="6"/>
      <c r="O872" s="6"/>
      <c r="P872" s="23"/>
      <c r="Q872" s="2"/>
      <c r="R872" s="2"/>
      <c r="S872" s="2"/>
      <c r="T872" s="2"/>
      <c r="U872" s="2"/>
      <c r="V872" s="2"/>
      <c r="W872" s="2"/>
      <c r="X872" s="2"/>
      <c r="Y872" s="2"/>
    </row>
    <row r="873" spans="1:26" ht="12.75" hidden="1" customHeight="1">
      <c r="A873" s="38">
        <v>558</v>
      </c>
      <c r="B873" s="27" t="s">
        <v>2517</v>
      </c>
      <c r="C873" s="40">
        <v>39263</v>
      </c>
      <c r="D873" s="27"/>
      <c r="E873" s="39" t="s">
        <v>2518</v>
      </c>
      <c r="F873" s="41" t="s">
        <v>2519</v>
      </c>
      <c r="G873" s="27"/>
      <c r="H873" s="27" t="s">
        <v>19</v>
      </c>
      <c r="I873" s="27">
        <v>1</v>
      </c>
      <c r="J873" s="42">
        <v>66819933</v>
      </c>
      <c r="K873" s="38" t="s">
        <v>206</v>
      </c>
      <c r="L873" s="38" t="s">
        <v>1040</v>
      </c>
      <c r="M873" s="43" t="s">
        <v>2067</v>
      </c>
      <c r="N873" s="6"/>
      <c r="O873" s="6"/>
      <c r="P873" s="23"/>
      <c r="Q873" s="2"/>
      <c r="R873" s="2"/>
      <c r="S873" s="2"/>
      <c r="T873" s="2"/>
      <c r="U873" s="2"/>
      <c r="V873" s="2"/>
      <c r="W873" s="2"/>
      <c r="X873" s="2"/>
      <c r="Y873" s="2"/>
    </row>
    <row r="874" spans="1:26" ht="12.75" hidden="1" customHeight="1">
      <c r="A874" s="38" t="s">
        <v>2520</v>
      </c>
      <c r="B874" s="27"/>
      <c r="C874" s="40"/>
      <c r="D874" s="27"/>
      <c r="E874" s="39" t="s">
        <v>2521</v>
      </c>
      <c r="F874" s="41" t="s">
        <v>2522</v>
      </c>
      <c r="G874" s="27"/>
      <c r="H874" s="27"/>
      <c r="I874" s="27">
        <v>1</v>
      </c>
      <c r="J874" s="42">
        <v>0</v>
      </c>
      <c r="K874" s="38" t="s">
        <v>206</v>
      </c>
      <c r="L874" s="38" t="s">
        <v>1040</v>
      </c>
      <c r="M874" s="43"/>
      <c r="N874" s="6"/>
      <c r="O874" s="6"/>
      <c r="P874" s="23"/>
      <c r="Q874" s="2"/>
      <c r="R874" s="2"/>
      <c r="S874" s="2"/>
      <c r="T874" s="2"/>
      <c r="U874" s="2"/>
      <c r="V874" s="2"/>
      <c r="W874" s="2"/>
      <c r="X874" s="2"/>
      <c r="Y874" s="2"/>
    </row>
    <row r="875" spans="1:26" ht="12.75" hidden="1" customHeight="1">
      <c r="A875" s="38" t="s">
        <v>2523</v>
      </c>
      <c r="B875" s="27"/>
      <c r="C875" s="40"/>
      <c r="D875" s="27"/>
      <c r="E875" s="39" t="s">
        <v>2524</v>
      </c>
      <c r="F875" s="41" t="s">
        <v>2525</v>
      </c>
      <c r="G875" s="27"/>
      <c r="H875" s="27"/>
      <c r="I875" s="27">
        <v>1</v>
      </c>
      <c r="J875" s="42">
        <v>0</v>
      </c>
      <c r="K875" s="38" t="s">
        <v>206</v>
      </c>
      <c r="L875" s="38" t="s">
        <v>1040</v>
      </c>
      <c r="M875" s="43"/>
      <c r="N875" s="6"/>
      <c r="O875" s="6"/>
      <c r="P875" s="23"/>
      <c r="Q875" s="2"/>
      <c r="R875" s="2"/>
      <c r="S875" s="2"/>
      <c r="T875" s="2"/>
      <c r="U875" s="2"/>
      <c r="V875" s="2"/>
      <c r="W875" s="2"/>
      <c r="X875" s="2"/>
      <c r="Y875" s="2"/>
    </row>
    <row r="876" spans="1:26" ht="12.75" customHeight="1">
      <c r="A876" s="26">
        <v>559</v>
      </c>
      <c r="B876" s="27" t="s">
        <v>2517</v>
      </c>
      <c r="C876" s="28">
        <v>39263</v>
      </c>
      <c r="D876" s="27"/>
      <c r="E876" s="47" t="s">
        <v>2526</v>
      </c>
      <c r="F876" s="29" t="s">
        <v>2527</v>
      </c>
      <c r="G876" s="27"/>
      <c r="H876" s="27" t="s">
        <v>19</v>
      </c>
      <c r="I876" s="27">
        <v>1</v>
      </c>
      <c r="J876" s="30">
        <v>55917733</v>
      </c>
      <c r="K876" s="26" t="s">
        <v>20</v>
      </c>
      <c r="L876" s="26" t="s">
        <v>423</v>
      </c>
      <c r="M876" s="27" t="s">
        <v>2528</v>
      </c>
      <c r="N876" s="7"/>
      <c r="O876" s="7" t="str">
        <f ca="1">IFERROR(__xludf.DUMMYFUNCTION("IFERROR(INDEX(Sheet1!$C:$C, MAX(FILTER(ROW(Sheet1!$B:$B), Sheet1!$B:$B=E876))), """")"),"")</f>
        <v/>
      </c>
      <c r="P876" s="23"/>
      <c r="Q876" s="2"/>
      <c r="R876" s="2"/>
      <c r="S876" s="2"/>
      <c r="T876" s="2"/>
      <c r="U876" s="2"/>
      <c r="V876" s="2"/>
      <c r="W876" s="2"/>
      <c r="X876" s="2"/>
      <c r="Y876" s="2"/>
    </row>
    <row r="877" spans="1:26" ht="12.75" customHeight="1">
      <c r="A877" s="26" t="s">
        <v>2529</v>
      </c>
      <c r="B877" s="27"/>
      <c r="C877" s="28"/>
      <c r="D877" s="27"/>
      <c r="E877" s="56" t="s">
        <v>2530</v>
      </c>
      <c r="F877" s="29" t="s">
        <v>2531</v>
      </c>
      <c r="G877" s="27"/>
      <c r="H877" s="27"/>
      <c r="I877" s="27">
        <v>1</v>
      </c>
      <c r="J877" s="30">
        <v>0</v>
      </c>
      <c r="K877" s="26" t="s">
        <v>20</v>
      </c>
      <c r="L877" s="26" t="s">
        <v>423</v>
      </c>
      <c r="M877" s="27" t="s">
        <v>2528</v>
      </c>
      <c r="N877" s="7"/>
      <c r="O877" s="7" t="str">
        <f ca="1">IFERROR(__xludf.DUMMYFUNCTION("IFERROR(INDEX(Sheet1!$C:$C, MAX(FILTER(ROW(Sheet1!$B:$B), Sheet1!$B:$B=E877))), """")"),"")</f>
        <v/>
      </c>
      <c r="P877" s="23"/>
      <c r="Q877" s="2"/>
      <c r="R877" s="2"/>
      <c r="S877" s="2"/>
      <c r="T877" s="2"/>
      <c r="U877" s="2"/>
      <c r="V877" s="2"/>
      <c r="W877" s="2"/>
      <c r="X877" s="2"/>
      <c r="Y877" s="2"/>
    </row>
    <row r="878" spans="1:26" ht="12.75" customHeight="1">
      <c r="A878" s="26" t="s">
        <v>2532</v>
      </c>
      <c r="B878" s="27"/>
      <c r="C878" s="28"/>
      <c r="D878" s="27"/>
      <c r="E878" s="47" t="s">
        <v>2533</v>
      </c>
      <c r="F878" s="29" t="s">
        <v>2534</v>
      </c>
      <c r="G878" s="27"/>
      <c r="H878" s="27"/>
      <c r="I878" s="27">
        <v>1</v>
      </c>
      <c r="J878" s="30">
        <v>0</v>
      </c>
      <c r="K878" s="26" t="s">
        <v>20</v>
      </c>
      <c r="L878" s="26" t="s">
        <v>423</v>
      </c>
      <c r="M878" s="27" t="s">
        <v>2528</v>
      </c>
      <c r="N878" s="7"/>
      <c r="O878" s="7" t="str">
        <f ca="1">IFERROR(__xludf.DUMMYFUNCTION("IFERROR(INDEX(Sheet1!$C:$C, MAX(FILTER(ROW(Sheet1!$B:$B), Sheet1!$B:$B=E878))), """")"),"")</f>
        <v/>
      </c>
      <c r="P878" s="23"/>
      <c r="Q878" s="2"/>
      <c r="R878" s="2"/>
      <c r="S878" s="2"/>
      <c r="T878" s="2"/>
      <c r="U878" s="2"/>
      <c r="V878" s="2"/>
      <c r="W878" s="2"/>
      <c r="X878" s="2"/>
      <c r="Y878" s="2"/>
    </row>
    <row r="879" spans="1:26" ht="12.75" customHeight="1">
      <c r="A879" s="26" t="s">
        <v>2535</v>
      </c>
      <c r="B879" s="27"/>
      <c r="C879" s="28"/>
      <c r="D879" s="27"/>
      <c r="E879" s="47" t="s">
        <v>2536</v>
      </c>
      <c r="F879" s="29" t="s">
        <v>2525</v>
      </c>
      <c r="G879" s="27"/>
      <c r="H879" s="27"/>
      <c r="I879" s="27">
        <v>1</v>
      </c>
      <c r="J879" s="30">
        <v>0</v>
      </c>
      <c r="K879" s="26" t="s">
        <v>20</v>
      </c>
      <c r="L879" s="26" t="s">
        <v>423</v>
      </c>
      <c r="M879" s="27" t="s">
        <v>2528</v>
      </c>
      <c r="N879" s="7"/>
      <c r="O879" s="7" t="str">
        <f ca="1">IFERROR(__xludf.DUMMYFUNCTION("IFERROR(INDEX(Sheet1!$C:$C, MAX(FILTER(ROW(Sheet1!$B:$B), Sheet1!$B:$B=E879))), """")"),"")</f>
        <v/>
      </c>
      <c r="P879" s="23"/>
      <c r="Q879" s="2"/>
      <c r="R879" s="2"/>
      <c r="S879" s="2"/>
      <c r="T879" s="2"/>
      <c r="U879" s="2"/>
      <c r="V879" s="2"/>
      <c r="W879" s="2"/>
      <c r="X879" s="2"/>
      <c r="Y879" s="2"/>
    </row>
    <row r="880" spans="1:26" ht="12.75" hidden="1" customHeight="1">
      <c r="A880" s="38">
        <v>560</v>
      </c>
      <c r="B880" s="27" t="s">
        <v>2517</v>
      </c>
      <c r="C880" s="40">
        <v>39263</v>
      </c>
      <c r="D880" s="27"/>
      <c r="E880" s="39" t="s">
        <v>2537</v>
      </c>
      <c r="F880" s="41" t="s">
        <v>2538</v>
      </c>
      <c r="G880" s="27"/>
      <c r="H880" s="27" t="s">
        <v>19</v>
      </c>
      <c r="I880" s="27">
        <v>1</v>
      </c>
      <c r="J880" s="42">
        <v>55917733</v>
      </c>
      <c r="K880" s="38" t="s">
        <v>206</v>
      </c>
      <c r="L880" s="38" t="s">
        <v>1040</v>
      </c>
      <c r="M880" s="43" t="s">
        <v>2539</v>
      </c>
      <c r="N880" s="6"/>
      <c r="O880" s="6"/>
      <c r="P880" s="23"/>
      <c r="Q880" s="2"/>
      <c r="R880" s="2"/>
      <c r="S880" s="2"/>
      <c r="T880" s="2"/>
      <c r="U880" s="2"/>
      <c r="V880" s="2"/>
      <c r="W880" s="2"/>
      <c r="X880" s="2"/>
      <c r="Y880" s="2"/>
    </row>
    <row r="881" spans="1:25" ht="12.75" hidden="1" customHeight="1">
      <c r="A881" s="38" t="s">
        <v>2540</v>
      </c>
      <c r="B881" s="27"/>
      <c r="C881" s="40"/>
      <c r="D881" s="27"/>
      <c r="E881" s="39" t="s">
        <v>2541</v>
      </c>
      <c r="F881" s="41" t="s">
        <v>2531</v>
      </c>
      <c r="G881" s="27"/>
      <c r="H881" s="27"/>
      <c r="I881" s="27">
        <v>1</v>
      </c>
      <c r="J881" s="42">
        <v>0</v>
      </c>
      <c r="K881" s="38" t="s">
        <v>206</v>
      </c>
      <c r="L881" s="38" t="s">
        <v>1040</v>
      </c>
      <c r="M881" s="43"/>
      <c r="N881" s="6"/>
      <c r="O881" s="6"/>
      <c r="P881" s="23"/>
      <c r="Q881" s="2"/>
      <c r="R881" s="2"/>
      <c r="S881" s="2"/>
      <c r="T881" s="2"/>
      <c r="U881" s="2"/>
      <c r="V881" s="2"/>
      <c r="W881" s="2"/>
      <c r="X881" s="2"/>
      <c r="Y881" s="2"/>
    </row>
    <row r="882" spans="1:25" ht="12.75" hidden="1" customHeight="1">
      <c r="A882" s="38" t="s">
        <v>2542</v>
      </c>
      <c r="B882" s="27"/>
      <c r="C882" s="40"/>
      <c r="D882" s="27"/>
      <c r="E882" s="39" t="s">
        <v>2543</v>
      </c>
      <c r="F882" s="41" t="s">
        <v>2534</v>
      </c>
      <c r="G882" s="27"/>
      <c r="H882" s="27"/>
      <c r="I882" s="27">
        <v>1</v>
      </c>
      <c r="J882" s="42">
        <v>0</v>
      </c>
      <c r="K882" s="38" t="s">
        <v>206</v>
      </c>
      <c r="L882" s="38" t="s">
        <v>1040</v>
      </c>
      <c r="M882" s="43"/>
      <c r="N882" s="6"/>
      <c r="O882" s="6"/>
      <c r="P882" s="23"/>
      <c r="Q882" s="2"/>
      <c r="R882" s="2"/>
      <c r="S882" s="2"/>
      <c r="T882" s="2"/>
      <c r="U882" s="2"/>
      <c r="V882" s="2"/>
      <c r="W882" s="2"/>
      <c r="X882" s="2"/>
      <c r="Y882" s="2"/>
    </row>
    <row r="883" spans="1:25" ht="12.75" hidden="1" customHeight="1">
      <c r="A883" s="38" t="s">
        <v>2544</v>
      </c>
      <c r="B883" s="27"/>
      <c r="C883" s="40"/>
      <c r="D883" s="27"/>
      <c r="E883" s="39" t="s">
        <v>2545</v>
      </c>
      <c r="F883" s="41" t="s">
        <v>2525</v>
      </c>
      <c r="G883" s="27"/>
      <c r="H883" s="27"/>
      <c r="I883" s="27">
        <v>1</v>
      </c>
      <c r="J883" s="42">
        <v>0</v>
      </c>
      <c r="K883" s="38" t="s">
        <v>206</v>
      </c>
      <c r="L883" s="38" t="s">
        <v>1040</v>
      </c>
      <c r="M883" s="43"/>
      <c r="N883" s="6"/>
      <c r="O883" s="6"/>
      <c r="P883" s="23"/>
      <c r="Q883" s="2"/>
      <c r="R883" s="2"/>
      <c r="S883" s="2"/>
      <c r="T883" s="2"/>
      <c r="U883" s="2"/>
      <c r="V883" s="2"/>
      <c r="W883" s="2"/>
      <c r="X883" s="2"/>
      <c r="Y883" s="2"/>
    </row>
    <row r="884" spans="1:25" ht="12.75" hidden="1" customHeight="1">
      <c r="A884" s="38">
        <v>561</v>
      </c>
      <c r="B884" s="27" t="s">
        <v>2546</v>
      </c>
      <c r="C884" s="40">
        <v>39436</v>
      </c>
      <c r="D884" s="27"/>
      <c r="E884" s="39" t="s">
        <v>2547</v>
      </c>
      <c r="F884" s="41" t="s">
        <v>2548</v>
      </c>
      <c r="G884" s="27"/>
      <c r="H884" s="27" t="s">
        <v>19</v>
      </c>
      <c r="I884" s="27">
        <v>1</v>
      </c>
      <c r="J884" s="42">
        <v>660632399</v>
      </c>
      <c r="K884" s="38" t="s">
        <v>206</v>
      </c>
      <c r="L884" s="38" t="s">
        <v>1040</v>
      </c>
      <c r="M884" s="43" t="s">
        <v>2549</v>
      </c>
      <c r="N884" s="6"/>
      <c r="O884" s="6"/>
      <c r="P884" s="23"/>
      <c r="Q884" s="2"/>
      <c r="R884" s="2"/>
      <c r="S884" s="2"/>
      <c r="T884" s="2"/>
      <c r="U884" s="2"/>
      <c r="V884" s="2"/>
      <c r="W884" s="2"/>
      <c r="X884" s="2"/>
      <c r="Y884" s="2"/>
    </row>
    <row r="885" spans="1:25" ht="25.5" hidden="1" customHeight="1">
      <c r="A885" s="26">
        <v>562</v>
      </c>
      <c r="B885" s="27" t="s">
        <v>1064</v>
      </c>
      <c r="C885" s="28">
        <v>39963</v>
      </c>
      <c r="D885" s="27"/>
      <c r="E885" s="27" t="s">
        <v>2550</v>
      </c>
      <c r="F885" s="29" t="s">
        <v>2551</v>
      </c>
      <c r="G885" s="27" t="s">
        <v>338</v>
      </c>
      <c r="H885" s="27" t="s">
        <v>249</v>
      </c>
      <c r="I885" s="27">
        <v>1</v>
      </c>
      <c r="J885" s="30">
        <v>53234130</v>
      </c>
      <c r="K885" s="26" t="s">
        <v>206</v>
      </c>
      <c r="L885" s="26" t="s">
        <v>1040</v>
      </c>
      <c r="M885" s="31" t="s">
        <v>1954</v>
      </c>
      <c r="N885" s="6"/>
      <c r="O885" s="6"/>
      <c r="P885" s="23"/>
      <c r="Q885" s="2"/>
      <c r="R885" s="2"/>
      <c r="S885" s="2"/>
      <c r="T885" s="2"/>
      <c r="U885" s="2"/>
      <c r="V885" s="2"/>
      <c r="W885" s="2"/>
      <c r="X885" s="2"/>
      <c r="Y885" s="2"/>
    </row>
    <row r="886" spans="1:25" ht="25.5" hidden="1" customHeight="1">
      <c r="A886" s="38">
        <v>563</v>
      </c>
      <c r="B886" s="27" t="s">
        <v>1064</v>
      </c>
      <c r="C886" s="40">
        <v>39963</v>
      </c>
      <c r="D886" s="27"/>
      <c r="E886" s="39" t="s">
        <v>2552</v>
      </c>
      <c r="F886" s="41" t="s">
        <v>2553</v>
      </c>
      <c r="G886" s="27" t="s">
        <v>338</v>
      </c>
      <c r="H886" s="27" t="s">
        <v>249</v>
      </c>
      <c r="I886" s="27">
        <v>1</v>
      </c>
      <c r="J886" s="42">
        <v>53234130</v>
      </c>
      <c r="K886" s="38" t="s">
        <v>206</v>
      </c>
      <c r="L886" s="38" t="s">
        <v>1040</v>
      </c>
      <c r="M886" s="43" t="s">
        <v>2023</v>
      </c>
      <c r="N886" s="6"/>
      <c r="O886" s="6"/>
      <c r="P886" s="23"/>
      <c r="Q886" s="2"/>
      <c r="R886" s="2"/>
      <c r="S886" s="2"/>
      <c r="T886" s="2"/>
      <c r="U886" s="2"/>
      <c r="V886" s="2"/>
      <c r="W886" s="2"/>
      <c r="X886" s="2"/>
      <c r="Y886" s="2"/>
    </row>
    <row r="887" spans="1:25" ht="12.75" hidden="1" customHeight="1">
      <c r="A887" s="38">
        <v>564</v>
      </c>
      <c r="B887" s="27" t="s">
        <v>16</v>
      </c>
      <c r="C887" s="40">
        <v>40024</v>
      </c>
      <c r="D887" s="27"/>
      <c r="E887" s="39" t="s">
        <v>2554</v>
      </c>
      <c r="F887" s="41" t="s">
        <v>2555</v>
      </c>
      <c r="G887" s="27" t="s">
        <v>1088</v>
      </c>
      <c r="H887" s="27" t="s">
        <v>19</v>
      </c>
      <c r="I887" s="27">
        <v>1</v>
      </c>
      <c r="J887" s="42">
        <v>42989915</v>
      </c>
      <c r="K887" s="38" t="s">
        <v>206</v>
      </c>
      <c r="L887" s="38" t="s">
        <v>1040</v>
      </c>
      <c r="M887" s="43" t="s">
        <v>2539</v>
      </c>
      <c r="N887" s="6"/>
      <c r="O887" s="6"/>
      <c r="P887" s="23"/>
      <c r="Q887" s="2"/>
      <c r="R887" s="2"/>
      <c r="S887" s="2"/>
      <c r="T887" s="2"/>
      <c r="U887" s="2"/>
      <c r="V887" s="2"/>
      <c r="W887" s="2"/>
      <c r="X887" s="2"/>
      <c r="Y887" s="2"/>
    </row>
    <row r="888" spans="1:25" ht="12.75" hidden="1" customHeight="1">
      <c r="A888" s="26" t="s">
        <v>2556</v>
      </c>
      <c r="B888" s="27"/>
      <c r="C888" s="28"/>
      <c r="D888" s="27"/>
      <c r="E888" s="27" t="s">
        <v>2557</v>
      </c>
      <c r="F888" s="29" t="s">
        <v>2558</v>
      </c>
      <c r="G888" s="27"/>
      <c r="H888" s="27"/>
      <c r="I888" s="27">
        <v>1</v>
      </c>
      <c r="J888" s="30">
        <v>41887609</v>
      </c>
      <c r="K888" s="26" t="s">
        <v>206</v>
      </c>
      <c r="L888" s="26" t="s">
        <v>1040</v>
      </c>
      <c r="M888" s="31"/>
      <c r="N888" s="6"/>
      <c r="O888" s="6"/>
      <c r="P888" s="23"/>
      <c r="Q888" s="2"/>
      <c r="R888" s="2"/>
      <c r="S888" s="2"/>
      <c r="T888" s="2"/>
      <c r="U888" s="2"/>
      <c r="V888" s="2"/>
      <c r="W888" s="2"/>
      <c r="X888" s="2"/>
      <c r="Y888" s="2"/>
    </row>
    <row r="889" spans="1:25" ht="12.75" hidden="1" customHeight="1">
      <c r="A889" s="26">
        <v>565</v>
      </c>
      <c r="B889" s="27" t="s">
        <v>2559</v>
      </c>
      <c r="C889" s="28">
        <v>40178</v>
      </c>
      <c r="D889" s="27"/>
      <c r="E889" s="27" t="s">
        <v>2560</v>
      </c>
      <c r="F889" s="29" t="s">
        <v>2561</v>
      </c>
      <c r="G889" s="27"/>
      <c r="H889" s="27" t="s">
        <v>19</v>
      </c>
      <c r="I889" s="27">
        <v>1</v>
      </c>
      <c r="J889" s="30">
        <v>327075322</v>
      </c>
      <c r="K889" s="26" t="s">
        <v>206</v>
      </c>
      <c r="L889" s="26" t="s">
        <v>2562</v>
      </c>
      <c r="M889" s="31" t="s">
        <v>2563</v>
      </c>
      <c r="N889" s="6"/>
      <c r="O889" s="6"/>
      <c r="P889" s="23"/>
      <c r="Q889" s="2"/>
      <c r="R889" s="2"/>
      <c r="S889" s="2"/>
      <c r="T889" s="2"/>
      <c r="U889" s="2"/>
      <c r="V889" s="2"/>
      <c r="W889" s="2"/>
      <c r="X889" s="2"/>
      <c r="Y889" s="2"/>
    </row>
    <row r="890" spans="1:25" ht="12.75" hidden="1" customHeight="1">
      <c r="A890" s="26">
        <v>566</v>
      </c>
      <c r="B890" s="27" t="s">
        <v>846</v>
      </c>
      <c r="C890" s="28">
        <v>40743</v>
      </c>
      <c r="D890" s="27"/>
      <c r="E890" s="27" t="s">
        <v>2564</v>
      </c>
      <c r="F890" s="29" t="s">
        <v>2565</v>
      </c>
      <c r="G890" s="27" t="s">
        <v>2566</v>
      </c>
      <c r="H890" s="27" t="s">
        <v>249</v>
      </c>
      <c r="I890" s="27">
        <v>1</v>
      </c>
      <c r="J890" s="30">
        <v>210617748</v>
      </c>
      <c r="K890" s="26" t="s">
        <v>206</v>
      </c>
      <c r="L890" s="26" t="s">
        <v>2562</v>
      </c>
      <c r="M890" s="31" t="s">
        <v>1041</v>
      </c>
      <c r="N890" s="6"/>
      <c r="O890" s="6"/>
      <c r="P890" s="23"/>
      <c r="Q890" s="2"/>
      <c r="R890" s="2"/>
      <c r="S890" s="2"/>
      <c r="T890" s="2"/>
      <c r="U890" s="2"/>
      <c r="V890" s="2"/>
      <c r="W890" s="2"/>
      <c r="X890" s="2"/>
      <c r="Y890" s="2"/>
    </row>
    <row r="891" spans="1:25" ht="12.75" hidden="1" customHeight="1">
      <c r="A891" s="26">
        <v>567</v>
      </c>
      <c r="B891" s="27" t="s">
        <v>846</v>
      </c>
      <c r="C891" s="28">
        <v>40743</v>
      </c>
      <c r="D891" s="27"/>
      <c r="E891" s="27" t="s">
        <v>2567</v>
      </c>
      <c r="F891" s="29" t="s">
        <v>2568</v>
      </c>
      <c r="G891" s="27" t="s">
        <v>2566</v>
      </c>
      <c r="H891" s="27" t="s">
        <v>249</v>
      </c>
      <c r="I891" s="27">
        <v>1</v>
      </c>
      <c r="J891" s="30">
        <v>210617748</v>
      </c>
      <c r="K891" s="26" t="s">
        <v>206</v>
      </c>
      <c r="L891" s="26" t="s">
        <v>2562</v>
      </c>
      <c r="M891" s="31" t="s">
        <v>1041</v>
      </c>
      <c r="N891" s="6"/>
      <c r="O891" s="6"/>
      <c r="P891" s="23"/>
      <c r="Q891" s="2"/>
      <c r="R891" s="2"/>
      <c r="S891" s="2"/>
      <c r="T891" s="2"/>
      <c r="U891" s="2"/>
      <c r="V891" s="2"/>
      <c r="W891" s="2"/>
      <c r="X891" s="2"/>
      <c r="Y891" s="2"/>
    </row>
    <row r="892" spans="1:25" ht="25.5" hidden="1" customHeight="1">
      <c r="A892" s="26">
        <v>568</v>
      </c>
      <c r="B892" s="27" t="s">
        <v>281</v>
      </c>
      <c r="C892" s="28">
        <v>41044</v>
      </c>
      <c r="D892" s="27"/>
      <c r="E892" s="27" t="s">
        <v>2569</v>
      </c>
      <c r="F892" s="29" t="s">
        <v>2570</v>
      </c>
      <c r="G892" s="27"/>
      <c r="H892" s="27" t="s">
        <v>19</v>
      </c>
      <c r="I892" s="27">
        <v>1</v>
      </c>
      <c r="J892" s="30">
        <v>80549000</v>
      </c>
      <c r="K892" s="26" t="s">
        <v>206</v>
      </c>
      <c r="L892" s="26" t="s">
        <v>2562</v>
      </c>
      <c r="M892" s="31" t="s">
        <v>2571</v>
      </c>
      <c r="N892" s="6"/>
      <c r="O892" s="6"/>
      <c r="P892" s="23"/>
      <c r="Q892" s="2"/>
      <c r="R892" s="2"/>
      <c r="S892" s="2"/>
      <c r="T892" s="2"/>
      <c r="U892" s="2"/>
      <c r="V892" s="2"/>
      <c r="W892" s="2"/>
      <c r="X892" s="2"/>
      <c r="Y892" s="2"/>
    </row>
    <row r="893" spans="1:25" ht="25.5" hidden="1" customHeight="1">
      <c r="A893" s="26">
        <v>569</v>
      </c>
      <c r="B893" s="27" t="s">
        <v>281</v>
      </c>
      <c r="C893" s="28">
        <v>41044</v>
      </c>
      <c r="D893" s="27"/>
      <c r="E893" s="27" t="s">
        <v>2572</v>
      </c>
      <c r="F893" s="29" t="s">
        <v>2573</v>
      </c>
      <c r="G893" s="27"/>
      <c r="H893" s="27" t="s">
        <v>19</v>
      </c>
      <c r="I893" s="27">
        <v>1</v>
      </c>
      <c r="J893" s="30">
        <v>80549000</v>
      </c>
      <c r="K893" s="26" t="s">
        <v>206</v>
      </c>
      <c r="L893" s="26" t="s">
        <v>2562</v>
      </c>
      <c r="M893" s="31" t="s">
        <v>2574</v>
      </c>
      <c r="N893" s="6"/>
      <c r="O893" s="6"/>
      <c r="P893" s="23"/>
      <c r="Q893" s="2"/>
      <c r="R893" s="2"/>
      <c r="S893" s="2"/>
      <c r="T893" s="2"/>
      <c r="U893" s="2"/>
      <c r="V893" s="2"/>
      <c r="W893" s="2"/>
      <c r="X893" s="2"/>
      <c r="Y893" s="2"/>
    </row>
    <row r="894" spans="1:25" ht="25.5" hidden="1" customHeight="1">
      <c r="A894" s="26">
        <v>570</v>
      </c>
      <c r="B894" s="27" t="s">
        <v>281</v>
      </c>
      <c r="C894" s="28">
        <v>41044</v>
      </c>
      <c r="D894" s="27"/>
      <c r="E894" s="27" t="s">
        <v>2575</v>
      </c>
      <c r="F894" s="29" t="s">
        <v>2576</v>
      </c>
      <c r="G894" s="27"/>
      <c r="H894" s="27" t="s">
        <v>19</v>
      </c>
      <c r="I894" s="27">
        <v>1</v>
      </c>
      <c r="J894" s="30">
        <v>80549000</v>
      </c>
      <c r="K894" s="26" t="s">
        <v>206</v>
      </c>
      <c r="L894" s="26" t="s">
        <v>2562</v>
      </c>
      <c r="M894" s="31" t="s">
        <v>2574</v>
      </c>
      <c r="N894" s="6"/>
      <c r="O894" s="6"/>
      <c r="P894" s="23"/>
      <c r="Q894" s="2"/>
      <c r="R894" s="2"/>
      <c r="S894" s="2"/>
      <c r="T894" s="2"/>
      <c r="U894" s="2"/>
      <c r="V894" s="2"/>
      <c r="W894" s="2"/>
      <c r="X894" s="2"/>
      <c r="Y894" s="2"/>
    </row>
    <row r="895" spans="1:25" ht="25.5" hidden="1" customHeight="1">
      <c r="A895" s="26">
        <v>571</v>
      </c>
      <c r="B895" s="27" t="s">
        <v>281</v>
      </c>
      <c r="C895" s="28">
        <v>41044</v>
      </c>
      <c r="D895" s="27"/>
      <c r="E895" s="27" t="s">
        <v>2577</v>
      </c>
      <c r="F895" s="29" t="s">
        <v>2578</v>
      </c>
      <c r="G895" s="27"/>
      <c r="H895" s="27" t="s">
        <v>19</v>
      </c>
      <c r="I895" s="27">
        <v>1</v>
      </c>
      <c r="J895" s="30">
        <v>80549000</v>
      </c>
      <c r="K895" s="26" t="s">
        <v>206</v>
      </c>
      <c r="L895" s="26" t="s">
        <v>2562</v>
      </c>
      <c r="M895" s="31" t="s">
        <v>2574</v>
      </c>
      <c r="N895" s="6"/>
      <c r="O895" s="6"/>
      <c r="P895" s="23"/>
      <c r="Q895" s="2"/>
      <c r="R895" s="2"/>
      <c r="S895" s="2"/>
      <c r="T895" s="2"/>
      <c r="U895" s="2"/>
      <c r="V895" s="2"/>
      <c r="W895" s="2"/>
      <c r="X895" s="2"/>
      <c r="Y895" s="2"/>
    </row>
    <row r="896" spans="1:25" ht="25.5" hidden="1" customHeight="1">
      <c r="A896" s="26">
        <v>572</v>
      </c>
      <c r="B896" s="27" t="s">
        <v>281</v>
      </c>
      <c r="C896" s="28">
        <v>41044</v>
      </c>
      <c r="D896" s="27"/>
      <c r="E896" s="27" t="s">
        <v>2579</v>
      </c>
      <c r="F896" s="29" t="s">
        <v>2580</v>
      </c>
      <c r="G896" s="27"/>
      <c r="H896" s="27" t="s">
        <v>19</v>
      </c>
      <c r="I896" s="27">
        <v>1</v>
      </c>
      <c r="J896" s="30">
        <v>262570000</v>
      </c>
      <c r="K896" s="26" t="s">
        <v>206</v>
      </c>
      <c r="L896" s="26" t="s">
        <v>2562</v>
      </c>
      <c r="M896" s="31" t="s">
        <v>2581</v>
      </c>
      <c r="N896" s="6"/>
      <c r="O896" s="6"/>
      <c r="P896" s="23"/>
      <c r="Q896" s="2"/>
      <c r="R896" s="2"/>
      <c r="S896" s="2"/>
      <c r="T896" s="2"/>
      <c r="U896" s="2"/>
      <c r="V896" s="2"/>
      <c r="W896" s="2"/>
      <c r="X896" s="2"/>
      <c r="Y896" s="2"/>
    </row>
    <row r="897" spans="1:25" ht="25.5" hidden="1" customHeight="1">
      <c r="A897" s="26">
        <v>573</v>
      </c>
      <c r="B897" s="27" t="s">
        <v>281</v>
      </c>
      <c r="C897" s="28">
        <v>41044</v>
      </c>
      <c r="D897" s="27"/>
      <c r="E897" s="27" t="s">
        <v>2582</v>
      </c>
      <c r="F897" s="29" t="s">
        <v>2583</v>
      </c>
      <c r="G897" s="27"/>
      <c r="H897" s="27" t="s">
        <v>19</v>
      </c>
      <c r="I897" s="27">
        <v>1</v>
      </c>
      <c r="J897" s="30">
        <v>262570000</v>
      </c>
      <c r="K897" s="26" t="s">
        <v>206</v>
      </c>
      <c r="L897" s="26" t="s">
        <v>2562</v>
      </c>
      <c r="M897" s="31" t="s">
        <v>2584</v>
      </c>
      <c r="N897" s="6"/>
      <c r="O897" s="6"/>
      <c r="P897" s="23"/>
      <c r="Q897" s="2"/>
      <c r="R897" s="2"/>
      <c r="S897" s="2"/>
      <c r="T897" s="2"/>
      <c r="U897" s="2"/>
      <c r="V897" s="2"/>
      <c r="W897" s="2"/>
      <c r="X897" s="2"/>
      <c r="Y897" s="2"/>
    </row>
    <row r="898" spans="1:25" ht="12.75" hidden="1" customHeight="1">
      <c r="A898" s="26">
        <v>574</v>
      </c>
      <c r="B898" s="27" t="s">
        <v>1271</v>
      </c>
      <c r="C898" s="28">
        <v>41626</v>
      </c>
      <c r="D898" s="27"/>
      <c r="E898" s="27" t="s">
        <v>2585</v>
      </c>
      <c r="F898" s="29" t="s">
        <v>2586</v>
      </c>
      <c r="G898" s="27" t="s">
        <v>1635</v>
      </c>
      <c r="H898" s="27" t="s">
        <v>19</v>
      </c>
      <c r="I898" s="27">
        <v>1</v>
      </c>
      <c r="J898" s="30">
        <v>103971921</v>
      </c>
      <c r="K898" s="26" t="s">
        <v>206</v>
      </c>
      <c r="L898" s="26" t="s">
        <v>2562</v>
      </c>
      <c r="M898" s="31" t="s">
        <v>1041</v>
      </c>
      <c r="N898" s="6"/>
      <c r="O898" s="6"/>
      <c r="P898" s="23"/>
      <c r="Q898" s="2"/>
      <c r="R898" s="2"/>
      <c r="S898" s="2"/>
      <c r="T898" s="2"/>
      <c r="U898" s="2"/>
      <c r="V898" s="2"/>
      <c r="W898" s="2"/>
      <c r="X898" s="2"/>
      <c r="Y898" s="2"/>
    </row>
    <row r="899" spans="1:25" ht="12.75" hidden="1" customHeight="1">
      <c r="A899" s="26">
        <v>575</v>
      </c>
      <c r="B899" s="27" t="s">
        <v>1271</v>
      </c>
      <c r="C899" s="28">
        <v>41626</v>
      </c>
      <c r="D899" s="27"/>
      <c r="E899" s="27" t="s">
        <v>2587</v>
      </c>
      <c r="F899" s="29" t="s">
        <v>2588</v>
      </c>
      <c r="G899" s="27" t="s">
        <v>1635</v>
      </c>
      <c r="H899" s="27" t="s">
        <v>19</v>
      </c>
      <c r="I899" s="27">
        <v>1</v>
      </c>
      <c r="J899" s="30">
        <v>103971921</v>
      </c>
      <c r="K899" s="26" t="s">
        <v>206</v>
      </c>
      <c r="L899" s="26" t="s">
        <v>2562</v>
      </c>
      <c r="M899" s="31" t="s">
        <v>1041</v>
      </c>
      <c r="N899" s="6"/>
      <c r="O899" s="6"/>
      <c r="P899" s="23"/>
      <c r="Q899" s="2"/>
      <c r="R899" s="2"/>
      <c r="S899" s="2"/>
      <c r="T899" s="2"/>
      <c r="U899" s="2"/>
      <c r="V899" s="2"/>
      <c r="W899" s="2"/>
      <c r="X899" s="2"/>
      <c r="Y899" s="2"/>
    </row>
    <row r="900" spans="1:25" ht="12.75" hidden="1" customHeight="1">
      <c r="A900" s="26">
        <v>576</v>
      </c>
      <c r="B900" s="27" t="s">
        <v>1271</v>
      </c>
      <c r="C900" s="28">
        <v>41626</v>
      </c>
      <c r="D900" s="27"/>
      <c r="E900" s="27" t="s">
        <v>2589</v>
      </c>
      <c r="F900" s="29" t="s">
        <v>2590</v>
      </c>
      <c r="G900" s="27" t="s">
        <v>1635</v>
      </c>
      <c r="H900" s="27" t="s">
        <v>19</v>
      </c>
      <c r="I900" s="27">
        <v>1</v>
      </c>
      <c r="J900" s="30">
        <v>103971921</v>
      </c>
      <c r="K900" s="26" t="s">
        <v>206</v>
      </c>
      <c r="L900" s="26" t="s">
        <v>2562</v>
      </c>
      <c r="M900" s="31" t="s">
        <v>1041</v>
      </c>
      <c r="N900" s="6"/>
      <c r="O900" s="6"/>
      <c r="P900" s="23"/>
      <c r="Q900" s="2"/>
      <c r="R900" s="2"/>
      <c r="S900" s="2"/>
      <c r="T900" s="2"/>
      <c r="U900" s="2"/>
      <c r="V900" s="2"/>
      <c r="W900" s="2"/>
      <c r="X900" s="2"/>
      <c r="Y900" s="2"/>
    </row>
    <row r="901" spans="1:25" ht="12.75" hidden="1" customHeight="1">
      <c r="A901" s="26">
        <v>577</v>
      </c>
      <c r="B901" s="27" t="s">
        <v>1271</v>
      </c>
      <c r="C901" s="28">
        <v>41626</v>
      </c>
      <c r="D901" s="27"/>
      <c r="E901" s="27" t="s">
        <v>2591</v>
      </c>
      <c r="F901" s="29" t="s">
        <v>2592</v>
      </c>
      <c r="G901" s="27" t="s">
        <v>1635</v>
      </c>
      <c r="H901" s="27" t="s">
        <v>19</v>
      </c>
      <c r="I901" s="27">
        <v>1</v>
      </c>
      <c r="J901" s="30">
        <v>103971921</v>
      </c>
      <c r="K901" s="26" t="s">
        <v>206</v>
      </c>
      <c r="L901" s="26" t="s">
        <v>2562</v>
      </c>
      <c r="M901" s="31" t="s">
        <v>1041</v>
      </c>
      <c r="N901" s="6"/>
      <c r="O901" s="6"/>
      <c r="P901" s="23"/>
      <c r="Q901" s="2"/>
      <c r="R901" s="2"/>
      <c r="S901" s="2"/>
      <c r="T901" s="2"/>
      <c r="U901" s="2"/>
      <c r="V901" s="2"/>
      <c r="W901" s="2"/>
      <c r="X901" s="2"/>
      <c r="Y901" s="2"/>
    </row>
    <row r="902" spans="1:25" ht="12.75" hidden="1" customHeight="1">
      <c r="A902" s="26">
        <v>578</v>
      </c>
      <c r="B902" s="27" t="s">
        <v>1271</v>
      </c>
      <c r="C902" s="28">
        <v>41626</v>
      </c>
      <c r="D902" s="27"/>
      <c r="E902" s="27" t="s">
        <v>2593</v>
      </c>
      <c r="F902" s="29" t="s">
        <v>2594</v>
      </c>
      <c r="G902" s="27" t="s">
        <v>1635</v>
      </c>
      <c r="H902" s="27" t="s">
        <v>19</v>
      </c>
      <c r="I902" s="27">
        <v>1</v>
      </c>
      <c r="J902" s="30">
        <v>103971921</v>
      </c>
      <c r="K902" s="26" t="s">
        <v>206</v>
      </c>
      <c r="L902" s="26" t="s">
        <v>2562</v>
      </c>
      <c r="M902" s="31" t="s">
        <v>2595</v>
      </c>
      <c r="N902" s="6"/>
      <c r="O902" s="6"/>
      <c r="P902" s="23"/>
      <c r="Q902" s="2"/>
      <c r="R902" s="2"/>
      <c r="S902" s="2"/>
      <c r="T902" s="2"/>
      <c r="U902" s="2"/>
      <c r="V902" s="2"/>
      <c r="W902" s="2"/>
      <c r="X902" s="2"/>
      <c r="Y902" s="2"/>
    </row>
    <row r="903" spans="1:25" ht="12.75" hidden="1" customHeight="1">
      <c r="A903" s="26">
        <v>579</v>
      </c>
      <c r="B903" s="27" t="s">
        <v>2041</v>
      </c>
      <c r="C903" s="28">
        <v>42184</v>
      </c>
      <c r="D903" s="27"/>
      <c r="E903" s="27" t="s">
        <v>2596</v>
      </c>
      <c r="F903" s="29" t="s">
        <v>2597</v>
      </c>
      <c r="G903" s="27" t="s">
        <v>55</v>
      </c>
      <c r="H903" s="27" t="s">
        <v>19</v>
      </c>
      <c r="I903" s="27">
        <v>1</v>
      </c>
      <c r="J903" s="30">
        <v>128353668</v>
      </c>
      <c r="K903" s="26" t="s">
        <v>206</v>
      </c>
      <c r="L903" s="26" t="s">
        <v>2562</v>
      </c>
      <c r="M903" s="31" t="s">
        <v>1041</v>
      </c>
      <c r="N903" s="6"/>
      <c r="O903" s="6"/>
      <c r="P903" s="23"/>
      <c r="Q903" s="2"/>
      <c r="R903" s="2"/>
      <c r="S903" s="2"/>
      <c r="T903" s="2"/>
      <c r="U903" s="2"/>
      <c r="V903" s="2"/>
      <c r="W903" s="2"/>
      <c r="X903" s="2"/>
      <c r="Y903" s="2"/>
    </row>
    <row r="904" spans="1:25" ht="12.75" hidden="1" customHeight="1">
      <c r="A904" s="26" t="s">
        <v>2598</v>
      </c>
      <c r="B904" s="27"/>
      <c r="C904" s="28"/>
      <c r="D904" s="27"/>
      <c r="E904" s="27" t="s">
        <v>2599</v>
      </c>
      <c r="F904" s="29" t="s">
        <v>2600</v>
      </c>
      <c r="G904" s="27" t="s">
        <v>55</v>
      </c>
      <c r="H904" s="27" t="s">
        <v>249</v>
      </c>
      <c r="I904" s="27">
        <v>1</v>
      </c>
      <c r="J904" s="30">
        <v>0</v>
      </c>
      <c r="K904" s="26" t="s">
        <v>206</v>
      </c>
      <c r="L904" s="26" t="s">
        <v>2562</v>
      </c>
      <c r="M904" s="31"/>
      <c r="N904" s="6"/>
      <c r="O904" s="6"/>
      <c r="P904" s="23"/>
      <c r="Q904" s="2"/>
      <c r="R904" s="2"/>
      <c r="S904" s="2"/>
      <c r="T904" s="2"/>
      <c r="U904" s="2"/>
      <c r="V904" s="2"/>
      <c r="W904" s="2"/>
      <c r="X904" s="2"/>
      <c r="Y904" s="2"/>
    </row>
    <row r="905" spans="1:25" ht="12.75" hidden="1" customHeight="1">
      <c r="A905" s="26">
        <v>580</v>
      </c>
      <c r="B905" s="27" t="s">
        <v>2041</v>
      </c>
      <c r="C905" s="28">
        <v>42184</v>
      </c>
      <c r="D905" s="27"/>
      <c r="E905" s="27" t="s">
        <v>2601</v>
      </c>
      <c r="F905" s="29" t="s">
        <v>2602</v>
      </c>
      <c r="G905" s="27" t="s">
        <v>55</v>
      </c>
      <c r="H905" s="27" t="s">
        <v>19</v>
      </c>
      <c r="I905" s="27">
        <v>1</v>
      </c>
      <c r="J905" s="30">
        <v>128353668</v>
      </c>
      <c r="K905" s="26" t="s">
        <v>206</v>
      </c>
      <c r="L905" s="26" t="s">
        <v>2562</v>
      </c>
      <c r="M905" s="31" t="s">
        <v>1041</v>
      </c>
      <c r="N905" s="6"/>
      <c r="O905" s="6"/>
      <c r="P905" s="23"/>
      <c r="Q905" s="2"/>
      <c r="R905" s="2"/>
      <c r="S905" s="2"/>
      <c r="T905" s="2"/>
      <c r="U905" s="2"/>
      <c r="V905" s="2"/>
      <c r="W905" s="2"/>
      <c r="X905" s="2"/>
      <c r="Y905" s="2"/>
    </row>
    <row r="906" spans="1:25" ht="12.75" hidden="1" customHeight="1">
      <c r="A906" s="26" t="s">
        <v>2603</v>
      </c>
      <c r="B906" s="27"/>
      <c r="C906" s="28"/>
      <c r="D906" s="27"/>
      <c r="E906" s="27" t="s">
        <v>2604</v>
      </c>
      <c r="F906" s="29" t="s">
        <v>2605</v>
      </c>
      <c r="G906" s="27" t="s">
        <v>55</v>
      </c>
      <c r="H906" s="27" t="s">
        <v>249</v>
      </c>
      <c r="I906" s="27">
        <v>1</v>
      </c>
      <c r="J906" s="30">
        <v>0</v>
      </c>
      <c r="K906" s="26" t="s">
        <v>206</v>
      </c>
      <c r="L906" s="26" t="s">
        <v>2562</v>
      </c>
      <c r="M906" s="31"/>
      <c r="N906" s="6"/>
      <c r="O906" s="6"/>
      <c r="P906" s="23"/>
      <c r="Q906" s="2"/>
      <c r="R906" s="2"/>
      <c r="S906" s="2"/>
      <c r="T906" s="2"/>
      <c r="U906" s="2"/>
      <c r="V906" s="2"/>
      <c r="W906" s="2"/>
      <c r="X906" s="2"/>
      <c r="Y906" s="2"/>
    </row>
    <row r="907" spans="1:25" ht="25.5" hidden="1" customHeight="1">
      <c r="A907" s="26">
        <v>581</v>
      </c>
      <c r="B907" s="27" t="s">
        <v>877</v>
      </c>
      <c r="C907" s="28">
        <v>41981</v>
      </c>
      <c r="D907" s="27"/>
      <c r="E907" s="27" t="s">
        <v>2606</v>
      </c>
      <c r="F907" s="29" t="s">
        <v>2607</v>
      </c>
      <c r="G907" s="27" t="s">
        <v>2608</v>
      </c>
      <c r="H907" s="27" t="s">
        <v>19</v>
      </c>
      <c r="I907" s="27">
        <v>1</v>
      </c>
      <c r="J907" s="30">
        <v>324722690</v>
      </c>
      <c r="K907" s="26" t="s">
        <v>206</v>
      </c>
      <c r="L907" s="26" t="s">
        <v>2562</v>
      </c>
      <c r="M907" s="31" t="s">
        <v>1041</v>
      </c>
      <c r="N907" s="6"/>
      <c r="O907" s="6"/>
      <c r="P907" s="23"/>
      <c r="Q907" s="2"/>
      <c r="R907" s="2"/>
      <c r="S907" s="2"/>
      <c r="T907" s="2"/>
      <c r="U907" s="2"/>
      <c r="V907" s="2"/>
      <c r="W907" s="2"/>
      <c r="X907" s="2"/>
      <c r="Y907" s="2"/>
    </row>
    <row r="908" spans="1:25" ht="25.5" hidden="1" customHeight="1">
      <c r="A908" s="26">
        <v>582</v>
      </c>
      <c r="B908" s="27" t="s">
        <v>877</v>
      </c>
      <c r="C908" s="28">
        <v>41981</v>
      </c>
      <c r="D908" s="27"/>
      <c r="E908" s="27" t="s">
        <v>2609</v>
      </c>
      <c r="F908" s="29" t="s">
        <v>2610</v>
      </c>
      <c r="G908" s="27" t="s">
        <v>1868</v>
      </c>
      <c r="H908" s="27" t="s">
        <v>19</v>
      </c>
      <c r="I908" s="27">
        <v>1</v>
      </c>
      <c r="J908" s="30">
        <v>134699783</v>
      </c>
      <c r="K908" s="26" t="s">
        <v>206</v>
      </c>
      <c r="L908" s="26" t="s">
        <v>2562</v>
      </c>
      <c r="M908" s="31" t="s">
        <v>1041</v>
      </c>
      <c r="N908" s="6"/>
      <c r="O908" s="6"/>
      <c r="P908" s="23"/>
      <c r="Q908" s="2"/>
      <c r="R908" s="2"/>
      <c r="S908" s="2"/>
      <c r="T908" s="2"/>
      <c r="U908" s="2"/>
      <c r="V908" s="2"/>
      <c r="W908" s="2"/>
      <c r="X908" s="2"/>
      <c r="Y908" s="2"/>
    </row>
    <row r="909" spans="1:25" ht="25.5" hidden="1" customHeight="1">
      <c r="A909" s="26">
        <v>583</v>
      </c>
      <c r="B909" s="27" t="s">
        <v>877</v>
      </c>
      <c r="C909" s="28">
        <v>41981</v>
      </c>
      <c r="D909" s="27"/>
      <c r="E909" s="27" t="s">
        <v>2611</v>
      </c>
      <c r="F909" s="29" t="s">
        <v>2612</v>
      </c>
      <c r="G909" s="27" t="s">
        <v>248</v>
      </c>
      <c r="H909" s="27" t="s">
        <v>19</v>
      </c>
      <c r="I909" s="27">
        <v>1</v>
      </c>
      <c r="J909" s="30">
        <v>1038416305</v>
      </c>
      <c r="K909" s="26" t="s">
        <v>206</v>
      </c>
      <c r="L909" s="26" t="s">
        <v>2562</v>
      </c>
      <c r="M909" s="31" t="s">
        <v>2613</v>
      </c>
      <c r="N909" s="6"/>
      <c r="O909" s="6"/>
      <c r="P909" s="23"/>
      <c r="Q909" s="2"/>
      <c r="R909" s="2"/>
      <c r="S909" s="2"/>
      <c r="T909" s="2"/>
      <c r="U909" s="2"/>
      <c r="V909" s="2"/>
      <c r="W909" s="2"/>
      <c r="X909" s="2"/>
      <c r="Y909" s="2"/>
    </row>
    <row r="910" spans="1:25" ht="12.75" hidden="1" customHeight="1">
      <c r="A910" s="26">
        <v>584</v>
      </c>
      <c r="B910" s="27" t="s">
        <v>1763</v>
      </c>
      <c r="C910" s="28">
        <v>42368</v>
      </c>
      <c r="D910" s="27"/>
      <c r="E910" s="27" t="s">
        <v>2614</v>
      </c>
      <c r="F910" s="29" t="s">
        <v>2615</v>
      </c>
      <c r="G910" s="27" t="s">
        <v>1435</v>
      </c>
      <c r="H910" s="27" t="s">
        <v>19</v>
      </c>
      <c r="I910" s="27">
        <v>1</v>
      </c>
      <c r="J910" s="30">
        <v>210308386</v>
      </c>
      <c r="K910" s="26" t="s">
        <v>206</v>
      </c>
      <c r="L910" s="26" t="s">
        <v>2562</v>
      </c>
      <c r="M910" s="31" t="s">
        <v>1041</v>
      </c>
      <c r="N910" s="6"/>
      <c r="O910" s="6"/>
      <c r="P910" s="23"/>
      <c r="Q910" s="2"/>
      <c r="R910" s="2"/>
      <c r="S910" s="2"/>
      <c r="T910" s="2"/>
      <c r="U910" s="2"/>
      <c r="V910" s="2"/>
      <c r="W910" s="2"/>
      <c r="X910" s="2"/>
      <c r="Y910" s="2"/>
    </row>
    <row r="911" spans="1:25" ht="12.75" hidden="1" customHeight="1">
      <c r="A911" s="26">
        <v>585</v>
      </c>
      <c r="B911" s="27" t="s">
        <v>1763</v>
      </c>
      <c r="C911" s="28">
        <v>42368</v>
      </c>
      <c r="D911" s="27"/>
      <c r="E911" s="27" t="s">
        <v>2616</v>
      </c>
      <c r="F911" s="29" t="s">
        <v>2617</v>
      </c>
      <c r="G911" s="27" t="s">
        <v>1435</v>
      </c>
      <c r="H911" s="27" t="s">
        <v>19</v>
      </c>
      <c r="I911" s="27">
        <v>1</v>
      </c>
      <c r="J911" s="30">
        <v>210308386</v>
      </c>
      <c r="K911" s="26" t="s">
        <v>206</v>
      </c>
      <c r="L911" s="26" t="s">
        <v>2562</v>
      </c>
      <c r="M911" s="31" t="s">
        <v>1041</v>
      </c>
      <c r="N911" s="6"/>
      <c r="O911" s="6"/>
      <c r="P911" s="23"/>
      <c r="Q911" s="2"/>
      <c r="R911" s="2"/>
      <c r="S911" s="2"/>
      <c r="T911" s="2"/>
      <c r="U911" s="2"/>
      <c r="V911" s="2"/>
      <c r="W911" s="2"/>
      <c r="X911" s="2"/>
      <c r="Y911" s="2"/>
    </row>
    <row r="912" spans="1:25" ht="12.75" hidden="1" customHeight="1">
      <c r="A912" s="26">
        <v>586</v>
      </c>
      <c r="B912" s="27" t="s">
        <v>1993</v>
      </c>
      <c r="C912" s="28">
        <v>42956</v>
      </c>
      <c r="D912" s="27"/>
      <c r="E912" s="27" t="s">
        <v>2618</v>
      </c>
      <c r="F912" s="29" t="s">
        <v>2619</v>
      </c>
      <c r="G912" s="27" t="s">
        <v>1435</v>
      </c>
      <c r="H912" s="27" t="s">
        <v>19</v>
      </c>
      <c r="I912" s="27">
        <v>1</v>
      </c>
      <c r="J912" s="30">
        <v>189800000</v>
      </c>
      <c r="K912" s="26" t="s">
        <v>206</v>
      </c>
      <c r="L912" s="26" t="s">
        <v>2562</v>
      </c>
      <c r="M912" s="31" t="s">
        <v>1041</v>
      </c>
      <c r="N912" s="6"/>
      <c r="O912" s="6"/>
      <c r="P912" s="23"/>
      <c r="Q912" s="2"/>
      <c r="R912" s="2"/>
      <c r="S912" s="2"/>
      <c r="T912" s="2"/>
      <c r="U912" s="2"/>
      <c r="V912" s="2"/>
      <c r="W912" s="2"/>
      <c r="X912" s="2"/>
      <c r="Y912" s="2"/>
    </row>
    <row r="913" spans="1:25" ht="12.75" hidden="1" customHeight="1">
      <c r="A913" s="26">
        <v>587</v>
      </c>
      <c r="B913" s="27" t="s">
        <v>1143</v>
      </c>
      <c r="C913" s="28">
        <v>43343</v>
      </c>
      <c r="D913" s="27"/>
      <c r="E913" s="27" t="s">
        <v>2620</v>
      </c>
      <c r="F913" s="29" t="s">
        <v>2621</v>
      </c>
      <c r="G913" s="27" t="s">
        <v>1435</v>
      </c>
      <c r="H913" s="27" t="s">
        <v>19</v>
      </c>
      <c r="I913" s="27">
        <v>1</v>
      </c>
      <c r="J913" s="30">
        <v>206950000</v>
      </c>
      <c r="K913" s="59" t="s">
        <v>206</v>
      </c>
      <c r="L913" s="59" t="s">
        <v>2622</v>
      </c>
      <c r="M913" s="79" t="s">
        <v>1041</v>
      </c>
      <c r="N913" s="6"/>
      <c r="O913" s="6"/>
      <c r="P913" s="23"/>
      <c r="Q913" s="2"/>
      <c r="R913" s="2"/>
      <c r="S913" s="2"/>
      <c r="T913" s="2"/>
      <c r="U913" s="2"/>
      <c r="V913" s="2"/>
      <c r="W913" s="2"/>
      <c r="X913" s="2"/>
      <c r="Y913" s="2"/>
    </row>
    <row r="914" spans="1:25" ht="25.5" hidden="1" customHeight="1">
      <c r="A914" s="26">
        <v>588</v>
      </c>
      <c r="B914" s="27" t="s">
        <v>797</v>
      </c>
      <c r="C914" s="28">
        <v>42671</v>
      </c>
      <c r="D914" s="27"/>
      <c r="E914" s="27" t="s">
        <v>2623</v>
      </c>
      <c r="F914" s="29" t="s">
        <v>2624</v>
      </c>
      <c r="G914" s="27" t="s">
        <v>1088</v>
      </c>
      <c r="H914" s="27" t="s">
        <v>157</v>
      </c>
      <c r="I914" s="27">
        <v>1</v>
      </c>
      <c r="J914" s="30">
        <v>115172656</v>
      </c>
      <c r="K914" s="26" t="s">
        <v>206</v>
      </c>
      <c r="L914" s="26" t="s">
        <v>2427</v>
      </c>
      <c r="M914" s="31" t="s">
        <v>2625</v>
      </c>
      <c r="N914" s="6"/>
      <c r="O914" s="6"/>
      <c r="P914" s="23"/>
      <c r="Q914" s="2"/>
      <c r="R914" s="2"/>
      <c r="S914" s="2"/>
      <c r="T914" s="2"/>
      <c r="U914" s="2"/>
      <c r="V914" s="2"/>
      <c r="W914" s="2"/>
      <c r="X914" s="2"/>
      <c r="Y914" s="2"/>
    </row>
    <row r="915" spans="1:25" ht="25.5" hidden="1" customHeight="1">
      <c r="A915" s="26">
        <v>589</v>
      </c>
      <c r="B915" s="27" t="s">
        <v>797</v>
      </c>
      <c r="C915" s="28">
        <v>42671</v>
      </c>
      <c r="D915" s="27"/>
      <c r="E915" s="27" t="s">
        <v>2626</v>
      </c>
      <c r="F915" s="29" t="s">
        <v>2627</v>
      </c>
      <c r="G915" s="27" t="s">
        <v>1088</v>
      </c>
      <c r="H915" s="27" t="s">
        <v>157</v>
      </c>
      <c r="I915" s="27">
        <v>1</v>
      </c>
      <c r="J915" s="30">
        <v>115172656</v>
      </c>
      <c r="K915" s="26" t="s">
        <v>206</v>
      </c>
      <c r="L915" s="26" t="s">
        <v>2427</v>
      </c>
      <c r="M915" s="31" t="s">
        <v>2625</v>
      </c>
      <c r="N915" s="6"/>
      <c r="O915" s="6"/>
      <c r="P915" s="23"/>
      <c r="Q915" s="2"/>
      <c r="R915" s="2"/>
      <c r="S915" s="2"/>
      <c r="T915" s="2"/>
      <c r="U915" s="2"/>
      <c r="V915" s="2"/>
      <c r="W915" s="2"/>
      <c r="X915" s="2"/>
      <c r="Y915" s="2"/>
    </row>
    <row r="916" spans="1:25" ht="25.5" hidden="1" customHeight="1">
      <c r="A916" s="26">
        <v>590</v>
      </c>
      <c r="B916" s="27" t="s">
        <v>797</v>
      </c>
      <c r="C916" s="28">
        <v>42671</v>
      </c>
      <c r="D916" s="27"/>
      <c r="E916" s="27" t="s">
        <v>2628</v>
      </c>
      <c r="F916" s="29" t="s">
        <v>2629</v>
      </c>
      <c r="G916" s="27" t="s">
        <v>1088</v>
      </c>
      <c r="H916" s="27" t="s">
        <v>157</v>
      </c>
      <c r="I916" s="27">
        <v>1</v>
      </c>
      <c r="J916" s="30">
        <v>115172656</v>
      </c>
      <c r="K916" s="26" t="s">
        <v>206</v>
      </c>
      <c r="L916" s="26" t="s">
        <v>2427</v>
      </c>
      <c r="M916" s="31" t="s">
        <v>2630</v>
      </c>
      <c r="N916" s="6"/>
      <c r="O916" s="6"/>
      <c r="P916" s="23"/>
      <c r="Q916" s="2"/>
      <c r="R916" s="2"/>
      <c r="S916" s="2"/>
      <c r="T916" s="2"/>
      <c r="U916" s="2"/>
      <c r="V916" s="2"/>
      <c r="W916" s="2"/>
      <c r="X916" s="2"/>
      <c r="Y916" s="2"/>
    </row>
    <row r="917" spans="1:25" ht="25.5" hidden="1" customHeight="1">
      <c r="A917" s="26">
        <v>591</v>
      </c>
      <c r="B917" s="27" t="s">
        <v>797</v>
      </c>
      <c r="C917" s="28">
        <v>42671</v>
      </c>
      <c r="D917" s="27"/>
      <c r="E917" s="27" t="s">
        <v>2631</v>
      </c>
      <c r="F917" s="29" t="s">
        <v>2632</v>
      </c>
      <c r="G917" s="27" t="s">
        <v>1088</v>
      </c>
      <c r="H917" s="27" t="s">
        <v>157</v>
      </c>
      <c r="I917" s="27">
        <v>1</v>
      </c>
      <c r="J917" s="30">
        <v>115172656</v>
      </c>
      <c r="K917" s="26" t="s">
        <v>206</v>
      </c>
      <c r="L917" s="26" t="s">
        <v>2427</v>
      </c>
      <c r="M917" s="31" t="s">
        <v>2625</v>
      </c>
      <c r="N917" s="6"/>
      <c r="O917" s="6"/>
      <c r="P917" s="23"/>
      <c r="Q917" s="2"/>
      <c r="R917" s="2"/>
      <c r="S917" s="2"/>
      <c r="T917" s="2"/>
      <c r="U917" s="2"/>
      <c r="V917" s="2"/>
      <c r="W917" s="2"/>
      <c r="X917" s="2"/>
      <c r="Y917" s="2"/>
    </row>
    <row r="918" spans="1:25" ht="25.5" hidden="1" customHeight="1">
      <c r="A918" s="26">
        <v>592</v>
      </c>
      <c r="B918" s="27" t="s">
        <v>797</v>
      </c>
      <c r="C918" s="28">
        <v>42671</v>
      </c>
      <c r="D918" s="27"/>
      <c r="E918" s="27" t="s">
        <v>2633</v>
      </c>
      <c r="F918" s="29" t="s">
        <v>2634</v>
      </c>
      <c r="G918" s="27" t="s">
        <v>1088</v>
      </c>
      <c r="H918" s="27" t="s">
        <v>157</v>
      </c>
      <c r="I918" s="27">
        <v>1</v>
      </c>
      <c r="J918" s="30">
        <v>115172656</v>
      </c>
      <c r="K918" s="26" t="s">
        <v>206</v>
      </c>
      <c r="L918" s="26" t="s">
        <v>2427</v>
      </c>
      <c r="M918" s="31" t="s">
        <v>2625</v>
      </c>
      <c r="N918" s="6"/>
      <c r="O918" s="6"/>
      <c r="P918" s="23"/>
      <c r="Q918" s="2"/>
      <c r="R918" s="2"/>
      <c r="S918" s="2"/>
      <c r="T918" s="2"/>
      <c r="U918" s="2"/>
      <c r="V918" s="2"/>
      <c r="W918" s="2"/>
      <c r="X918" s="2"/>
      <c r="Y918" s="2"/>
    </row>
    <row r="919" spans="1:25" ht="25.5" hidden="1" customHeight="1">
      <c r="A919" s="26">
        <v>593</v>
      </c>
      <c r="B919" s="27" t="s">
        <v>797</v>
      </c>
      <c r="C919" s="28">
        <v>42671</v>
      </c>
      <c r="D919" s="27"/>
      <c r="E919" s="27" t="s">
        <v>2635</v>
      </c>
      <c r="F919" s="29" t="s">
        <v>2636</v>
      </c>
      <c r="G919" s="27" t="s">
        <v>1088</v>
      </c>
      <c r="H919" s="27" t="s">
        <v>157</v>
      </c>
      <c r="I919" s="27">
        <v>1</v>
      </c>
      <c r="J919" s="30">
        <v>115172656</v>
      </c>
      <c r="K919" s="26" t="s">
        <v>206</v>
      </c>
      <c r="L919" s="26" t="s">
        <v>2427</v>
      </c>
      <c r="M919" s="31" t="s">
        <v>2625</v>
      </c>
      <c r="N919" s="6"/>
      <c r="O919" s="6"/>
      <c r="P919" s="23"/>
      <c r="Q919" s="2"/>
      <c r="R919" s="2"/>
      <c r="S919" s="2"/>
      <c r="T919" s="2"/>
      <c r="U919" s="2"/>
      <c r="V919" s="2"/>
      <c r="W919" s="2"/>
      <c r="X919" s="2"/>
      <c r="Y919" s="2"/>
    </row>
    <row r="920" spans="1:25" ht="25.5" hidden="1" customHeight="1">
      <c r="A920" s="26">
        <v>594</v>
      </c>
      <c r="B920" s="27" t="s">
        <v>797</v>
      </c>
      <c r="C920" s="28">
        <v>42671</v>
      </c>
      <c r="D920" s="27"/>
      <c r="E920" s="27" t="s">
        <v>2637</v>
      </c>
      <c r="F920" s="29" t="s">
        <v>2638</v>
      </c>
      <c r="G920" s="27" t="s">
        <v>1088</v>
      </c>
      <c r="H920" s="27" t="s">
        <v>157</v>
      </c>
      <c r="I920" s="27">
        <v>1</v>
      </c>
      <c r="J920" s="30">
        <v>115172656</v>
      </c>
      <c r="K920" s="26" t="s">
        <v>206</v>
      </c>
      <c r="L920" s="26" t="s">
        <v>2427</v>
      </c>
      <c r="M920" s="31" t="s">
        <v>2625</v>
      </c>
      <c r="N920" s="6"/>
      <c r="O920" s="6"/>
      <c r="P920" s="23"/>
      <c r="Q920" s="2"/>
      <c r="R920" s="2"/>
      <c r="S920" s="2"/>
      <c r="T920" s="2"/>
      <c r="U920" s="2"/>
      <c r="V920" s="2"/>
      <c r="W920" s="2"/>
      <c r="X920" s="2"/>
      <c r="Y920" s="2"/>
    </row>
    <row r="921" spans="1:25" ht="25.5" hidden="1" customHeight="1">
      <c r="A921" s="26">
        <v>595</v>
      </c>
      <c r="B921" s="27" t="s">
        <v>797</v>
      </c>
      <c r="C921" s="28">
        <v>42671</v>
      </c>
      <c r="D921" s="27"/>
      <c r="E921" s="27" t="s">
        <v>2639</v>
      </c>
      <c r="F921" s="29" t="s">
        <v>2640</v>
      </c>
      <c r="G921" s="27" t="s">
        <v>1088</v>
      </c>
      <c r="H921" s="27" t="s">
        <v>157</v>
      </c>
      <c r="I921" s="27">
        <v>1</v>
      </c>
      <c r="J921" s="30">
        <v>115172656</v>
      </c>
      <c r="K921" s="26" t="s">
        <v>206</v>
      </c>
      <c r="L921" s="26" t="s">
        <v>2427</v>
      </c>
      <c r="M921" s="31" t="s">
        <v>2625</v>
      </c>
      <c r="N921" s="6"/>
      <c r="O921" s="6"/>
      <c r="P921" s="23"/>
      <c r="Q921" s="2"/>
      <c r="R921" s="2"/>
      <c r="S921" s="2"/>
      <c r="T921" s="2"/>
      <c r="U921" s="2"/>
      <c r="V921" s="2"/>
      <c r="W921" s="2"/>
      <c r="X921" s="2"/>
      <c r="Y921" s="2"/>
    </row>
    <row r="922" spans="1:25" ht="25.5" hidden="1" customHeight="1">
      <c r="A922" s="26">
        <v>596</v>
      </c>
      <c r="B922" s="27" t="s">
        <v>797</v>
      </c>
      <c r="C922" s="28">
        <v>42671</v>
      </c>
      <c r="D922" s="27"/>
      <c r="E922" s="27" t="s">
        <v>2641</v>
      </c>
      <c r="F922" s="29" t="s">
        <v>2642</v>
      </c>
      <c r="G922" s="27" t="s">
        <v>1088</v>
      </c>
      <c r="H922" s="27" t="s">
        <v>157</v>
      </c>
      <c r="I922" s="27">
        <v>1</v>
      </c>
      <c r="J922" s="30">
        <v>115172656</v>
      </c>
      <c r="K922" s="26" t="s">
        <v>206</v>
      </c>
      <c r="L922" s="26" t="s">
        <v>2427</v>
      </c>
      <c r="M922" s="31" t="s">
        <v>2625</v>
      </c>
      <c r="N922" s="6"/>
      <c r="O922" s="6"/>
      <c r="P922" s="23"/>
      <c r="Q922" s="2"/>
      <c r="R922" s="2"/>
      <c r="S922" s="2"/>
      <c r="T922" s="2"/>
      <c r="U922" s="2"/>
      <c r="V922" s="2"/>
      <c r="W922" s="2"/>
      <c r="X922" s="2"/>
      <c r="Y922" s="2"/>
    </row>
    <row r="923" spans="1:25" ht="25.5" hidden="1" customHeight="1">
      <c r="A923" s="26">
        <v>597</v>
      </c>
      <c r="B923" s="27" t="s">
        <v>797</v>
      </c>
      <c r="C923" s="28">
        <v>42671</v>
      </c>
      <c r="D923" s="27"/>
      <c r="E923" s="27" t="s">
        <v>2643</v>
      </c>
      <c r="F923" s="29" t="s">
        <v>2644</v>
      </c>
      <c r="G923" s="27" t="s">
        <v>1088</v>
      </c>
      <c r="H923" s="27" t="s">
        <v>157</v>
      </c>
      <c r="I923" s="27">
        <v>1</v>
      </c>
      <c r="J923" s="30">
        <v>115172656</v>
      </c>
      <c r="K923" s="26" t="s">
        <v>206</v>
      </c>
      <c r="L923" s="26" t="s">
        <v>2427</v>
      </c>
      <c r="M923" s="31" t="s">
        <v>2625</v>
      </c>
      <c r="N923" s="6"/>
      <c r="O923" s="6"/>
      <c r="P923" s="23"/>
      <c r="Q923" s="2"/>
      <c r="R923" s="2"/>
      <c r="S923" s="2"/>
      <c r="T923" s="2"/>
      <c r="U923" s="2"/>
      <c r="V923" s="2"/>
      <c r="W923" s="2"/>
      <c r="X923" s="2"/>
      <c r="Y923" s="2"/>
    </row>
    <row r="924" spans="1:25" ht="25.5" hidden="1" customHeight="1">
      <c r="A924" s="26">
        <v>598</v>
      </c>
      <c r="B924" s="27" t="s">
        <v>797</v>
      </c>
      <c r="C924" s="28">
        <v>42671</v>
      </c>
      <c r="D924" s="27"/>
      <c r="E924" s="27" t="s">
        <v>2645</v>
      </c>
      <c r="F924" s="29" t="s">
        <v>2646</v>
      </c>
      <c r="G924" s="27" t="s">
        <v>1088</v>
      </c>
      <c r="H924" s="27" t="s">
        <v>157</v>
      </c>
      <c r="I924" s="27">
        <v>1</v>
      </c>
      <c r="J924" s="30">
        <v>115172656</v>
      </c>
      <c r="K924" s="26" t="s">
        <v>206</v>
      </c>
      <c r="L924" s="26" t="s">
        <v>2427</v>
      </c>
      <c r="M924" s="31" t="s">
        <v>2625</v>
      </c>
      <c r="N924" s="6"/>
      <c r="O924" s="6"/>
      <c r="P924" s="23"/>
      <c r="Q924" s="2"/>
      <c r="R924" s="2"/>
      <c r="S924" s="2"/>
      <c r="T924" s="2"/>
      <c r="U924" s="2"/>
      <c r="V924" s="2"/>
      <c r="W924" s="2"/>
      <c r="X924" s="2"/>
      <c r="Y924" s="2"/>
    </row>
    <row r="925" spans="1:25" ht="25.5" hidden="1" customHeight="1">
      <c r="A925" s="26">
        <v>599</v>
      </c>
      <c r="B925" s="27" t="s">
        <v>797</v>
      </c>
      <c r="C925" s="28">
        <v>42671</v>
      </c>
      <c r="D925" s="27"/>
      <c r="E925" s="27" t="s">
        <v>2647</v>
      </c>
      <c r="F925" s="29" t="s">
        <v>2648</v>
      </c>
      <c r="G925" s="27" t="s">
        <v>1088</v>
      </c>
      <c r="H925" s="27" t="s">
        <v>157</v>
      </c>
      <c r="I925" s="27">
        <v>1</v>
      </c>
      <c r="J925" s="30">
        <v>115172656</v>
      </c>
      <c r="K925" s="26" t="s">
        <v>206</v>
      </c>
      <c r="L925" s="26" t="s">
        <v>2427</v>
      </c>
      <c r="M925" s="31" t="s">
        <v>2625</v>
      </c>
      <c r="N925" s="6"/>
      <c r="O925" s="6"/>
      <c r="P925" s="23"/>
      <c r="Q925" s="2"/>
      <c r="R925" s="2"/>
      <c r="S925" s="2"/>
      <c r="T925" s="2"/>
      <c r="U925" s="2"/>
      <c r="V925" s="2"/>
      <c r="W925" s="2"/>
      <c r="X925" s="2"/>
      <c r="Y925" s="2"/>
    </row>
    <row r="926" spans="1:25" ht="25.5" hidden="1" customHeight="1">
      <c r="A926" s="26">
        <v>600</v>
      </c>
      <c r="B926" s="27" t="s">
        <v>797</v>
      </c>
      <c r="C926" s="28">
        <v>42671</v>
      </c>
      <c r="D926" s="27"/>
      <c r="E926" s="27" t="s">
        <v>2649</v>
      </c>
      <c r="F926" s="29" t="s">
        <v>2650</v>
      </c>
      <c r="G926" s="27" t="s">
        <v>1088</v>
      </c>
      <c r="H926" s="27" t="s">
        <v>157</v>
      </c>
      <c r="I926" s="27">
        <v>1</v>
      </c>
      <c r="J926" s="30">
        <v>465626595</v>
      </c>
      <c r="K926" s="26" t="s">
        <v>206</v>
      </c>
      <c r="L926" s="26" t="s">
        <v>2427</v>
      </c>
      <c r="M926" s="31" t="s">
        <v>2651</v>
      </c>
      <c r="N926" s="6"/>
      <c r="O926" s="6"/>
      <c r="P926" s="23"/>
      <c r="Q926" s="2"/>
      <c r="R926" s="2"/>
      <c r="S926" s="2"/>
      <c r="T926" s="2"/>
      <c r="U926" s="2"/>
      <c r="V926" s="2"/>
      <c r="W926" s="2"/>
      <c r="X926" s="2"/>
      <c r="Y926" s="2"/>
    </row>
    <row r="927" spans="1:25" ht="25.5" hidden="1" customHeight="1">
      <c r="A927" s="26">
        <v>601</v>
      </c>
      <c r="B927" s="27" t="s">
        <v>797</v>
      </c>
      <c r="C927" s="28">
        <v>42671</v>
      </c>
      <c r="D927" s="27"/>
      <c r="E927" s="27" t="s">
        <v>2652</v>
      </c>
      <c r="F927" s="29" t="s">
        <v>2653</v>
      </c>
      <c r="G927" s="27" t="s">
        <v>1088</v>
      </c>
      <c r="H927" s="27" t="s">
        <v>157</v>
      </c>
      <c r="I927" s="27">
        <v>1</v>
      </c>
      <c r="J927" s="30">
        <v>367612315</v>
      </c>
      <c r="K927" s="26" t="s">
        <v>206</v>
      </c>
      <c r="L927" s="45" t="s">
        <v>2427</v>
      </c>
      <c r="M927" s="46" t="s">
        <v>2654</v>
      </c>
      <c r="N927" s="6"/>
      <c r="O927" s="6"/>
      <c r="P927" s="23"/>
      <c r="Q927" s="2"/>
      <c r="R927" s="2"/>
      <c r="S927" s="2"/>
      <c r="T927" s="2"/>
      <c r="U927" s="2"/>
      <c r="V927" s="2"/>
      <c r="W927" s="2"/>
      <c r="X927" s="2"/>
      <c r="Y927" s="2"/>
    </row>
    <row r="928" spans="1:25" ht="25.5" hidden="1" customHeight="1">
      <c r="A928" s="26">
        <v>602</v>
      </c>
      <c r="B928" s="27" t="s">
        <v>797</v>
      </c>
      <c r="C928" s="28">
        <v>42671</v>
      </c>
      <c r="D928" s="27"/>
      <c r="E928" s="27" t="s">
        <v>2655</v>
      </c>
      <c r="F928" s="29" t="s">
        <v>2656</v>
      </c>
      <c r="G928" s="27" t="s">
        <v>1088</v>
      </c>
      <c r="H928" s="27" t="s">
        <v>157</v>
      </c>
      <c r="I928" s="27">
        <v>1</v>
      </c>
      <c r="J928" s="30">
        <v>367612315</v>
      </c>
      <c r="K928" s="26" t="s">
        <v>206</v>
      </c>
      <c r="L928" s="26" t="s">
        <v>2427</v>
      </c>
      <c r="M928" s="31" t="s">
        <v>2651</v>
      </c>
      <c r="N928" s="6"/>
      <c r="O928" s="6"/>
      <c r="P928" s="23"/>
      <c r="Q928" s="2"/>
      <c r="R928" s="2"/>
      <c r="S928" s="2"/>
      <c r="T928" s="2"/>
      <c r="U928" s="2"/>
      <c r="V928" s="2"/>
      <c r="W928" s="2"/>
      <c r="X928" s="2"/>
      <c r="Y928" s="2"/>
    </row>
    <row r="929" spans="1:25" ht="38.25" hidden="1" customHeight="1">
      <c r="A929" s="26">
        <v>603</v>
      </c>
      <c r="B929" s="27" t="s">
        <v>797</v>
      </c>
      <c r="C929" s="28">
        <v>42671</v>
      </c>
      <c r="D929" s="27"/>
      <c r="E929" s="27" t="s">
        <v>2657</v>
      </c>
      <c r="F929" s="29" t="s">
        <v>2658</v>
      </c>
      <c r="G929" s="27" t="s">
        <v>338</v>
      </c>
      <c r="H929" s="27" t="s">
        <v>157</v>
      </c>
      <c r="I929" s="27">
        <v>1</v>
      </c>
      <c r="J929" s="30">
        <v>436245817</v>
      </c>
      <c r="K929" s="26" t="s">
        <v>206</v>
      </c>
      <c r="L929" s="26" t="s">
        <v>2427</v>
      </c>
      <c r="M929" s="31" t="s">
        <v>2659</v>
      </c>
      <c r="N929" s="6"/>
      <c r="O929" s="6"/>
      <c r="P929" s="23"/>
      <c r="Q929" s="2"/>
      <c r="R929" s="2"/>
      <c r="S929" s="2"/>
      <c r="T929" s="2"/>
      <c r="U929" s="2"/>
      <c r="V929" s="2"/>
      <c r="W929" s="2"/>
      <c r="X929" s="2"/>
      <c r="Y929" s="2"/>
    </row>
    <row r="930" spans="1:25" ht="38.25" hidden="1" customHeight="1">
      <c r="A930" s="26">
        <v>604</v>
      </c>
      <c r="B930" s="27" t="s">
        <v>797</v>
      </c>
      <c r="C930" s="28">
        <v>42671</v>
      </c>
      <c r="D930" s="27"/>
      <c r="E930" s="27" t="s">
        <v>2660</v>
      </c>
      <c r="F930" s="29" t="s">
        <v>2661</v>
      </c>
      <c r="G930" s="27" t="s">
        <v>338</v>
      </c>
      <c r="H930" s="27" t="s">
        <v>157</v>
      </c>
      <c r="I930" s="27">
        <v>1</v>
      </c>
      <c r="J930" s="30">
        <v>436245817</v>
      </c>
      <c r="K930" s="26" t="s">
        <v>206</v>
      </c>
      <c r="L930" s="26" t="s">
        <v>2427</v>
      </c>
      <c r="M930" s="31" t="s">
        <v>2662</v>
      </c>
      <c r="N930" s="6"/>
      <c r="O930" s="6"/>
      <c r="P930" s="23"/>
      <c r="Q930" s="2"/>
      <c r="R930" s="2"/>
      <c r="S930" s="2"/>
      <c r="T930" s="2"/>
      <c r="U930" s="2"/>
      <c r="V930" s="2"/>
      <c r="W930" s="2"/>
      <c r="X930" s="2"/>
      <c r="Y930" s="2"/>
    </row>
    <row r="931" spans="1:25" ht="38.25" hidden="1" customHeight="1">
      <c r="A931" s="26">
        <v>605</v>
      </c>
      <c r="B931" s="27" t="s">
        <v>797</v>
      </c>
      <c r="C931" s="28">
        <v>42671</v>
      </c>
      <c r="D931" s="27"/>
      <c r="E931" s="27" t="s">
        <v>2663</v>
      </c>
      <c r="F931" s="29" t="s">
        <v>2664</v>
      </c>
      <c r="G931" s="27" t="s">
        <v>338</v>
      </c>
      <c r="H931" s="27" t="s">
        <v>157</v>
      </c>
      <c r="I931" s="27">
        <v>1</v>
      </c>
      <c r="J931" s="30">
        <v>436245817</v>
      </c>
      <c r="K931" s="26" t="s">
        <v>206</v>
      </c>
      <c r="L931" s="26" t="s">
        <v>2427</v>
      </c>
      <c r="M931" s="31" t="s">
        <v>2662</v>
      </c>
      <c r="N931" s="6"/>
      <c r="O931" s="6"/>
      <c r="P931" s="23"/>
      <c r="Q931" s="2"/>
      <c r="R931" s="2"/>
      <c r="S931" s="2"/>
      <c r="T931" s="2"/>
      <c r="U931" s="2"/>
      <c r="V931" s="2"/>
      <c r="W931" s="2"/>
      <c r="X931" s="2"/>
      <c r="Y931" s="2"/>
    </row>
    <row r="932" spans="1:25" ht="25.5" hidden="1" customHeight="1">
      <c r="A932" s="26">
        <v>606</v>
      </c>
      <c r="B932" s="27" t="s">
        <v>797</v>
      </c>
      <c r="C932" s="28">
        <v>42671</v>
      </c>
      <c r="D932" s="27"/>
      <c r="E932" s="27" t="s">
        <v>2665</v>
      </c>
      <c r="F932" s="29" t="s">
        <v>2666</v>
      </c>
      <c r="G932" s="27" t="s">
        <v>55</v>
      </c>
      <c r="H932" s="27" t="s">
        <v>249</v>
      </c>
      <c r="I932" s="27">
        <v>1</v>
      </c>
      <c r="J932" s="30">
        <v>179399041</v>
      </c>
      <c r="K932" s="26" t="s">
        <v>206</v>
      </c>
      <c r="L932" s="45" t="s">
        <v>2427</v>
      </c>
      <c r="M932" s="46" t="s">
        <v>2667</v>
      </c>
      <c r="N932" s="6"/>
      <c r="O932" s="6"/>
      <c r="P932" s="23"/>
      <c r="Q932" s="2"/>
      <c r="R932" s="2"/>
      <c r="S932" s="2"/>
      <c r="T932" s="2"/>
      <c r="U932" s="2"/>
      <c r="V932" s="2"/>
      <c r="W932" s="2"/>
      <c r="X932" s="2"/>
      <c r="Y932" s="2"/>
    </row>
    <row r="933" spans="1:25" ht="25.5" hidden="1" customHeight="1">
      <c r="A933" s="26">
        <v>607</v>
      </c>
      <c r="B933" s="27" t="s">
        <v>797</v>
      </c>
      <c r="C933" s="28">
        <v>42671</v>
      </c>
      <c r="D933" s="27"/>
      <c r="E933" s="27" t="s">
        <v>2668</v>
      </c>
      <c r="F933" s="29" t="s">
        <v>2669</v>
      </c>
      <c r="G933" s="27" t="s">
        <v>55</v>
      </c>
      <c r="H933" s="27" t="s">
        <v>249</v>
      </c>
      <c r="I933" s="27">
        <v>1</v>
      </c>
      <c r="J933" s="30">
        <v>179399042</v>
      </c>
      <c r="K933" s="26" t="s">
        <v>206</v>
      </c>
      <c r="L933" s="26" t="s">
        <v>2427</v>
      </c>
      <c r="M933" s="31" t="s">
        <v>2651</v>
      </c>
      <c r="N933" s="6"/>
      <c r="O933" s="6"/>
      <c r="P933" s="23"/>
      <c r="Q933" s="2"/>
      <c r="R933" s="2"/>
      <c r="S933" s="2"/>
      <c r="T933" s="2"/>
      <c r="U933" s="2"/>
      <c r="V933" s="2"/>
      <c r="W933" s="2"/>
      <c r="X933" s="2"/>
      <c r="Y933" s="2"/>
    </row>
    <row r="934" spans="1:25" ht="25.5" hidden="1" customHeight="1">
      <c r="A934" s="26">
        <v>608</v>
      </c>
      <c r="B934" s="27" t="s">
        <v>797</v>
      </c>
      <c r="C934" s="28">
        <v>42671</v>
      </c>
      <c r="D934" s="27"/>
      <c r="E934" s="27" t="s">
        <v>2670</v>
      </c>
      <c r="F934" s="29" t="s">
        <v>2671</v>
      </c>
      <c r="G934" s="27" t="s">
        <v>55</v>
      </c>
      <c r="H934" s="27" t="s">
        <v>249</v>
      </c>
      <c r="I934" s="27">
        <v>1</v>
      </c>
      <c r="J934" s="30">
        <v>179399042</v>
      </c>
      <c r="K934" s="26" t="s">
        <v>206</v>
      </c>
      <c r="L934" s="45" t="s">
        <v>2427</v>
      </c>
      <c r="M934" s="46" t="s">
        <v>2672</v>
      </c>
      <c r="N934" s="6"/>
      <c r="O934" s="6"/>
      <c r="P934" s="23"/>
      <c r="Q934" s="2"/>
      <c r="R934" s="2"/>
      <c r="S934" s="2"/>
      <c r="T934" s="2"/>
      <c r="U934" s="2"/>
      <c r="V934" s="2"/>
      <c r="W934" s="2"/>
      <c r="X934" s="2"/>
      <c r="Y934" s="2"/>
    </row>
    <row r="935" spans="1:25" ht="25.5" hidden="1" customHeight="1">
      <c r="A935" s="26">
        <v>609</v>
      </c>
      <c r="B935" s="27" t="s">
        <v>797</v>
      </c>
      <c r="C935" s="28">
        <v>42671</v>
      </c>
      <c r="D935" s="27"/>
      <c r="E935" s="27" t="s">
        <v>2673</v>
      </c>
      <c r="F935" s="29" t="s">
        <v>2674</v>
      </c>
      <c r="G935" s="27" t="s">
        <v>55</v>
      </c>
      <c r="H935" s="27" t="s">
        <v>249</v>
      </c>
      <c r="I935" s="27">
        <v>1</v>
      </c>
      <c r="J935" s="30">
        <v>179399042</v>
      </c>
      <c r="K935" s="26" t="s">
        <v>206</v>
      </c>
      <c r="L935" s="26" t="s">
        <v>2427</v>
      </c>
      <c r="M935" s="31" t="s">
        <v>2675</v>
      </c>
      <c r="N935" s="6"/>
      <c r="O935" s="6"/>
      <c r="P935" s="23"/>
      <c r="Q935" s="2"/>
      <c r="R935" s="2"/>
      <c r="S935" s="2"/>
      <c r="T935" s="2"/>
      <c r="U935" s="2"/>
      <c r="V935" s="2"/>
      <c r="W935" s="2"/>
      <c r="X935" s="2"/>
      <c r="Y935" s="2"/>
    </row>
    <row r="936" spans="1:25" ht="25.5" hidden="1" customHeight="1">
      <c r="A936" s="26">
        <v>610</v>
      </c>
      <c r="B936" s="27" t="s">
        <v>797</v>
      </c>
      <c r="C936" s="28">
        <v>42671</v>
      </c>
      <c r="D936" s="27"/>
      <c r="E936" s="27" t="s">
        <v>2676</v>
      </c>
      <c r="F936" s="29" t="s">
        <v>2677</v>
      </c>
      <c r="G936" s="27" t="s">
        <v>55</v>
      </c>
      <c r="H936" s="27" t="s">
        <v>249</v>
      </c>
      <c r="I936" s="27">
        <v>1</v>
      </c>
      <c r="J936" s="30">
        <v>179399044</v>
      </c>
      <c r="K936" s="26" t="s">
        <v>206</v>
      </c>
      <c r="L936" s="26" t="s">
        <v>2427</v>
      </c>
      <c r="M936" s="31" t="s">
        <v>2675</v>
      </c>
      <c r="N936" s="6"/>
      <c r="O936" s="6"/>
      <c r="P936" s="23"/>
      <c r="Q936" s="2"/>
      <c r="R936" s="2"/>
      <c r="S936" s="2"/>
      <c r="T936" s="2"/>
      <c r="U936" s="2"/>
      <c r="V936" s="2"/>
      <c r="W936" s="2"/>
      <c r="X936" s="2"/>
      <c r="Y936" s="2"/>
    </row>
    <row r="937" spans="1:25" ht="12.75" hidden="1" customHeight="1">
      <c r="A937" s="26">
        <v>611</v>
      </c>
      <c r="B937" s="27" t="s">
        <v>2678</v>
      </c>
      <c r="C937" s="28">
        <v>43434</v>
      </c>
      <c r="D937" s="27"/>
      <c r="E937" s="27" t="s">
        <v>2679</v>
      </c>
      <c r="F937" s="29" t="s">
        <v>2680</v>
      </c>
      <c r="G937" s="27" t="s">
        <v>1868</v>
      </c>
      <c r="H937" s="27" t="s">
        <v>19</v>
      </c>
      <c r="I937" s="27">
        <v>1</v>
      </c>
      <c r="J937" s="30">
        <v>366000000</v>
      </c>
      <c r="K937" s="26" t="s">
        <v>206</v>
      </c>
      <c r="L937" s="26" t="s">
        <v>2562</v>
      </c>
      <c r="M937" s="31" t="s">
        <v>1041</v>
      </c>
      <c r="N937" s="6"/>
      <c r="O937" s="6"/>
      <c r="P937" s="23"/>
      <c r="Q937" s="2"/>
      <c r="R937" s="2"/>
      <c r="S937" s="2"/>
      <c r="T937" s="2"/>
      <c r="U937" s="2"/>
      <c r="V937" s="2"/>
      <c r="W937" s="2"/>
      <c r="X937" s="2"/>
      <c r="Y937" s="2"/>
    </row>
    <row r="938" spans="1:25" ht="12.75" hidden="1" customHeight="1">
      <c r="A938" s="26">
        <v>612</v>
      </c>
      <c r="B938" s="27" t="s">
        <v>2681</v>
      </c>
      <c r="C938" s="28">
        <v>35430</v>
      </c>
      <c r="D938" s="27" t="s">
        <v>2682</v>
      </c>
      <c r="E938" s="27" t="s">
        <v>2683</v>
      </c>
      <c r="F938" s="29" t="s">
        <v>2684</v>
      </c>
      <c r="G938" s="27"/>
      <c r="H938" s="27" t="s">
        <v>2685</v>
      </c>
      <c r="I938" s="27">
        <v>1</v>
      </c>
      <c r="J938" s="30">
        <v>133770332</v>
      </c>
      <c r="K938" s="26" t="s">
        <v>20</v>
      </c>
      <c r="L938" s="36" t="s">
        <v>229</v>
      </c>
      <c r="M938" s="31" t="str">
        <f>IFERROR(VLOOKUP(E938, TSCD_XUAN!$C$7:$K$1000, 9, 0), "Không tìm thấy")</f>
        <v>CAM3 A2 PHÒNG HIỆN</v>
      </c>
      <c r="N938" s="6"/>
      <c r="O938" s="6"/>
      <c r="P938" s="23"/>
      <c r="Q938" s="2"/>
      <c r="R938" s="2"/>
      <c r="S938" s="2"/>
      <c r="T938" s="2"/>
      <c r="U938" s="2"/>
      <c r="V938" s="2"/>
      <c r="W938" s="2"/>
      <c r="X938" s="2"/>
      <c r="Y938" s="2"/>
    </row>
    <row r="939" spans="1:25" ht="12.75" hidden="1" customHeight="1">
      <c r="A939" s="26" t="s">
        <v>2686</v>
      </c>
      <c r="B939" s="27"/>
      <c r="C939" s="28"/>
      <c r="D939" s="27"/>
      <c r="E939" s="60" t="s">
        <v>2687</v>
      </c>
      <c r="F939" s="29" t="s">
        <v>2688</v>
      </c>
      <c r="G939" s="27"/>
      <c r="H939" s="27"/>
      <c r="I939" s="27">
        <v>1</v>
      </c>
      <c r="J939" s="30"/>
      <c r="K939" s="26" t="s">
        <v>20</v>
      </c>
      <c r="L939" s="36" t="s">
        <v>229</v>
      </c>
      <c r="M939" s="31" t="str">
        <f>IFERROR(VLOOKUP(E939, TSCD_XUAN!$C$7:$K$1000, 9, 0), "Không tìm thấy")</f>
        <v>CAM3 A2 PHÒNG HIỆN</v>
      </c>
      <c r="N939" s="6"/>
      <c r="O939" s="6"/>
      <c r="P939" s="23"/>
      <c r="Q939" s="2"/>
      <c r="R939" s="2"/>
      <c r="S939" s="2"/>
      <c r="T939" s="2"/>
      <c r="U939" s="2"/>
      <c r="V939" s="2"/>
      <c r="W939" s="2"/>
      <c r="X939" s="2"/>
      <c r="Y939" s="2"/>
    </row>
    <row r="940" spans="1:25" ht="12.75" hidden="1" customHeight="1">
      <c r="A940" s="26" t="s">
        <v>2689</v>
      </c>
      <c r="B940" s="27"/>
      <c r="C940" s="28"/>
      <c r="D940" s="27"/>
      <c r="E940" s="60" t="s">
        <v>2690</v>
      </c>
      <c r="F940" s="29" t="s">
        <v>2691</v>
      </c>
      <c r="G940" s="27"/>
      <c r="H940" s="27"/>
      <c r="I940" s="27">
        <v>1</v>
      </c>
      <c r="J940" s="30"/>
      <c r="K940" s="26" t="s">
        <v>20</v>
      </c>
      <c r="L940" s="36" t="s">
        <v>229</v>
      </c>
      <c r="M940" s="31" t="str">
        <f>IFERROR(VLOOKUP(E940, TSCD_XUAN!$C$7:$K$1000, 9, 0), "Không tìm thấy")</f>
        <v>CAM3 A2 PHÒNG HIỆN</v>
      </c>
      <c r="N940" s="6"/>
      <c r="O940" s="6"/>
      <c r="P940" s="23"/>
      <c r="Q940" s="2"/>
      <c r="R940" s="2"/>
      <c r="S940" s="2"/>
      <c r="T940" s="2"/>
      <c r="U940" s="2"/>
      <c r="V940" s="2"/>
      <c r="W940" s="2"/>
      <c r="X940" s="2"/>
      <c r="Y940" s="2"/>
    </row>
    <row r="941" spans="1:25" ht="12.75" hidden="1" customHeight="1">
      <c r="A941" s="26" t="s">
        <v>2692</v>
      </c>
      <c r="B941" s="27"/>
      <c r="C941" s="28"/>
      <c r="D941" s="27"/>
      <c r="E941" s="60" t="s">
        <v>2693</v>
      </c>
      <c r="F941" s="29" t="s">
        <v>2694</v>
      </c>
      <c r="G941" s="27"/>
      <c r="H941" s="27"/>
      <c r="I941" s="27">
        <v>1</v>
      </c>
      <c r="J941" s="30"/>
      <c r="K941" s="26" t="s">
        <v>20</v>
      </c>
      <c r="L941" s="36" t="s">
        <v>229</v>
      </c>
      <c r="M941" s="31" t="str">
        <f>IFERROR(VLOOKUP(E941, TSCD_XUAN!$C$7:$K$1000, 9, 0), "Không tìm thấy")</f>
        <v>CAM3 A2 PHÒNG HIỆN</v>
      </c>
      <c r="N941" s="6"/>
      <c r="O941" s="6"/>
      <c r="P941" s="23"/>
      <c r="Q941" s="2"/>
      <c r="R941" s="2"/>
      <c r="S941" s="2"/>
      <c r="T941" s="2"/>
      <c r="U941" s="2"/>
      <c r="V941" s="2"/>
      <c r="W941" s="2"/>
      <c r="X941" s="2"/>
      <c r="Y941" s="2"/>
    </row>
    <row r="942" spans="1:25" ht="12.75" hidden="1" customHeight="1">
      <c r="A942" s="26" t="s">
        <v>2695</v>
      </c>
      <c r="B942" s="27"/>
      <c r="C942" s="28"/>
      <c r="D942" s="27"/>
      <c r="E942" s="60" t="s">
        <v>2696</v>
      </c>
      <c r="F942" s="29" t="s">
        <v>2697</v>
      </c>
      <c r="G942" s="27"/>
      <c r="H942" s="27"/>
      <c r="I942" s="27">
        <v>1</v>
      </c>
      <c r="J942" s="30"/>
      <c r="K942" s="26" t="s">
        <v>20</v>
      </c>
      <c r="L942" s="36" t="s">
        <v>229</v>
      </c>
      <c r="M942" s="31" t="str">
        <f>IFERROR(VLOOKUP(E942, TSCD_XUAN!$C$7:$K$1000, 9, 0), "Không tìm thấy")</f>
        <v>CAM3 A2 PHÒNG HIỆN</v>
      </c>
      <c r="N942" s="6"/>
      <c r="O942" s="6"/>
      <c r="P942" s="23"/>
      <c r="Q942" s="2"/>
      <c r="R942" s="2"/>
      <c r="S942" s="2"/>
      <c r="T942" s="2"/>
      <c r="U942" s="2"/>
      <c r="V942" s="2"/>
      <c r="W942" s="2"/>
      <c r="X942" s="2"/>
      <c r="Y942" s="2"/>
    </row>
    <row r="943" spans="1:25" ht="12.75" hidden="1" customHeight="1">
      <c r="A943" s="26" t="s">
        <v>2698</v>
      </c>
      <c r="B943" s="27"/>
      <c r="C943" s="28"/>
      <c r="D943" s="27"/>
      <c r="E943" s="60" t="s">
        <v>2699</v>
      </c>
      <c r="F943" s="29" t="s">
        <v>2700</v>
      </c>
      <c r="G943" s="27"/>
      <c r="H943" s="27"/>
      <c r="I943" s="27">
        <v>1</v>
      </c>
      <c r="J943" s="30"/>
      <c r="K943" s="26" t="s">
        <v>20</v>
      </c>
      <c r="L943" s="36" t="s">
        <v>229</v>
      </c>
      <c r="M943" s="31" t="str">
        <f>IFERROR(VLOOKUP(E943, TSCD_XUAN!$C$7:$K$1000, 9, 0), "Không tìm thấy")</f>
        <v>CAM3 A2 PHÒNG HIỆN</v>
      </c>
      <c r="N943" s="6"/>
      <c r="O943" s="6"/>
      <c r="P943" s="23"/>
      <c r="Q943" s="2"/>
      <c r="R943" s="2"/>
      <c r="S943" s="2"/>
      <c r="T943" s="2"/>
      <c r="U943" s="2"/>
      <c r="V943" s="2"/>
      <c r="W943" s="2"/>
      <c r="X943" s="2"/>
      <c r="Y943" s="2"/>
    </row>
    <row r="944" spans="1:25" ht="12.75" hidden="1" customHeight="1">
      <c r="A944" s="26" t="s">
        <v>2701</v>
      </c>
      <c r="B944" s="27"/>
      <c r="C944" s="28"/>
      <c r="D944" s="27"/>
      <c r="E944" s="60" t="s">
        <v>2702</v>
      </c>
      <c r="F944" s="29" t="s">
        <v>2703</v>
      </c>
      <c r="G944" s="27"/>
      <c r="H944" s="27"/>
      <c r="I944" s="27">
        <v>1</v>
      </c>
      <c r="J944" s="30"/>
      <c r="K944" s="26" t="s">
        <v>20</v>
      </c>
      <c r="L944" s="36" t="s">
        <v>229</v>
      </c>
      <c r="M944" s="31" t="str">
        <f>IFERROR(VLOOKUP(E944, TSCD_XUAN!$C$7:$K$1000, 9, 0), "Không tìm thấy")</f>
        <v>CAM3 A2 PHÒNG HIỆN</v>
      </c>
      <c r="N944" s="6"/>
      <c r="O944" s="6"/>
      <c r="P944" s="23"/>
      <c r="Q944" s="2"/>
      <c r="R944" s="2"/>
      <c r="S944" s="2"/>
      <c r="T944" s="2"/>
      <c r="U944" s="2"/>
      <c r="V944" s="2"/>
      <c r="W944" s="2"/>
      <c r="X944" s="2"/>
      <c r="Y944" s="2"/>
    </row>
    <row r="945" spans="1:26" ht="25.5" hidden="1" customHeight="1">
      <c r="A945" s="17">
        <v>613</v>
      </c>
      <c r="B945" s="27" t="s">
        <v>2704</v>
      </c>
      <c r="C945" s="19">
        <v>39813</v>
      </c>
      <c r="D945" s="27"/>
      <c r="E945" s="18" t="s">
        <v>2705</v>
      </c>
      <c r="F945" s="20" t="s">
        <v>2706</v>
      </c>
      <c r="G945" s="18" t="s">
        <v>1008</v>
      </c>
      <c r="H945" s="18" t="s">
        <v>19</v>
      </c>
      <c r="I945" s="18">
        <v>1</v>
      </c>
      <c r="J945" s="21">
        <v>343111191</v>
      </c>
      <c r="K945" s="17" t="s">
        <v>20</v>
      </c>
      <c r="L945" s="17" t="s">
        <v>21</v>
      </c>
      <c r="M945" s="22" t="s">
        <v>22</v>
      </c>
      <c r="N945" s="23"/>
      <c r="O945" s="23"/>
      <c r="P945" s="23"/>
      <c r="Q945" s="24"/>
      <c r="R945" s="24"/>
      <c r="S945" s="24"/>
      <c r="T945" s="24"/>
      <c r="U945" s="24"/>
      <c r="V945" s="24"/>
      <c r="W945" s="24"/>
      <c r="X945" s="24"/>
      <c r="Y945" s="24"/>
      <c r="Z945" s="25"/>
    </row>
    <row r="946" spans="1:26" ht="12.75" hidden="1" customHeight="1">
      <c r="A946" s="17" t="s">
        <v>2707</v>
      </c>
      <c r="B946" s="27"/>
      <c r="C946" s="19"/>
      <c r="D946" s="27"/>
      <c r="E946" s="18" t="s">
        <v>2708</v>
      </c>
      <c r="F946" s="20" t="s">
        <v>2709</v>
      </c>
      <c r="G946" s="18"/>
      <c r="H946" s="18"/>
      <c r="I946" s="18">
        <v>1</v>
      </c>
      <c r="J946" s="21">
        <v>0</v>
      </c>
      <c r="K946" s="17" t="s">
        <v>20</v>
      </c>
      <c r="L946" s="17" t="s">
        <v>21</v>
      </c>
      <c r="M946" s="22" t="s">
        <v>22</v>
      </c>
      <c r="N946" s="23"/>
      <c r="O946" s="23"/>
      <c r="P946" s="23"/>
      <c r="Q946" s="24"/>
      <c r="R946" s="24"/>
      <c r="S946" s="24"/>
      <c r="T946" s="24"/>
      <c r="U946" s="24"/>
      <c r="V946" s="24"/>
      <c r="W946" s="24"/>
      <c r="X946" s="24"/>
      <c r="Y946" s="24"/>
      <c r="Z946" s="25"/>
    </row>
    <row r="947" spans="1:26" ht="12.75" hidden="1" customHeight="1">
      <c r="A947" s="17" t="s">
        <v>2710</v>
      </c>
      <c r="B947" s="27"/>
      <c r="C947" s="19"/>
      <c r="D947" s="27"/>
      <c r="E947" s="18" t="s">
        <v>2711</v>
      </c>
      <c r="F947" s="20" t="s">
        <v>2712</v>
      </c>
      <c r="G947" s="18"/>
      <c r="H947" s="18"/>
      <c r="I947" s="18">
        <v>1</v>
      </c>
      <c r="J947" s="21">
        <v>0</v>
      </c>
      <c r="K947" s="17" t="s">
        <v>20</v>
      </c>
      <c r="L947" s="17" t="s">
        <v>21</v>
      </c>
      <c r="M947" s="22" t="s">
        <v>22</v>
      </c>
      <c r="N947" s="23"/>
      <c r="O947" s="23"/>
      <c r="P947" s="23"/>
      <c r="Q947" s="24"/>
      <c r="R947" s="24"/>
      <c r="S947" s="24"/>
      <c r="T947" s="24"/>
      <c r="U947" s="24"/>
      <c r="V947" s="24"/>
      <c r="W947" s="24"/>
      <c r="X947" s="24"/>
      <c r="Y947" s="24"/>
      <c r="Z947" s="25"/>
    </row>
    <row r="948" spans="1:26" ht="12.75" hidden="1" customHeight="1">
      <c r="A948" s="17" t="s">
        <v>2713</v>
      </c>
      <c r="B948" s="27"/>
      <c r="C948" s="19"/>
      <c r="D948" s="27"/>
      <c r="E948" s="18" t="s">
        <v>2714</v>
      </c>
      <c r="F948" s="20" t="s">
        <v>2715</v>
      </c>
      <c r="G948" s="18"/>
      <c r="H948" s="18"/>
      <c r="I948" s="18">
        <v>1</v>
      </c>
      <c r="J948" s="21">
        <v>34785253</v>
      </c>
      <c r="K948" s="17" t="s">
        <v>20</v>
      </c>
      <c r="L948" s="17" t="s">
        <v>21</v>
      </c>
      <c r="M948" s="22" t="s">
        <v>22</v>
      </c>
      <c r="N948" s="23"/>
      <c r="O948" s="23"/>
      <c r="P948" s="23"/>
      <c r="Q948" s="24"/>
      <c r="R948" s="24"/>
      <c r="S948" s="24"/>
      <c r="T948" s="24"/>
      <c r="U948" s="24"/>
      <c r="V948" s="24"/>
      <c r="W948" s="24"/>
      <c r="X948" s="24"/>
      <c r="Y948" s="24"/>
      <c r="Z948" s="25"/>
    </row>
    <row r="949" spans="1:26" ht="12.75" hidden="1" customHeight="1">
      <c r="A949" s="17" t="s">
        <v>2716</v>
      </c>
      <c r="B949" s="27"/>
      <c r="C949" s="19"/>
      <c r="D949" s="27"/>
      <c r="E949" s="18" t="s">
        <v>2717</v>
      </c>
      <c r="F949" s="20" t="s">
        <v>2718</v>
      </c>
      <c r="G949" s="18"/>
      <c r="H949" s="18"/>
      <c r="I949" s="18">
        <v>1</v>
      </c>
      <c r="J949" s="21">
        <v>0</v>
      </c>
      <c r="K949" s="17" t="s">
        <v>20</v>
      </c>
      <c r="L949" s="17" t="s">
        <v>21</v>
      </c>
      <c r="M949" s="22" t="s">
        <v>22</v>
      </c>
      <c r="N949" s="23"/>
      <c r="O949" s="23"/>
      <c r="P949" s="23"/>
      <c r="Q949" s="24"/>
      <c r="R949" s="24"/>
      <c r="S949" s="24"/>
      <c r="T949" s="24"/>
      <c r="U949" s="24"/>
      <c r="V949" s="24"/>
      <c r="W949" s="24"/>
      <c r="X949" s="24"/>
      <c r="Y949" s="24"/>
      <c r="Z949" s="25"/>
    </row>
    <row r="950" spans="1:26" ht="25.5" customHeight="1">
      <c r="A950" s="26">
        <v>616</v>
      </c>
      <c r="B950" s="27" t="s">
        <v>2719</v>
      </c>
      <c r="C950" s="28">
        <v>41008</v>
      </c>
      <c r="D950" s="27"/>
      <c r="E950" s="47" t="s">
        <v>2720</v>
      </c>
      <c r="F950" s="29" t="s">
        <v>2721</v>
      </c>
      <c r="G950" s="27" t="s">
        <v>1008</v>
      </c>
      <c r="H950" s="27" t="s">
        <v>19</v>
      </c>
      <c r="I950" s="27">
        <v>1</v>
      </c>
      <c r="J950" s="30">
        <v>479440000</v>
      </c>
      <c r="K950" s="26" t="s">
        <v>20</v>
      </c>
      <c r="L950" s="26" t="s">
        <v>423</v>
      </c>
      <c r="M950" s="31" t="s">
        <v>2722</v>
      </c>
      <c r="N950" s="7"/>
      <c r="O950" s="7" t="str">
        <f ca="1">IFERROR(__xludf.DUMMYFUNCTION("IFERROR(INDEX(Sheet1!$C:$C, MAX(FILTER(ROW(Sheet1!$B:$B), Sheet1!$B:$B=E950))), """")"),"")</f>
        <v/>
      </c>
      <c r="P950" s="23"/>
      <c r="Q950" s="2"/>
      <c r="R950" s="2"/>
      <c r="S950" s="2"/>
      <c r="T950" s="2"/>
      <c r="U950" s="2"/>
      <c r="V950" s="2"/>
      <c r="W950" s="2"/>
      <c r="X950" s="2"/>
      <c r="Y950" s="2"/>
    </row>
    <row r="951" spans="1:26" ht="12.75" customHeight="1">
      <c r="A951" s="45">
        <v>617</v>
      </c>
      <c r="B951" s="27" t="s">
        <v>2723</v>
      </c>
      <c r="C951" s="75">
        <v>41502</v>
      </c>
      <c r="D951" s="27"/>
      <c r="E951" s="80" t="s">
        <v>2724</v>
      </c>
      <c r="F951" s="77" t="s">
        <v>2725</v>
      </c>
      <c r="G951" s="27" t="s">
        <v>2726</v>
      </c>
      <c r="H951" s="27" t="s">
        <v>19</v>
      </c>
      <c r="I951" s="27">
        <v>1</v>
      </c>
      <c r="J951" s="30">
        <v>252759345</v>
      </c>
      <c r="K951" s="26" t="s">
        <v>20</v>
      </c>
      <c r="L951" s="45" t="s">
        <v>423</v>
      </c>
      <c r="M951" s="66" t="s">
        <v>2727</v>
      </c>
      <c r="N951" s="7"/>
      <c r="O951" s="7" t="str">
        <f ca="1">IFERROR(__xludf.DUMMYFUNCTION("IFERROR(INDEX(Sheet1!$C:$C, MAX(FILTER(ROW(Sheet1!$B:$B), Sheet1!$B:$B=E951))), """")"),"")</f>
        <v/>
      </c>
      <c r="P951" s="23"/>
      <c r="Q951" s="2"/>
      <c r="R951" s="2"/>
      <c r="S951" s="2"/>
      <c r="T951" s="2"/>
      <c r="U951" s="2"/>
      <c r="V951" s="2"/>
      <c r="W951" s="2"/>
      <c r="X951" s="2"/>
      <c r="Y951" s="2"/>
    </row>
    <row r="952" spans="1:26" ht="12.75" hidden="1" customHeight="1">
      <c r="A952" s="26">
        <v>618</v>
      </c>
      <c r="B952" s="27" t="s">
        <v>909</v>
      </c>
      <c r="C952" s="28">
        <v>41999</v>
      </c>
      <c r="D952" s="27"/>
      <c r="E952" s="27" t="s">
        <v>2728</v>
      </c>
      <c r="F952" s="29" t="s">
        <v>2729</v>
      </c>
      <c r="G952" s="27" t="s">
        <v>1008</v>
      </c>
      <c r="H952" s="27" t="s">
        <v>19</v>
      </c>
      <c r="I952" s="27">
        <v>1</v>
      </c>
      <c r="J952" s="30">
        <v>954504165</v>
      </c>
      <c r="K952" s="26" t="s">
        <v>20</v>
      </c>
      <c r="L952" s="26" t="s">
        <v>233</v>
      </c>
      <c r="M952" s="31" t="s">
        <v>2730</v>
      </c>
      <c r="N952" s="6"/>
      <c r="O952" s="6"/>
      <c r="P952" s="23"/>
      <c r="Q952" s="2"/>
      <c r="R952" s="2"/>
      <c r="S952" s="2"/>
      <c r="T952" s="2"/>
      <c r="U952" s="2"/>
      <c r="V952" s="2"/>
      <c r="W952" s="2"/>
      <c r="X952" s="2"/>
      <c r="Y952" s="2"/>
    </row>
    <row r="953" spans="1:26" ht="12.75" hidden="1" customHeight="1">
      <c r="A953" s="17" t="s">
        <v>2731</v>
      </c>
      <c r="B953" s="27"/>
      <c r="C953" s="19"/>
      <c r="D953" s="27"/>
      <c r="E953" s="18" t="s">
        <v>2732</v>
      </c>
      <c r="F953" s="20" t="s">
        <v>2733</v>
      </c>
      <c r="G953" s="18" t="s">
        <v>1008</v>
      </c>
      <c r="H953" s="18" t="s">
        <v>19</v>
      </c>
      <c r="I953" s="18">
        <v>1</v>
      </c>
      <c r="J953" s="21">
        <v>45111589</v>
      </c>
      <c r="K953" s="17" t="s">
        <v>20</v>
      </c>
      <c r="L953" s="17" t="s">
        <v>21</v>
      </c>
      <c r="M953" s="22" t="s">
        <v>22</v>
      </c>
      <c r="N953" s="23"/>
      <c r="O953" s="23"/>
      <c r="P953" s="23"/>
      <c r="Q953" s="24"/>
      <c r="R953" s="24"/>
      <c r="S953" s="24"/>
      <c r="T953" s="24"/>
      <c r="U953" s="24"/>
      <c r="V953" s="24"/>
      <c r="W953" s="24"/>
      <c r="X953" s="24"/>
      <c r="Y953" s="24"/>
      <c r="Z953" s="25"/>
    </row>
    <row r="954" spans="1:26" ht="12.75" hidden="1" customHeight="1">
      <c r="A954" s="26" t="s">
        <v>2734</v>
      </c>
      <c r="B954" s="27"/>
      <c r="C954" s="28"/>
      <c r="D954" s="27"/>
      <c r="E954" s="27" t="s">
        <v>2735</v>
      </c>
      <c r="F954" s="29" t="s">
        <v>2736</v>
      </c>
      <c r="G954" s="27" t="s">
        <v>1008</v>
      </c>
      <c r="H954" s="27" t="s">
        <v>19</v>
      </c>
      <c r="I954" s="27">
        <v>1</v>
      </c>
      <c r="J954" s="30">
        <v>69815555</v>
      </c>
      <c r="K954" s="26" t="s">
        <v>20</v>
      </c>
      <c r="L954" s="26" t="s">
        <v>233</v>
      </c>
      <c r="M954" s="31" t="s">
        <v>2737</v>
      </c>
      <c r="N954" s="6"/>
      <c r="O954" s="6"/>
      <c r="P954" s="23"/>
      <c r="Q954" s="2"/>
      <c r="R954" s="2"/>
      <c r="S954" s="2"/>
      <c r="T954" s="2"/>
      <c r="U954" s="2"/>
      <c r="V954" s="2"/>
      <c r="W954" s="2"/>
      <c r="X954" s="2"/>
      <c r="Y954" s="2"/>
    </row>
    <row r="955" spans="1:26" ht="25.5" hidden="1" customHeight="1">
      <c r="A955" s="26" t="s">
        <v>2738</v>
      </c>
      <c r="B955" s="27"/>
      <c r="C955" s="28"/>
      <c r="D955" s="27"/>
      <c r="E955" s="27" t="s">
        <v>2739</v>
      </c>
      <c r="F955" s="29" t="s">
        <v>2740</v>
      </c>
      <c r="G955" s="27" t="s">
        <v>248</v>
      </c>
      <c r="H955" s="27" t="s">
        <v>19</v>
      </c>
      <c r="I955" s="27">
        <v>1</v>
      </c>
      <c r="J955" s="30">
        <v>73037811</v>
      </c>
      <c r="K955" s="26" t="s">
        <v>20</v>
      </c>
      <c r="L955" s="26" t="s">
        <v>233</v>
      </c>
      <c r="M955" s="31" t="s">
        <v>2741</v>
      </c>
      <c r="N955" s="6"/>
      <c r="O955" s="6"/>
      <c r="P955" s="23"/>
      <c r="Q955" s="2"/>
      <c r="R955" s="2"/>
      <c r="S955" s="2"/>
      <c r="T955" s="2"/>
      <c r="U955" s="2"/>
      <c r="V955" s="2"/>
      <c r="W955" s="2"/>
      <c r="X955" s="2"/>
      <c r="Y955" s="2"/>
    </row>
    <row r="956" spans="1:26" ht="12.75" hidden="1" customHeight="1">
      <c r="A956" s="26" t="s">
        <v>2742</v>
      </c>
      <c r="B956" s="27"/>
      <c r="C956" s="28"/>
      <c r="D956" s="27"/>
      <c r="E956" s="27" t="s">
        <v>2743</v>
      </c>
      <c r="F956" s="29" t="s">
        <v>2744</v>
      </c>
      <c r="G956" s="27" t="s">
        <v>1008</v>
      </c>
      <c r="H956" s="27" t="s">
        <v>19</v>
      </c>
      <c r="I956" s="27">
        <v>1</v>
      </c>
      <c r="J956" s="30">
        <v>23227858</v>
      </c>
      <c r="K956" s="26" t="s">
        <v>20</v>
      </c>
      <c r="L956" s="26" t="s">
        <v>233</v>
      </c>
      <c r="M956" s="31" t="s">
        <v>2745</v>
      </c>
      <c r="N956" s="6"/>
      <c r="O956" s="6"/>
      <c r="P956" s="23"/>
      <c r="Q956" s="2"/>
      <c r="R956" s="2"/>
      <c r="S956" s="2"/>
      <c r="T956" s="2"/>
      <c r="U956" s="2"/>
      <c r="V956" s="2"/>
      <c r="W956" s="2"/>
      <c r="X956" s="2"/>
      <c r="Y956" s="2"/>
    </row>
    <row r="957" spans="1:26" ht="12.75" hidden="1" customHeight="1">
      <c r="A957" s="17" t="s">
        <v>2746</v>
      </c>
      <c r="B957" s="27"/>
      <c r="C957" s="19"/>
      <c r="D957" s="27"/>
      <c r="E957" s="18" t="s">
        <v>2747</v>
      </c>
      <c r="F957" s="20" t="s">
        <v>2748</v>
      </c>
      <c r="G957" s="18" t="s">
        <v>248</v>
      </c>
      <c r="H957" s="18" t="s">
        <v>249</v>
      </c>
      <c r="I957" s="18">
        <v>1</v>
      </c>
      <c r="J957" s="21">
        <v>0</v>
      </c>
      <c r="K957" s="17" t="s">
        <v>20</v>
      </c>
      <c r="L957" s="17" t="s">
        <v>21</v>
      </c>
      <c r="M957" s="22" t="s">
        <v>22</v>
      </c>
      <c r="N957" s="23"/>
      <c r="O957" s="23"/>
      <c r="P957" s="23"/>
      <c r="Q957" s="24"/>
      <c r="R957" s="24"/>
      <c r="S957" s="24"/>
      <c r="T957" s="24"/>
      <c r="U957" s="24"/>
      <c r="V957" s="24"/>
      <c r="W957" s="24"/>
      <c r="X957" s="24"/>
      <c r="Y957" s="24"/>
      <c r="Z957" s="25"/>
    </row>
    <row r="958" spans="1:26" ht="12.75" hidden="1" customHeight="1">
      <c r="A958" s="26" t="s">
        <v>2749</v>
      </c>
      <c r="B958" s="27"/>
      <c r="C958" s="28"/>
      <c r="D958" s="27"/>
      <c r="E958" s="27" t="s">
        <v>2750</v>
      </c>
      <c r="F958" s="29" t="s">
        <v>2751</v>
      </c>
      <c r="G958" s="27" t="s">
        <v>1008</v>
      </c>
      <c r="H958" s="27" t="s">
        <v>249</v>
      </c>
      <c r="I958" s="27">
        <v>1</v>
      </c>
      <c r="J958" s="30">
        <v>131500000</v>
      </c>
      <c r="K958" s="26" t="s">
        <v>20</v>
      </c>
      <c r="L958" s="26" t="s">
        <v>233</v>
      </c>
      <c r="M958" s="31" t="s">
        <v>2752</v>
      </c>
      <c r="N958" s="6"/>
      <c r="O958" s="6"/>
      <c r="P958" s="23"/>
      <c r="Q958" s="2"/>
      <c r="R958" s="2"/>
      <c r="S958" s="2"/>
      <c r="T958" s="2"/>
      <c r="U958" s="2"/>
      <c r="V958" s="2"/>
      <c r="W958" s="2"/>
      <c r="X958" s="2"/>
      <c r="Y958" s="2"/>
    </row>
    <row r="959" spans="1:26" ht="12.75" hidden="1" customHeight="1">
      <c r="A959" s="26">
        <v>619</v>
      </c>
      <c r="B959" s="27" t="s">
        <v>909</v>
      </c>
      <c r="C959" s="28">
        <v>41999</v>
      </c>
      <c r="D959" s="27"/>
      <c r="E959" s="27" t="s">
        <v>2753</v>
      </c>
      <c r="F959" s="29" t="s">
        <v>2754</v>
      </c>
      <c r="G959" s="27" t="s">
        <v>1008</v>
      </c>
      <c r="H959" s="27" t="s">
        <v>19</v>
      </c>
      <c r="I959" s="27">
        <v>1</v>
      </c>
      <c r="J959" s="30">
        <v>823004165</v>
      </c>
      <c r="K959" s="26" t="s">
        <v>20</v>
      </c>
      <c r="L959" s="26" t="s">
        <v>233</v>
      </c>
      <c r="M959" s="31" t="s">
        <v>2755</v>
      </c>
      <c r="N959" s="6"/>
      <c r="O959" s="6"/>
      <c r="P959" s="23"/>
      <c r="Q959" s="2"/>
      <c r="R959" s="2"/>
      <c r="S959" s="2"/>
      <c r="T959" s="2"/>
      <c r="U959" s="2"/>
      <c r="V959" s="2"/>
      <c r="W959" s="2"/>
      <c r="X959" s="2"/>
      <c r="Y959" s="2"/>
    </row>
    <row r="960" spans="1:26" ht="12.75" hidden="1" customHeight="1">
      <c r="A960" s="17" t="s">
        <v>2756</v>
      </c>
      <c r="B960" s="27"/>
      <c r="C960" s="19"/>
      <c r="D960" s="27"/>
      <c r="E960" s="18" t="s">
        <v>2757</v>
      </c>
      <c r="F960" s="20" t="s">
        <v>2733</v>
      </c>
      <c r="G960" s="18" t="s">
        <v>1008</v>
      </c>
      <c r="H960" s="18" t="s">
        <v>19</v>
      </c>
      <c r="I960" s="18">
        <v>1</v>
      </c>
      <c r="J960" s="21">
        <v>45111589</v>
      </c>
      <c r="K960" s="17" t="s">
        <v>20</v>
      </c>
      <c r="L960" s="17" t="s">
        <v>21</v>
      </c>
      <c r="M960" s="22" t="s">
        <v>22</v>
      </c>
      <c r="N960" s="23"/>
      <c r="O960" s="23"/>
      <c r="P960" s="23"/>
      <c r="Q960" s="24"/>
      <c r="R960" s="24"/>
      <c r="S960" s="24"/>
      <c r="T960" s="24"/>
      <c r="U960" s="24"/>
      <c r="V960" s="24"/>
      <c r="W960" s="24"/>
      <c r="X960" s="24"/>
      <c r="Y960" s="24"/>
      <c r="Z960" s="25"/>
    </row>
    <row r="961" spans="1:26" ht="12.75" hidden="1" customHeight="1">
      <c r="A961" s="26" t="s">
        <v>2758</v>
      </c>
      <c r="B961" s="27"/>
      <c r="C961" s="28"/>
      <c r="D961" s="27"/>
      <c r="E961" s="27" t="s">
        <v>2759</v>
      </c>
      <c r="F961" s="29" t="s">
        <v>2760</v>
      </c>
      <c r="G961" s="27" t="s">
        <v>1008</v>
      </c>
      <c r="H961" s="27" t="s">
        <v>19</v>
      </c>
      <c r="I961" s="27">
        <v>1</v>
      </c>
      <c r="J961" s="30">
        <v>69815555</v>
      </c>
      <c r="K961" s="26" t="s">
        <v>20</v>
      </c>
      <c r="L961" s="26" t="s">
        <v>233</v>
      </c>
      <c r="M961" s="31" t="s">
        <v>2761</v>
      </c>
      <c r="N961" s="6"/>
      <c r="O961" s="6"/>
      <c r="P961" s="23"/>
      <c r="Q961" s="2"/>
      <c r="R961" s="2"/>
      <c r="S961" s="2"/>
      <c r="T961" s="2"/>
      <c r="U961" s="2"/>
      <c r="V961" s="2"/>
      <c r="W961" s="2"/>
      <c r="X961" s="2"/>
      <c r="Y961" s="2"/>
    </row>
    <row r="962" spans="1:26" ht="12.75" hidden="1" customHeight="1">
      <c r="A962" s="26" t="s">
        <v>2762</v>
      </c>
      <c r="B962" s="27"/>
      <c r="C962" s="28"/>
      <c r="D962" s="27"/>
      <c r="E962" s="27" t="s">
        <v>2763</v>
      </c>
      <c r="F962" s="29" t="s">
        <v>2764</v>
      </c>
      <c r="G962" s="27" t="s">
        <v>248</v>
      </c>
      <c r="H962" s="27" t="s">
        <v>19</v>
      </c>
      <c r="I962" s="27">
        <v>1</v>
      </c>
      <c r="J962" s="30">
        <v>73037811</v>
      </c>
      <c r="K962" s="26" t="s">
        <v>20</v>
      </c>
      <c r="L962" s="26" t="s">
        <v>233</v>
      </c>
      <c r="M962" s="31" t="s">
        <v>2765</v>
      </c>
      <c r="N962" s="6"/>
      <c r="O962" s="6"/>
      <c r="P962" s="23"/>
      <c r="Q962" s="2"/>
      <c r="R962" s="2"/>
      <c r="S962" s="2"/>
      <c r="T962" s="2"/>
      <c r="U962" s="2"/>
      <c r="V962" s="2"/>
      <c r="W962" s="2"/>
      <c r="X962" s="2"/>
      <c r="Y962" s="2"/>
    </row>
    <row r="963" spans="1:26" ht="12.75" hidden="1" customHeight="1">
      <c r="A963" s="26" t="s">
        <v>2766</v>
      </c>
      <c r="B963" s="27"/>
      <c r="C963" s="28"/>
      <c r="D963" s="27"/>
      <c r="E963" s="27" t="s">
        <v>2767</v>
      </c>
      <c r="F963" s="29" t="s">
        <v>2768</v>
      </c>
      <c r="G963" s="27" t="s">
        <v>1008</v>
      </c>
      <c r="H963" s="27" t="s">
        <v>19</v>
      </c>
      <c r="I963" s="27">
        <v>1</v>
      </c>
      <c r="J963" s="30">
        <v>23227858</v>
      </c>
      <c r="K963" s="26" t="s">
        <v>20</v>
      </c>
      <c r="L963" s="26" t="s">
        <v>233</v>
      </c>
      <c r="M963" s="31" t="s">
        <v>2761</v>
      </c>
      <c r="N963" s="6"/>
      <c r="O963" s="6"/>
      <c r="P963" s="23"/>
      <c r="Q963" s="2"/>
      <c r="R963" s="2"/>
      <c r="S963" s="2"/>
      <c r="T963" s="2"/>
      <c r="U963" s="2"/>
      <c r="V963" s="2"/>
      <c r="W963" s="2"/>
      <c r="X963" s="2"/>
      <c r="Y963" s="2"/>
    </row>
    <row r="964" spans="1:26" ht="12.75" hidden="1" customHeight="1">
      <c r="A964" s="17" t="s">
        <v>2769</v>
      </c>
      <c r="B964" s="27"/>
      <c r="C964" s="19"/>
      <c r="D964" s="27"/>
      <c r="E964" s="18" t="s">
        <v>2770</v>
      </c>
      <c r="F964" s="20" t="s">
        <v>2771</v>
      </c>
      <c r="G964" s="18" t="s">
        <v>248</v>
      </c>
      <c r="H964" s="18" t="s">
        <v>249</v>
      </c>
      <c r="I964" s="18">
        <v>1</v>
      </c>
      <c r="J964" s="21">
        <v>0</v>
      </c>
      <c r="K964" s="17" t="s">
        <v>20</v>
      </c>
      <c r="L964" s="17" t="s">
        <v>21</v>
      </c>
      <c r="M964" s="22" t="s">
        <v>22</v>
      </c>
      <c r="N964" s="23"/>
      <c r="O964" s="23"/>
      <c r="P964" s="23"/>
      <c r="Q964" s="24"/>
      <c r="R964" s="24"/>
      <c r="S964" s="24"/>
      <c r="T964" s="24"/>
      <c r="U964" s="24"/>
      <c r="V964" s="24"/>
      <c r="W964" s="24"/>
      <c r="X964" s="24"/>
      <c r="Y964" s="24"/>
      <c r="Z964" s="25"/>
    </row>
    <row r="965" spans="1:26" ht="12.75" hidden="1" customHeight="1">
      <c r="A965" s="26">
        <v>620</v>
      </c>
      <c r="B965" s="27" t="s">
        <v>909</v>
      </c>
      <c r="C965" s="28">
        <v>41999</v>
      </c>
      <c r="D965" s="27"/>
      <c r="E965" s="27" t="s">
        <v>2772</v>
      </c>
      <c r="F965" s="29" t="s">
        <v>2773</v>
      </c>
      <c r="G965" s="27" t="s">
        <v>1008</v>
      </c>
      <c r="H965" s="27" t="s">
        <v>19</v>
      </c>
      <c r="I965" s="27">
        <v>1</v>
      </c>
      <c r="J965" s="30">
        <v>1162876746</v>
      </c>
      <c r="K965" s="26" t="s">
        <v>20</v>
      </c>
      <c r="L965" s="26" t="s">
        <v>233</v>
      </c>
      <c r="M965" s="31" t="s">
        <v>2774</v>
      </c>
      <c r="N965" s="6"/>
      <c r="O965" s="6"/>
      <c r="P965" s="23"/>
      <c r="Q965" s="2"/>
      <c r="R965" s="2"/>
      <c r="S965" s="2"/>
      <c r="T965" s="2"/>
      <c r="U965" s="2"/>
      <c r="V965" s="2"/>
      <c r="W965" s="2"/>
      <c r="X965" s="2"/>
      <c r="Y965" s="2"/>
    </row>
    <row r="966" spans="1:26" ht="12.75" hidden="1" customHeight="1">
      <c r="A966" s="26" t="s">
        <v>2775</v>
      </c>
      <c r="B966" s="27"/>
      <c r="C966" s="28"/>
      <c r="D966" s="27"/>
      <c r="E966" s="27" t="s">
        <v>2776</v>
      </c>
      <c r="F966" s="29" t="s">
        <v>2777</v>
      </c>
      <c r="G966" s="27" t="s">
        <v>1008</v>
      </c>
      <c r="H966" s="27" t="s">
        <v>19</v>
      </c>
      <c r="I966" s="27">
        <v>1</v>
      </c>
      <c r="J966" s="30">
        <v>69815555</v>
      </c>
      <c r="K966" s="26" t="s">
        <v>20</v>
      </c>
      <c r="L966" s="26" t="s">
        <v>233</v>
      </c>
      <c r="M966" s="31" t="s">
        <v>2774</v>
      </c>
      <c r="N966" s="6"/>
      <c r="O966" s="6"/>
      <c r="P966" s="23"/>
      <c r="Q966" s="2"/>
      <c r="R966" s="2"/>
      <c r="S966" s="2"/>
      <c r="T966" s="2"/>
      <c r="U966" s="2"/>
      <c r="V966" s="2"/>
      <c r="W966" s="2"/>
      <c r="X966" s="2"/>
      <c r="Y966" s="2"/>
    </row>
    <row r="967" spans="1:26" ht="12.75" hidden="1" customHeight="1">
      <c r="A967" s="26" t="s">
        <v>2778</v>
      </c>
      <c r="B967" s="27"/>
      <c r="C967" s="28"/>
      <c r="D967" s="27"/>
      <c r="E967" s="27" t="s">
        <v>2779</v>
      </c>
      <c r="F967" s="29" t="s">
        <v>2780</v>
      </c>
      <c r="G967" s="27" t="s">
        <v>248</v>
      </c>
      <c r="H967" s="27" t="s">
        <v>19</v>
      </c>
      <c r="I967" s="27">
        <v>1</v>
      </c>
      <c r="J967" s="30">
        <v>73037811</v>
      </c>
      <c r="K967" s="26" t="s">
        <v>20</v>
      </c>
      <c r="L967" s="26" t="s">
        <v>233</v>
      </c>
      <c r="M967" s="31" t="s">
        <v>2765</v>
      </c>
      <c r="N967" s="6"/>
      <c r="O967" s="6"/>
      <c r="P967" s="23"/>
      <c r="Q967" s="2"/>
      <c r="R967" s="2"/>
      <c r="S967" s="2"/>
      <c r="T967" s="2"/>
      <c r="U967" s="2"/>
      <c r="V967" s="2"/>
      <c r="W967" s="2"/>
      <c r="X967" s="2"/>
      <c r="Y967" s="2"/>
    </row>
    <row r="968" spans="1:26" ht="12.75" hidden="1" customHeight="1">
      <c r="A968" s="26" t="s">
        <v>2781</v>
      </c>
      <c r="B968" s="27"/>
      <c r="C968" s="28"/>
      <c r="D968" s="27"/>
      <c r="E968" s="27" t="s">
        <v>2782</v>
      </c>
      <c r="F968" s="29" t="s">
        <v>2783</v>
      </c>
      <c r="G968" s="27" t="s">
        <v>1008</v>
      </c>
      <c r="H968" s="27" t="s">
        <v>19</v>
      </c>
      <c r="I968" s="27">
        <v>1</v>
      </c>
      <c r="J968" s="30">
        <v>23227858</v>
      </c>
      <c r="K968" s="26" t="s">
        <v>20</v>
      </c>
      <c r="L968" s="26" t="s">
        <v>233</v>
      </c>
      <c r="M968" s="31" t="s">
        <v>2774</v>
      </c>
      <c r="N968" s="6"/>
      <c r="O968" s="6"/>
      <c r="P968" s="23"/>
      <c r="Q968" s="2"/>
      <c r="R968" s="2"/>
      <c r="S968" s="2"/>
      <c r="T968" s="2"/>
      <c r="U968" s="2"/>
      <c r="V968" s="2"/>
      <c r="W968" s="2"/>
      <c r="X968" s="2"/>
      <c r="Y968" s="2"/>
    </row>
    <row r="969" spans="1:26" ht="12.75" hidden="1" customHeight="1">
      <c r="A969" s="26" t="s">
        <v>2784</v>
      </c>
      <c r="B969" s="27"/>
      <c r="C969" s="28"/>
      <c r="D969" s="27"/>
      <c r="E969" s="27" t="s">
        <v>2785</v>
      </c>
      <c r="F969" s="29" t="s">
        <v>2786</v>
      </c>
      <c r="G969" s="27" t="s">
        <v>1008</v>
      </c>
      <c r="H969" s="27" t="s">
        <v>19</v>
      </c>
      <c r="I969" s="27">
        <v>1</v>
      </c>
      <c r="J969" s="30">
        <v>317929297</v>
      </c>
      <c r="K969" s="26" t="s">
        <v>20</v>
      </c>
      <c r="L969" s="26" t="s">
        <v>233</v>
      </c>
      <c r="M969" s="31" t="s">
        <v>2787</v>
      </c>
      <c r="N969" s="6"/>
      <c r="O969" s="6"/>
      <c r="P969" s="23"/>
      <c r="Q969" s="2"/>
      <c r="R969" s="2"/>
      <c r="S969" s="2"/>
      <c r="T969" s="2"/>
      <c r="U969" s="2"/>
      <c r="V969" s="2"/>
      <c r="W969" s="2"/>
      <c r="X969" s="2"/>
      <c r="Y969" s="2"/>
    </row>
    <row r="970" spans="1:26" ht="12.75" hidden="1" customHeight="1">
      <c r="A970" s="26" t="s">
        <v>2788</v>
      </c>
      <c r="B970" s="27"/>
      <c r="C970" s="28"/>
      <c r="D970" s="27"/>
      <c r="E970" s="27" t="s">
        <v>2789</v>
      </c>
      <c r="F970" s="29" t="s">
        <v>2790</v>
      </c>
      <c r="G970" s="27" t="s">
        <v>1008</v>
      </c>
      <c r="H970" s="27" t="s">
        <v>249</v>
      </c>
      <c r="I970" s="27">
        <v>1</v>
      </c>
      <c r="J970" s="30">
        <v>131500000</v>
      </c>
      <c r="K970" s="26" t="s">
        <v>20</v>
      </c>
      <c r="L970" s="26" t="s">
        <v>233</v>
      </c>
      <c r="M970" s="31" t="s">
        <v>2774</v>
      </c>
      <c r="N970" s="6"/>
      <c r="O970" s="6"/>
      <c r="P970" s="23"/>
      <c r="Q970" s="2"/>
      <c r="R970" s="2"/>
      <c r="S970" s="2"/>
      <c r="T970" s="2"/>
      <c r="U970" s="2"/>
      <c r="V970" s="2"/>
      <c r="W970" s="2"/>
      <c r="X970" s="2"/>
      <c r="Y970" s="2"/>
    </row>
    <row r="971" spans="1:26" ht="25.5" hidden="1" customHeight="1">
      <c r="A971" s="26">
        <v>621</v>
      </c>
      <c r="B971" s="27" t="s">
        <v>1668</v>
      </c>
      <c r="C971" s="28">
        <v>41982</v>
      </c>
      <c r="D971" s="27"/>
      <c r="E971" s="27" t="s">
        <v>2791</v>
      </c>
      <c r="F971" s="29" t="s">
        <v>2792</v>
      </c>
      <c r="G971" s="27" t="s">
        <v>45</v>
      </c>
      <c r="H971" s="27" t="s">
        <v>19</v>
      </c>
      <c r="I971" s="27">
        <v>1</v>
      </c>
      <c r="J971" s="30">
        <v>416658000</v>
      </c>
      <c r="K971" s="26" t="s">
        <v>20</v>
      </c>
      <c r="L971" s="36" t="s">
        <v>229</v>
      </c>
      <c r="M971" s="31" t="str">
        <f>IFERROR(VLOOKUP(E971, TSCD_XUAN!$C$7:$K$1000, 9, 0), "Không tìm thấy")</f>
        <v>Kho lầu 2</v>
      </c>
      <c r="N971" s="6"/>
      <c r="O971" s="6"/>
      <c r="P971" s="23"/>
      <c r="Q971" s="2"/>
      <c r="R971" s="2"/>
      <c r="S971" s="2"/>
      <c r="T971" s="2"/>
      <c r="U971" s="2"/>
      <c r="V971" s="2"/>
      <c r="W971" s="2"/>
      <c r="X971" s="2"/>
      <c r="Y971" s="2"/>
    </row>
    <row r="972" spans="1:26" ht="12.75" customHeight="1">
      <c r="A972" s="26">
        <v>622</v>
      </c>
      <c r="B972" s="27" t="s">
        <v>470</v>
      </c>
      <c r="C972" s="28">
        <v>41983</v>
      </c>
      <c r="D972" s="27"/>
      <c r="E972" s="47" t="s">
        <v>2793</v>
      </c>
      <c r="F972" s="29" t="s">
        <v>2794</v>
      </c>
      <c r="G972" s="27" t="s">
        <v>1008</v>
      </c>
      <c r="H972" s="27" t="s">
        <v>19</v>
      </c>
      <c r="I972" s="27">
        <v>1</v>
      </c>
      <c r="J972" s="30">
        <v>1695382089</v>
      </c>
      <c r="K972" s="26" t="s">
        <v>20</v>
      </c>
      <c r="L972" s="26" t="s">
        <v>423</v>
      </c>
      <c r="M972" s="31" t="s">
        <v>2795</v>
      </c>
      <c r="N972" s="7"/>
      <c r="O972" s="7" t="str">
        <f ca="1">IFERROR(__xludf.DUMMYFUNCTION("IFERROR(INDEX(Sheet1!$C:$C, MAX(FILTER(ROW(Sheet1!$B:$B), Sheet1!$B:$B=E972))), """")"),"")</f>
        <v/>
      </c>
      <c r="P972" s="23"/>
      <c r="Q972" s="2"/>
      <c r="R972" s="2"/>
      <c r="S972" s="2"/>
      <c r="T972" s="2"/>
      <c r="U972" s="2"/>
      <c r="V972" s="2"/>
      <c r="W972" s="2"/>
      <c r="X972" s="2"/>
      <c r="Y972" s="2"/>
    </row>
    <row r="973" spans="1:26" ht="25.5" customHeight="1">
      <c r="A973" s="26" t="s">
        <v>2796</v>
      </c>
      <c r="B973" s="27"/>
      <c r="C973" s="28"/>
      <c r="D973" s="27"/>
      <c r="E973" s="47" t="s">
        <v>2797</v>
      </c>
      <c r="F973" s="29" t="s">
        <v>2798</v>
      </c>
      <c r="G973" s="27" t="s">
        <v>1008</v>
      </c>
      <c r="H973" s="27" t="s">
        <v>249</v>
      </c>
      <c r="I973" s="27">
        <v>1</v>
      </c>
      <c r="J973" s="30">
        <v>490488854</v>
      </c>
      <c r="K973" s="26" t="s">
        <v>20</v>
      </c>
      <c r="L973" s="26" t="s">
        <v>423</v>
      </c>
      <c r="M973" s="31" t="s">
        <v>2799</v>
      </c>
      <c r="N973" s="7"/>
      <c r="O973" s="7" t="str">
        <f ca="1">IFERROR(__xludf.DUMMYFUNCTION("IFERROR(INDEX(Sheet1!$C:$C, MAX(FILTER(ROW(Sheet1!$B:$B), Sheet1!$B:$B=E973))), """")"),"")</f>
        <v/>
      </c>
      <c r="P973" s="23"/>
      <c r="Q973" s="2"/>
      <c r="R973" s="2"/>
      <c r="S973" s="2"/>
      <c r="T973" s="2"/>
      <c r="U973" s="2"/>
      <c r="V973" s="2"/>
      <c r="W973" s="2"/>
      <c r="X973" s="2"/>
      <c r="Y973" s="2"/>
    </row>
    <row r="974" spans="1:26" ht="12.75" customHeight="1">
      <c r="A974" s="26" t="s">
        <v>2800</v>
      </c>
      <c r="B974" s="27"/>
      <c r="C974" s="28"/>
      <c r="D974" s="27"/>
      <c r="E974" s="47" t="s">
        <v>2801</v>
      </c>
      <c r="F974" s="29" t="s">
        <v>2802</v>
      </c>
      <c r="G974" s="27" t="s">
        <v>1008</v>
      </c>
      <c r="H974" s="27" t="s">
        <v>249</v>
      </c>
      <c r="I974" s="27">
        <v>1</v>
      </c>
      <c r="J974" s="30">
        <v>127568319</v>
      </c>
      <c r="K974" s="26" t="s">
        <v>20</v>
      </c>
      <c r="L974" s="26" t="s">
        <v>423</v>
      </c>
      <c r="M974" s="31" t="s">
        <v>2803</v>
      </c>
      <c r="N974" s="7"/>
      <c r="O974" s="7" t="str">
        <f ca="1">IFERROR(__xludf.DUMMYFUNCTION("IFERROR(INDEX(Sheet1!$C:$C, MAX(FILTER(ROW(Sheet1!$B:$B), Sheet1!$B:$B=E974))), """")"),"")</f>
        <v/>
      </c>
      <c r="P974" s="23"/>
      <c r="Q974" s="2"/>
      <c r="R974" s="2"/>
      <c r="S974" s="2"/>
      <c r="T974" s="2"/>
      <c r="U974" s="2"/>
      <c r="V974" s="2"/>
      <c r="W974" s="2"/>
      <c r="X974" s="2"/>
      <c r="Y974" s="2"/>
    </row>
    <row r="975" spans="1:26" ht="12.75" customHeight="1">
      <c r="A975" s="26" t="s">
        <v>2804</v>
      </c>
      <c r="B975" s="27"/>
      <c r="C975" s="28"/>
      <c r="D975" s="27"/>
      <c r="E975" s="47" t="s">
        <v>2805</v>
      </c>
      <c r="F975" s="29" t="s">
        <v>2806</v>
      </c>
      <c r="G975" s="27" t="s">
        <v>1008</v>
      </c>
      <c r="H975" s="27" t="s">
        <v>249</v>
      </c>
      <c r="I975" s="27">
        <v>1</v>
      </c>
      <c r="J975" s="30">
        <v>148872641</v>
      </c>
      <c r="K975" s="26" t="s">
        <v>20</v>
      </c>
      <c r="L975" s="26" t="s">
        <v>423</v>
      </c>
      <c r="M975" s="31" t="s">
        <v>2807</v>
      </c>
      <c r="N975" s="7"/>
      <c r="O975" s="7" t="str">
        <f ca="1">IFERROR(__xludf.DUMMYFUNCTION("IFERROR(INDEX(Sheet1!$C:$C, MAX(FILTER(ROW(Sheet1!$B:$B), Sheet1!$B:$B=E975))), """")"),"")</f>
        <v/>
      </c>
      <c r="P975" s="23"/>
      <c r="Q975" s="2"/>
      <c r="R975" s="2"/>
      <c r="S975" s="2"/>
      <c r="T975" s="2"/>
      <c r="U975" s="2"/>
      <c r="V975" s="2"/>
      <c r="W975" s="2"/>
      <c r="X975" s="2"/>
      <c r="Y975" s="2"/>
    </row>
    <row r="976" spans="1:26" ht="12.75" customHeight="1">
      <c r="A976" s="26">
        <v>623</v>
      </c>
      <c r="B976" s="27" t="s">
        <v>470</v>
      </c>
      <c r="C976" s="28">
        <v>41983</v>
      </c>
      <c r="D976" s="27"/>
      <c r="E976" s="47" t="s">
        <v>2808</v>
      </c>
      <c r="F976" s="29" t="s">
        <v>2809</v>
      </c>
      <c r="G976" s="27" t="s">
        <v>1008</v>
      </c>
      <c r="H976" s="27" t="s">
        <v>19</v>
      </c>
      <c r="I976" s="27">
        <v>1</v>
      </c>
      <c r="J976" s="30">
        <v>1557657847</v>
      </c>
      <c r="K976" s="26" t="s">
        <v>20</v>
      </c>
      <c r="L976" s="26" t="s">
        <v>423</v>
      </c>
      <c r="M976" s="31" t="s">
        <v>2807</v>
      </c>
      <c r="N976" s="7"/>
      <c r="O976" s="7" t="str">
        <f ca="1">IFERROR(__xludf.DUMMYFUNCTION("IFERROR(INDEX(Sheet1!$C:$C, MAX(FILTER(ROW(Sheet1!$B:$B), Sheet1!$B:$B=E976))), """")"),"")</f>
        <v/>
      </c>
      <c r="P976" s="23"/>
      <c r="Q976" s="2"/>
      <c r="R976" s="2"/>
      <c r="S976" s="2"/>
      <c r="T976" s="2"/>
      <c r="U976" s="2"/>
      <c r="V976" s="2"/>
      <c r="W976" s="2"/>
      <c r="X976" s="2"/>
      <c r="Y976" s="2"/>
    </row>
    <row r="977" spans="1:25" ht="12.75" customHeight="1">
      <c r="A977" s="26" t="s">
        <v>2810</v>
      </c>
      <c r="B977" s="27"/>
      <c r="C977" s="28"/>
      <c r="D977" s="27"/>
      <c r="E977" s="47" t="s">
        <v>2811</v>
      </c>
      <c r="F977" s="29" t="s">
        <v>2812</v>
      </c>
      <c r="G977" s="27" t="s">
        <v>1008</v>
      </c>
      <c r="H977" s="27" t="s">
        <v>249</v>
      </c>
      <c r="I977" s="27">
        <v>1</v>
      </c>
      <c r="J977" s="30">
        <v>148872641</v>
      </c>
      <c r="K977" s="26" t="s">
        <v>20</v>
      </c>
      <c r="L977" s="26" t="s">
        <v>423</v>
      </c>
      <c r="M977" s="31" t="s">
        <v>2813</v>
      </c>
      <c r="N977" s="7"/>
      <c r="O977" s="7" t="str">
        <f ca="1">IFERROR(__xludf.DUMMYFUNCTION("IFERROR(INDEX(Sheet1!$C:$C, MAX(FILTER(ROW(Sheet1!$B:$B), Sheet1!$B:$B=E977))), """")"),"")</f>
        <v/>
      </c>
      <c r="P977" s="23"/>
      <c r="Q977" s="2"/>
      <c r="R977" s="2"/>
      <c r="S977" s="2"/>
      <c r="T977" s="2"/>
      <c r="U977" s="2"/>
      <c r="V977" s="2"/>
      <c r="W977" s="2"/>
      <c r="X977" s="2"/>
      <c r="Y977" s="2"/>
    </row>
    <row r="978" spans="1:25" ht="12.75" customHeight="1">
      <c r="A978" s="26" t="s">
        <v>2814</v>
      </c>
      <c r="B978" s="27"/>
      <c r="C978" s="28"/>
      <c r="D978" s="27"/>
      <c r="E978" s="47" t="s">
        <v>2815</v>
      </c>
      <c r="F978" s="29" t="s">
        <v>2816</v>
      </c>
      <c r="G978" s="27" t="s">
        <v>1008</v>
      </c>
      <c r="H978" s="27" t="s">
        <v>249</v>
      </c>
      <c r="I978" s="27">
        <v>1</v>
      </c>
      <c r="J978" s="30">
        <v>490488854</v>
      </c>
      <c r="K978" s="26" t="s">
        <v>20</v>
      </c>
      <c r="L978" s="26" t="s">
        <v>423</v>
      </c>
      <c r="M978" s="31" t="s">
        <v>2817</v>
      </c>
      <c r="N978" s="7"/>
      <c r="O978" s="7" t="str">
        <f ca="1">IFERROR(__xludf.DUMMYFUNCTION("IFERROR(INDEX(Sheet1!$C:$C, MAX(FILTER(ROW(Sheet1!$B:$B), Sheet1!$B:$B=E978))), """")"),"")</f>
        <v/>
      </c>
      <c r="P978" s="23"/>
      <c r="Q978" s="2"/>
      <c r="R978" s="2"/>
      <c r="S978" s="2"/>
      <c r="T978" s="2"/>
      <c r="U978" s="2"/>
      <c r="V978" s="2"/>
      <c r="W978" s="2"/>
      <c r="X978" s="2"/>
      <c r="Y978" s="2"/>
    </row>
    <row r="979" spans="1:25" ht="12.75" customHeight="1">
      <c r="A979" s="26">
        <v>624</v>
      </c>
      <c r="B979" s="27" t="s">
        <v>470</v>
      </c>
      <c r="C979" s="28">
        <v>41983</v>
      </c>
      <c r="D979" s="27"/>
      <c r="E979" s="47" t="s">
        <v>2818</v>
      </c>
      <c r="F979" s="29" t="s">
        <v>2819</v>
      </c>
      <c r="G979" s="27" t="s">
        <v>1008</v>
      </c>
      <c r="H979" s="27" t="s">
        <v>19</v>
      </c>
      <c r="I979" s="27">
        <v>1</v>
      </c>
      <c r="J979" s="30">
        <v>1557657847</v>
      </c>
      <c r="K979" s="26" t="s">
        <v>20</v>
      </c>
      <c r="L979" s="26" t="s">
        <v>423</v>
      </c>
      <c r="M979" s="31" t="s">
        <v>2817</v>
      </c>
      <c r="N979" s="7"/>
      <c r="O979" s="7" t="str">
        <f ca="1">IFERROR(__xludf.DUMMYFUNCTION("IFERROR(INDEX(Sheet1!$C:$C, MAX(FILTER(ROW(Sheet1!$B:$B), Sheet1!$B:$B=E979))), """")"),"")</f>
        <v/>
      </c>
      <c r="P979" s="23"/>
      <c r="Q979" s="2"/>
      <c r="R979" s="2"/>
      <c r="S979" s="2"/>
      <c r="T979" s="2"/>
      <c r="U979" s="2"/>
      <c r="V979" s="2"/>
      <c r="W979" s="2"/>
      <c r="X979" s="2"/>
      <c r="Y979" s="2"/>
    </row>
    <row r="980" spans="1:25" ht="12.75" customHeight="1">
      <c r="A980" s="26" t="s">
        <v>2820</v>
      </c>
      <c r="B980" s="27"/>
      <c r="C980" s="28"/>
      <c r="D980" s="27"/>
      <c r="E980" s="47" t="s">
        <v>2821</v>
      </c>
      <c r="F980" s="29" t="s">
        <v>2822</v>
      </c>
      <c r="G980" s="27" t="s">
        <v>1008</v>
      </c>
      <c r="H980" s="27" t="s">
        <v>249</v>
      </c>
      <c r="I980" s="27">
        <v>1</v>
      </c>
      <c r="J980" s="30">
        <v>148872641</v>
      </c>
      <c r="K980" s="26" t="s">
        <v>20</v>
      </c>
      <c r="L980" s="26" t="s">
        <v>423</v>
      </c>
      <c r="M980" s="31" t="s">
        <v>2795</v>
      </c>
      <c r="N980" s="7"/>
      <c r="O980" s="7" t="str">
        <f ca="1">IFERROR(__xludf.DUMMYFUNCTION("IFERROR(INDEX(Sheet1!$C:$C, MAX(FILTER(ROW(Sheet1!$B:$B), Sheet1!$B:$B=E980))), """")"),"")</f>
        <v/>
      </c>
      <c r="P980" s="23"/>
      <c r="Q980" s="2"/>
      <c r="R980" s="2"/>
      <c r="S980" s="2"/>
      <c r="T980" s="2"/>
      <c r="U980" s="2"/>
      <c r="V980" s="2"/>
      <c r="W980" s="2"/>
      <c r="X980" s="2"/>
      <c r="Y980" s="2"/>
    </row>
    <row r="981" spans="1:25" ht="12.75" customHeight="1">
      <c r="A981" s="26" t="s">
        <v>2823</v>
      </c>
      <c r="B981" s="27"/>
      <c r="C981" s="28"/>
      <c r="D981" s="27"/>
      <c r="E981" s="47" t="s">
        <v>2824</v>
      </c>
      <c r="F981" s="29" t="s">
        <v>2825</v>
      </c>
      <c r="G981" s="27" t="s">
        <v>1008</v>
      </c>
      <c r="H981" s="27" t="s">
        <v>249</v>
      </c>
      <c r="I981" s="27">
        <v>1</v>
      </c>
      <c r="J981" s="30">
        <v>490488854</v>
      </c>
      <c r="K981" s="26" t="s">
        <v>20</v>
      </c>
      <c r="L981" s="26" t="s">
        <v>423</v>
      </c>
      <c r="M981" s="31" t="s">
        <v>2795</v>
      </c>
      <c r="N981" s="7"/>
      <c r="O981" s="7" t="str">
        <f ca="1">IFERROR(__xludf.DUMMYFUNCTION("IFERROR(INDEX(Sheet1!$C:$C, MAX(FILTER(ROW(Sheet1!$B:$B), Sheet1!$B:$B=E981))), """")"),"")</f>
        <v/>
      </c>
      <c r="P981" s="23"/>
      <c r="Q981" s="2"/>
      <c r="R981" s="2"/>
      <c r="S981" s="2"/>
      <c r="T981" s="2"/>
      <c r="U981" s="2"/>
      <c r="V981" s="2"/>
      <c r="W981" s="2"/>
      <c r="X981" s="2"/>
      <c r="Y981" s="2"/>
    </row>
    <row r="982" spans="1:25" ht="12.75" customHeight="1">
      <c r="A982" s="26">
        <v>625</v>
      </c>
      <c r="B982" s="27" t="s">
        <v>470</v>
      </c>
      <c r="C982" s="28">
        <v>41983</v>
      </c>
      <c r="D982" s="27"/>
      <c r="E982" s="47" t="s">
        <v>2826</v>
      </c>
      <c r="F982" s="29" t="s">
        <v>2827</v>
      </c>
      <c r="G982" s="27" t="s">
        <v>1008</v>
      </c>
      <c r="H982" s="27" t="s">
        <v>19</v>
      </c>
      <c r="I982" s="27">
        <v>1</v>
      </c>
      <c r="J982" s="30">
        <v>1028120370</v>
      </c>
      <c r="K982" s="26" t="s">
        <v>20</v>
      </c>
      <c r="L982" s="26" t="s">
        <v>423</v>
      </c>
      <c r="M982" s="31" t="s">
        <v>2813</v>
      </c>
      <c r="N982" s="7"/>
      <c r="O982" s="7" t="str">
        <f ca="1">IFERROR(__xludf.DUMMYFUNCTION("IFERROR(INDEX(Sheet1!$C:$C, MAX(FILTER(ROW(Sheet1!$B:$B), Sheet1!$B:$B=E982))), """")"),"")</f>
        <v/>
      </c>
      <c r="P982" s="23"/>
      <c r="Q982" s="2"/>
      <c r="R982" s="2"/>
      <c r="S982" s="2"/>
      <c r="T982" s="2"/>
      <c r="U982" s="2"/>
      <c r="V982" s="2"/>
      <c r="W982" s="2"/>
      <c r="X982" s="2"/>
      <c r="Y982" s="2"/>
    </row>
    <row r="983" spans="1:25" ht="12.75" customHeight="1">
      <c r="A983" s="26" t="s">
        <v>2828</v>
      </c>
      <c r="B983" s="27"/>
      <c r="C983" s="28"/>
      <c r="D983" s="27"/>
      <c r="E983" s="47" t="s">
        <v>2829</v>
      </c>
      <c r="F983" s="29" t="s">
        <v>2830</v>
      </c>
      <c r="G983" s="27" t="s">
        <v>1008</v>
      </c>
      <c r="H983" s="27" t="s">
        <v>249</v>
      </c>
      <c r="I983" s="27">
        <v>1</v>
      </c>
      <c r="J983" s="30">
        <v>148872641</v>
      </c>
      <c r="K983" s="26" t="s">
        <v>20</v>
      </c>
      <c r="L983" s="26" t="s">
        <v>423</v>
      </c>
      <c r="M983" s="31" t="s">
        <v>2817</v>
      </c>
      <c r="N983" s="7"/>
      <c r="O983" s="7" t="str">
        <f ca="1">IFERROR(__xludf.DUMMYFUNCTION("IFERROR(INDEX(Sheet1!$C:$C, MAX(FILTER(ROW(Sheet1!$B:$B), Sheet1!$B:$B=E983))), """")"),"")</f>
        <v/>
      </c>
      <c r="P983" s="23"/>
      <c r="Q983" s="2"/>
      <c r="R983" s="2"/>
      <c r="S983" s="2"/>
      <c r="T983" s="2"/>
      <c r="U983" s="2"/>
      <c r="V983" s="2"/>
      <c r="W983" s="2"/>
      <c r="X983" s="2"/>
      <c r="Y983" s="2"/>
    </row>
    <row r="984" spans="1:25" ht="12.75" customHeight="1">
      <c r="A984" s="26">
        <v>626</v>
      </c>
      <c r="B984" s="27" t="s">
        <v>470</v>
      </c>
      <c r="C984" s="28">
        <v>41983</v>
      </c>
      <c r="D984" s="27"/>
      <c r="E984" s="47" t="s">
        <v>2831</v>
      </c>
      <c r="F984" s="29" t="s">
        <v>2832</v>
      </c>
      <c r="G984" s="27" t="s">
        <v>1008</v>
      </c>
      <c r="H984" s="27" t="s">
        <v>19</v>
      </c>
      <c r="I984" s="27">
        <v>1</v>
      </c>
      <c r="J984" s="30">
        <v>272885947</v>
      </c>
      <c r="K984" s="26" t="s">
        <v>20</v>
      </c>
      <c r="L984" s="26" t="s">
        <v>423</v>
      </c>
      <c r="M984" s="31" t="s">
        <v>2833</v>
      </c>
      <c r="N984" s="7"/>
      <c r="O984" s="7" t="str">
        <f ca="1">IFERROR(__xludf.DUMMYFUNCTION("IFERROR(INDEX(Sheet1!$C:$C, MAX(FILTER(ROW(Sheet1!$B:$B), Sheet1!$B:$B=E984))), """")"),"")</f>
        <v/>
      </c>
      <c r="P984" s="23"/>
      <c r="Q984" s="2"/>
      <c r="R984" s="2"/>
      <c r="S984" s="2"/>
      <c r="T984" s="2"/>
      <c r="U984" s="2"/>
      <c r="V984" s="2"/>
      <c r="W984" s="2"/>
      <c r="X984" s="2"/>
      <c r="Y984" s="2"/>
    </row>
    <row r="985" spans="1:25" ht="12.75" customHeight="1">
      <c r="A985" s="26">
        <v>627</v>
      </c>
      <c r="B985" s="27" t="s">
        <v>470</v>
      </c>
      <c r="C985" s="28">
        <v>41983</v>
      </c>
      <c r="D985" s="27"/>
      <c r="E985" s="47" t="s">
        <v>2834</v>
      </c>
      <c r="F985" s="29" t="s">
        <v>2835</v>
      </c>
      <c r="G985" s="27" t="s">
        <v>1008</v>
      </c>
      <c r="H985" s="27" t="s">
        <v>19</v>
      </c>
      <c r="I985" s="27">
        <v>1</v>
      </c>
      <c r="J985" s="30">
        <v>272885947</v>
      </c>
      <c r="K985" s="26" t="s">
        <v>20</v>
      </c>
      <c r="L985" s="26" t="s">
        <v>423</v>
      </c>
      <c r="M985" s="31" t="s">
        <v>2836</v>
      </c>
      <c r="N985" s="7"/>
      <c r="O985" s="7" t="str">
        <f ca="1">IFERROR(__xludf.DUMMYFUNCTION("IFERROR(INDEX(Sheet1!$C:$C, MAX(FILTER(ROW(Sheet1!$B:$B), Sheet1!$B:$B=E985))), """")"),"")</f>
        <v/>
      </c>
      <c r="P985" s="23"/>
      <c r="Q985" s="2"/>
      <c r="R985" s="2"/>
      <c r="S985" s="2"/>
      <c r="T985" s="2"/>
      <c r="U985" s="2"/>
      <c r="V985" s="2"/>
      <c r="W985" s="2"/>
      <c r="X985" s="2"/>
      <c r="Y985" s="2"/>
    </row>
    <row r="986" spans="1:25" ht="12.75" customHeight="1">
      <c r="A986" s="26">
        <v>628</v>
      </c>
      <c r="B986" s="27" t="s">
        <v>470</v>
      </c>
      <c r="C986" s="28">
        <v>41983</v>
      </c>
      <c r="D986" s="27"/>
      <c r="E986" s="47" t="s">
        <v>2837</v>
      </c>
      <c r="F986" s="29" t="s">
        <v>2838</v>
      </c>
      <c r="G986" s="27" t="s">
        <v>1008</v>
      </c>
      <c r="H986" s="27" t="s">
        <v>19</v>
      </c>
      <c r="I986" s="27">
        <v>1</v>
      </c>
      <c r="J986" s="30">
        <v>272885947</v>
      </c>
      <c r="K986" s="26" t="s">
        <v>20</v>
      </c>
      <c r="L986" s="26" t="s">
        <v>423</v>
      </c>
      <c r="M986" s="31" t="s">
        <v>2839</v>
      </c>
      <c r="N986" s="7"/>
      <c r="O986" s="7" t="str">
        <f ca="1">IFERROR(__xludf.DUMMYFUNCTION("IFERROR(INDEX(Sheet1!$C:$C, MAX(FILTER(ROW(Sheet1!$B:$B), Sheet1!$B:$B=E986))), """")"),"")</f>
        <v/>
      </c>
      <c r="P986" s="23"/>
      <c r="Q986" s="2"/>
      <c r="R986" s="2"/>
      <c r="S986" s="2"/>
      <c r="T986" s="2"/>
      <c r="U986" s="2"/>
      <c r="V986" s="2"/>
      <c r="W986" s="2"/>
      <c r="X986" s="2"/>
      <c r="Y986" s="2"/>
    </row>
    <row r="987" spans="1:25" ht="12.75" customHeight="1">
      <c r="A987" s="26">
        <v>629</v>
      </c>
      <c r="B987" s="27" t="s">
        <v>470</v>
      </c>
      <c r="C987" s="28">
        <v>41983</v>
      </c>
      <c r="D987" s="27"/>
      <c r="E987" s="47" t="s">
        <v>2840</v>
      </c>
      <c r="F987" s="29" t="s">
        <v>2841</v>
      </c>
      <c r="G987" s="27" t="s">
        <v>1008</v>
      </c>
      <c r="H987" s="27" t="s">
        <v>19</v>
      </c>
      <c r="I987" s="27">
        <v>1</v>
      </c>
      <c r="J987" s="30">
        <v>272885947</v>
      </c>
      <c r="K987" s="26" t="s">
        <v>20</v>
      </c>
      <c r="L987" s="26" t="s">
        <v>423</v>
      </c>
      <c r="M987" s="31" t="s">
        <v>2842</v>
      </c>
      <c r="N987" s="7"/>
      <c r="O987" s="7" t="str">
        <f ca="1">IFERROR(__xludf.DUMMYFUNCTION("IFERROR(INDEX(Sheet1!$C:$C, MAX(FILTER(ROW(Sheet1!$B:$B), Sheet1!$B:$B=E987))), """")"),"")</f>
        <v/>
      </c>
      <c r="P987" s="23"/>
      <c r="Q987" s="2"/>
      <c r="R987" s="2"/>
      <c r="S987" s="2"/>
      <c r="T987" s="2"/>
      <c r="U987" s="2"/>
      <c r="V987" s="2"/>
      <c r="W987" s="2"/>
      <c r="X987" s="2"/>
      <c r="Y987" s="2"/>
    </row>
    <row r="988" spans="1:25" ht="25.5" hidden="1" customHeight="1">
      <c r="A988" s="26">
        <v>630</v>
      </c>
      <c r="B988" s="27" t="s">
        <v>909</v>
      </c>
      <c r="C988" s="28">
        <v>41999</v>
      </c>
      <c r="D988" s="27"/>
      <c r="E988" s="27" t="s">
        <v>2843</v>
      </c>
      <c r="F988" s="29" t="s">
        <v>2844</v>
      </c>
      <c r="G988" s="27" t="s">
        <v>2726</v>
      </c>
      <c r="H988" s="27" t="s">
        <v>19</v>
      </c>
      <c r="I988" s="27">
        <v>1</v>
      </c>
      <c r="J988" s="30">
        <v>478617211</v>
      </c>
      <c r="K988" s="26" t="s">
        <v>20</v>
      </c>
      <c r="L988" s="26" t="s">
        <v>233</v>
      </c>
      <c r="M988" s="31" t="s">
        <v>2845</v>
      </c>
      <c r="N988" s="6"/>
      <c r="O988" s="6"/>
      <c r="P988" s="23"/>
      <c r="Q988" s="2"/>
      <c r="R988" s="2"/>
      <c r="S988" s="2"/>
      <c r="T988" s="2"/>
      <c r="U988" s="2"/>
      <c r="V988" s="2"/>
      <c r="W988" s="2"/>
      <c r="X988" s="2"/>
      <c r="Y988" s="2"/>
    </row>
    <row r="989" spans="1:25" ht="25.5" hidden="1" customHeight="1">
      <c r="A989" s="26">
        <v>631</v>
      </c>
      <c r="B989" s="27" t="s">
        <v>909</v>
      </c>
      <c r="C989" s="28">
        <v>41999</v>
      </c>
      <c r="D989" s="27"/>
      <c r="E989" s="27" t="s">
        <v>2846</v>
      </c>
      <c r="F989" s="29" t="s">
        <v>2847</v>
      </c>
      <c r="G989" s="27" t="s">
        <v>2726</v>
      </c>
      <c r="H989" s="27" t="s">
        <v>19</v>
      </c>
      <c r="I989" s="27">
        <v>1</v>
      </c>
      <c r="J989" s="30">
        <v>478617211</v>
      </c>
      <c r="K989" s="26" t="s">
        <v>20</v>
      </c>
      <c r="L989" s="26" t="s">
        <v>233</v>
      </c>
      <c r="M989" s="31" t="s">
        <v>2848</v>
      </c>
      <c r="N989" s="6"/>
      <c r="O989" s="6"/>
      <c r="P989" s="23"/>
      <c r="Q989" s="2"/>
      <c r="R989" s="2"/>
      <c r="S989" s="2"/>
      <c r="T989" s="2"/>
      <c r="U989" s="2"/>
      <c r="V989" s="2"/>
      <c r="W989" s="2"/>
      <c r="X989" s="2"/>
      <c r="Y989" s="2"/>
    </row>
    <row r="990" spans="1:25" ht="25.5" hidden="1" customHeight="1">
      <c r="A990" s="26">
        <v>632</v>
      </c>
      <c r="B990" s="27" t="s">
        <v>909</v>
      </c>
      <c r="C990" s="28">
        <v>41999</v>
      </c>
      <c r="D990" s="27"/>
      <c r="E990" s="27" t="s">
        <v>2849</v>
      </c>
      <c r="F990" s="29" t="s">
        <v>2850</v>
      </c>
      <c r="G990" s="27" t="s">
        <v>2726</v>
      </c>
      <c r="H990" s="27" t="s">
        <v>19</v>
      </c>
      <c r="I990" s="27">
        <v>1</v>
      </c>
      <c r="J990" s="30">
        <v>478617212</v>
      </c>
      <c r="K990" s="26" t="s">
        <v>20</v>
      </c>
      <c r="L990" s="26" t="s">
        <v>233</v>
      </c>
      <c r="M990" s="31" t="s">
        <v>2851</v>
      </c>
      <c r="N990" s="6"/>
      <c r="O990" s="6"/>
      <c r="P990" s="23"/>
      <c r="Q990" s="2"/>
      <c r="R990" s="2"/>
      <c r="S990" s="2"/>
      <c r="T990" s="2"/>
      <c r="U990" s="2"/>
      <c r="V990" s="2"/>
      <c r="W990" s="2"/>
      <c r="X990" s="2"/>
      <c r="Y990" s="2"/>
    </row>
    <row r="991" spans="1:25" ht="25.5" hidden="1" customHeight="1">
      <c r="A991" s="26">
        <v>633</v>
      </c>
      <c r="B991" s="27" t="s">
        <v>2852</v>
      </c>
      <c r="C991" s="28">
        <v>42216</v>
      </c>
      <c r="D991" s="27"/>
      <c r="E991" s="27" t="s">
        <v>2853</v>
      </c>
      <c r="F991" s="29" t="s">
        <v>2854</v>
      </c>
      <c r="G991" s="27" t="s">
        <v>2726</v>
      </c>
      <c r="H991" s="27" t="s">
        <v>19</v>
      </c>
      <c r="I991" s="27">
        <v>1</v>
      </c>
      <c r="J991" s="30">
        <v>115063355</v>
      </c>
      <c r="K991" s="26" t="s">
        <v>20</v>
      </c>
      <c r="L991" s="26" t="s">
        <v>233</v>
      </c>
      <c r="M991" s="31" t="s">
        <v>2845</v>
      </c>
      <c r="N991" s="6"/>
      <c r="O991" s="6"/>
      <c r="P991" s="23"/>
      <c r="Q991" s="2"/>
      <c r="R991" s="2"/>
      <c r="S991" s="2"/>
      <c r="T991" s="2"/>
      <c r="U991" s="2"/>
      <c r="V991" s="2"/>
      <c r="W991" s="2"/>
      <c r="X991" s="2"/>
      <c r="Y991" s="2"/>
    </row>
    <row r="992" spans="1:25" ht="25.5" hidden="1" customHeight="1">
      <c r="A992" s="26">
        <v>634</v>
      </c>
      <c r="B992" s="27" t="s">
        <v>2852</v>
      </c>
      <c r="C992" s="28">
        <v>42216</v>
      </c>
      <c r="D992" s="27"/>
      <c r="E992" s="27" t="s">
        <v>2855</v>
      </c>
      <c r="F992" s="29" t="s">
        <v>2856</v>
      </c>
      <c r="G992" s="27" t="s">
        <v>2726</v>
      </c>
      <c r="H992" s="27" t="s">
        <v>19</v>
      </c>
      <c r="I992" s="27">
        <v>1</v>
      </c>
      <c r="J992" s="30">
        <v>115063355</v>
      </c>
      <c r="K992" s="26" t="s">
        <v>20</v>
      </c>
      <c r="L992" s="26" t="s">
        <v>233</v>
      </c>
      <c r="M992" s="31" t="s">
        <v>2848</v>
      </c>
      <c r="N992" s="6"/>
      <c r="O992" s="6"/>
      <c r="P992" s="23"/>
      <c r="Q992" s="2"/>
      <c r="R992" s="2"/>
      <c r="S992" s="2"/>
      <c r="T992" s="2"/>
      <c r="U992" s="2"/>
      <c r="V992" s="2"/>
      <c r="W992" s="2"/>
      <c r="X992" s="2"/>
      <c r="Y992" s="2"/>
    </row>
    <row r="993" spans="1:25" ht="25.5" hidden="1" customHeight="1">
      <c r="A993" s="26">
        <v>635</v>
      </c>
      <c r="B993" s="27" t="s">
        <v>2852</v>
      </c>
      <c r="C993" s="28">
        <v>42216</v>
      </c>
      <c r="D993" s="27"/>
      <c r="E993" s="27" t="s">
        <v>2857</v>
      </c>
      <c r="F993" s="29" t="s">
        <v>2858</v>
      </c>
      <c r="G993" s="27" t="s">
        <v>2726</v>
      </c>
      <c r="H993" s="27" t="s">
        <v>19</v>
      </c>
      <c r="I993" s="27">
        <v>1</v>
      </c>
      <c r="J993" s="30">
        <v>115063355</v>
      </c>
      <c r="K993" s="26" t="s">
        <v>20</v>
      </c>
      <c r="L993" s="26" t="s">
        <v>233</v>
      </c>
      <c r="M993" s="31" t="s">
        <v>2851</v>
      </c>
      <c r="N993" s="6"/>
      <c r="O993" s="6"/>
      <c r="P993" s="23"/>
      <c r="Q993" s="2"/>
      <c r="R993" s="2"/>
      <c r="S993" s="2"/>
      <c r="T993" s="2"/>
      <c r="U993" s="2"/>
      <c r="V993" s="2"/>
      <c r="W993" s="2"/>
      <c r="X993" s="2"/>
      <c r="Y993" s="2"/>
    </row>
    <row r="994" spans="1:25" ht="25.5" hidden="1" customHeight="1">
      <c r="A994" s="26">
        <v>636</v>
      </c>
      <c r="B994" s="27" t="s">
        <v>973</v>
      </c>
      <c r="C994" s="28">
        <v>43799</v>
      </c>
      <c r="D994" s="27"/>
      <c r="E994" s="27" t="s">
        <v>2859</v>
      </c>
      <c r="F994" s="29" t="s">
        <v>2860</v>
      </c>
      <c r="G994" s="27" t="s">
        <v>55</v>
      </c>
      <c r="H994" s="27" t="s">
        <v>19</v>
      </c>
      <c r="I994" s="27">
        <v>1</v>
      </c>
      <c r="J994" s="30">
        <v>8062243572</v>
      </c>
      <c r="K994" s="26" t="s">
        <v>20</v>
      </c>
      <c r="L994" s="26" t="s">
        <v>295</v>
      </c>
      <c r="M994" s="31" t="s">
        <v>2861</v>
      </c>
      <c r="N994" s="6"/>
      <c r="O994" s="6"/>
      <c r="P994" s="23"/>
      <c r="Q994" s="2"/>
      <c r="R994" s="2"/>
      <c r="S994" s="2"/>
      <c r="T994" s="2"/>
      <c r="U994" s="2"/>
      <c r="V994" s="2"/>
      <c r="W994" s="2"/>
      <c r="X994" s="2"/>
      <c r="Y994" s="2"/>
    </row>
    <row r="995" spans="1:25" ht="12.75" hidden="1" customHeight="1">
      <c r="A995" s="26" t="s">
        <v>2862</v>
      </c>
      <c r="B995" s="27"/>
      <c r="C995" s="28"/>
      <c r="D995" s="27"/>
      <c r="E995" s="27" t="s">
        <v>2863</v>
      </c>
      <c r="F995" s="29" t="s">
        <v>2864</v>
      </c>
      <c r="G995" s="27"/>
      <c r="H995" s="27" t="s">
        <v>249</v>
      </c>
      <c r="I995" s="27">
        <v>1</v>
      </c>
      <c r="J995" s="30">
        <v>0</v>
      </c>
      <c r="K995" s="26" t="s">
        <v>20</v>
      </c>
      <c r="L995" s="26" t="s">
        <v>295</v>
      </c>
      <c r="M995" s="31" t="s">
        <v>2861</v>
      </c>
      <c r="N995" s="6"/>
      <c r="O995" s="6"/>
      <c r="P995" s="23"/>
      <c r="Q995" s="2"/>
      <c r="R995" s="2"/>
      <c r="S995" s="2"/>
      <c r="T995" s="2"/>
      <c r="U995" s="2"/>
      <c r="V995" s="2"/>
      <c r="W995" s="2"/>
      <c r="X995" s="2"/>
      <c r="Y995" s="2"/>
    </row>
    <row r="996" spans="1:25" ht="12.75" hidden="1" customHeight="1">
      <c r="A996" s="26" t="s">
        <v>2865</v>
      </c>
      <c r="B996" s="27"/>
      <c r="C996" s="28"/>
      <c r="D996" s="27"/>
      <c r="E996" s="27" t="s">
        <v>2866</v>
      </c>
      <c r="F996" s="29" t="s">
        <v>2867</v>
      </c>
      <c r="G996" s="27"/>
      <c r="H996" s="27" t="s">
        <v>249</v>
      </c>
      <c r="I996" s="27">
        <v>1</v>
      </c>
      <c r="J996" s="30">
        <v>0</v>
      </c>
      <c r="K996" s="26" t="s">
        <v>20</v>
      </c>
      <c r="L996" s="26" t="s">
        <v>295</v>
      </c>
      <c r="M996" s="31" t="s">
        <v>2861</v>
      </c>
      <c r="N996" s="6"/>
      <c r="O996" s="6"/>
      <c r="P996" s="23"/>
      <c r="Q996" s="2"/>
      <c r="R996" s="2"/>
      <c r="S996" s="2"/>
      <c r="T996" s="2"/>
      <c r="U996" s="2"/>
      <c r="V996" s="2"/>
      <c r="W996" s="2"/>
      <c r="X996" s="2"/>
      <c r="Y996" s="2"/>
    </row>
    <row r="997" spans="1:25" ht="12.75" hidden="1" customHeight="1">
      <c r="A997" s="26" t="s">
        <v>2868</v>
      </c>
      <c r="B997" s="27"/>
      <c r="C997" s="28"/>
      <c r="D997" s="27"/>
      <c r="E997" s="27" t="s">
        <v>2869</v>
      </c>
      <c r="F997" s="29" t="s">
        <v>2870</v>
      </c>
      <c r="G997" s="27"/>
      <c r="H997" s="27" t="s">
        <v>249</v>
      </c>
      <c r="I997" s="27">
        <v>1</v>
      </c>
      <c r="J997" s="30">
        <v>0</v>
      </c>
      <c r="K997" s="26" t="s">
        <v>20</v>
      </c>
      <c r="L997" s="26" t="s">
        <v>295</v>
      </c>
      <c r="M997" s="31" t="s">
        <v>2861</v>
      </c>
      <c r="N997" s="6"/>
      <c r="O997" s="6"/>
      <c r="P997" s="23"/>
      <c r="Q997" s="2"/>
      <c r="R997" s="2"/>
      <c r="S997" s="2"/>
      <c r="T997" s="2"/>
      <c r="U997" s="2"/>
      <c r="V997" s="2"/>
      <c r="W997" s="2"/>
      <c r="X997" s="2"/>
      <c r="Y997" s="2"/>
    </row>
    <row r="998" spans="1:25" ht="12.75" hidden="1" customHeight="1">
      <c r="A998" s="26" t="s">
        <v>2871</v>
      </c>
      <c r="B998" s="27"/>
      <c r="C998" s="28"/>
      <c r="D998" s="27"/>
      <c r="E998" s="27" t="s">
        <v>2872</v>
      </c>
      <c r="F998" s="29" t="s">
        <v>2873</v>
      </c>
      <c r="G998" s="27"/>
      <c r="H998" s="27" t="s">
        <v>249</v>
      </c>
      <c r="I998" s="27">
        <v>1</v>
      </c>
      <c r="J998" s="30">
        <v>0</v>
      </c>
      <c r="K998" s="26" t="s">
        <v>20</v>
      </c>
      <c r="L998" s="26" t="s">
        <v>295</v>
      </c>
      <c r="M998" s="31" t="s">
        <v>2861</v>
      </c>
      <c r="N998" s="6"/>
      <c r="O998" s="6"/>
      <c r="P998" s="23"/>
      <c r="Q998" s="2"/>
      <c r="R998" s="2"/>
      <c r="S998" s="2"/>
      <c r="T998" s="2"/>
      <c r="U998" s="2"/>
      <c r="V998" s="2"/>
      <c r="W998" s="2"/>
      <c r="X998" s="2"/>
      <c r="Y998" s="2"/>
    </row>
    <row r="999" spans="1:25" ht="12.75" hidden="1" customHeight="1">
      <c r="A999" s="26" t="s">
        <v>2874</v>
      </c>
      <c r="B999" s="27"/>
      <c r="C999" s="28"/>
      <c r="D999" s="27"/>
      <c r="E999" s="27" t="s">
        <v>2875</v>
      </c>
      <c r="F999" s="29" t="s">
        <v>2876</v>
      </c>
      <c r="G999" s="27"/>
      <c r="H999" s="27" t="s">
        <v>249</v>
      </c>
      <c r="I999" s="27">
        <v>1</v>
      </c>
      <c r="J999" s="30">
        <v>0</v>
      </c>
      <c r="K999" s="26" t="s">
        <v>20</v>
      </c>
      <c r="L999" s="26" t="s">
        <v>295</v>
      </c>
      <c r="M999" s="31" t="s">
        <v>2861</v>
      </c>
      <c r="N999" s="6"/>
      <c r="O999" s="6"/>
      <c r="P999" s="23"/>
      <c r="Q999" s="2"/>
      <c r="R999" s="2"/>
      <c r="S999" s="2"/>
      <c r="T999" s="2"/>
      <c r="U999" s="2"/>
      <c r="V999" s="2"/>
      <c r="W999" s="2"/>
      <c r="X999" s="2"/>
      <c r="Y999" s="2"/>
    </row>
    <row r="1000" spans="1:25" ht="25.5" hidden="1" customHeight="1">
      <c r="A1000" s="26">
        <v>637</v>
      </c>
      <c r="B1000" s="27" t="s">
        <v>2012</v>
      </c>
      <c r="C1000" s="28">
        <v>43798</v>
      </c>
      <c r="D1000" s="27"/>
      <c r="E1000" s="60" t="s">
        <v>2877</v>
      </c>
      <c r="F1000" s="29" t="s">
        <v>2878</v>
      </c>
      <c r="G1000" s="27" t="s">
        <v>307</v>
      </c>
      <c r="H1000" s="27" t="s">
        <v>249</v>
      </c>
      <c r="I1000" s="27">
        <v>1</v>
      </c>
      <c r="J1000" s="30">
        <v>78660000</v>
      </c>
      <c r="K1000" s="26" t="s">
        <v>20</v>
      </c>
      <c r="L1000" s="36" t="s">
        <v>229</v>
      </c>
      <c r="M1000" s="31" t="str">
        <f>IFERROR(VLOOKUP(E1000, TSCD_XUAN!$C$7:$K$1000, 9, 0), "Không tìm thấy")</f>
        <v>A2-MC cam boom ống kính wide</v>
      </c>
      <c r="N1000" s="6"/>
      <c r="O1000" s="6"/>
      <c r="P1000" s="23"/>
      <c r="Q1000" s="2"/>
      <c r="R1000" s="2"/>
      <c r="S1000" s="2"/>
      <c r="T1000" s="2"/>
      <c r="U1000" s="2"/>
      <c r="V1000" s="2"/>
      <c r="W1000" s="2"/>
      <c r="X1000" s="2"/>
      <c r="Y1000" s="2"/>
    </row>
    <row r="1001" spans="1:25" ht="25.5" hidden="1" customHeight="1">
      <c r="A1001" s="26" t="s">
        <v>2879</v>
      </c>
      <c r="B1001" s="27"/>
      <c r="C1001" s="28"/>
      <c r="D1001" s="27"/>
      <c r="E1001" s="60" t="s">
        <v>2880</v>
      </c>
      <c r="F1001" s="29" t="s">
        <v>2881</v>
      </c>
      <c r="G1001" s="27" t="s">
        <v>1008</v>
      </c>
      <c r="H1001" s="27" t="s">
        <v>249</v>
      </c>
      <c r="I1001" s="27">
        <v>1</v>
      </c>
      <c r="J1001" s="30">
        <v>27560000</v>
      </c>
      <c r="K1001" s="26" t="s">
        <v>20</v>
      </c>
      <c r="L1001" s="36" t="s">
        <v>229</v>
      </c>
      <c r="M1001" s="31" t="str">
        <f>IFERROR(VLOOKUP(E1001, TSCD_XUAN!$C$7:$K$1000, 9, 0), "Không tìm thấy")</f>
        <v>A2-MC cam boom ống kính wide</v>
      </c>
      <c r="N1001" s="6"/>
      <c r="O1001" s="6"/>
      <c r="P1001" s="23"/>
      <c r="Q1001" s="2"/>
      <c r="R1001" s="2"/>
      <c r="S1001" s="2"/>
      <c r="T1001" s="2"/>
      <c r="U1001" s="2"/>
      <c r="V1001" s="2"/>
      <c r="W1001" s="2"/>
      <c r="X1001" s="2"/>
      <c r="Y1001" s="2"/>
    </row>
    <row r="1002" spans="1:25" ht="25.5" hidden="1" customHeight="1">
      <c r="A1002" s="26">
        <v>638</v>
      </c>
      <c r="B1002" s="27" t="s">
        <v>2012</v>
      </c>
      <c r="C1002" s="28">
        <v>43798</v>
      </c>
      <c r="D1002" s="27"/>
      <c r="E1002" s="27" t="s">
        <v>2882</v>
      </c>
      <c r="F1002" s="29" t="s">
        <v>2883</v>
      </c>
      <c r="G1002" s="27" t="s">
        <v>307</v>
      </c>
      <c r="H1002" s="27" t="s">
        <v>249</v>
      </c>
      <c r="I1002" s="27">
        <v>1</v>
      </c>
      <c r="J1002" s="30">
        <v>71490000</v>
      </c>
      <c r="K1002" s="26" t="s">
        <v>20</v>
      </c>
      <c r="L1002" s="36" t="s">
        <v>229</v>
      </c>
      <c r="M1002" s="31" t="str">
        <f>IFERROR(VLOOKUP(E1002, TSCD_XUAN!$C$7:$K$1000, 9, 0), "Không tìm thấy")</f>
        <v>Kho lầu 2</v>
      </c>
      <c r="N1002" s="6"/>
      <c r="O1002" s="6"/>
      <c r="P1002" s="23"/>
      <c r="Q1002" s="2"/>
      <c r="R1002" s="2"/>
      <c r="S1002" s="2"/>
      <c r="T1002" s="2"/>
      <c r="U1002" s="2"/>
      <c r="V1002" s="2"/>
      <c r="W1002" s="2"/>
      <c r="X1002" s="2"/>
      <c r="Y1002" s="2"/>
    </row>
    <row r="1003" spans="1:25" ht="12.75" hidden="1" customHeight="1">
      <c r="A1003" s="26" t="s">
        <v>2884</v>
      </c>
      <c r="B1003" s="27"/>
      <c r="C1003" s="28"/>
      <c r="D1003" s="27"/>
      <c r="E1003" s="27" t="s">
        <v>2885</v>
      </c>
      <c r="F1003" s="29" t="s">
        <v>2886</v>
      </c>
      <c r="G1003" s="27" t="s">
        <v>248</v>
      </c>
      <c r="H1003" s="27" t="s">
        <v>249</v>
      </c>
      <c r="I1003" s="27">
        <v>1</v>
      </c>
      <c r="J1003" s="30">
        <v>20390000</v>
      </c>
      <c r="K1003" s="26" t="s">
        <v>20</v>
      </c>
      <c r="L1003" s="36" t="s">
        <v>229</v>
      </c>
      <c r="M1003" s="31" t="str">
        <f>IFERROR(VLOOKUP(E1003, TSCD_XUAN!$C$7:$K$1000, 9, 0), "Không tìm thấy")</f>
        <v>Kho lầu 2</v>
      </c>
      <c r="N1003" s="6"/>
      <c r="O1003" s="6"/>
      <c r="P1003" s="23"/>
      <c r="Q1003" s="2"/>
      <c r="R1003" s="2"/>
      <c r="S1003" s="2"/>
      <c r="T1003" s="2"/>
      <c r="U1003" s="2"/>
      <c r="V1003" s="2"/>
      <c r="W1003" s="2"/>
      <c r="X1003" s="2"/>
      <c r="Y1003" s="2"/>
    </row>
    <row r="1004" spans="1:25" ht="25.5" hidden="1" customHeight="1">
      <c r="A1004" s="26">
        <v>639</v>
      </c>
      <c r="B1004" s="27" t="s">
        <v>2012</v>
      </c>
      <c r="C1004" s="28">
        <v>43798</v>
      </c>
      <c r="D1004" s="27"/>
      <c r="E1004" s="27" t="s">
        <v>2887</v>
      </c>
      <c r="F1004" s="29" t="s">
        <v>2888</v>
      </c>
      <c r="G1004" s="27" t="s">
        <v>307</v>
      </c>
      <c r="H1004" s="27" t="s">
        <v>249</v>
      </c>
      <c r="I1004" s="27">
        <v>1</v>
      </c>
      <c r="J1004" s="30">
        <v>71490000</v>
      </c>
      <c r="K1004" s="26" t="s">
        <v>20</v>
      </c>
      <c r="L1004" s="36" t="s">
        <v>229</v>
      </c>
      <c r="M1004" s="31" t="str">
        <f>IFERROR(VLOOKUP(E1004, TSCD_XUAN!$C$7:$K$1000, 9, 0), "Không tìm thấy")</f>
        <v>Kho lầu 2</v>
      </c>
      <c r="N1004" s="6"/>
      <c r="O1004" s="6"/>
      <c r="P1004" s="23"/>
      <c r="Q1004" s="2"/>
      <c r="R1004" s="2"/>
      <c r="S1004" s="2"/>
      <c r="T1004" s="2"/>
      <c r="U1004" s="2"/>
      <c r="V1004" s="2"/>
      <c r="W1004" s="2"/>
      <c r="X1004" s="2"/>
      <c r="Y1004" s="2"/>
    </row>
    <row r="1005" spans="1:25" ht="12.75" hidden="1" customHeight="1">
      <c r="A1005" s="26" t="s">
        <v>2889</v>
      </c>
      <c r="B1005" s="27"/>
      <c r="C1005" s="28"/>
      <c r="D1005" s="27"/>
      <c r="E1005" s="27" t="s">
        <v>2890</v>
      </c>
      <c r="F1005" s="29" t="s">
        <v>2891</v>
      </c>
      <c r="G1005" s="27" t="s">
        <v>248</v>
      </c>
      <c r="H1005" s="27" t="s">
        <v>249</v>
      </c>
      <c r="I1005" s="27">
        <v>1</v>
      </c>
      <c r="J1005" s="30">
        <v>20390000</v>
      </c>
      <c r="K1005" s="26" t="s">
        <v>20</v>
      </c>
      <c r="L1005" s="36" t="s">
        <v>229</v>
      </c>
      <c r="M1005" s="31" t="str">
        <f>IFERROR(VLOOKUP(E1005, TSCD_XUAN!$C$7:$K$1000, 9, 0), "Không tìm thấy")</f>
        <v>Kho lầu 2</v>
      </c>
      <c r="N1005" s="6"/>
      <c r="O1005" s="6"/>
      <c r="P1005" s="23"/>
      <c r="Q1005" s="2"/>
      <c r="R1005" s="2"/>
      <c r="S1005" s="2"/>
      <c r="T1005" s="2"/>
      <c r="U1005" s="2"/>
      <c r="V1005" s="2"/>
      <c r="W1005" s="2"/>
      <c r="X1005" s="2"/>
      <c r="Y1005" s="2"/>
    </row>
    <row r="1006" spans="1:25" ht="25" hidden="1">
      <c r="A1006" s="26">
        <v>640</v>
      </c>
      <c r="B1006" s="27" t="s">
        <v>281</v>
      </c>
      <c r="C1006" s="28">
        <v>41044</v>
      </c>
      <c r="D1006" s="27"/>
      <c r="E1006" s="27" t="s">
        <v>2892</v>
      </c>
      <c r="F1006" s="29" t="s">
        <v>2893</v>
      </c>
      <c r="G1006" s="27" t="s">
        <v>35</v>
      </c>
      <c r="H1006" s="27" t="s">
        <v>19</v>
      </c>
      <c r="I1006" s="27">
        <v>1</v>
      </c>
      <c r="J1006" s="30">
        <v>229000000</v>
      </c>
      <c r="K1006" s="26" t="s">
        <v>20</v>
      </c>
      <c r="L1006" s="36" t="s">
        <v>229</v>
      </c>
      <c r="M1006" s="31" t="str">
        <f>IFERROR(VLOOKUP(E1006, TSCD_XUAN!$C$7:$K$1000, 9, 0), "Không tìm thấy")</f>
        <v>A2-Kho rack, đề nghị thanh lý</v>
      </c>
      <c r="N1006" s="6"/>
      <c r="O1006" s="6" t="s">
        <v>923</v>
      </c>
      <c r="P1006" s="23"/>
      <c r="Q1006" s="2"/>
      <c r="R1006" s="2"/>
      <c r="S1006" s="2"/>
      <c r="T1006" s="2"/>
      <c r="U1006" s="2"/>
      <c r="V1006" s="2"/>
      <c r="W1006" s="2"/>
      <c r="X1006" s="2"/>
      <c r="Y1006" s="2"/>
    </row>
    <row r="1007" spans="1:25" ht="12.75" hidden="1" customHeight="1">
      <c r="A1007" s="26" t="s">
        <v>2894</v>
      </c>
      <c r="B1007" s="27"/>
      <c r="C1007" s="28"/>
      <c r="D1007" s="27"/>
      <c r="E1007" s="27" t="s">
        <v>2895</v>
      </c>
      <c r="F1007" s="29" t="s">
        <v>2896</v>
      </c>
      <c r="G1007" s="27"/>
      <c r="H1007" s="27"/>
      <c r="I1007" s="27">
        <v>1</v>
      </c>
      <c r="J1007" s="30">
        <v>0</v>
      </c>
      <c r="K1007" s="26" t="s">
        <v>20</v>
      </c>
      <c r="L1007" s="36" t="s">
        <v>229</v>
      </c>
      <c r="M1007" s="31" t="str">
        <f>IFERROR(VLOOKUP(E1007, TSCD_XUAN!$C$7:$K$1000, 9, 0), "Không tìm thấy")</f>
        <v>A2-Control: rack, Màn hình xem webcam MCR cũ</v>
      </c>
      <c r="N1007" s="6"/>
      <c r="O1007" s="6"/>
      <c r="P1007" s="23"/>
      <c r="Q1007" s="2"/>
      <c r="R1007" s="2"/>
      <c r="S1007" s="2"/>
      <c r="T1007" s="2"/>
      <c r="U1007" s="2"/>
      <c r="V1007" s="2"/>
      <c r="W1007" s="2"/>
      <c r="X1007" s="2"/>
      <c r="Y1007" s="2"/>
    </row>
    <row r="1008" spans="1:25" ht="25.5" hidden="1" customHeight="1">
      <c r="A1008" s="26">
        <v>641</v>
      </c>
      <c r="B1008" s="27" t="s">
        <v>388</v>
      </c>
      <c r="C1008" s="28">
        <v>41576</v>
      </c>
      <c r="D1008" s="27"/>
      <c r="E1008" s="27" t="s">
        <v>2897</v>
      </c>
      <c r="F1008" s="29" t="s">
        <v>2898</v>
      </c>
      <c r="G1008" s="27" t="s">
        <v>307</v>
      </c>
      <c r="H1008" s="27" t="s">
        <v>249</v>
      </c>
      <c r="I1008" s="27">
        <v>1</v>
      </c>
      <c r="J1008" s="30">
        <v>338510737</v>
      </c>
      <c r="K1008" s="26" t="s">
        <v>36</v>
      </c>
      <c r="L1008" s="26" t="s">
        <v>37</v>
      </c>
      <c r="M1008" s="31" t="s">
        <v>2899</v>
      </c>
      <c r="N1008" s="6"/>
      <c r="O1008" s="6"/>
      <c r="P1008" s="23"/>
      <c r="Q1008" s="2"/>
      <c r="R1008" s="2"/>
      <c r="S1008" s="2"/>
      <c r="T1008" s="2"/>
      <c r="U1008" s="2"/>
      <c r="V1008" s="2"/>
      <c r="W1008" s="2"/>
      <c r="X1008" s="2"/>
      <c r="Y1008" s="2"/>
    </row>
    <row r="1009" spans="1:25" ht="25.5" hidden="1" customHeight="1">
      <c r="A1009" s="26">
        <v>642</v>
      </c>
      <c r="B1009" s="27" t="s">
        <v>388</v>
      </c>
      <c r="C1009" s="28">
        <v>41576</v>
      </c>
      <c r="D1009" s="27"/>
      <c r="E1009" s="27" t="s">
        <v>2900</v>
      </c>
      <c r="F1009" s="29" t="s">
        <v>2901</v>
      </c>
      <c r="G1009" s="27" t="s">
        <v>307</v>
      </c>
      <c r="H1009" s="27" t="s">
        <v>249</v>
      </c>
      <c r="I1009" s="27">
        <v>1</v>
      </c>
      <c r="J1009" s="30">
        <v>338510737</v>
      </c>
      <c r="K1009" s="26" t="s">
        <v>36</v>
      </c>
      <c r="L1009" s="26" t="s">
        <v>37</v>
      </c>
      <c r="M1009" s="31" t="s">
        <v>2899</v>
      </c>
      <c r="N1009" s="6"/>
      <c r="O1009" s="6"/>
      <c r="P1009" s="23"/>
      <c r="Q1009" s="2"/>
      <c r="R1009" s="2"/>
      <c r="S1009" s="2"/>
      <c r="T1009" s="2"/>
      <c r="U1009" s="2"/>
      <c r="V1009" s="2"/>
      <c r="W1009" s="2"/>
      <c r="X1009" s="2"/>
      <c r="Y1009" s="2"/>
    </row>
    <row r="1010" spans="1:25" ht="25.5" hidden="1" customHeight="1">
      <c r="A1010" s="26">
        <v>643</v>
      </c>
      <c r="B1010" s="27" t="s">
        <v>388</v>
      </c>
      <c r="C1010" s="28">
        <v>41576</v>
      </c>
      <c r="D1010" s="27"/>
      <c r="E1010" s="27" t="s">
        <v>2902</v>
      </c>
      <c r="F1010" s="29" t="s">
        <v>2903</v>
      </c>
      <c r="G1010" s="27" t="s">
        <v>307</v>
      </c>
      <c r="H1010" s="27" t="s">
        <v>249</v>
      </c>
      <c r="I1010" s="27">
        <v>1</v>
      </c>
      <c r="J1010" s="30">
        <v>338510737</v>
      </c>
      <c r="K1010" s="26" t="s">
        <v>36</v>
      </c>
      <c r="L1010" s="26" t="s">
        <v>37</v>
      </c>
      <c r="M1010" s="31" t="s">
        <v>2899</v>
      </c>
      <c r="N1010" s="6"/>
      <c r="O1010" s="6"/>
      <c r="P1010" s="23"/>
      <c r="Q1010" s="2"/>
      <c r="R1010" s="2"/>
      <c r="S1010" s="2"/>
      <c r="T1010" s="2"/>
      <c r="U1010" s="2"/>
      <c r="V1010" s="2"/>
      <c r="W1010" s="2"/>
      <c r="X1010" s="2"/>
      <c r="Y1010" s="2"/>
    </row>
    <row r="1011" spans="1:25" ht="12.75" hidden="1" customHeight="1">
      <c r="A1011" s="38">
        <v>644</v>
      </c>
      <c r="B1011" s="27" t="s">
        <v>1005</v>
      </c>
      <c r="C1011" s="40">
        <v>39994</v>
      </c>
      <c r="D1011" s="27"/>
      <c r="E1011" s="39" t="s">
        <v>2904</v>
      </c>
      <c r="F1011" s="41" t="s">
        <v>2905</v>
      </c>
      <c r="G1011" s="27" t="s">
        <v>248</v>
      </c>
      <c r="H1011" s="27" t="s">
        <v>569</v>
      </c>
      <c r="I1011" s="27">
        <v>1</v>
      </c>
      <c r="J1011" s="42">
        <v>103101638</v>
      </c>
      <c r="K1011" s="38" t="s">
        <v>206</v>
      </c>
      <c r="L1011" s="38" t="s">
        <v>2906</v>
      </c>
      <c r="M1011" s="43" t="s">
        <v>2907</v>
      </c>
      <c r="N1011" s="6"/>
      <c r="O1011" s="6"/>
      <c r="P1011" s="23"/>
      <c r="Q1011" s="2"/>
      <c r="R1011" s="2"/>
      <c r="S1011" s="2"/>
      <c r="T1011" s="2"/>
      <c r="U1011" s="2"/>
      <c r="V1011" s="2"/>
      <c r="W1011" s="2"/>
      <c r="X1011" s="2"/>
      <c r="Y1011" s="2"/>
    </row>
    <row r="1012" spans="1:25" ht="25.5" hidden="1" customHeight="1">
      <c r="A1012" s="26">
        <v>645</v>
      </c>
      <c r="B1012" s="27" t="s">
        <v>1005</v>
      </c>
      <c r="C1012" s="28">
        <v>39994</v>
      </c>
      <c r="D1012" s="27"/>
      <c r="E1012" s="27" t="s">
        <v>2908</v>
      </c>
      <c r="F1012" s="29" t="s">
        <v>2909</v>
      </c>
      <c r="G1012" s="27" t="s">
        <v>1008</v>
      </c>
      <c r="H1012" s="27" t="s">
        <v>569</v>
      </c>
      <c r="I1012" s="27">
        <v>1</v>
      </c>
      <c r="J1012" s="30">
        <v>103874900</v>
      </c>
      <c r="K1012" s="26" t="s">
        <v>20</v>
      </c>
      <c r="L1012" s="36" t="s">
        <v>229</v>
      </c>
      <c r="M1012" s="31" t="str">
        <f>IFERROR(VLOOKUP(E1012, TSCD_XUAN!$C$7:$K$1000, 9, 0), "Không tìm thấy")</f>
        <v>A2-kho: rack - đề nghị TL</v>
      </c>
      <c r="N1012" s="6"/>
      <c r="O1012" s="6"/>
      <c r="P1012" s="23"/>
      <c r="Q1012" s="2"/>
      <c r="R1012" s="2"/>
      <c r="S1012" s="2"/>
      <c r="T1012" s="2"/>
      <c r="U1012" s="2"/>
      <c r="V1012" s="2"/>
      <c r="W1012" s="2"/>
      <c r="X1012" s="2"/>
      <c r="Y1012" s="2"/>
    </row>
    <row r="1013" spans="1:25" ht="12.75" hidden="1" customHeight="1">
      <c r="A1013" s="26">
        <v>646</v>
      </c>
      <c r="B1013" s="27" t="s">
        <v>2910</v>
      </c>
      <c r="C1013" s="28">
        <v>40652</v>
      </c>
      <c r="D1013" s="27"/>
      <c r="E1013" s="27" t="s">
        <v>2911</v>
      </c>
      <c r="F1013" s="29" t="s">
        <v>2912</v>
      </c>
      <c r="G1013" s="27" t="s">
        <v>248</v>
      </c>
      <c r="H1013" s="27" t="s">
        <v>249</v>
      </c>
      <c r="I1013" s="27">
        <v>1</v>
      </c>
      <c r="J1013" s="30">
        <v>105977357</v>
      </c>
      <c r="K1013" s="26" t="s">
        <v>20</v>
      </c>
      <c r="L1013" s="26" t="s">
        <v>233</v>
      </c>
      <c r="M1013" s="31" t="s">
        <v>2913</v>
      </c>
      <c r="N1013" s="6"/>
      <c r="O1013" s="6"/>
      <c r="P1013" s="23"/>
      <c r="Q1013" s="2"/>
      <c r="R1013" s="2"/>
      <c r="S1013" s="2"/>
      <c r="T1013" s="2"/>
      <c r="U1013" s="2"/>
      <c r="V1013" s="2"/>
      <c r="W1013" s="2"/>
      <c r="X1013" s="2"/>
      <c r="Y1013" s="2"/>
    </row>
    <row r="1014" spans="1:25" ht="12.75" customHeight="1">
      <c r="A1014" s="26">
        <v>647</v>
      </c>
      <c r="B1014" s="27" t="s">
        <v>2910</v>
      </c>
      <c r="C1014" s="28">
        <v>40652</v>
      </c>
      <c r="D1014" s="27"/>
      <c r="E1014" s="47" t="s">
        <v>2914</v>
      </c>
      <c r="F1014" s="29" t="s">
        <v>2915</v>
      </c>
      <c r="G1014" s="27" t="s">
        <v>248</v>
      </c>
      <c r="H1014" s="27" t="s">
        <v>249</v>
      </c>
      <c r="I1014" s="27">
        <v>1</v>
      </c>
      <c r="J1014" s="30">
        <v>105977357</v>
      </c>
      <c r="K1014" s="26" t="s">
        <v>20</v>
      </c>
      <c r="L1014" s="26" t="s">
        <v>423</v>
      </c>
      <c r="M1014" s="31" t="s">
        <v>2916</v>
      </c>
      <c r="N1014" s="7"/>
      <c r="O1014" s="7" t="str">
        <f ca="1">IFERROR(__xludf.DUMMYFUNCTION("IFERROR(INDEX(Sheet1!$C:$C, MAX(FILTER(ROW(Sheet1!$B:$B), Sheet1!$B:$B=E1014))), """")"),"")</f>
        <v/>
      </c>
      <c r="P1014" s="23"/>
      <c r="Q1014" s="2"/>
      <c r="R1014" s="2"/>
      <c r="S1014" s="2"/>
      <c r="T1014" s="2"/>
      <c r="U1014" s="2"/>
      <c r="V1014" s="2"/>
      <c r="W1014" s="2"/>
      <c r="X1014" s="2"/>
      <c r="Y1014" s="2"/>
    </row>
    <row r="1015" spans="1:25" ht="25.5" hidden="1" customHeight="1">
      <c r="A1015" s="26">
        <v>648</v>
      </c>
      <c r="B1015" s="27" t="s">
        <v>42</v>
      </c>
      <c r="C1015" s="28">
        <v>40702</v>
      </c>
      <c r="D1015" s="27"/>
      <c r="E1015" s="27" t="s">
        <v>2917</v>
      </c>
      <c r="F1015" s="29" t="s">
        <v>2918</v>
      </c>
      <c r="G1015" s="27" t="s">
        <v>1008</v>
      </c>
      <c r="H1015" s="27" t="s">
        <v>249</v>
      </c>
      <c r="I1015" s="27">
        <v>1</v>
      </c>
      <c r="J1015" s="30">
        <v>107941512</v>
      </c>
      <c r="K1015" s="26" t="s">
        <v>20</v>
      </c>
      <c r="L1015" s="26" t="s">
        <v>233</v>
      </c>
      <c r="M1015" s="31" t="s">
        <v>2919</v>
      </c>
      <c r="N1015" s="6"/>
      <c r="O1015" s="6"/>
      <c r="P1015" s="23"/>
      <c r="Q1015" s="2"/>
      <c r="R1015" s="2"/>
      <c r="S1015" s="2"/>
      <c r="T1015" s="2"/>
      <c r="U1015" s="2"/>
      <c r="V1015" s="2"/>
      <c r="W1015" s="2"/>
      <c r="X1015" s="2"/>
      <c r="Y1015" s="2"/>
    </row>
    <row r="1016" spans="1:25" ht="25.5" hidden="1" customHeight="1">
      <c r="A1016" s="26">
        <v>649</v>
      </c>
      <c r="B1016" s="27" t="s">
        <v>42</v>
      </c>
      <c r="C1016" s="28">
        <v>40702</v>
      </c>
      <c r="D1016" s="27"/>
      <c r="E1016" s="27" t="s">
        <v>2920</v>
      </c>
      <c r="F1016" s="29" t="s">
        <v>2921</v>
      </c>
      <c r="G1016" s="27" t="s">
        <v>1008</v>
      </c>
      <c r="H1016" s="27" t="s">
        <v>249</v>
      </c>
      <c r="I1016" s="27">
        <v>1</v>
      </c>
      <c r="J1016" s="30">
        <v>107941512</v>
      </c>
      <c r="K1016" s="26" t="s">
        <v>20</v>
      </c>
      <c r="L1016" s="26" t="s">
        <v>233</v>
      </c>
      <c r="M1016" s="31" t="s">
        <v>2922</v>
      </c>
      <c r="N1016" s="6"/>
      <c r="O1016" s="6"/>
      <c r="P1016" s="23"/>
      <c r="Q1016" s="2"/>
      <c r="R1016" s="2"/>
      <c r="S1016" s="2"/>
      <c r="T1016" s="2"/>
      <c r="U1016" s="2"/>
      <c r="V1016" s="2"/>
      <c r="W1016" s="2"/>
      <c r="X1016" s="2"/>
      <c r="Y1016" s="2"/>
    </row>
    <row r="1017" spans="1:25" ht="12.75" hidden="1" customHeight="1">
      <c r="A1017" s="26">
        <v>650</v>
      </c>
      <c r="B1017" s="27" t="s">
        <v>2041</v>
      </c>
      <c r="C1017" s="28">
        <v>42184</v>
      </c>
      <c r="D1017" s="27"/>
      <c r="E1017" s="27" t="s">
        <v>2923</v>
      </c>
      <c r="F1017" s="29" t="s">
        <v>2924</v>
      </c>
      <c r="G1017" s="27" t="s">
        <v>55</v>
      </c>
      <c r="H1017" s="27" t="s">
        <v>19</v>
      </c>
      <c r="I1017" s="27">
        <v>1</v>
      </c>
      <c r="J1017" s="30">
        <v>133099518</v>
      </c>
      <c r="K1017" s="26" t="s">
        <v>20</v>
      </c>
      <c r="L1017" s="36" t="s">
        <v>229</v>
      </c>
      <c r="M1017" s="31" t="str">
        <f>IFERROR(VLOOKUP(E1017, TSCD_XUAN!$C$7:$K$1000, 9, 0), "Không tìm thấy")</f>
        <v>A2-Control, MH 4 ô</v>
      </c>
      <c r="N1017" s="6"/>
      <c r="O1017" s="6"/>
      <c r="P1017" s="23"/>
      <c r="Q1017" s="2"/>
      <c r="R1017" s="2"/>
      <c r="S1017" s="2"/>
      <c r="T1017" s="2"/>
      <c r="U1017" s="2"/>
      <c r="V1017" s="2"/>
      <c r="W1017" s="2"/>
      <c r="X1017" s="2"/>
      <c r="Y1017" s="2"/>
    </row>
    <row r="1018" spans="1:25" ht="12.75" hidden="1" customHeight="1">
      <c r="A1018" s="26">
        <v>651</v>
      </c>
      <c r="B1018" s="27" t="s">
        <v>2041</v>
      </c>
      <c r="C1018" s="28">
        <v>42184</v>
      </c>
      <c r="D1018" s="27"/>
      <c r="E1018" s="27" t="s">
        <v>2925</v>
      </c>
      <c r="F1018" s="29" t="s">
        <v>2926</v>
      </c>
      <c r="G1018" s="27" t="s">
        <v>55</v>
      </c>
      <c r="H1018" s="27" t="s">
        <v>19</v>
      </c>
      <c r="I1018" s="27">
        <v>1</v>
      </c>
      <c r="J1018" s="30">
        <v>133099518</v>
      </c>
      <c r="K1018" s="26" t="s">
        <v>20</v>
      </c>
      <c r="L1018" s="26" t="s">
        <v>233</v>
      </c>
      <c r="M1018" s="31" t="s">
        <v>2927</v>
      </c>
      <c r="N1018" s="6"/>
      <c r="O1018" s="6"/>
      <c r="P1018" s="23"/>
      <c r="Q1018" s="2"/>
      <c r="R1018" s="2"/>
      <c r="S1018" s="2"/>
      <c r="T1018" s="2"/>
      <c r="U1018" s="2"/>
      <c r="V1018" s="2"/>
      <c r="W1018" s="2"/>
      <c r="X1018" s="2"/>
      <c r="Y1018" s="2"/>
    </row>
    <row r="1019" spans="1:25" ht="25.5" hidden="1" customHeight="1">
      <c r="A1019" s="26">
        <v>652</v>
      </c>
      <c r="B1019" s="27" t="s">
        <v>938</v>
      </c>
      <c r="C1019" s="28">
        <v>42368</v>
      </c>
      <c r="D1019" s="27"/>
      <c r="E1019" s="27" t="s">
        <v>2928</v>
      </c>
      <c r="F1019" s="29" t="s">
        <v>2929</v>
      </c>
      <c r="G1019" s="27" t="s">
        <v>45</v>
      </c>
      <c r="H1019" s="27" t="s">
        <v>19</v>
      </c>
      <c r="I1019" s="27">
        <v>1</v>
      </c>
      <c r="J1019" s="30">
        <v>237768948</v>
      </c>
      <c r="K1019" s="26" t="s">
        <v>20</v>
      </c>
      <c r="L1019" s="26" t="s">
        <v>233</v>
      </c>
      <c r="M1019" s="31" t="s">
        <v>2930</v>
      </c>
      <c r="N1019" s="6"/>
      <c r="O1019" s="6"/>
      <c r="P1019" s="23"/>
      <c r="Q1019" s="2"/>
      <c r="R1019" s="2"/>
      <c r="S1019" s="2"/>
      <c r="T1019" s="2"/>
      <c r="U1019" s="2"/>
      <c r="V1019" s="2"/>
      <c r="W1019" s="2"/>
      <c r="X1019" s="2"/>
      <c r="Y1019" s="2"/>
    </row>
    <row r="1020" spans="1:25" ht="25.5" hidden="1" customHeight="1">
      <c r="A1020" s="26">
        <v>653</v>
      </c>
      <c r="B1020" s="27" t="s">
        <v>938</v>
      </c>
      <c r="C1020" s="28">
        <v>42368</v>
      </c>
      <c r="D1020" s="27"/>
      <c r="E1020" s="27" t="s">
        <v>2931</v>
      </c>
      <c r="F1020" s="29" t="s">
        <v>2932</v>
      </c>
      <c r="G1020" s="27" t="s">
        <v>45</v>
      </c>
      <c r="H1020" s="27" t="s">
        <v>19</v>
      </c>
      <c r="I1020" s="27">
        <v>1</v>
      </c>
      <c r="J1020" s="30">
        <v>237768948</v>
      </c>
      <c r="K1020" s="26" t="s">
        <v>20</v>
      </c>
      <c r="L1020" s="26" t="s">
        <v>233</v>
      </c>
      <c r="M1020" s="31" t="s">
        <v>2933</v>
      </c>
      <c r="N1020" s="6"/>
      <c r="O1020" s="6"/>
      <c r="P1020" s="23"/>
      <c r="Q1020" s="2"/>
      <c r="R1020" s="2"/>
      <c r="S1020" s="2"/>
      <c r="T1020" s="2"/>
      <c r="U1020" s="2"/>
      <c r="V1020" s="2"/>
      <c r="W1020" s="2"/>
      <c r="X1020" s="2"/>
      <c r="Y1020" s="2"/>
    </row>
    <row r="1021" spans="1:25" ht="25.5" hidden="1" customHeight="1">
      <c r="A1021" s="26">
        <v>654</v>
      </c>
      <c r="B1021" s="27" t="s">
        <v>599</v>
      </c>
      <c r="C1021" s="28">
        <v>42671</v>
      </c>
      <c r="D1021" s="27"/>
      <c r="E1021" s="27" t="s">
        <v>2934</v>
      </c>
      <c r="F1021" s="29" t="s">
        <v>2935</v>
      </c>
      <c r="G1021" s="27" t="s">
        <v>248</v>
      </c>
      <c r="H1021" s="27" t="s">
        <v>249</v>
      </c>
      <c r="I1021" s="27">
        <v>1</v>
      </c>
      <c r="J1021" s="30">
        <v>83104056</v>
      </c>
      <c r="K1021" s="26" t="s">
        <v>36</v>
      </c>
      <c r="L1021" s="26" t="s">
        <v>2054</v>
      </c>
      <c r="M1021" s="31" t="s">
        <v>2936</v>
      </c>
      <c r="N1021" s="6"/>
      <c r="O1021" s="6"/>
      <c r="P1021" s="23"/>
      <c r="Q1021" s="2"/>
      <c r="R1021" s="2"/>
      <c r="S1021" s="2"/>
      <c r="T1021" s="2"/>
      <c r="U1021" s="2"/>
      <c r="V1021" s="2"/>
      <c r="W1021" s="2"/>
      <c r="X1021" s="2"/>
      <c r="Y1021" s="2"/>
    </row>
    <row r="1022" spans="1:25" ht="25.5" hidden="1" customHeight="1">
      <c r="A1022" s="26">
        <v>655</v>
      </c>
      <c r="B1022" s="27" t="s">
        <v>599</v>
      </c>
      <c r="C1022" s="28">
        <v>42671</v>
      </c>
      <c r="D1022" s="27"/>
      <c r="E1022" s="27" t="s">
        <v>2937</v>
      </c>
      <c r="F1022" s="29" t="s">
        <v>2938</v>
      </c>
      <c r="G1022" s="27" t="s">
        <v>248</v>
      </c>
      <c r="H1022" s="27" t="s">
        <v>249</v>
      </c>
      <c r="I1022" s="27">
        <v>1</v>
      </c>
      <c r="J1022" s="30">
        <v>83104056</v>
      </c>
      <c r="K1022" s="26" t="s">
        <v>36</v>
      </c>
      <c r="L1022" s="45" t="s">
        <v>169</v>
      </c>
      <c r="M1022" s="46" t="s">
        <v>2939</v>
      </c>
      <c r="N1022" s="6"/>
      <c r="O1022" s="6"/>
      <c r="P1022" s="23"/>
      <c r="Q1022" s="2"/>
      <c r="R1022" s="2"/>
      <c r="S1022" s="2"/>
      <c r="T1022" s="2"/>
      <c r="U1022" s="2"/>
      <c r="V1022" s="2"/>
      <c r="W1022" s="2"/>
      <c r="X1022" s="2"/>
      <c r="Y1022" s="2"/>
    </row>
    <row r="1023" spans="1:25" ht="25.5" hidden="1" customHeight="1">
      <c r="A1023" s="26">
        <v>656</v>
      </c>
      <c r="B1023" s="27" t="s">
        <v>599</v>
      </c>
      <c r="C1023" s="28">
        <v>42671</v>
      </c>
      <c r="D1023" s="27"/>
      <c r="E1023" s="27" t="s">
        <v>2940</v>
      </c>
      <c r="F1023" s="29" t="s">
        <v>2941</v>
      </c>
      <c r="G1023" s="27" t="s">
        <v>248</v>
      </c>
      <c r="H1023" s="27" t="s">
        <v>249</v>
      </c>
      <c r="I1023" s="27">
        <v>1</v>
      </c>
      <c r="J1023" s="30">
        <v>83104056</v>
      </c>
      <c r="K1023" s="26" t="s">
        <v>36</v>
      </c>
      <c r="L1023" s="26" t="s">
        <v>2054</v>
      </c>
      <c r="M1023" s="31" t="s">
        <v>2942</v>
      </c>
      <c r="N1023" s="6"/>
      <c r="O1023" s="6"/>
      <c r="P1023" s="23"/>
      <c r="Q1023" s="2"/>
      <c r="R1023" s="2"/>
      <c r="S1023" s="2"/>
      <c r="T1023" s="2"/>
      <c r="U1023" s="2"/>
      <c r="V1023" s="2"/>
      <c r="W1023" s="2"/>
      <c r="X1023" s="2"/>
      <c r="Y1023" s="2"/>
    </row>
    <row r="1024" spans="1:25" ht="25.5" hidden="1" customHeight="1">
      <c r="A1024" s="26">
        <v>657</v>
      </c>
      <c r="B1024" s="27" t="s">
        <v>599</v>
      </c>
      <c r="C1024" s="28">
        <v>42671</v>
      </c>
      <c r="D1024" s="27"/>
      <c r="E1024" s="27" t="s">
        <v>2943</v>
      </c>
      <c r="F1024" s="29" t="s">
        <v>2944</v>
      </c>
      <c r="G1024" s="27" t="s">
        <v>248</v>
      </c>
      <c r="H1024" s="27" t="s">
        <v>249</v>
      </c>
      <c r="I1024" s="27">
        <v>1</v>
      </c>
      <c r="J1024" s="30">
        <v>83104057</v>
      </c>
      <c r="K1024" s="26" t="s">
        <v>36</v>
      </c>
      <c r="L1024" s="45" t="s">
        <v>169</v>
      </c>
      <c r="M1024" s="46" t="s">
        <v>2939</v>
      </c>
      <c r="N1024" s="6"/>
      <c r="O1024" s="6"/>
      <c r="P1024" s="23"/>
      <c r="Q1024" s="2"/>
      <c r="R1024" s="2"/>
      <c r="S1024" s="2"/>
      <c r="T1024" s="2"/>
      <c r="U1024" s="2"/>
      <c r="V1024" s="2"/>
      <c r="W1024" s="2"/>
      <c r="X1024" s="2"/>
      <c r="Y1024" s="2"/>
    </row>
    <row r="1025" spans="1:25" ht="25.5" hidden="1" customHeight="1">
      <c r="A1025" s="26">
        <v>658</v>
      </c>
      <c r="B1025" s="27" t="s">
        <v>599</v>
      </c>
      <c r="C1025" s="28">
        <v>42671</v>
      </c>
      <c r="D1025" s="27"/>
      <c r="E1025" s="27" t="s">
        <v>2945</v>
      </c>
      <c r="F1025" s="29" t="s">
        <v>2946</v>
      </c>
      <c r="G1025" s="27" t="s">
        <v>1754</v>
      </c>
      <c r="H1025" s="27" t="s">
        <v>249</v>
      </c>
      <c r="I1025" s="27">
        <v>1</v>
      </c>
      <c r="J1025" s="30">
        <v>87259259</v>
      </c>
      <c r="K1025" s="26" t="s">
        <v>36</v>
      </c>
      <c r="L1025" s="26" t="s">
        <v>2054</v>
      </c>
      <c r="M1025" s="31" t="s">
        <v>2947</v>
      </c>
      <c r="N1025" s="6"/>
      <c r="O1025" s="6"/>
      <c r="P1025" s="23"/>
      <c r="Q1025" s="2"/>
      <c r="R1025" s="2"/>
      <c r="S1025" s="2"/>
      <c r="T1025" s="2"/>
      <c r="U1025" s="2"/>
      <c r="V1025" s="2"/>
      <c r="W1025" s="2"/>
      <c r="X1025" s="2"/>
      <c r="Y1025" s="2"/>
    </row>
    <row r="1026" spans="1:25" ht="25.5" hidden="1" customHeight="1">
      <c r="A1026" s="26">
        <v>659</v>
      </c>
      <c r="B1026" s="27" t="s">
        <v>599</v>
      </c>
      <c r="C1026" s="28">
        <v>42671</v>
      </c>
      <c r="D1026" s="27"/>
      <c r="E1026" s="27" t="s">
        <v>2948</v>
      </c>
      <c r="F1026" s="29" t="s">
        <v>2949</v>
      </c>
      <c r="G1026" s="27" t="s">
        <v>1754</v>
      </c>
      <c r="H1026" s="27" t="s">
        <v>249</v>
      </c>
      <c r="I1026" s="27">
        <v>1</v>
      </c>
      <c r="J1026" s="30">
        <v>87259259</v>
      </c>
      <c r="K1026" s="26" t="s">
        <v>36</v>
      </c>
      <c r="L1026" s="26" t="s">
        <v>169</v>
      </c>
      <c r="M1026" s="31" t="s">
        <v>2950</v>
      </c>
      <c r="N1026" s="6"/>
      <c r="O1026" s="6"/>
      <c r="P1026" s="23"/>
      <c r="Q1026" s="2"/>
      <c r="R1026" s="2"/>
      <c r="S1026" s="2"/>
      <c r="T1026" s="2"/>
      <c r="U1026" s="2"/>
      <c r="V1026" s="2"/>
      <c r="W1026" s="2"/>
      <c r="X1026" s="2"/>
      <c r="Y1026" s="2"/>
    </row>
    <row r="1027" spans="1:25" ht="25.5" hidden="1" customHeight="1">
      <c r="A1027" s="26">
        <v>660</v>
      </c>
      <c r="B1027" s="27" t="s">
        <v>599</v>
      </c>
      <c r="C1027" s="28">
        <v>42671</v>
      </c>
      <c r="D1027" s="27"/>
      <c r="E1027" s="27" t="s">
        <v>2951</v>
      </c>
      <c r="F1027" s="29" t="s">
        <v>2952</v>
      </c>
      <c r="G1027" s="27" t="s">
        <v>1754</v>
      </c>
      <c r="H1027" s="27" t="s">
        <v>249</v>
      </c>
      <c r="I1027" s="27">
        <v>1</v>
      </c>
      <c r="J1027" s="30">
        <v>87259259</v>
      </c>
      <c r="K1027" s="26" t="s">
        <v>36</v>
      </c>
      <c r="L1027" s="26" t="s">
        <v>169</v>
      </c>
      <c r="M1027" s="31" t="s">
        <v>2953</v>
      </c>
      <c r="N1027" s="6"/>
      <c r="O1027" s="6"/>
      <c r="P1027" s="23"/>
      <c r="Q1027" s="2"/>
      <c r="R1027" s="2"/>
      <c r="S1027" s="2"/>
      <c r="T1027" s="2"/>
      <c r="U1027" s="2"/>
      <c r="V1027" s="2"/>
      <c r="W1027" s="2"/>
      <c r="X1027" s="2"/>
      <c r="Y1027" s="2"/>
    </row>
    <row r="1028" spans="1:25" ht="25.5" hidden="1" customHeight="1">
      <c r="A1028" s="26">
        <v>661</v>
      </c>
      <c r="B1028" s="27" t="s">
        <v>599</v>
      </c>
      <c r="C1028" s="28">
        <v>42671</v>
      </c>
      <c r="D1028" s="27"/>
      <c r="E1028" s="27" t="s">
        <v>2954</v>
      </c>
      <c r="F1028" s="29" t="s">
        <v>2955</v>
      </c>
      <c r="G1028" s="27" t="s">
        <v>1754</v>
      </c>
      <c r="H1028" s="27" t="s">
        <v>249</v>
      </c>
      <c r="I1028" s="27">
        <v>1</v>
      </c>
      <c r="J1028" s="30">
        <v>87259259</v>
      </c>
      <c r="K1028" s="26" t="s">
        <v>36</v>
      </c>
      <c r="L1028" s="26" t="s">
        <v>2054</v>
      </c>
      <c r="M1028" s="31" t="s">
        <v>2956</v>
      </c>
      <c r="N1028" s="6"/>
      <c r="O1028" s="6"/>
      <c r="P1028" s="23"/>
      <c r="Q1028" s="2"/>
      <c r="R1028" s="2"/>
      <c r="S1028" s="2"/>
      <c r="T1028" s="2"/>
      <c r="U1028" s="2"/>
      <c r="V1028" s="2"/>
      <c r="W1028" s="2"/>
      <c r="X1028" s="2"/>
      <c r="Y1028" s="2"/>
    </row>
    <row r="1029" spans="1:25" ht="25.5" hidden="1" customHeight="1">
      <c r="A1029" s="26">
        <v>662</v>
      </c>
      <c r="B1029" s="27" t="s">
        <v>797</v>
      </c>
      <c r="C1029" s="28">
        <v>42671</v>
      </c>
      <c r="D1029" s="27"/>
      <c r="E1029" s="27" t="s">
        <v>2957</v>
      </c>
      <c r="F1029" s="29" t="s">
        <v>2958</v>
      </c>
      <c r="G1029" s="27" t="s">
        <v>248</v>
      </c>
      <c r="H1029" s="27" t="s">
        <v>249</v>
      </c>
      <c r="I1029" s="27">
        <v>1</v>
      </c>
      <c r="J1029" s="30">
        <v>82266183</v>
      </c>
      <c r="K1029" s="26" t="s">
        <v>206</v>
      </c>
      <c r="L1029" s="45" t="s">
        <v>2906</v>
      </c>
      <c r="M1029" s="46" t="s">
        <v>2959</v>
      </c>
      <c r="N1029" s="6"/>
      <c r="O1029" s="6"/>
      <c r="P1029" s="23"/>
      <c r="Q1029" s="2"/>
      <c r="R1029" s="2"/>
      <c r="S1029" s="2"/>
      <c r="T1029" s="2"/>
      <c r="U1029" s="2"/>
      <c r="V1029" s="2"/>
      <c r="W1029" s="2"/>
      <c r="X1029" s="2"/>
      <c r="Y1029" s="2"/>
    </row>
    <row r="1030" spans="1:25" ht="25.5" hidden="1" customHeight="1">
      <c r="A1030" s="26">
        <v>663</v>
      </c>
      <c r="B1030" s="27" t="s">
        <v>797</v>
      </c>
      <c r="C1030" s="28">
        <v>42671</v>
      </c>
      <c r="D1030" s="27"/>
      <c r="E1030" s="27" t="s">
        <v>2960</v>
      </c>
      <c r="F1030" s="29" t="s">
        <v>2961</v>
      </c>
      <c r="G1030" s="27" t="s">
        <v>248</v>
      </c>
      <c r="H1030" s="27" t="s">
        <v>249</v>
      </c>
      <c r="I1030" s="27">
        <v>1</v>
      </c>
      <c r="J1030" s="30">
        <v>82266183</v>
      </c>
      <c r="K1030" s="26" t="s">
        <v>206</v>
      </c>
      <c r="L1030" s="26" t="s">
        <v>2906</v>
      </c>
      <c r="M1030" s="31" t="s">
        <v>1041</v>
      </c>
      <c r="N1030" s="6"/>
      <c r="O1030" s="6"/>
      <c r="P1030" s="23"/>
      <c r="Q1030" s="2"/>
      <c r="R1030" s="2"/>
      <c r="S1030" s="2"/>
      <c r="T1030" s="2"/>
      <c r="U1030" s="2"/>
      <c r="V1030" s="2"/>
      <c r="W1030" s="2"/>
      <c r="X1030" s="2"/>
      <c r="Y1030" s="2"/>
    </row>
    <row r="1031" spans="1:25" ht="25.5" hidden="1" customHeight="1">
      <c r="A1031" s="26">
        <v>664</v>
      </c>
      <c r="B1031" s="27" t="s">
        <v>797</v>
      </c>
      <c r="C1031" s="28">
        <v>42671</v>
      </c>
      <c r="D1031" s="27"/>
      <c r="E1031" s="27" t="s">
        <v>2962</v>
      </c>
      <c r="F1031" s="29" t="s">
        <v>2963</v>
      </c>
      <c r="G1031" s="27" t="s">
        <v>248</v>
      </c>
      <c r="H1031" s="27" t="s">
        <v>249</v>
      </c>
      <c r="I1031" s="27">
        <v>1</v>
      </c>
      <c r="J1031" s="30">
        <v>82266183</v>
      </c>
      <c r="K1031" s="26" t="s">
        <v>206</v>
      </c>
      <c r="L1031" s="26" t="s">
        <v>2906</v>
      </c>
      <c r="M1031" s="31" t="s">
        <v>1041</v>
      </c>
      <c r="N1031" s="6"/>
      <c r="O1031" s="6"/>
      <c r="P1031" s="23"/>
      <c r="Q1031" s="2"/>
      <c r="R1031" s="2"/>
      <c r="S1031" s="2"/>
      <c r="T1031" s="2"/>
      <c r="U1031" s="2"/>
      <c r="V1031" s="2"/>
      <c r="W1031" s="2"/>
      <c r="X1031" s="2"/>
      <c r="Y1031" s="2"/>
    </row>
    <row r="1032" spans="1:25" ht="25.5" hidden="1" customHeight="1">
      <c r="A1032" s="26">
        <v>665</v>
      </c>
      <c r="B1032" s="27" t="s">
        <v>797</v>
      </c>
      <c r="C1032" s="28">
        <v>42671</v>
      </c>
      <c r="D1032" s="27"/>
      <c r="E1032" s="27" t="s">
        <v>2964</v>
      </c>
      <c r="F1032" s="29" t="s">
        <v>2965</v>
      </c>
      <c r="G1032" s="27" t="s">
        <v>248</v>
      </c>
      <c r="H1032" s="27" t="s">
        <v>249</v>
      </c>
      <c r="I1032" s="27">
        <v>1</v>
      </c>
      <c r="J1032" s="30">
        <v>82266183</v>
      </c>
      <c r="K1032" s="26" t="s">
        <v>206</v>
      </c>
      <c r="L1032" s="26" t="s">
        <v>2906</v>
      </c>
      <c r="M1032" s="31" t="s">
        <v>1041</v>
      </c>
      <c r="N1032" s="6"/>
      <c r="O1032" s="6"/>
      <c r="P1032" s="23"/>
      <c r="Q1032" s="2"/>
      <c r="R1032" s="2"/>
      <c r="S1032" s="2"/>
      <c r="T1032" s="2"/>
      <c r="U1032" s="2"/>
      <c r="V1032" s="2"/>
      <c r="W1032" s="2"/>
      <c r="X1032" s="2"/>
      <c r="Y1032" s="2"/>
    </row>
    <row r="1033" spans="1:25" ht="25.5" hidden="1" customHeight="1">
      <c r="A1033" s="26">
        <v>666</v>
      </c>
      <c r="B1033" s="27" t="s">
        <v>797</v>
      </c>
      <c r="C1033" s="28">
        <v>42671</v>
      </c>
      <c r="D1033" s="27"/>
      <c r="E1033" s="27" t="s">
        <v>2966</v>
      </c>
      <c r="F1033" s="29" t="s">
        <v>2967</v>
      </c>
      <c r="G1033" s="27" t="s">
        <v>248</v>
      </c>
      <c r="H1033" s="27" t="s">
        <v>249</v>
      </c>
      <c r="I1033" s="27">
        <v>1</v>
      </c>
      <c r="J1033" s="30">
        <v>82266183</v>
      </c>
      <c r="K1033" s="26" t="s">
        <v>206</v>
      </c>
      <c r="L1033" s="26" t="s">
        <v>2906</v>
      </c>
      <c r="M1033" s="31" t="s">
        <v>1265</v>
      </c>
      <c r="N1033" s="6"/>
      <c r="O1033" s="6"/>
      <c r="P1033" s="23"/>
      <c r="Q1033" s="2"/>
      <c r="R1033" s="2"/>
      <c r="S1033" s="2"/>
      <c r="T1033" s="2"/>
      <c r="U1033" s="2"/>
      <c r="V1033" s="2"/>
      <c r="W1033" s="2"/>
      <c r="X1033" s="2"/>
      <c r="Y1033" s="2"/>
    </row>
    <row r="1034" spans="1:25" ht="25.5" hidden="1" customHeight="1">
      <c r="A1034" s="26">
        <v>667</v>
      </c>
      <c r="B1034" s="27" t="s">
        <v>797</v>
      </c>
      <c r="C1034" s="28">
        <v>42671</v>
      </c>
      <c r="D1034" s="27"/>
      <c r="E1034" s="27" t="s">
        <v>2968</v>
      </c>
      <c r="F1034" s="29" t="s">
        <v>2969</v>
      </c>
      <c r="G1034" s="27" t="s">
        <v>248</v>
      </c>
      <c r="H1034" s="27" t="s">
        <v>249</v>
      </c>
      <c r="I1034" s="27">
        <v>1</v>
      </c>
      <c r="J1034" s="30">
        <v>82266183</v>
      </c>
      <c r="K1034" s="26" t="s">
        <v>206</v>
      </c>
      <c r="L1034" s="26" t="s">
        <v>2906</v>
      </c>
      <c r="M1034" s="31" t="s">
        <v>1041</v>
      </c>
      <c r="N1034" s="6"/>
      <c r="O1034" s="6"/>
      <c r="P1034" s="23"/>
      <c r="Q1034" s="2"/>
      <c r="R1034" s="2"/>
      <c r="S1034" s="2"/>
      <c r="T1034" s="2"/>
      <c r="U1034" s="2"/>
      <c r="V1034" s="2"/>
      <c r="W1034" s="2"/>
      <c r="X1034" s="2"/>
      <c r="Y1034" s="2"/>
    </row>
    <row r="1035" spans="1:25" ht="25.5" hidden="1" customHeight="1">
      <c r="A1035" s="26">
        <v>668</v>
      </c>
      <c r="B1035" s="27" t="s">
        <v>797</v>
      </c>
      <c r="C1035" s="28">
        <v>42671</v>
      </c>
      <c r="D1035" s="27"/>
      <c r="E1035" s="27" t="s">
        <v>2970</v>
      </c>
      <c r="F1035" s="29" t="s">
        <v>2971</v>
      </c>
      <c r="G1035" s="27" t="s">
        <v>1754</v>
      </c>
      <c r="H1035" s="27" t="s">
        <v>249</v>
      </c>
      <c r="I1035" s="27">
        <v>1</v>
      </c>
      <c r="J1035" s="30">
        <v>86379493</v>
      </c>
      <c r="K1035" s="26" t="s">
        <v>206</v>
      </c>
      <c r="L1035" s="45" t="s">
        <v>2906</v>
      </c>
      <c r="M1035" s="46" t="s">
        <v>2972</v>
      </c>
      <c r="N1035" s="6"/>
      <c r="O1035" s="6"/>
      <c r="P1035" s="23"/>
      <c r="Q1035" s="2"/>
      <c r="R1035" s="2"/>
      <c r="S1035" s="2"/>
      <c r="T1035" s="2"/>
      <c r="U1035" s="2"/>
      <c r="V1035" s="2"/>
      <c r="W1035" s="2"/>
      <c r="X1035" s="2"/>
      <c r="Y1035" s="2"/>
    </row>
    <row r="1036" spans="1:25" ht="25.5" hidden="1" customHeight="1">
      <c r="A1036" s="26">
        <v>669</v>
      </c>
      <c r="B1036" s="27" t="s">
        <v>797</v>
      </c>
      <c r="C1036" s="28">
        <v>42671</v>
      </c>
      <c r="D1036" s="27"/>
      <c r="E1036" s="27" t="s">
        <v>2973</v>
      </c>
      <c r="F1036" s="29" t="s">
        <v>2974</v>
      </c>
      <c r="G1036" s="27" t="s">
        <v>1754</v>
      </c>
      <c r="H1036" s="27" t="s">
        <v>249</v>
      </c>
      <c r="I1036" s="27">
        <v>1</v>
      </c>
      <c r="J1036" s="30">
        <v>86379493</v>
      </c>
      <c r="K1036" s="26" t="s">
        <v>206</v>
      </c>
      <c r="L1036" s="45" t="s">
        <v>2906</v>
      </c>
      <c r="M1036" s="46" t="s">
        <v>2975</v>
      </c>
      <c r="N1036" s="6"/>
      <c r="O1036" s="6"/>
      <c r="P1036" s="23"/>
      <c r="Q1036" s="2"/>
      <c r="R1036" s="2"/>
      <c r="S1036" s="2"/>
      <c r="T1036" s="2"/>
      <c r="U1036" s="2"/>
      <c r="V1036" s="2"/>
      <c r="W1036" s="2"/>
      <c r="X1036" s="2"/>
      <c r="Y1036" s="2"/>
    </row>
    <row r="1037" spans="1:25" ht="25.5" hidden="1" customHeight="1">
      <c r="A1037" s="26">
        <v>670</v>
      </c>
      <c r="B1037" s="27" t="s">
        <v>797</v>
      </c>
      <c r="C1037" s="28">
        <v>42671</v>
      </c>
      <c r="D1037" s="27"/>
      <c r="E1037" s="27" t="s">
        <v>2976</v>
      </c>
      <c r="F1037" s="29" t="s">
        <v>2977</v>
      </c>
      <c r="G1037" s="27" t="s">
        <v>307</v>
      </c>
      <c r="H1037" s="27" t="s">
        <v>249</v>
      </c>
      <c r="I1037" s="27">
        <v>1</v>
      </c>
      <c r="J1037" s="30">
        <v>34316751</v>
      </c>
      <c r="K1037" s="26" t="s">
        <v>206</v>
      </c>
      <c r="L1037" s="45" t="s">
        <v>2906</v>
      </c>
      <c r="M1037" s="46" t="s">
        <v>2978</v>
      </c>
      <c r="N1037" s="6"/>
      <c r="O1037" s="6"/>
      <c r="P1037" s="23"/>
      <c r="Q1037" s="2"/>
      <c r="R1037" s="2"/>
      <c r="S1037" s="2"/>
      <c r="T1037" s="2"/>
      <c r="U1037" s="2"/>
      <c r="V1037" s="2"/>
      <c r="W1037" s="2"/>
      <c r="X1037" s="2"/>
      <c r="Y1037" s="2"/>
    </row>
    <row r="1038" spans="1:25" ht="25.5" hidden="1" customHeight="1">
      <c r="A1038" s="26">
        <v>671</v>
      </c>
      <c r="B1038" s="27" t="s">
        <v>797</v>
      </c>
      <c r="C1038" s="28">
        <v>42671</v>
      </c>
      <c r="D1038" s="27"/>
      <c r="E1038" s="27" t="s">
        <v>2979</v>
      </c>
      <c r="F1038" s="29" t="s">
        <v>2980</v>
      </c>
      <c r="G1038" s="27" t="s">
        <v>307</v>
      </c>
      <c r="H1038" s="27" t="s">
        <v>249</v>
      </c>
      <c r="I1038" s="27">
        <v>1</v>
      </c>
      <c r="J1038" s="30">
        <v>34316751</v>
      </c>
      <c r="K1038" s="26" t="s">
        <v>206</v>
      </c>
      <c r="L1038" s="26" t="s">
        <v>2906</v>
      </c>
      <c r="M1038" s="31" t="s">
        <v>2981</v>
      </c>
      <c r="N1038" s="6"/>
      <c r="O1038" s="6"/>
      <c r="P1038" s="23"/>
      <c r="Q1038" s="2"/>
      <c r="R1038" s="2"/>
      <c r="S1038" s="2"/>
      <c r="T1038" s="2"/>
      <c r="U1038" s="2"/>
      <c r="V1038" s="2"/>
      <c r="W1038" s="2"/>
      <c r="X1038" s="2"/>
      <c r="Y1038" s="2"/>
    </row>
    <row r="1039" spans="1:25" ht="12.75" hidden="1" customHeight="1">
      <c r="A1039" s="26">
        <v>672</v>
      </c>
      <c r="B1039" s="27" t="s">
        <v>1993</v>
      </c>
      <c r="C1039" s="28">
        <v>42956</v>
      </c>
      <c r="D1039" s="27"/>
      <c r="E1039" s="27" t="s">
        <v>2982</v>
      </c>
      <c r="F1039" s="29" t="s">
        <v>2983</v>
      </c>
      <c r="G1039" s="27" t="s">
        <v>2426</v>
      </c>
      <c r="H1039" s="27" t="s">
        <v>19</v>
      </c>
      <c r="I1039" s="27">
        <v>1</v>
      </c>
      <c r="J1039" s="30">
        <v>90000000</v>
      </c>
      <c r="K1039" s="26" t="s">
        <v>36</v>
      </c>
      <c r="L1039" s="26" t="s">
        <v>37</v>
      </c>
      <c r="M1039" s="31" t="s">
        <v>2984</v>
      </c>
      <c r="N1039" s="6"/>
      <c r="O1039" s="6"/>
      <c r="P1039" s="23"/>
      <c r="Q1039" s="2"/>
      <c r="R1039" s="2"/>
      <c r="S1039" s="2"/>
      <c r="T1039" s="2"/>
      <c r="U1039" s="2"/>
      <c r="V1039" s="2"/>
      <c r="W1039" s="2"/>
      <c r="X1039" s="2"/>
      <c r="Y1039" s="2"/>
    </row>
    <row r="1040" spans="1:25" ht="25.5" hidden="1" customHeight="1">
      <c r="A1040" s="26">
        <v>673</v>
      </c>
      <c r="B1040" s="27" t="s">
        <v>1143</v>
      </c>
      <c r="C1040" s="28">
        <v>43343</v>
      </c>
      <c r="D1040" s="27"/>
      <c r="E1040" s="27" t="s">
        <v>2985</v>
      </c>
      <c r="F1040" s="29" t="s">
        <v>2986</v>
      </c>
      <c r="G1040" s="27" t="s">
        <v>248</v>
      </c>
      <c r="H1040" s="27" t="s">
        <v>19</v>
      </c>
      <c r="I1040" s="27">
        <v>1</v>
      </c>
      <c r="J1040" s="30">
        <v>33500000</v>
      </c>
      <c r="K1040" s="26" t="s">
        <v>20</v>
      </c>
      <c r="L1040" s="36" t="s">
        <v>229</v>
      </c>
      <c r="M1040" s="31" t="str">
        <f>IFERROR(VLOOKUP(E1040, TSCD_XUAN!$C$7:$K$1000, 9, 0), "Không tìm thấy")</f>
        <v>F1 Màn hình chỉnh đèn</v>
      </c>
      <c r="N1040" s="6"/>
      <c r="O1040" s="6"/>
      <c r="P1040" s="23"/>
      <c r="Q1040" s="2"/>
      <c r="R1040" s="2"/>
      <c r="S1040" s="2"/>
      <c r="T1040" s="2"/>
      <c r="U1040" s="2"/>
      <c r="V1040" s="2"/>
      <c r="W1040" s="2"/>
      <c r="X1040" s="2"/>
      <c r="Y1040" s="2"/>
    </row>
    <row r="1041" spans="1:26" ht="38.25" hidden="1" customHeight="1">
      <c r="A1041" s="26">
        <v>674</v>
      </c>
      <c r="B1041" s="27" t="s">
        <v>1143</v>
      </c>
      <c r="C1041" s="28">
        <v>43343</v>
      </c>
      <c r="D1041" s="27"/>
      <c r="E1041" s="27" t="s">
        <v>2987</v>
      </c>
      <c r="F1041" s="29" t="s">
        <v>2988</v>
      </c>
      <c r="G1041" s="27" t="s">
        <v>248</v>
      </c>
      <c r="H1041" s="27" t="s">
        <v>19</v>
      </c>
      <c r="I1041" s="27">
        <v>1</v>
      </c>
      <c r="J1041" s="30">
        <v>33500000</v>
      </c>
      <c r="K1041" s="26" t="s">
        <v>20</v>
      </c>
      <c r="L1041" s="36" t="s">
        <v>229</v>
      </c>
      <c r="M1041" s="31" t="str">
        <f>IFERROR(VLOOKUP(E1041, TSCD_XUAN!$C$7:$K$1000, 9, 0), "Không tìm thấy")</f>
        <v>A2-Control</v>
      </c>
      <c r="N1041" s="6"/>
      <c r="O1041" s="6"/>
      <c r="P1041" s="23"/>
      <c r="Q1041" s="2"/>
      <c r="R1041" s="2"/>
      <c r="S1041" s="2"/>
      <c r="T1041" s="2"/>
      <c r="U1041" s="2"/>
      <c r="V1041" s="2"/>
      <c r="W1041" s="2"/>
      <c r="X1041" s="2"/>
      <c r="Y1041" s="2"/>
    </row>
    <row r="1042" spans="1:26" ht="25.5" hidden="1" customHeight="1">
      <c r="A1042" s="26">
        <v>675</v>
      </c>
      <c r="B1042" s="27" t="s">
        <v>1143</v>
      </c>
      <c r="C1042" s="28">
        <v>43343</v>
      </c>
      <c r="D1042" s="27"/>
      <c r="E1042" s="27" t="s">
        <v>2989</v>
      </c>
      <c r="F1042" s="29" t="s">
        <v>2990</v>
      </c>
      <c r="G1042" s="27" t="s">
        <v>248</v>
      </c>
      <c r="H1042" s="27" t="s">
        <v>19</v>
      </c>
      <c r="I1042" s="27">
        <v>1</v>
      </c>
      <c r="J1042" s="30">
        <v>33500000</v>
      </c>
      <c r="K1042" s="26" t="s">
        <v>20</v>
      </c>
      <c r="L1042" s="26" t="s">
        <v>233</v>
      </c>
      <c r="M1042" s="31" t="s">
        <v>2991</v>
      </c>
      <c r="N1042" s="6"/>
      <c r="O1042" s="6"/>
      <c r="P1042" s="23"/>
      <c r="Q1042" s="2"/>
      <c r="R1042" s="2"/>
      <c r="S1042" s="2"/>
      <c r="T1042" s="2"/>
      <c r="U1042" s="2"/>
      <c r="V1042" s="2"/>
      <c r="W1042" s="2"/>
      <c r="X1042" s="2"/>
      <c r="Y1042" s="2"/>
    </row>
    <row r="1043" spans="1:26" ht="51" hidden="1" customHeight="1">
      <c r="A1043" s="26">
        <v>676</v>
      </c>
      <c r="B1043" s="27" t="s">
        <v>1037</v>
      </c>
      <c r="C1043" s="28">
        <v>43799</v>
      </c>
      <c r="D1043" s="27"/>
      <c r="E1043" s="27" t="s">
        <v>2992</v>
      </c>
      <c r="F1043" s="29" t="s">
        <v>2993</v>
      </c>
      <c r="G1043" s="27" t="s">
        <v>2070</v>
      </c>
      <c r="H1043" s="27" t="s">
        <v>19</v>
      </c>
      <c r="I1043" s="27">
        <v>1</v>
      </c>
      <c r="J1043" s="30">
        <v>5347432468</v>
      </c>
      <c r="K1043" s="26" t="s">
        <v>20</v>
      </c>
      <c r="L1043" s="26" t="s">
        <v>295</v>
      </c>
      <c r="M1043" s="31" t="s">
        <v>2994</v>
      </c>
      <c r="N1043" s="6"/>
      <c r="O1043" s="6"/>
      <c r="P1043" s="23"/>
      <c r="Q1043" s="2"/>
      <c r="R1043" s="2"/>
      <c r="S1043" s="2"/>
      <c r="T1043" s="2"/>
      <c r="U1043" s="2"/>
      <c r="V1043" s="2"/>
      <c r="W1043" s="2"/>
      <c r="X1043" s="2"/>
      <c r="Y1043" s="2"/>
    </row>
    <row r="1044" spans="1:26" ht="12.75" hidden="1" customHeight="1">
      <c r="A1044" s="17">
        <v>677</v>
      </c>
      <c r="B1044" s="27" t="s">
        <v>2995</v>
      </c>
      <c r="C1044" s="19">
        <v>40941</v>
      </c>
      <c r="D1044" s="27"/>
      <c r="E1044" s="18" t="s">
        <v>2996</v>
      </c>
      <c r="F1044" s="20" t="s">
        <v>2997</v>
      </c>
      <c r="G1044" s="18" t="s">
        <v>1435</v>
      </c>
      <c r="H1044" s="18" t="s">
        <v>249</v>
      </c>
      <c r="I1044" s="18">
        <v>1</v>
      </c>
      <c r="J1044" s="21">
        <v>40827273</v>
      </c>
      <c r="K1044" s="17" t="s">
        <v>20</v>
      </c>
      <c r="L1044" s="17" t="s">
        <v>21</v>
      </c>
      <c r="M1044" s="22" t="s">
        <v>22</v>
      </c>
      <c r="N1044" s="23"/>
      <c r="O1044" s="23"/>
      <c r="P1044" s="23"/>
      <c r="Q1044" s="24"/>
      <c r="R1044" s="24"/>
      <c r="S1044" s="24"/>
      <c r="T1044" s="24"/>
      <c r="U1044" s="24"/>
      <c r="V1044" s="24"/>
      <c r="W1044" s="24"/>
      <c r="X1044" s="24"/>
      <c r="Y1044" s="24"/>
      <c r="Z1044" s="25"/>
    </row>
    <row r="1045" spans="1:26" ht="12.75" hidden="1" customHeight="1">
      <c r="A1045" s="26">
        <v>678</v>
      </c>
      <c r="B1045" s="27" t="s">
        <v>281</v>
      </c>
      <c r="C1045" s="28">
        <v>41044</v>
      </c>
      <c r="D1045" s="27"/>
      <c r="E1045" s="27" t="s">
        <v>2998</v>
      </c>
      <c r="F1045" s="29" t="s">
        <v>2999</v>
      </c>
      <c r="G1045" s="27" t="s">
        <v>1435</v>
      </c>
      <c r="H1045" s="27" t="s">
        <v>249</v>
      </c>
      <c r="I1045" s="27">
        <v>1</v>
      </c>
      <c r="J1045" s="30">
        <v>51460000</v>
      </c>
      <c r="K1045" s="26" t="s">
        <v>206</v>
      </c>
      <c r="L1045" s="45" t="s">
        <v>2906</v>
      </c>
      <c r="M1045" s="46" t="s">
        <v>3000</v>
      </c>
      <c r="N1045" s="6"/>
      <c r="O1045" s="6"/>
      <c r="P1045" s="23"/>
      <c r="Q1045" s="2"/>
      <c r="R1045" s="2"/>
      <c r="S1045" s="2"/>
      <c r="T1045" s="2"/>
      <c r="U1045" s="2"/>
      <c r="V1045" s="2"/>
      <c r="W1045" s="2"/>
      <c r="X1045" s="2"/>
      <c r="Y1045" s="2"/>
    </row>
    <row r="1046" spans="1:26" ht="12.75" customHeight="1">
      <c r="A1046" s="45">
        <v>680</v>
      </c>
      <c r="B1046" s="27" t="s">
        <v>470</v>
      </c>
      <c r="C1046" s="75">
        <v>41983</v>
      </c>
      <c r="D1046" s="27"/>
      <c r="E1046" s="76" t="s">
        <v>3001</v>
      </c>
      <c r="F1046" s="77" t="s">
        <v>3002</v>
      </c>
      <c r="G1046" s="27" t="s">
        <v>1435</v>
      </c>
      <c r="H1046" s="27" t="s">
        <v>249</v>
      </c>
      <c r="I1046" s="27">
        <v>1</v>
      </c>
      <c r="J1046" s="30">
        <v>51215395</v>
      </c>
      <c r="K1046" s="26" t="s">
        <v>20</v>
      </c>
      <c r="L1046" s="45" t="s">
        <v>423</v>
      </c>
      <c r="M1046" s="81" t="s">
        <v>3003</v>
      </c>
      <c r="N1046" s="7"/>
      <c r="O1046" s="7" t="str">
        <f ca="1">IFERROR(__xludf.DUMMYFUNCTION("IFERROR(INDEX(Sheet1!$C:$C, MAX(FILTER(ROW(Sheet1!$B:$B), Sheet1!$B:$B=E1046))), """")"),"")</f>
        <v/>
      </c>
      <c r="P1046" s="23"/>
      <c r="Q1046" s="2"/>
      <c r="R1046" s="2"/>
      <c r="S1046" s="2"/>
      <c r="T1046" s="2"/>
      <c r="U1046" s="2"/>
      <c r="V1046" s="2"/>
      <c r="W1046" s="2"/>
      <c r="X1046" s="2"/>
      <c r="Y1046" s="2"/>
    </row>
    <row r="1047" spans="1:26" ht="12.75" customHeight="1">
      <c r="A1047" s="45">
        <v>681</v>
      </c>
      <c r="B1047" s="27" t="s">
        <v>470</v>
      </c>
      <c r="C1047" s="75">
        <v>41983</v>
      </c>
      <c r="D1047" s="27"/>
      <c r="E1047" s="76" t="s">
        <v>3004</v>
      </c>
      <c r="F1047" s="77" t="s">
        <v>3005</v>
      </c>
      <c r="G1047" s="27" t="s">
        <v>1435</v>
      </c>
      <c r="H1047" s="27" t="s">
        <v>249</v>
      </c>
      <c r="I1047" s="27">
        <v>1</v>
      </c>
      <c r="J1047" s="30">
        <v>51215395</v>
      </c>
      <c r="K1047" s="26" t="s">
        <v>20</v>
      </c>
      <c r="L1047" s="45" t="s">
        <v>423</v>
      </c>
      <c r="M1047" s="46" t="s">
        <v>3006</v>
      </c>
      <c r="N1047" s="7"/>
      <c r="O1047" s="7" t="str">
        <f ca="1">IFERROR(__xludf.DUMMYFUNCTION("IFERROR(INDEX(Sheet1!$C:$C, MAX(FILTER(ROW(Sheet1!$B:$B), Sheet1!$B:$B=E1047))), """")"),"")</f>
        <v/>
      </c>
      <c r="P1047" s="23"/>
      <c r="Q1047" s="2"/>
      <c r="R1047" s="2"/>
      <c r="S1047" s="2"/>
      <c r="T1047" s="2"/>
      <c r="U1047" s="2"/>
      <c r="V1047" s="2"/>
      <c r="W1047" s="2"/>
      <c r="X1047" s="2"/>
      <c r="Y1047" s="2"/>
    </row>
    <row r="1048" spans="1:26" ht="12.75" hidden="1" customHeight="1">
      <c r="A1048" s="26">
        <v>682</v>
      </c>
      <c r="B1048" s="27" t="s">
        <v>909</v>
      </c>
      <c r="C1048" s="28">
        <v>41999</v>
      </c>
      <c r="D1048" s="27"/>
      <c r="E1048" s="27" t="s">
        <v>3007</v>
      </c>
      <c r="F1048" s="29" t="s">
        <v>3008</v>
      </c>
      <c r="G1048" s="27" t="s">
        <v>1076</v>
      </c>
      <c r="H1048" s="27" t="s">
        <v>19</v>
      </c>
      <c r="I1048" s="27">
        <v>1</v>
      </c>
      <c r="J1048" s="30">
        <v>81372812</v>
      </c>
      <c r="K1048" s="26" t="s">
        <v>20</v>
      </c>
      <c r="L1048" s="26" t="s">
        <v>233</v>
      </c>
      <c r="M1048" s="72" t="s">
        <v>3009</v>
      </c>
      <c r="N1048" s="6"/>
      <c r="O1048" s="6"/>
      <c r="P1048" s="23"/>
      <c r="Q1048" s="2"/>
      <c r="R1048" s="2"/>
      <c r="S1048" s="2"/>
      <c r="T1048" s="2"/>
      <c r="U1048" s="2"/>
      <c r="V1048" s="2"/>
      <c r="W1048" s="2"/>
      <c r="X1048" s="2"/>
      <c r="Y1048" s="2"/>
    </row>
    <row r="1049" spans="1:26" ht="12.75" hidden="1" customHeight="1">
      <c r="A1049" s="17">
        <v>683</v>
      </c>
      <c r="B1049" s="27" t="s">
        <v>909</v>
      </c>
      <c r="C1049" s="19">
        <v>41999</v>
      </c>
      <c r="D1049" s="27"/>
      <c r="E1049" s="18" t="s">
        <v>3010</v>
      </c>
      <c r="F1049" s="20" t="s">
        <v>3011</v>
      </c>
      <c r="G1049" s="18" t="s">
        <v>1076</v>
      </c>
      <c r="H1049" s="18" t="s">
        <v>19</v>
      </c>
      <c r="I1049" s="18">
        <v>1</v>
      </c>
      <c r="J1049" s="21">
        <v>81372812</v>
      </c>
      <c r="K1049" s="17" t="s">
        <v>20</v>
      </c>
      <c r="L1049" s="17" t="s">
        <v>21</v>
      </c>
      <c r="M1049" s="74" t="s">
        <v>22</v>
      </c>
      <c r="N1049" s="23"/>
      <c r="O1049" s="23"/>
      <c r="P1049" s="23"/>
      <c r="Q1049" s="24"/>
      <c r="R1049" s="24"/>
      <c r="S1049" s="24"/>
      <c r="T1049" s="24"/>
      <c r="U1049" s="24"/>
      <c r="V1049" s="24"/>
      <c r="W1049" s="24"/>
      <c r="X1049" s="24"/>
      <c r="Y1049" s="24"/>
      <c r="Z1049" s="25"/>
    </row>
    <row r="1050" spans="1:26" ht="12.75" hidden="1" customHeight="1">
      <c r="A1050" s="26">
        <v>684</v>
      </c>
      <c r="B1050" s="27" t="s">
        <v>1198</v>
      </c>
      <c r="C1050" s="28">
        <v>36160</v>
      </c>
      <c r="D1050" s="27" t="s">
        <v>3012</v>
      </c>
      <c r="E1050" s="27" t="s">
        <v>3013</v>
      </c>
      <c r="F1050" s="29" t="s">
        <v>3014</v>
      </c>
      <c r="G1050" s="27"/>
      <c r="H1050" s="27" t="s">
        <v>19</v>
      </c>
      <c r="I1050" s="27">
        <v>1</v>
      </c>
      <c r="J1050" s="30">
        <v>80054700</v>
      </c>
      <c r="K1050" s="26" t="s">
        <v>20</v>
      </c>
      <c r="L1050" s="36" t="s">
        <v>229</v>
      </c>
      <c r="M1050" s="31" t="str">
        <f>IFERROR(VLOOKUP(E1050, TSCD_XUAN!$C$7:$K$1000, 9, 0), "Không tìm thấy")</f>
        <v>A2 giữa</v>
      </c>
      <c r="N1050" s="6"/>
      <c r="O1050" s="6"/>
      <c r="P1050" s="23"/>
      <c r="Q1050" s="2"/>
      <c r="R1050" s="2"/>
      <c r="S1050" s="2"/>
      <c r="T1050" s="2"/>
      <c r="U1050" s="2"/>
      <c r="V1050" s="2"/>
      <c r="W1050" s="2"/>
      <c r="X1050" s="2"/>
      <c r="Y1050" s="2"/>
    </row>
    <row r="1051" spans="1:26" ht="12.75" hidden="1" customHeight="1">
      <c r="A1051" s="26" t="s">
        <v>3015</v>
      </c>
      <c r="B1051" s="27"/>
      <c r="C1051" s="28"/>
      <c r="D1051" s="27"/>
      <c r="E1051" s="27" t="s">
        <v>3016</v>
      </c>
      <c r="F1051" s="29" t="s">
        <v>3017</v>
      </c>
      <c r="G1051" s="27"/>
      <c r="H1051" s="27"/>
      <c r="I1051" s="27">
        <v>1</v>
      </c>
      <c r="J1051" s="30"/>
      <c r="K1051" s="26" t="s">
        <v>20</v>
      </c>
      <c r="L1051" s="36" t="s">
        <v>229</v>
      </c>
      <c r="M1051" s="31" t="str">
        <f>IFERROR(VLOOKUP(E1051, TSCD_XUAN!$C$7:$K$1000, 9, 0), "Không tìm thấy")</f>
        <v>A2 giữa</v>
      </c>
      <c r="N1051" s="6"/>
      <c r="O1051" s="6"/>
      <c r="P1051" s="23"/>
      <c r="Q1051" s="2"/>
      <c r="R1051" s="2"/>
      <c r="S1051" s="2"/>
      <c r="T1051" s="2"/>
      <c r="U1051" s="2"/>
      <c r="V1051" s="2"/>
      <c r="W1051" s="2"/>
      <c r="X1051" s="2"/>
      <c r="Y1051" s="2"/>
    </row>
    <row r="1052" spans="1:26" ht="12.75" hidden="1" customHeight="1">
      <c r="A1052" s="26" t="s">
        <v>3018</v>
      </c>
      <c r="B1052" s="27"/>
      <c r="C1052" s="28"/>
      <c r="D1052" s="27"/>
      <c r="E1052" s="27" t="s">
        <v>3019</v>
      </c>
      <c r="F1052" s="29" t="s">
        <v>3020</v>
      </c>
      <c r="G1052" s="27"/>
      <c r="H1052" s="27"/>
      <c r="I1052" s="27">
        <v>1</v>
      </c>
      <c r="J1052" s="30"/>
      <c r="K1052" s="26" t="s">
        <v>20</v>
      </c>
      <c r="L1052" s="36" t="s">
        <v>229</v>
      </c>
      <c r="M1052" s="31" t="str">
        <f>IFERROR(VLOOKUP(E1052, TSCD_XUAN!$C$7:$K$1000, 9, 0), "Không tìm thấy")</f>
        <v>A2 giữa</v>
      </c>
      <c r="N1052" s="6"/>
      <c r="O1052" s="6"/>
      <c r="P1052" s="23"/>
      <c r="Q1052" s="2"/>
      <c r="R1052" s="2"/>
      <c r="S1052" s="2"/>
      <c r="T1052" s="2"/>
      <c r="U1052" s="2"/>
      <c r="V1052" s="2"/>
      <c r="W1052" s="2"/>
      <c r="X1052" s="2"/>
      <c r="Y1052" s="2"/>
    </row>
    <row r="1053" spans="1:26" ht="12.75" hidden="1" customHeight="1">
      <c r="A1053" s="26" t="s">
        <v>3021</v>
      </c>
      <c r="B1053" s="27"/>
      <c r="C1053" s="28"/>
      <c r="D1053" s="27"/>
      <c r="E1053" s="27" t="s">
        <v>3022</v>
      </c>
      <c r="F1053" s="29" t="s">
        <v>3023</v>
      </c>
      <c r="G1053" s="27"/>
      <c r="H1053" s="27"/>
      <c r="I1053" s="27">
        <v>1</v>
      </c>
      <c r="J1053" s="30"/>
      <c r="K1053" s="26" t="s">
        <v>20</v>
      </c>
      <c r="L1053" s="36" t="s">
        <v>229</v>
      </c>
      <c r="M1053" s="31" t="str">
        <f>IFERROR(VLOOKUP(E1053, TSCD_XUAN!$C$7:$K$1000, 9, 0), "Không tìm thấy")</f>
        <v>A2 giữa</v>
      </c>
      <c r="N1053" s="6"/>
      <c r="O1053" s="6"/>
      <c r="P1053" s="23"/>
      <c r="Q1053" s="2"/>
      <c r="R1053" s="2"/>
      <c r="S1053" s="2"/>
      <c r="T1053" s="2"/>
      <c r="U1053" s="2"/>
      <c r="V1053" s="2"/>
      <c r="W1053" s="2"/>
      <c r="X1053" s="2"/>
      <c r="Y1053" s="2"/>
    </row>
    <row r="1054" spans="1:26" ht="25.5" hidden="1" customHeight="1">
      <c r="A1054" s="26">
        <v>685</v>
      </c>
      <c r="B1054" s="27" t="s">
        <v>1683</v>
      </c>
      <c r="C1054" s="28">
        <v>42733</v>
      </c>
      <c r="D1054" s="27"/>
      <c r="E1054" s="27" t="s">
        <v>3024</v>
      </c>
      <c r="F1054" s="29" t="s">
        <v>3025</v>
      </c>
      <c r="G1054" s="27" t="s">
        <v>248</v>
      </c>
      <c r="H1054" s="27" t="s">
        <v>19</v>
      </c>
      <c r="I1054" s="27">
        <v>1</v>
      </c>
      <c r="J1054" s="30">
        <v>50000000</v>
      </c>
      <c r="K1054" s="26" t="s">
        <v>36</v>
      </c>
      <c r="L1054" s="26" t="s">
        <v>2054</v>
      </c>
      <c r="M1054" s="31" t="s">
        <v>3026</v>
      </c>
      <c r="N1054" s="6"/>
      <c r="O1054" s="6"/>
      <c r="P1054" s="23"/>
      <c r="Q1054" s="2"/>
      <c r="R1054" s="2"/>
      <c r="S1054" s="2"/>
      <c r="T1054" s="2"/>
      <c r="U1054" s="2"/>
      <c r="V1054" s="2"/>
      <c r="W1054" s="2"/>
      <c r="X1054" s="2"/>
      <c r="Y1054" s="2"/>
    </row>
    <row r="1055" spans="1:26" ht="38.25" hidden="1" customHeight="1">
      <c r="A1055" s="26">
        <v>686</v>
      </c>
      <c r="B1055" s="27" t="s">
        <v>3027</v>
      </c>
      <c r="C1055" s="28">
        <v>43099</v>
      </c>
      <c r="D1055" s="27"/>
      <c r="E1055" s="27" t="s">
        <v>3028</v>
      </c>
      <c r="F1055" s="29" t="s">
        <v>3029</v>
      </c>
      <c r="G1055" s="27" t="s">
        <v>35</v>
      </c>
      <c r="H1055" s="27" t="s">
        <v>19</v>
      </c>
      <c r="I1055" s="27">
        <v>1</v>
      </c>
      <c r="J1055" s="30">
        <v>67401250</v>
      </c>
      <c r="K1055" s="26"/>
      <c r="L1055" s="26" t="s">
        <v>3030</v>
      </c>
      <c r="M1055" s="31" t="s">
        <v>3031</v>
      </c>
      <c r="N1055" s="6"/>
      <c r="O1055" s="6"/>
      <c r="P1055" s="23"/>
      <c r="Q1055" s="2"/>
      <c r="R1055" s="2"/>
      <c r="S1055" s="2"/>
      <c r="T1055" s="2"/>
      <c r="U1055" s="2"/>
      <c r="V1055" s="2"/>
      <c r="W1055" s="2"/>
      <c r="X1055" s="2"/>
      <c r="Y1055" s="2"/>
    </row>
    <row r="1056" spans="1:26" ht="12.75" hidden="1" customHeight="1">
      <c r="A1056" s="26">
        <v>687</v>
      </c>
      <c r="B1056" s="27" t="s">
        <v>3032</v>
      </c>
      <c r="C1056" s="28">
        <v>40640</v>
      </c>
      <c r="D1056" s="27"/>
      <c r="E1056" s="27" t="s">
        <v>3033</v>
      </c>
      <c r="F1056" s="29" t="s">
        <v>3034</v>
      </c>
      <c r="G1056" s="27" t="s">
        <v>248</v>
      </c>
      <c r="H1056" s="27" t="s">
        <v>249</v>
      </c>
      <c r="I1056" s="27">
        <v>1</v>
      </c>
      <c r="J1056" s="30">
        <v>72914838</v>
      </c>
      <c r="K1056" s="26" t="s">
        <v>206</v>
      </c>
      <c r="L1056" s="26" t="s">
        <v>2906</v>
      </c>
      <c r="M1056" s="31" t="s">
        <v>3035</v>
      </c>
      <c r="N1056" s="6"/>
      <c r="O1056" s="6"/>
      <c r="P1056" s="23"/>
      <c r="Q1056" s="2"/>
      <c r="R1056" s="2"/>
      <c r="S1056" s="2"/>
      <c r="T1056" s="2"/>
      <c r="U1056" s="2"/>
      <c r="V1056" s="2"/>
      <c r="W1056" s="2"/>
      <c r="X1056" s="2"/>
      <c r="Y1056" s="2"/>
    </row>
    <row r="1057" spans="1:25" ht="12.75" hidden="1" customHeight="1">
      <c r="A1057" s="26">
        <v>688</v>
      </c>
      <c r="B1057" s="27" t="s">
        <v>197</v>
      </c>
      <c r="C1057" s="28">
        <v>40948</v>
      </c>
      <c r="D1057" s="27"/>
      <c r="E1057" s="27" t="s">
        <v>3036</v>
      </c>
      <c r="F1057" s="29" t="s">
        <v>3037</v>
      </c>
      <c r="G1057" s="27" t="s">
        <v>1435</v>
      </c>
      <c r="H1057" s="27" t="s">
        <v>249</v>
      </c>
      <c r="I1057" s="27">
        <v>1</v>
      </c>
      <c r="J1057" s="30">
        <v>75050674</v>
      </c>
      <c r="K1057" s="26" t="s">
        <v>20</v>
      </c>
      <c r="L1057" s="36" t="s">
        <v>229</v>
      </c>
      <c r="M1057" s="31" t="str">
        <f>IFERROR(VLOOKUP(E1057, TSCD_XUAN!$C$7:$K$1000, 9, 0), "Không tìm thấy")</f>
        <v>A1-MC</v>
      </c>
      <c r="N1057" s="6"/>
      <c r="O1057" s="6"/>
      <c r="P1057" s="23"/>
      <c r="Q1057" s="2"/>
      <c r="R1057" s="2"/>
      <c r="S1057" s="2"/>
      <c r="T1057" s="2"/>
      <c r="U1057" s="2"/>
      <c r="V1057" s="2"/>
      <c r="W1057" s="2"/>
      <c r="X1057" s="2"/>
      <c r="Y1057" s="2"/>
    </row>
    <row r="1058" spans="1:25" ht="25" hidden="1">
      <c r="A1058" s="26">
        <v>689</v>
      </c>
      <c r="B1058" s="27" t="s">
        <v>197</v>
      </c>
      <c r="C1058" s="28">
        <v>40948</v>
      </c>
      <c r="D1058" s="27"/>
      <c r="E1058" s="27" t="s">
        <v>3038</v>
      </c>
      <c r="F1058" s="29" t="s">
        <v>3039</v>
      </c>
      <c r="G1058" s="27" t="s">
        <v>1435</v>
      </c>
      <c r="H1058" s="27" t="s">
        <v>249</v>
      </c>
      <c r="I1058" s="27">
        <v>1</v>
      </c>
      <c r="J1058" s="30">
        <v>75050674</v>
      </c>
      <c r="K1058" s="26" t="s">
        <v>20</v>
      </c>
      <c r="L1058" s="36" t="s">
        <v>229</v>
      </c>
      <c r="M1058" s="31" t="str">
        <f>IFERROR(VLOOKUP(E1058, TSCD_XUAN!$C$7:$K$1000, 9, 0), "Không tìm thấy")</f>
        <v>A2-MC</v>
      </c>
      <c r="N1058" s="6"/>
      <c r="O1058" s="6"/>
      <c r="P1058" s="23"/>
      <c r="Q1058" s="2"/>
      <c r="R1058" s="2"/>
      <c r="S1058" s="2"/>
      <c r="T1058" s="2"/>
      <c r="U1058" s="2"/>
      <c r="V1058" s="2"/>
      <c r="W1058" s="2"/>
      <c r="X1058" s="2"/>
      <c r="Y1058" s="2"/>
    </row>
    <row r="1059" spans="1:25" ht="38.25" hidden="1" customHeight="1">
      <c r="A1059" s="26">
        <v>690</v>
      </c>
      <c r="B1059" s="27" t="s">
        <v>3040</v>
      </c>
      <c r="C1059" s="28">
        <v>41915</v>
      </c>
      <c r="D1059" s="27"/>
      <c r="E1059" s="27" t="s">
        <v>3041</v>
      </c>
      <c r="F1059" s="29" t="s">
        <v>3042</v>
      </c>
      <c r="G1059" s="27" t="s">
        <v>1435</v>
      </c>
      <c r="H1059" s="27" t="s">
        <v>249</v>
      </c>
      <c r="I1059" s="27">
        <v>1</v>
      </c>
      <c r="J1059" s="30">
        <v>32000000</v>
      </c>
      <c r="K1059" s="26" t="s">
        <v>1195</v>
      </c>
      <c r="L1059" s="26" t="s">
        <v>1196</v>
      </c>
      <c r="M1059" s="31" t="s">
        <v>3043</v>
      </c>
      <c r="N1059" s="6"/>
      <c r="O1059" s="6"/>
      <c r="P1059" s="23"/>
      <c r="Q1059" s="2"/>
      <c r="R1059" s="2"/>
      <c r="S1059" s="2"/>
      <c r="T1059" s="2"/>
      <c r="U1059" s="2"/>
      <c r="V1059" s="2"/>
      <c r="W1059" s="2"/>
      <c r="X1059" s="2"/>
      <c r="Y1059" s="2"/>
    </row>
    <row r="1060" spans="1:25" ht="38.25" hidden="1" customHeight="1">
      <c r="A1060" s="26">
        <v>691</v>
      </c>
      <c r="B1060" s="27" t="s">
        <v>3040</v>
      </c>
      <c r="C1060" s="28">
        <v>41915</v>
      </c>
      <c r="D1060" s="27"/>
      <c r="E1060" s="27" t="s">
        <v>3044</v>
      </c>
      <c r="F1060" s="29" t="s">
        <v>3045</v>
      </c>
      <c r="G1060" s="27" t="s">
        <v>1435</v>
      </c>
      <c r="H1060" s="27" t="s">
        <v>249</v>
      </c>
      <c r="I1060" s="27">
        <v>1</v>
      </c>
      <c r="J1060" s="30">
        <v>32000000</v>
      </c>
      <c r="K1060" s="26" t="s">
        <v>1195</v>
      </c>
      <c r="L1060" s="26" t="s">
        <v>1196</v>
      </c>
      <c r="M1060" s="31" t="s">
        <v>3043</v>
      </c>
      <c r="N1060" s="6"/>
      <c r="O1060" s="6"/>
      <c r="P1060" s="23"/>
      <c r="Q1060" s="2"/>
      <c r="R1060" s="2"/>
      <c r="S1060" s="2"/>
      <c r="T1060" s="2"/>
      <c r="U1060" s="2"/>
      <c r="V1060" s="2"/>
      <c r="W1060" s="2"/>
      <c r="X1060" s="2"/>
      <c r="Y1060" s="2"/>
    </row>
    <row r="1061" spans="1:25" ht="25.5" customHeight="1">
      <c r="A1061" s="45">
        <v>692</v>
      </c>
      <c r="B1061" s="27" t="s">
        <v>3040</v>
      </c>
      <c r="C1061" s="75">
        <v>41915</v>
      </c>
      <c r="D1061" s="27"/>
      <c r="E1061" s="76" t="s">
        <v>3046</v>
      </c>
      <c r="F1061" s="77" t="s">
        <v>3047</v>
      </c>
      <c r="G1061" s="27" t="s">
        <v>1435</v>
      </c>
      <c r="H1061" s="27" t="s">
        <v>249</v>
      </c>
      <c r="I1061" s="27">
        <v>1</v>
      </c>
      <c r="J1061" s="30">
        <v>32000000</v>
      </c>
      <c r="K1061" s="26" t="s">
        <v>20</v>
      </c>
      <c r="L1061" s="45" t="s">
        <v>423</v>
      </c>
      <c r="M1061" s="46" t="s">
        <v>3048</v>
      </c>
      <c r="N1061" s="55"/>
      <c r="O1061" s="55"/>
      <c r="P1061" s="32"/>
      <c r="Q1061" s="2"/>
      <c r="R1061" s="2"/>
      <c r="S1061" s="2"/>
      <c r="T1061" s="2"/>
      <c r="U1061" s="2"/>
      <c r="V1061" s="2"/>
      <c r="W1061" s="2"/>
      <c r="X1061" s="2"/>
      <c r="Y1061" s="2"/>
    </row>
    <row r="1062" spans="1:25" ht="12.75" hidden="1" customHeight="1">
      <c r="A1062" s="26">
        <v>693</v>
      </c>
      <c r="B1062" s="27" t="s">
        <v>3040</v>
      </c>
      <c r="C1062" s="28">
        <v>41915</v>
      </c>
      <c r="D1062" s="27"/>
      <c r="E1062" s="27" t="s">
        <v>3049</v>
      </c>
      <c r="F1062" s="29" t="s">
        <v>3050</v>
      </c>
      <c r="G1062" s="27" t="s">
        <v>1435</v>
      </c>
      <c r="H1062" s="27" t="s">
        <v>249</v>
      </c>
      <c r="I1062" s="27">
        <v>1</v>
      </c>
      <c r="J1062" s="30">
        <v>32000000</v>
      </c>
      <c r="K1062" s="26" t="s">
        <v>20</v>
      </c>
      <c r="L1062" s="26" t="s">
        <v>295</v>
      </c>
      <c r="M1062" s="31" t="s">
        <v>3051</v>
      </c>
      <c r="N1062" s="6"/>
      <c r="O1062" s="6"/>
      <c r="P1062" s="23"/>
      <c r="Q1062" s="2"/>
      <c r="R1062" s="2"/>
      <c r="S1062" s="2"/>
      <c r="T1062" s="2"/>
      <c r="U1062" s="2"/>
      <c r="V1062" s="2"/>
      <c r="W1062" s="2"/>
      <c r="X1062" s="2"/>
      <c r="Y1062" s="2"/>
    </row>
    <row r="1063" spans="1:25" ht="12.75" customHeight="1">
      <c r="A1063" s="26">
        <v>694</v>
      </c>
      <c r="B1063" s="27" t="s">
        <v>2723</v>
      </c>
      <c r="C1063" s="28">
        <v>41502</v>
      </c>
      <c r="D1063" s="27"/>
      <c r="E1063" s="47" t="s">
        <v>3052</v>
      </c>
      <c r="F1063" s="29" t="s">
        <v>3053</v>
      </c>
      <c r="G1063" s="27" t="s">
        <v>55</v>
      </c>
      <c r="H1063" s="27" t="s">
        <v>569</v>
      </c>
      <c r="I1063" s="27">
        <v>1</v>
      </c>
      <c r="J1063" s="30">
        <v>494300000</v>
      </c>
      <c r="K1063" s="26" t="s">
        <v>20</v>
      </c>
      <c r="L1063" s="26" t="s">
        <v>423</v>
      </c>
      <c r="M1063" s="31" t="s">
        <v>3054</v>
      </c>
      <c r="N1063" s="7"/>
      <c r="O1063" s="7" t="str">
        <f ca="1">IFERROR(__xludf.DUMMYFUNCTION("IFERROR(INDEX(Sheet1!$C:$C, MAX(FILTER(ROW(Sheet1!$B:$B), Sheet1!$B:$B=E1063))), """")"),"")</f>
        <v/>
      </c>
      <c r="P1063" s="23"/>
      <c r="Q1063" s="2"/>
      <c r="R1063" s="2"/>
      <c r="S1063" s="2"/>
      <c r="T1063" s="2"/>
      <c r="U1063" s="2"/>
      <c r="V1063" s="2"/>
      <c r="W1063" s="2"/>
      <c r="X1063" s="2"/>
      <c r="Y1063" s="2"/>
    </row>
    <row r="1064" spans="1:25" ht="12.75" hidden="1" customHeight="1">
      <c r="A1064" s="26">
        <v>695</v>
      </c>
      <c r="B1064" s="27" t="s">
        <v>1005</v>
      </c>
      <c r="C1064" s="28">
        <v>39994</v>
      </c>
      <c r="D1064" s="27"/>
      <c r="E1064" s="27" t="s">
        <v>3055</v>
      </c>
      <c r="F1064" s="29" t="s">
        <v>3056</v>
      </c>
      <c r="G1064" s="27" t="s">
        <v>55</v>
      </c>
      <c r="H1064" s="27"/>
      <c r="I1064" s="27">
        <v>1</v>
      </c>
      <c r="J1064" s="30">
        <v>99228153</v>
      </c>
      <c r="K1064" s="26" t="s">
        <v>206</v>
      </c>
      <c r="L1064" s="26" t="s">
        <v>2906</v>
      </c>
      <c r="M1064" s="31" t="s">
        <v>3057</v>
      </c>
      <c r="N1064" s="6"/>
      <c r="O1064" s="6"/>
      <c r="P1064" s="23"/>
      <c r="Q1064" s="2"/>
      <c r="R1064" s="2"/>
      <c r="S1064" s="2"/>
      <c r="T1064" s="2"/>
      <c r="U1064" s="2"/>
      <c r="V1064" s="2"/>
      <c r="W1064" s="2"/>
      <c r="X1064" s="2"/>
      <c r="Y1064" s="2"/>
    </row>
    <row r="1065" spans="1:25" ht="12.75" hidden="1" customHeight="1">
      <c r="A1065" s="26">
        <v>696</v>
      </c>
      <c r="B1065" s="27" t="s">
        <v>3058</v>
      </c>
      <c r="C1065" s="28">
        <v>41991</v>
      </c>
      <c r="D1065" s="27"/>
      <c r="E1065" s="27" t="s">
        <v>3059</v>
      </c>
      <c r="F1065" s="29" t="s">
        <v>3060</v>
      </c>
      <c r="G1065" s="27" t="s">
        <v>35</v>
      </c>
      <c r="H1065" s="27" t="s">
        <v>249</v>
      </c>
      <c r="I1065" s="27">
        <v>1</v>
      </c>
      <c r="J1065" s="30">
        <v>33500000</v>
      </c>
      <c r="K1065" s="26" t="s">
        <v>20</v>
      </c>
      <c r="L1065" s="26" t="s">
        <v>233</v>
      </c>
      <c r="M1065" s="31" t="s">
        <v>3061</v>
      </c>
      <c r="N1065" s="6"/>
      <c r="O1065" s="6"/>
      <c r="P1065" s="23"/>
      <c r="Q1065" s="2"/>
      <c r="R1065" s="2"/>
      <c r="S1065" s="2"/>
      <c r="T1065" s="2"/>
      <c r="U1065" s="2"/>
      <c r="V1065" s="2"/>
      <c r="W1065" s="2"/>
      <c r="X1065" s="2"/>
      <c r="Y1065" s="2"/>
    </row>
    <row r="1066" spans="1:25" ht="25.5" hidden="1" customHeight="1">
      <c r="A1066" s="26">
        <v>697</v>
      </c>
      <c r="B1066" s="27" t="s">
        <v>3062</v>
      </c>
      <c r="C1066" s="28">
        <v>41274</v>
      </c>
      <c r="D1066" s="27"/>
      <c r="E1066" s="27" t="s">
        <v>3063</v>
      </c>
      <c r="F1066" s="29" t="s">
        <v>3064</v>
      </c>
      <c r="G1066" s="27" t="s">
        <v>35</v>
      </c>
      <c r="H1066" s="27" t="s">
        <v>157</v>
      </c>
      <c r="I1066" s="27">
        <v>1</v>
      </c>
      <c r="J1066" s="30">
        <v>48990000</v>
      </c>
      <c r="K1066" s="26" t="s">
        <v>20</v>
      </c>
      <c r="L1066" s="26" t="s">
        <v>233</v>
      </c>
      <c r="M1066" s="31" t="s">
        <v>2183</v>
      </c>
      <c r="N1066" s="6"/>
      <c r="O1066" s="6"/>
      <c r="P1066" s="23"/>
      <c r="Q1066" s="2"/>
      <c r="R1066" s="2"/>
      <c r="S1066" s="2"/>
      <c r="T1066" s="2"/>
      <c r="U1066" s="2"/>
      <c r="V1066" s="2"/>
      <c r="W1066" s="2"/>
      <c r="X1066" s="2"/>
      <c r="Y1066" s="2"/>
    </row>
    <row r="1067" spans="1:25" ht="25.5" hidden="1" customHeight="1">
      <c r="A1067" s="26">
        <v>698</v>
      </c>
      <c r="B1067" s="27" t="s">
        <v>3065</v>
      </c>
      <c r="C1067" s="28">
        <v>41500</v>
      </c>
      <c r="D1067" s="27"/>
      <c r="E1067" s="27" t="s">
        <v>3066</v>
      </c>
      <c r="F1067" s="29" t="s">
        <v>3067</v>
      </c>
      <c r="G1067" s="27" t="s">
        <v>35</v>
      </c>
      <c r="H1067" s="27" t="s">
        <v>157</v>
      </c>
      <c r="I1067" s="27">
        <v>1</v>
      </c>
      <c r="J1067" s="30">
        <v>50295000</v>
      </c>
      <c r="K1067" s="26" t="s">
        <v>20</v>
      </c>
      <c r="L1067" s="36" t="s">
        <v>229</v>
      </c>
      <c r="M1067" s="31" t="str">
        <f>IFERROR(VLOOKUP(E1067, TSCD_XUAN!$C$7:$K$1000, 9, 0), "Không tìm thấy")</f>
        <v>A2-Control, bàn để mixer audio</v>
      </c>
      <c r="N1067" s="6"/>
      <c r="O1067" s="6"/>
      <c r="P1067" s="23"/>
      <c r="Q1067" s="2"/>
      <c r="R1067" s="2"/>
      <c r="S1067" s="2"/>
      <c r="T1067" s="2"/>
      <c r="U1067" s="2"/>
      <c r="V1067" s="2"/>
      <c r="W1067" s="2"/>
      <c r="X1067" s="2"/>
      <c r="Y1067" s="2"/>
    </row>
    <row r="1068" spans="1:25" ht="12.75" customHeight="1">
      <c r="A1068" s="26">
        <v>699</v>
      </c>
      <c r="B1068" s="27" t="s">
        <v>470</v>
      </c>
      <c r="C1068" s="28">
        <v>41983</v>
      </c>
      <c r="D1068" s="27"/>
      <c r="E1068" s="47" t="s">
        <v>3068</v>
      </c>
      <c r="F1068" s="29" t="s">
        <v>3069</v>
      </c>
      <c r="G1068" s="27" t="s">
        <v>35</v>
      </c>
      <c r="H1068" s="27" t="s">
        <v>157</v>
      </c>
      <c r="I1068" s="27">
        <v>1</v>
      </c>
      <c r="J1068" s="30">
        <v>78569762</v>
      </c>
      <c r="K1068" s="26" t="s">
        <v>20</v>
      </c>
      <c r="L1068" s="26" t="s">
        <v>423</v>
      </c>
      <c r="M1068" s="31" t="s">
        <v>3070</v>
      </c>
      <c r="N1068" s="7"/>
      <c r="O1068" s="7" t="str">
        <f ca="1">IFERROR(__xludf.DUMMYFUNCTION("IFERROR(INDEX(Sheet1!$C:$C, MAX(FILTER(ROW(Sheet1!$B:$B), Sheet1!$B:$B=E1068))), """")"),"")</f>
        <v/>
      </c>
      <c r="P1068" s="23"/>
      <c r="Q1068" s="2"/>
      <c r="R1068" s="2"/>
      <c r="S1068" s="2"/>
      <c r="T1068" s="2"/>
      <c r="U1068" s="2"/>
      <c r="V1068" s="2"/>
      <c r="W1068" s="2"/>
      <c r="X1068" s="2"/>
      <c r="Y1068" s="2"/>
    </row>
    <row r="1069" spans="1:25" ht="12.75" hidden="1" customHeight="1">
      <c r="A1069" s="26">
        <v>700</v>
      </c>
      <c r="B1069" s="27" t="s">
        <v>599</v>
      </c>
      <c r="C1069" s="28">
        <v>42671</v>
      </c>
      <c r="D1069" s="27"/>
      <c r="E1069" s="27" t="s">
        <v>3071</v>
      </c>
      <c r="F1069" s="29" t="s">
        <v>3072</v>
      </c>
      <c r="G1069" s="27" t="s">
        <v>35</v>
      </c>
      <c r="H1069" s="27" t="s">
        <v>19</v>
      </c>
      <c r="I1069" s="27">
        <v>1</v>
      </c>
      <c r="J1069" s="30">
        <v>86626535</v>
      </c>
      <c r="K1069" s="26" t="s">
        <v>36</v>
      </c>
      <c r="L1069" s="26" t="s">
        <v>169</v>
      </c>
      <c r="M1069" s="31" t="s">
        <v>2956</v>
      </c>
      <c r="N1069" s="6"/>
      <c r="O1069" s="6"/>
      <c r="P1069" s="23"/>
      <c r="Q1069" s="2"/>
      <c r="R1069" s="2"/>
      <c r="S1069" s="2"/>
      <c r="T1069" s="2"/>
      <c r="U1069" s="2"/>
      <c r="V1069" s="2"/>
      <c r="W1069" s="2"/>
      <c r="X1069" s="2"/>
      <c r="Y1069" s="2"/>
    </row>
    <row r="1070" spans="1:25" ht="12.75" hidden="1" customHeight="1">
      <c r="A1070" s="26">
        <v>701</v>
      </c>
      <c r="B1070" s="27" t="s">
        <v>599</v>
      </c>
      <c r="C1070" s="28">
        <v>42671</v>
      </c>
      <c r="D1070" s="27"/>
      <c r="E1070" s="27" t="s">
        <v>3073</v>
      </c>
      <c r="F1070" s="29" t="s">
        <v>3072</v>
      </c>
      <c r="G1070" s="27" t="s">
        <v>35</v>
      </c>
      <c r="H1070" s="27" t="s">
        <v>19</v>
      </c>
      <c r="I1070" s="27">
        <v>1</v>
      </c>
      <c r="J1070" s="30">
        <v>86626536</v>
      </c>
      <c r="K1070" s="26" t="s">
        <v>36</v>
      </c>
      <c r="L1070" s="26" t="s">
        <v>169</v>
      </c>
      <c r="M1070" s="31" t="s">
        <v>2956</v>
      </c>
      <c r="N1070" s="6"/>
      <c r="O1070" s="6"/>
      <c r="P1070" s="23"/>
      <c r="Q1070" s="2"/>
      <c r="R1070" s="2"/>
      <c r="S1070" s="2"/>
      <c r="T1070" s="2"/>
      <c r="U1070" s="2"/>
      <c r="V1070" s="2"/>
      <c r="W1070" s="2"/>
      <c r="X1070" s="2"/>
      <c r="Y1070" s="2"/>
    </row>
    <row r="1071" spans="1:25" ht="25.5" hidden="1" customHeight="1">
      <c r="A1071" s="26">
        <v>702</v>
      </c>
      <c r="B1071" s="27" t="s">
        <v>797</v>
      </c>
      <c r="C1071" s="28">
        <v>42671</v>
      </c>
      <c r="D1071" s="27"/>
      <c r="E1071" s="27" t="s">
        <v>3074</v>
      </c>
      <c r="F1071" s="29" t="s">
        <v>3075</v>
      </c>
      <c r="G1071" s="27" t="s">
        <v>35</v>
      </c>
      <c r="H1071" s="27"/>
      <c r="I1071" s="27">
        <v>1</v>
      </c>
      <c r="J1071" s="30">
        <v>74039565</v>
      </c>
      <c r="K1071" s="26" t="s">
        <v>206</v>
      </c>
      <c r="L1071" s="26" t="s">
        <v>2906</v>
      </c>
      <c r="M1071" s="31" t="s">
        <v>1041</v>
      </c>
      <c r="N1071" s="6"/>
      <c r="O1071" s="6"/>
      <c r="P1071" s="23"/>
      <c r="Q1071" s="2"/>
      <c r="R1071" s="2"/>
      <c r="S1071" s="2"/>
      <c r="T1071" s="2"/>
      <c r="U1071" s="2"/>
      <c r="V1071" s="2"/>
      <c r="W1071" s="2"/>
      <c r="X1071" s="2"/>
      <c r="Y1071" s="2"/>
    </row>
    <row r="1072" spans="1:25" ht="25.5" hidden="1" customHeight="1">
      <c r="A1072" s="26">
        <v>703</v>
      </c>
      <c r="B1072" s="27" t="s">
        <v>797</v>
      </c>
      <c r="C1072" s="28">
        <v>42671</v>
      </c>
      <c r="D1072" s="27"/>
      <c r="E1072" s="27" t="s">
        <v>3076</v>
      </c>
      <c r="F1072" s="29" t="s">
        <v>3077</v>
      </c>
      <c r="G1072" s="27" t="s">
        <v>35</v>
      </c>
      <c r="H1072" s="27" t="s">
        <v>19</v>
      </c>
      <c r="I1072" s="27">
        <v>1</v>
      </c>
      <c r="J1072" s="30">
        <v>75214796</v>
      </c>
      <c r="K1072" s="26" t="s">
        <v>206</v>
      </c>
      <c r="L1072" s="26" t="s">
        <v>2906</v>
      </c>
      <c r="M1072" s="31" t="s">
        <v>1041</v>
      </c>
      <c r="N1072" s="6"/>
      <c r="O1072" s="6"/>
      <c r="P1072" s="23"/>
      <c r="Q1072" s="2"/>
      <c r="R1072" s="2"/>
      <c r="S1072" s="2"/>
      <c r="T1072" s="2"/>
      <c r="U1072" s="2"/>
      <c r="V1072" s="2"/>
      <c r="W1072" s="2"/>
      <c r="X1072" s="2"/>
      <c r="Y1072" s="2"/>
    </row>
    <row r="1073" spans="1:26" ht="25.5" hidden="1" customHeight="1">
      <c r="A1073" s="26">
        <v>704</v>
      </c>
      <c r="B1073" s="27" t="s">
        <v>797</v>
      </c>
      <c r="C1073" s="28">
        <v>42671</v>
      </c>
      <c r="D1073" s="27"/>
      <c r="E1073" s="27" t="s">
        <v>3078</v>
      </c>
      <c r="F1073" s="29" t="s">
        <v>3077</v>
      </c>
      <c r="G1073" s="27" t="s">
        <v>35</v>
      </c>
      <c r="H1073" s="27" t="s">
        <v>19</v>
      </c>
      <c r="I1073" s="27">
        <v>1</v>
      </c>
      <c r="J1073" s="30">
        <v>75214796</v>
      </c>
      <c r="K1073" s="26" t="s">
        <v>206</v>
      </c>
      <c r="L1073" s="26" t="s">
        <v>2906</v>
      </c>
      <c r="M1073" s="31" t="s">
        <v>1041</v>
      </c>
      <c r="N1073" s="6"/>
      <c r="O1073" s="6"/>
      <c r="P1073" s="23"/>
      <c r="Q1073" s="2"/>
      <c r="R1073" s="2"/>
      <c r="S1073" s="2"/>
      <c r="T1073" s="2"/>
      <c r="U1073" s="2"/>
      <c r="V1073" s="2"/>
      <c r="W1073" s="2"/>
      <c r="X1073" s="2"/>
      <c r="Y1073" s="2"/>
    </row>
    <row r="1074" spans="1:26" ht="25.5" hidden="1" customHeight="1">
      <c r="A1074" s="26">
        <v>705</v>
      </c>
      <c r="B1074" s="27" t="s">
        <v>797</v>
      </c>
      <c r="C1074" s="28">
        <v>42671</v>
      </c>
      <c r="D1074" s="27"/>
      <c r="E1074" s="27" t="s">
        <v>3079</v>
      </c>
      <c r="F1074" s="29" t="s">
        <v>3077</v>
      </c>
      <c r="G1074" s="27" t="s">
        <v>35</v>
      </c>
      <c r="H1074" s="27" t="s">
        <v>19</v>
      </c>
      <c r="I1074" s="27">
        <v>1</v>
      </c>
      <c r="J1074" s="30">
        <v>75214796</v>
      </c>
      <c r="K1074" s="26" t="s">
        <v>206</v>
      </c>
      <c r="L1074" s="26" t="s">
        <v>2906</v>
      </c>
      <c r="M1074" s="31" t="s">
        <v>1041</v>
      </c>
      <c r="N1074" s="6"/>
      <c r="O1074" s="6"/>
      <c r="P1074" s="23"/>
      <c r="Q1074" s="2"/>
      <c r="R1074" s="2"/>
      <c r="S1074" s="2"/>
      <c r="T1074" s="2"/>
      <c r="U1074" s="2"/>
      <c r="V1074" s="2"/>
      <c r="W1074" s="2"/>
      <c r="X1074" s="2"/>
      <c r="Y1074" s="2"/>
    </row>
    <row r="1075" spans="1:26" ht="25.5" hidden="1" customHeight="1">
      <c r="A1075" s="26">
        <v>706</v>
      </c>
      <c r="B1075" s="27" t="s">
        <v>797</v>
      </c>
      <c r="C1075" s="28">
        <v>42671</v>
      </c>
      <c r="D1075" s="27"/>
      <c r="E1075" s="27" t="s">
        <v>3080</v>
      </c>
      <c r="F1075" s="29" t="s">
        <v>3077</v>
      </c>
      <c r="G1075" s="27" t="s">
        <v>35</v>
      </c>
      <c r="H1075" s="27" t="s">
        <v>19</v>
      </c>
      <c r="I1075" s="27">
        <v>1</v>
      </c>
      <c r="J1075" s="30">
        <v>75214796</v>
      </c>
      <c r="K1075" s="26" t="s">
        <v>206</v>
      </c>
      <c r="L1075" s="26" t="s">
        <v>2906</v>
      </c>
      <c r="M1075" s="31" t="s">
        <v>1041</v>
      </c>
      <c r="N1075" s="6"/>
      <c r="O1075" s="6"/>
      <c r="P1075" s="23"/>
      <c r="Q1075" s="2"/>
      <c r="R1075" s="2"/>
      <c r="S1075" s="2"/>
      <c r="T1075" s="2"/>
      <c r="U1075" s="2"/>
      <c r="V1075" s="2"/>
      <c r="W1075" s="2"/>
      <c r="X1075" s="2"/>
      <c r="Y1075" s="2"/>
    </row>
    <row r="1076" spans="1:26" ht="12.75" hidden="1" customHeight="1">
      <c r="A1076" s="17">
        <v>707</v>
      </c>
      <c r="B1076" s="27" t="s">
        <v>3081</v>
      </c>
      <c r="C1076" s="19">
        <v>43099</v>
      </c>
      <c r="D1076" s="27"/>
      <c r="E1076" s="18" t="s">
        <v>3082</v>
      </c>
      <c r="F1076" s="20" t="s">
        <v>3083</v>
      </c>
      <c r="G1076" s="18" t="s">
        <v>35</v>
      </c>
      <c r="H1076" s="18" t="s">
        <v>19</v>
      </c>
      <c r="I1076" s="18">
        <v>1</v>
      </c>
      <c r="J1076" s="21">
        <v>78527000</v>
      </c>
      <c r="K1076" s="17" t="s">
        <v>20</v>
      </c>
      <c r="L1076" s="17" t="s">
        <v>21</v>
      </c>
      <c r="M1076" s="22" t="s">
        <v>22</v>
      </c>
      <c r="N1076" s="23"/>
      <c r="O1076" s="23"/>
      <c r="P1076" s="23"/>
      <c r="Q1076" s="24"/>
      <c r="R1076" s="24"/>
      <c r="S1076" s="24"/>
      <c r="T1076" s="24"/>
      <c r="U1076" s="24"/>
      <c r="V1076" s="24"/>
      <c r="W1076" s="24"/>
      <c r="X1076" s="24"/>
      <c r="Y1076" s="24"/>
      <c r="Z1076" s="25"/>
    </row>
    <row r="1077" spans="1:26" ht="12.75" hidden="1" customHeight="1">
      <c r="A1077" s="26">
        <v>708</v>
      </c>
      <c r="B1077" s="27" t="s">
        <v>52</v>
      </c>
      <c r="C1077" s="28">
        <v>40875</v>
      </c>
      <c r="D1077" s="27"/>
      <c r="E1077" s="27" t="s">
        <v>3084</v>
      </c>
      <c r="F1077" s="29" t="s">
        <v>3085</v>
      </c>
      <c r="G1077" s="27"/>
      <c r="H1077" s="27" t="s">
        <v>19</v>
      </c>
      <c r="I1077" s="27">
        <v>1</v>
      </c>
      <c r="J1077" s="30">
        <v>978360953</v>
      </c>
      <c r="K1077" s="26" t="s">
        <v>36</v>
      </c>
      <c r="L1077" s="26" t="s">
        <v>169</v>
      </c>
      <c r="M1077" s="31" t="s">
        <v>3086</v>
      </c>
      <c r="N1077" s="6"/>
      <c r="O1077" s="6"/>
      <c r="P1077" s="23"/>
      <c r="Q1077" s="2"/>
      <c r="R1077" s="2"/>
      <c r="S1077" s="2"/>
      <c r="T1077" s="2"/>
      <c r="U1077" s="2"/>
      <c r="V1077" s="2"/>
      <c r="W1077" s="2"/>
      <c r="X1077" s="2"/>
      <c r="Y1077" s="2"/>
    </row>
    <row r="1078" spans="1:26" ht="25.5" hidden="1" customHeight="1">
      <c r="A1078" s="26">
        <v>709</v>
      </c>
      <c r="B1078" s="27" t="s">
        <v>52</v>
      </c>
      <c r="C1078" s="28">
        <v>40875</v>
      </c>
      <c r="D1078" s="27"/>
      <c r="E1078" s="27" t="s">
        <v>3087</v>
      </c>
      <c r="F1078" s="29" t="s">
        <v>3088</v>
      </c>
      <c r="G1078" s="27"/>
      <c r="H1078" s="27" t="s">
        <v>19</v>
      </c>
      <c r="I1078" s="27">
        <v>1</v>
      </c>
      <c r="J1078" s="30">
        <v>503971832</v>
      </c>
      <c r="K1078" s="26" t="s">
        <v>36</v>
      </c>
      <c r="L1078" s="26" t="s">
        <v>169</v>
      </c>
      <c r="M1078" s="31" t="s">
        <v>3089</v>
      </c>
      <c r="N1078" s="6"/>
      <c r="O1078" s="6"/>
      <c r="P1078" s="23"/>
      <c r="Q1078" s="2"/>
      <c r="R1078" s="2"/>
      <c r="S1078" s="2"/>
      <c r="T1078" s="2"/>
      <c r="U1078" s="2"/>
      <c r="V1078" s="2"/>
      <c r="W1078" s="2"/>
      <c r="X1078" s="2"/>
      <c r="Y1078" s="2"/>
    </row>
    <row r="1079" spans="1:26" ht="12.75" hidden="1" customHeight="1">
      <c r="A1079" s="26">
        <v>710</v>
      </c>
      <c r="B1079" s="27" t="s">
        <v>52</v>
      </c>
      <c r="C1079" s="28">
        <v>40875</v>
      </c>
      <c r="D1079" s="27"/>
      <c r="E1079" s="27" t="s">
        <v>3090</v>
      </c>
      <c r="F1079" s="29" t="s">
        <v>3091</v>
      </c>
      <c r="G1079" s="27"/>
      <c r="H1079" s="27" t="s">
        <v>19</v>
      </c>
      <c r="I1079" s="27">
        <v>1</v>
      </c>
      <c r="J1079" s="30">
        <v>1277030857</v>
      </c>
      <c r="K1079" s="26" t="s">
        <v>36</v>
      </c>
      <c r="L1079" s="26" t="s">
        <v>169</v>
      </c>
      <c r="M1079" s="31" t="s">
        <v>3092</v>
      </c>
      <c r="N1079" s="6"/>
      <c r="O1079" s="6"/>
      <c r="P1079" s="23"/>
      <c r="Q1079" s="2"/>
      <c r="R1079" s="2"/>
      <c r="S1079" s="2"/>
      <c r="T1079" s="2"/>
      <c r="U1079" s="2"/>
      <c r="V1079" s="2"/>
      <c r="W1079" s="2"/>
      <c r="X1079" s="2"/>
      <c r="Y1079" s="2"/>
    </row>
    <row r="1080" spans="1:26" ht="12.75" hidden="1" customHeight="1">
      <c r="A1080" s="26">
        <v>711</v>
      </c>
      <c r="B1080" s="27" t="s">
        <v>52</v>
      </c>
      <c r="C1080" s="28">
        <v>40875</v>
      </c>
      <c r="D1080" s="27"/>
      <c r="E1080" s="27" t="s">
        <v>3093</v>
      </c>
      <c r="F1080" s="29" t="s">
        <v>3094</v>
      </c>
      <c r="G1080" s="27"/>
      <c r="H1080" s="27" t="s">
        <v>157</v>
      </c>
      <c r="I1080" s="27">
        <v>1</v>
      </c>
      <c r="J1080" s="30">
        <v>4487033104</v>
      </c>
      <c r="K1080" s="26" t="s">
        <v>36</v>
      </c>
      <c r="L1080" s="26" t="s">
        <v>169</v>
      </c>
      <c r="M1080" s="31" t="s">
        <v>3092</v>
      </c>
      <c r="N1080" s="6"/>
      <c r="O1080" s="6"/>
      <c r="P1080" s="23"/>
      <c r="Q1080" s="2"/>
      <c r="R1080" s="2"/>
      <c r="S1080" s="2"/>
      <c r="T1080" s="2"/>
      <c r="U1080" s="2"/>
      <c r="V1080" s="2"/>
      <c r="W1080" s="2"/>
      <c r="X1080" s="2"/>
      <c r="Y1080" s="2"/>
    </row>
    <row r="1081" spans="1:26" ht="12.75" hidden="1" customHeight="1">
      <c r="A1081" s="26">
        <v>712</v>
      </c>
      <c r="B1081" s="27" t="s">
        <v>52</v>
      </c>
      <c r="C1081" s="28">
        <v>40875</v>
      </c>
      <c r="D1081" s="27"/>
      <c r="E1081" s="27" t="s">
        <v>3095</v>
      </c>
      <c r="F1081" s="29" t="s">
        <v>3096</v>
      </c>
      <c r="G1081" s="27"/>
      <c r="H1081" s="27" t="s">
        <v>19</v>
      </c>
      <c r="I1081" s="27">
        <v>1</v>
      </c>
      <c r="J1081" s="30">
        <v>986599406</v>
      </c>
      <c r="K1081" s="26" t="s">
        <v>36</v>
      </c>
      <c r="L1081" s="26" t="s">
        <v>674</v>
      </c>
      <c r="M1081" s="31" t="s">
        <v>3097</v>
      </c>
      <c r="N1081" s="6"/>
      <c r="O1081" s="6"/>
      <c r="P1081" s="23"/>
      <c r="Q1081" s="2"/>
      <c r="R1081" s="2"/>
      <c r="S1081" s="2"/>
      <c r="T1081" s="2"/>
      <c r="U1081" s="2"/>
      <c r="V1081" s="2"/>
      <c r="W1081" s="2"/>
      <c r="X1081" s="2"/>
      <c r="Y1081" s="2"/>
    </row>
    <row r="1082" spans="1:26" ht="25.5" hidden="1" customHeight="1">
      <c r="A1082" s="26">
        <v>713</v>
      </c>
      <c r="B1082" s="27" t="s">
        <v>599</v>
      </c>
      <c r="C1082" s="28">
        <v>42671</v>
      </c>
      <c r="D1082" s="27"/>
      <c r="E1082" s="27" t="s">
        <v>3098</v>
      </c>
      <c r="F1082" s="29" t="s">
        <v>3099</v>
      </c>
      <c r="G1082" s="27" t="s">
        <v>307</v>
      </c>
      <c r="H1082" s="27" t="s">
        <v>522</v>
      </c>
      <c r="I1082" s="27">
        <v>1</v>
      </c>
      <c r="J1082" s="30">
        <v>275668028</v>
      </c>
      <c r="K1082" s="26" t="s">
        <v>36</v>
      </c>
      <c r="L1082" s="26" t="s">
        <v>2054</v>
      </c>
      <c r="M1082" s="31" t="s">
        <v>3100</v>
      </c>
      <c r="N1082" s="6"/>
      <c r="O1082" s="6"/>
      <c r="P1082" s="23"/>
      <c r="Q1082" s="2"/>
      <c r="R1082" s="2"/>
      <c r="S1082" s="2"/>
      <c r="T1082" s="2"/>
      <c r="U1082" s="2"/>
      <c r="V1082" s="2"/>
      <c r="W1082" s="2"/>
      <c r="X1082" s="2"/>
      <c r="Y1082" s="2"/>
    </row>
    <row r="1083" spans="1:26" ht="25.5" hidden="1" customHeight="1">
      <c r="A1083" s="26">
        <v>714</v>
      </c>
      <c r="B1083" s="27" t="s">
        <v>599</v>
      </c>
      <c r="C1083" s="28">
        <v>42671</v>
      </c>
      <c r="D1083" s="27"/>
      <c r="E1083" s="27" t="s">
        <v>3101</v>
      </c>
      <c r="F1083" s="29" t="s">
        <v>3099</v>
      </c>
      <c r="G1083" s="27" t="s">
        <v>307</v>
      </c>
      <c r="H1083" s="27" t="s">
        <v>522</v>
      </c>
      <c r="I1083" s="27">
        <v>1</v>
      </c>
      <c r="J1083" s="30">
        <v>275668028</v>
      </c>
      <c r="K1083" s="26" t="s">
        <v>36</v>
      </c>
      <c r="L1083" s="26" t="s">
        <v>2054</v>
      </c>
      <c r="M1083" s="31" t="s">
        <v>3100</v>
      </c>
      <c r="N1083" s="6"/>
      <c r="O1083" s="6"/>
      <c r="P1083" s="23"/>
      <c r="Q1083" s="2"/>
      <c r="R1083" s="2"/>
      <c r="S1083" s="2"/>
      <c r="T1083" s="2"/>
      <c r="U1083" s="2"/>
      <c r="V1083" s="2"/>
      <c r="W1083" s="2"/>
      <c r="X1083" s="2"/>
      <c r="Y1083" s="2"/>
    </row>
    <row r="1084" spans="1:26" ht="25.5" hidden="1" customHeight="1">
      <c r="A1084" s="26">
        <v>715</v>
      </c>
      <c r="B1084" s="27" t="s">
        <v>599</v>
      </c>
      <c r="C1084" s="28">
        <v>42671</v>
      </c>
      <c r="D1084" s="27"/>
      <c r="E1084" s="27" t="s">
        <v>3102</v>
      </c>
      <c r="F1084" s="29" t="s">
        <v>3099</v>
      </c>
      <c r="G1084" s="27" t="s">
        <v>307</v>
      </c>
      <c r="H1084" s="27" t="s">
        <v>522</v>
      </c>
      <c r="I1084" s="27">
        <v>1</v>
      </c>
      <c r="J1084" s="30">
        <v>275668028</v>
      </c>
      <c r="K1084" s="26" t="s">
        <v>36</v>
      </c>
      <c r="L1084" s="26" t="s">
        <v>2054</v>
      </c>
      <c r="M1084" s="31" t="s">
        <v>3100</v>
      </c>
      <c r="N1084" s="6"/>
      <c r="O1084" s="6"/>
      <c r="P1084" s="23"/>
      <c r="Q1084" s="2"/>
      <c r="R1084" s="2"/>
      <c r="S1084" s="2"/>
      <c r="T1084" s="2"/>
      <c r="U1084" s="2"/>
      <c r="V1084" s="2"/>
      <c r="W1084" s="2"/>
      <c r="X1084" s="2"/>
      <c r="Y1084" s="2"/>
    </row>
    <row r="1085" spans="1:26" ht="25.5" hidden="1" customHeight="1">
      <c r="A1085" s="26">
        <v>716</v>
      </c>
      <c r="B1085" s="27" t="s">
        <v>599</v>
      </c>
      <c r="C1085" s="28">
        <v>42671</v>
      </c>
      <c r="D1085" s="27"/>
      <c r="E1085" s="27" t="s">
        <v>3103</v>
      </c>
      <c r="F1085" s="29" t="s">
        <v>3099</v>
      </c>
      <c r="G1085" s="27" t="s">
        <v>307</v>
      </c>
      <c r="H1085" s="27" t="s">
        <v>522</v>
      </c>
      <c r="I1085" s="27">
        <v>1</v>
      </c>
      <c r="J1085" s="30">
        <v>275668028</v>
      </c>
      <c r="K1085" s="26" t="s">
        <v>36</v>
      </c>
      <c r="L1085" s="26" t="s">
        <v>2054</v>
      </c>
      <c r="M1085" s="31" t="s">
        <v>3100</v>
      </c>
      <c r="N1085" s="6"/>
      <c r="O1085" s="6"/>
      <c r="P1085" s="23"/>
      <c r="Q1085" s="2"/>
      <c r="R1085" s="2"/>
      <c r="S1085" s="2"/>
      <c r="T1085" s="2"/>
      <c r="U1085" s="2"/>
      <c r="V1085" s="2"/>
      <c r="W1085" s="2"/>
      <c r="X1085" s="2"/>
      <c r="Y1085" s="2"/>
    </row>
    <row r="1086" spans="1:26" ht="25.5" hidden="1" customHeight="1">
      <c r="A1086" s="26">
        <v>717</v>
      </c>
      <c r="B1086" s="27" t="s">
        <v>599</v>
      </c>
      <c r="C1086" s="28">
        <v>42671</v>
      </c>
      <c r="D1086" s="27"/>
      <c r="E1086" s="27" t="s">
        <v>3104</v>
      </c>
      <c r="F1086" s="29" t="s">
        <v>3105</v>
      </c>
      <c r="G1086" s="27" t="s">
        <v>307</v>
      </c>
      <c r="H1086" s="27" t="s">
        <v>522</v>
      </c>
      <c r="I1086" s="27">
        <v>1</v>
      </c>
      <c r="J1086" s="30">
        <v>1838617889</v>
      </c>
      <c r="K1086" s="26" t="s">
        <v>36</v>
      </c>
      <c r="L1086" s="26" t="s">
        <v>2054</v>
      </c>
      <c r="M1086" s="31" t="s">
        <v>3100</v>
      </c>
      <c r="N1086" s="6"/>
      <c r="O1086" s="6"/>
      <c r="P1086" s="23"/>
      <c r="Q1086" s="2"/>
      <c r="R1086" s="2"/>
      <c r="S1086" s="2"/>
      <c r="T1086" s="2"/>
      <c r="U1086" s="2"/>
      <c r="V1086" s="2"/>
      <c r="W1086" s="2"/>
      <c r="X1086" s="2"/>
      <c r="Y1086" s="2"/>
    </row>
    <row r="1087" spans="1:26" ht="25.5" hidden="1" customHeight="1">
      <c r="A1087" s="26">
        <v>718</v>
      </c>
      <c r="B1087" s="27" t="s">
        <v>599</v>
      </c>
      <c r="C1087" s="28">
        <v>42671</v>
      </c>
      <c r="D1087" s="27"/>
      <c r="E1087" s="27" t="s">
        <v>3106</v>
      </c>
      <c r="F1087" s="29" t="s">
        <v>3107</v>
      </c>
      <c r="G1087" s="27" t="s">
        <v>307</v>
      </c>
      <c r="H1087" s="27" t="s">
        <v>522</v>
      </c>
      <c r="I1087" s="27">
        <v>1</v>
      </c>
      <c r="J1087" s="30">
        <v>76574452</v>
      </c>
      <c r="K1087" s="26" t="s">
        <v>36</v>
      </c>
      <c r="L1087" s="26" t="s">
        <v>2054</v>
      </c>
      <c r="M1087" s="31" t="s">
        <v>3100</v>
      </c>
      <c r="N1087" s="6"/>
      <c r="O1087" s="6"/>
      <c r="P1087" s="23"/>
      <c r="Q1087" s="2"/>
      <c r="R1087" s="2"/>
      <c r="S1087" s="2"/>
      <c r="T1087" s="2"/>
      <c r="U1087" s="2"/>
      <c r="V1087" s="2"/>
      <c r="W1087" s="2"/>
      <c r="X1087" s="2"/>
      <c r="Y1087" s="2"/>
    </row>
    <row r="1088" spans="1:26" ht="25.5" hidden="1" customHeight="1">
      <c r="A1088" s="26">
        <v>719</v>
      </c>
      <c r="B1088" s="27" t="s">
        <v>599</v>
      </c>
      <c r="C1088" s="28">
        <v>42671</v>
      </c>
      <c r="D1088" s="27"/>
      <c r="E1088" s="27" t="s">
        <v>3108</v>
      </c>
      <c r="F1088" s="29" t="s">
        <v>3107</v>
      </c>
      <c r="G1088" s="27" t="s">
        <v>307</v>
      </c>
      <c r="H1088" s="27" t="s">
        <v>522</v>
      </c>
      <c r="I1088" s="27">
        <v>1</v>
      </c>
      <c r="J1088" s="30">
        <v>76574452</v>
      </c>
      <c r="K1088" s="26" t="s">
        <v>36</v>
      </c>
      <c r="L1088" s="26" t="s">
        <v>2054</v>
      </c>
      <c r="M1088" s="31" t="s">
        <v>3100</v>
      </c>
      <c r="N1088" s="6"/>
      <c r="O1088" s="6"/>
      <c r="P1088" s="23"/>
      <c r="Q1088" s="2"/>
      <c r="R1088" s="2"/>
      <c r="S1088" s="2"/>
      <c r="T1088" s="2"/>
      <c r="U1088" s="2"/>
      <c r="V1088" s="2"/>
      <c r="W1088" s="2"/>
      <c r="X1088" s="2"/>
      <c r="Y1088" s="2"/>
    </row>
    <row r="1089" spans="1:25" ht="25.5" hidden="1" customHeight="1">
      <c r="A1089" s="26">
        <v>720</v>
      </c>
      <c r="B1089" s="27" t="s">
        <v>599</v>
      </c>
      <c r="C1089" s="28">
        <v>42671</v>
      </c>
      <c r="D1089" s="27"/>
      <c r="E1089" s="27" t="s">
        <v>3109</v>
      </c>
      <c r="F1089" s="29" t="s">
        <v>3107</v>
      </c>
      <c r="G1089" s="27" t="s">
        <v>307</v>
      </c>
      <c r="H1089" s="27" t="s">
        <v>522</v>
      </c>
      <c r="I1089" s="27">
        <v>1</v>
      </c>
      <c r="J1089" s="30">
        <v>76574453</v>
      </c>
      <c r="K1089" s="26" t="s">
        <v>36</v>
      </c>
      <c r="L1089" s="26" t="s">
        <v>2054</v>
      </c>
      <c r="M1089" s="31" t="s">
        <v>3100</v>
      </c>
      <c r="N1089" s="6"/>
      <c r="O1089" s="6"/>
      <c r="P1089" s="23"/>
      <c r="Q1089" s="2"/>
      <c r="R1089" s="2"/>
      <c r="S1089" s="2"/>
      <c r="T1089" s="2"/>
      <c r="U1089" s="2"/>
      <c r="V1089" s="2"/>
      <c r="W1089" s="2"/>
      <c r="X1089" s="2"/>
      <c r="Y1089" s="2"/>
    </row>
    <row r="1090" spans="1:25" ht="25.5" hidden="1" customHeight="1">
      <c r="A1090" s="26">
        <v>721</v>
      </c>
      <c r="B1090" s="27" t="s">
        <v>599</v>
      </c>
      <c r="C1090" s="28">
        <v>42671</v>
      </c>
      <c r="D1090" s="27"/>
      <c r="E1090" s="27" t="s">
        <v>3110</v>
      </c>
      <c r="F1090" s="29" t="s">
        <v>3111</v>
      </c>
      <c r="G1090" s="27" t="s">
        <v>307</v>
      </c>
      <c r="H1090" s="27" t="s">
        <v>522</v>
      </c>
      <c r="I1090" s="27">
        <v>1</v>
      </c>
      <c r="J1090" s="30">
        <v>140802015</v>
      </c>
      <c r="K1090" s="26" t="s">
        <v>36</v>
      </c>
      <c r="L1090" s="26" t="s">
        <v>2054</v>
      </c>
      <c r="M1090" s="31" t="s">
        <v>3100</v>
      </c>
      <c r="N1090" s="6"/>
      <c r="O1090" s="6"/>
      <c r="P1090" s="23"/>
      <c r="Q1090" s="2"/>
      <c r="R1090" s="2"/>
      <c r="S1090" s="2"/>
      <c r="T1090" s="2"/>
      <c r="U1090" s="2"/>
      <c r="V1090" s="2"/>
      <c r="W1090" s="2"/>
      <c r="X1090" s="2"/>
      <c r="Y1090" s="2"/>
    </row>
    <row r="1091" spans="1:25" ht="25.5" hidden="1" customHeight="1">
      <c r="A1091" s="26">
        <v>722</v>
      </c>
      <c r="B1091" s="27" t="s">
        <v>599</v>
      </c>
      <c r="C1091" s="28">
        <v>42671</v>
      </c>
      <c r="D1091" s="27"/>
      <c r="E1091" s="27" t="s">
        <v>3112</v>
      </c>
      <c r="F1091" s="29" t="s">
        <v>3111</v>
      </c>
      <c r="G1091" s="27" t="s">
        <v>307</v>
      </c>
      <c r="H1091" s="27" t="s">
        <v>522</v>
      </c>
      <c r="I1091" s="27">
        <v>1</v>
      </c>
      <c r="J1091" s="30">
        <v>140802016</v>
      </c>
      <c r="K1091" s="26" t="s">
        <v>36</v>
      </c>
      <c r="L1091" s="26" t="s">
        <v>2054</v>
      </c>
      <c r="M1091" s="31" t="s">
        <v>3100</v>
      </c>
      <c r="N1091" s="6"/>
      <c r="O1091" s="6"/>
      <c r="P1091" s="23"/>
      <c r="Q1091" s="2"/>
      <c r="R1091" s="2"/>
      <c r="S1091" s="2"/>
      <c r="T1091" s="2"/>
      <c r="U1091" s="2"/>
      <c r="V1091" s="2"/>
      <c r="W1091" s="2"/>
      <c r="X1091" s="2"/>
      <c r="Y1091" s="2"/>
    </row>
    <row r="1092" spans="1:25" ht="12.75" hidden="1" customHeight="1">
      <c r="A1092" s="26">
        <v>723</v>
      </c>
      <c r="B1092" s="27" t="s">
        <v>599</v>
      </c>
      <c r="C1092" s="28">
        <v>42671</v>
      </c>
      <c r="D1092" s="27"/>
      <c r="E1092" s="27" t="s">
        <v>3113</v>
      </c>
      <c r="F1092" s="29" t="s">
        <v>3114</v>
      </c>
      <c r="G1092" s="27" t="s">
        <v>307</v>
      </c>
      <c r="H1092" s="27" t="s">
        <v>522</v>
      </c>
      <c r="I1092" s="27">
        <v>1</v>
      </c>
      <c r="J1092" s="30">
        <v>50574754</v>
      </c>
      <c r="K1092" s="26" t="s">
        <v>36</v>
      </c>
      <c r="L1092" s="26" t="s">
        <v>2054</v>
      </c>
      <c r="M1092" s="31" t="s">
        <v>3100</v>
      </c>
      <c r="N1092" s="6"/>
      <c r="O1092" s="6"/>
      <c r="P1092" s="23"/>
      <c r="Q1092" s="2"/>
      <c r="R1092" s="2"/>
      <c r="S1092" s="2"/>
      <c r="T1092" s="2"/>
      <c r="U1092" s="2"/>
      <c r="V1092" s="2"/>
      <c r="W1092" s="2"/>
      <c r="X1092" s="2"/>
      <c r="Y1092" s="2"/>
    </row>
    <row r="1093" spans="1:25" ht="12.75" hidden="1" customHeight="1">
      <c r="A1093" s="26">
        <v>724</v>
      </c>
      <c r="B1093" s="27" t="s">
        <v>599</v>
      </c>
      <c r="C1093" s="28">
        <v>42671</v>
      </c>
      <c r="D1093" s="27"/>
      <c r="E1093" s="27" t="s">
        <v>3115</v>
      </c>
      <c r="F1093" s="29" t="s">
        <v>3114</v>
      </c>
      <c r="G1093" s="27" t="s">
        <v>307</v>
      </c>
      <c r="H1093" s="27" t="s">
        <v>522</v>
      </c>
      <c r="I1093" s="27">
        <v>1</v>
      </c>
      <c r="J1093" s="30">
        <v>50574756</v>
      </c>
      <c r="K1093" s="26" t="s">
        <v>36</v>
      </c>
      <c r="L1093" s="26" t="s">
        <v>2054</v>
      </c>
      <c r="M1093" s="31" t="s">
        <v>3100</v>
      </c>
      <c r="N1093" s="6"/>
      <c r="O1093" s="6"/>
      <c r="P1093" s="23"/>
      <c r="Q1093" s="2"/>
      <c r="R1093" s="2"/>
      <c r="S1093" s="2"/>
      <c r="T1093" s="2"/>
      <c r="U1093" s="2"/>
      <c r="V1093" s="2"/>
      <c r="W1093" s="2"/>
      <c r="X1093" s="2"/>
      <c r="Y1093" s="2"/>
    </row>
    <row r="1094" spans="1:25" ht="25.5" hidden="1" customHeight="1">
      <c r="A1094" s="26">
        <v>725</v>
      </c>
      <c r="B1094" s="27" t="s">
        <v>599</v>
      </c>
      <c r="C1094" s="28">
        <v>42671</v>
      </c>
      <c r="D1094" s="27"/>
      <c r="E1094" s="27" t="s">
        <v>3116</v>
      </c>
      <c r="F1094" s="29" t="s">
        <v>3117</v>
      </c>
      <c r="G1094" s="27" t="s">
        <v>307</v>
      </c>
      <c r="H1094" s="27" t="s">
        <v>522</v>
      </c>
      <c r="I1094" s="27">
        <v>1</v>
      </c>
      <c r="J1094" s="30">
        <v>234709599</v>
      </c>
      <c r="K1094" s="26" t="s">
        <v>36</v>
      </c>
      <c r="L1094" s="26" t="s">
        <v>2054</v>
      </c>
      <c r="M1094" s="31" t="s">
        <v>3100</v>
      </c>
      <c r="N1094" s="6"/>
      <c r="O1094" s="6"/>
      <c r="P1094" s="23"/>
      <c r="Q1094" s="2"/>
      <c r="R1094" s="2"/>
      <c r="S1094" s="2"/>
      <c r="T1094" s="2"/>
      <c r="U1094" s="2"/>
      <c r="V1094" s="2"/>
      <c r="W1094" s="2"/>
      <c r="X1094" s="2"/>
      <c r="Y1094" s="2"/>
    </row>
    <row r="1095" spans="1:25" ht="25.5" hidden="1" customHeight="1">
      <c r="A1095" s="26">
        <v>726</v>
      </c>
      <c r="B1095" s="27" t="s">
        <v>599</v>
      </c>
      <c r="C1095" s="28">
        <v>42671</v>
      </c>
      <c r="D1095" s="27"/>
      <c r="E1095" s="27" t="s">
        <v>3118</v>
      </c>
      <c r="F1095" s="29" t="s">
        <v>3117</v>
      </c>
      <c r="G1095" s="27" t="s">
        <v>307</v>
      </c>
      <c r="H1095" s="27" t="s">
        <v>522</v>
      </c>
      <c r="I1095" s="27">
        <v>1</v>
      </c>
      <c r="J1095" s="30">
        <v>234709599</v>
      </c>
      <c r="K1095" s="26" t="s">
        <v>36</v>
      </c>
      <c r="L1095" s="26" t="s">
        <v>2054</v>
      </c>
      <c r="M1095" s="31" t="s">
        <v>3100</v>
      </c>
      <c r="N1095" s="6"/>
      <c r="O1095" s="6"/>
      <c r="P1095" s="23"/>
      <c r="Q1095" s="2"/>
      <c r="R1095" s="2"/>
      <c r="S1095" s="2"/>
      <c r="T1095" s="2"/>
      <c r="U1095" s="2"/>
      <c r="V1095" s="2"/>
      <c r="W1095" s="2"/>
      <c r="X1095" s="2"/>
      <c r="Y1095" s="2"/>
    </row>
    <row r="1096" spans="1:25" ht="25.5" hidden="1" customHeight="1">
      <c r="A1096" s="26">
        <v>727</v>
      </c>
      <c r="B1096" s="27" t="s">
        <v>599</v>
      </c>
      <c r="C1096" s="28">
        <v>42671</v>
      </c>
      <c r="D1096" s="27"/>
      <c r="E1096" s="27" t="s">
        <v>3119</v>
      </c>
      <c r="F1096" s="29" t="s">
        <v>3117</v>
      </c>
      <c r="G1096" s="27" t="s">
        <v>307</v>
      </c>
      <c r="H1096" s="27" t="s">
        <v>522</v>
      </c>
      <c r="I1096" s="27">
        <v>1</v>
      </c>
      <c r="J1096" s="30">
        <v>234709601</v>
      </c>
      <c r="K1096" s="26" t="s">
        <v>36</v>
      </c>
      <c r="L1096" s="26" t="s">
        <v>2054</v>
      </c>
      <c r="M1096" s="31" t="s">
        <v>3100</v>
      </c>
      <c r="N1096" s="6"/>
      <c r="O1096" s="6"/>
      <c r="P1096" s="23"/>
      <c r="Q1096" s="2"/>
      <c r="R1096" s="2"/>
      <c r="S1096" s="2"/>
      <c r="T1096" s="2"/>
      <c r="U1096" s="2"/>
      <c r="V1096" s="2"/>
      <c r="W1096" s="2"/>
      <c r="X1096" s="2"/>
      <c r="Y1096" s="2"/>
    </row>
    <row r="1097" spans="1:25" ht="12.75" hidden="1" customHeight="1">
      <c r="A1097" s="26">
        <v>728</v>
      </c>
      <c r="B1097" s="27" t="s">
        <v>599</v>
      </c>
      <c r="C1097" s="28">
        <v>42671</v>
      </c>
      <c r="D1097" s="27"/>
      <c r="E1097" s="27" t="s">
        <v>3120</v>
      </c>
      <c r="F1097" s="29" t="s">
        <v>3121</v>
      </c>
      <c r="G1097" s="27" t="s">
        <v>307</v>
      </c>
      <c r="H1097" s="27" t="s">
        <v>522</v>
      </c>
      <c r="I1097" s="27">
        <v>1</v>
      </c>
      <c r="J1097" s="30">
        <v>80610934</v>
      </c>
      <c r="K1097" s="26" t="s">
        <v>36</v>
      </c>
      <c r="L1097" s="26" t="s">
        <v>2054</v>
      </c>
      <c r="M1097" s="31" t="s">
        <v>3100</v>
      </c>
      <c r="N1097" s="6"/>
      <c r="O1097" s="6"/>
      <c r="P1097" s="23"/>
      <c r="Q1097" s="2"/>
      <c r="R1097" s="2"/>
      <c r="S1097" s="2"/>
      <c r="T1097" s="2"/>
      <c r="U1097" s="2"/>
      <c r="V1097" s="2"/>
      <c r="W1097" s="2"/>
      <c r="X1097" s="2"/>
      <c r="Y1097" s="2"/>
    </row>
    <row r="1098" spans="1:25" ht="12.75" hidden="1" customHeight="1">
      <c r="A1098" s="26">
        <v>729</v>
      </c>
      <c r="B1098" s="27" t="s">
        <v>599</v>
      </c>
      <c r="C1098" s="28">
        <v>42671</v>
      </c>
      <c r="D1098" s="27"/>
      <c r="E1098" s="27" t="s">
        <v>3122</v>
      </c>
      <c r="F1098" s="29" t="s">
        <v>3121</v>
      </c>
      <c r="G1098" s="27" t="s">
        <v>307</v>
      </c>
      <c r="H1098" s="27" t="s">
        <v>522</v>
      </c>
      <c r="I1098" s="27">
        <v>1</v>
      </c>
      <c r="J1098" s="30">
        <v>80610935</v>
      </c>
      <c r="K1098" s="26" t="s">
        <v>36</v>
      </c>
      <c r="L1098" s="26" t="s">
        <v>2054</v>
      </c>
      <c r="M1098" s="31" t="s">
        <v>3100</v>
      </c>
      <c r="N1098" s="6"/>
      <c r="O1098" s="6"/>
      <c r="P1098" s="23"/>
      <c r="Q1098" s="2"/>
      <c r="R1098" s="2"/>
      <c r="S1098" s="2"/>
      <c r="T1098" s="2"/>
      <c r="U1098" s="2"/>
      <c r="V1098" s="2"/>
      <c r="W1098" s="2"/>
      <c r="X1098" s="2"/>
      <c r="Y1098" s="2"/>
    </row>
    <row r="1099" spans="1:25" ht="12.75" hidden="1" customHeight="1">
      <c r="A1099" s="26">
        <v>730</v>
      </c>
      <c r="B1099" s="27" t="s">
        <v>599</v>
      </c>
      <c r="C1099" s="28">
        <v>42671</v>
      </c>
      <c r="D1099" s="27"/>
      <c r="E1099" s="27" t="s">
        <v>3123</v>
      </c>
      <c r="F1099" s="29" t="s">
        <v>3124</v>
      </c>
      <c r="G1099" s="27" t="s">
        <v>307</v>
      </c>
      <c r="H1099" s="27" t="s">
        <v>522</v>
      </c>
      <c r="I1099" s="27">
        <v>1</v>
      </c>
      <c r="J1099" s="30">
        <v>62565483</v>
      </c>
      <c r="K1099" s="26" t="s">
        <v>36</v>
      </c>
      <c r="L1099" s="26" t="s">
        <v>2054</v>
      </c>
      <c r="M1099" s="31" t="s">
        <v>3100</v>
      </c>
      <c r="N1099" s="6"/>
      <c r="O1099" s="6"/>
      <c r="P1099" s="23"/>
      <c r="Q1099" s="2"/>
      <c r="R1099" s="2"/>
      <c r="S1099" s="2"/>
      <c r="T1099" s="2"/>
      <c r="U1099" s="2"/>
      <c r="V1099" s="2"/>
      <c r="W1099" s="2"/>
      <c r="X1099" s="2"/>
      <c r="Y1099" s="2"/>
    </row>
    <row r="1100" spans="1:25" ht="25.5" hidden="1" customHeight="1">
      <c r="A1100" s="26">
        <v>731</v>
      </c>
      <c r="B1100" s="27" t="s">
        <v>599</v>
      </c>
      <c r="C1100" s="28">
        <v>42671</v>
      </c>
      <c r="D1100" s="27"/>
      <c r="E1100" s="27" t="s">
        <v>3125</v>
      </c>
      <c r="F1100" s="29" t="s">
        <v>3126</v>
      </c>
      <c r="G1100" s="27" t="s">
        <v>307</v>
      </c>
      <c r="H1100" s="27" t="s">
        <v>522</v>
      </c>
      <c r="I1100" s="27">
        <v>1</v>
      </c>
      <c r="J1100" s="30">
        <v>620668581</v>
      </c>
      <c r="K1100" s="26" t="s">
        <v>36</v>
      </c>
      <c r="L1100" s="26" t="s">
        <v>2054</v>
      </c>
      <c r="M1100" s="31" t="s">
        <v>3100</v>
      </c>
      <c r="N1100" s="6"/>
      <c r="O1100" s="6"/>
      <c r="P1100" s="23"/>
      <c r="Q1100" s="2"/>
      <c r="R1100" s="2"/>
      <c r="S1100" s="2"/>
      <c r="T1100" s="2"/>
      <c r="U1100" s="2"/>
      <c r="V1100" s="2"/>
      <c r="W1100" s="2"/>
      <c r="X1100" s="2"/>
      <c r="Y1100" s="2"/>
    </row>
    <row r="1101" spans="1:25" ht="38.25" hidden="1" customHeight="1">
      <c r="A1101" s="26">
        <v>732</v>
      </c>
      <c r="B1101" s="27" t="s">
        <v>599</v>
      </c>
      <c r="C1101" s="28">
        <v>42671</v>
      </c>
      <c r="D1101" s="27"/>
      <c r="E1101" s="27" t="s">
        <v>3127</v>
      </c>
      <c r="F1101" s="29" t="s">
        <v>3128</v>
      </c>
      <c r="G1101" s="27" t="s">
        <v>338</v>
      </c>
      <c r="H1101" s="27" t="s">
        <v>522</v>
      </c>
      <c r="I1101" s="27">
        <v>1</v>
      </c>
      <c r="J1101" s="30">
        <v>310215570</v>
      </c>
      <c r="K1101" s="26" t="s">
        <v>36</v>
      </c>
      <c r="L1101" s="26" t="s">
        <v>2054</v>
      </c>
      <c r="M1101" s="31" t="s">
        <v>3100</v>
      </c>
      <c r="N1101" s="6"/>
      <c r="O1101" s="6"/>
      <c r="P1101" s="23"/>
      <c r="Q1101" s="2"/>
      <c r="R1101" s="2"/>
      <c r="S1101" s="2"/>
      <c r="T1101" s="2"/>
      <c r="U1101" s="2"/>
      <c r="V1101" s="2"/>
      <c r="W1101" s="2"/>
      <c r="X1101" s="2"/>
      <c r="Y1101" s="2"/>
    </row>
    <row r="1102" spans="1:25" ht="12.75" hidden="1" customHeight="1">
      <c r="A1102" s="26">
        <v>733</v>
      </c>
      <c r="B1102" s="27" t="s">
        <v>797</v>
      </c>
      <c r="C1102" s="28">
        <v>42671</v>
      </c>
      <c r="D1102" s="27"/>
      <c r="E1102" s="27" t="s">
        <v>3129</v>
      </c>
      <c r="F1102" s="29" t="s">
        <v>3130</v>
      </c>
      <c r="G1102" s="27"/>
      <c r="H1102" s="27" t="s">
        <v>522</v>
      </c>
      <c r="I1102" s="27">
        <v>1</v>
      </c>
      <c r="J1102" s="30">
        <v>49947322</v>
      </c>
      <c r="K1102" s="26" t="s">
        <v>206</v>
      </c>
      <c r="L1102" s="45" t="s">
        <v>2906</v>
      </c>
      <c r="M1102" s="46">
        <v>0</v>
      </c>
      <c r="N1102" s="6"/>
      <c r="O1102" s="6"/>
      <c r="P1102" s="23"/>
      <c r="Q1102" s="2"/>
      <c r="R1102" s="2"/>
      <c r="S1102" s="2"/>
      <c r="T1102" s="2"/>
      <c r="U1102" s="2"/>
      <c r="V1102" s="2"/>
      <c r="W1102" s="2"/>
      <c r="X1102" s="2"/>
      <c r="Y1102" s="2"/>
    </row>
    <row r="1103" spans="1:25" ht="25.5" customHeight="1">
      <c r="A1103" s="26">
        <v>734</v>
      </c>
      <c r="B1103" s="27" t="s">
        <v>953</v>
      </c>
      <c r="C1103" s="28">
        <v>43256</v>
      </c>
      <c r="D1103" s="27"/>
      <c r="E1103" s="47" t="s">
        <v>3131</v>
      </c>
      <c r="F1103" s="29" t="s">
        <v>3132</v>
      </c>
      <c r="G1103" s="27" t="s">
        <v>2018</v>
      </c>
      <c r="H1103" s="27" t="s">
        <v>522</v>
      </c>
      <c r="I1103" s="27">
        <v>1</v>
      </c>
      <c r="J1103" s="30">
        <v>1007164447</v>
      </c>
      <c r="K1103" s="26" t="s">
        <v>20</v>
      </c>
      <c r="L1103" s="26" t="s">
        <v>423</v>
      </c>
      <c r="M1103" s="31" t="s">
        <v>3133</v>
      </c>
      <c r="N1103" s="55"/>
      <c r="O1103" s="55"/>
      <c r="P1103" s="32"/>
      <c r="Q1103" s="2"/>
      <c r="R1103" s="2"/>
      <c r="S1103" s="2"/>
      <c r="T1103" s="2"/>
      <c r="U1103" s="2"/>
      <c r="V1103" s="2"/>
      <c r="W1103" s="2"/>
      <c r="X1103" s="2"/>
      <c r="Y1103" s="2"/>
    </row>
    <row r="1104" spans="1:25" ht="25.5" hidden="1" customHeight="1">
      <c r="A1104" s="26">
        <v>735</v>
      </c>
      <c r="B1104" s="27" t="s">
        <v>953</v>
      </c>
      <c r="C1104" s="28">
        <v>43256</v>
      </c>
      <c r="D1104" s="27"/>
      <c r="E1104" s="27" t="s">
        <v>3134</v>
      </c>
      <c r="F1104" s="29" t="s">
        <v>3132</v>
      </c>
      <c r="G1104" s="27" t="s">
        <v>2018</v>
      </c>
      <c r="H1104" s="27" t="s">
        <v>522</v>
      </c>
      <c r="I1104" s="27">
        <v>1</v>
      </c>
      <c r="J1104" s="30">
        <v>1007164447</v>
      </c>
      <c r="K1104" s="26" t="s">
        <v>20</v>
      </c>
      <c r="L1104" s="36" t="s">
        <v>229</v>
      </c>
      <c r="M1104" s="31" t="str">
        <f>IFERROR(VLOOKUP(E1104, TSCD_XUAN!$C$7:$K$1000, 9, 0), "Không tìm thấy")</f>
        <v>A2 soft Infinit</v>
      </c>
      <c r="N1104" s="6"/>
      <c r="O1104" s="6"/>
      <c r="P1104" s="23"/>
      <c r="Q1104" s="2"/>
      <c r="R1104" s="2"/>
      <c r="S1104" s="2"/>
      <c r="T1104" s="2"/>
      <c r="U1104" s="2"/>
      <c r="V1104" s="2"/>
      <c r="W1104" s="2"/>
      <c r="X1104" s="2"/>
      <c r="Y1104" s="2"/>
    </row>
    <row r="1105" spans="1:25" ht="25.5" hidden="1" customHeight="1">
      <c r="A1105" s="26">
        <v>736</v>
      </c>
      <c r="B1105" s="27" t="s">
        <v>953</v>
      </c>
      <c r="C1105" s="28">
        <v>43256</v>
      </c>
      <c r="D1105" s="27"/>
      <c r="E1105" s="27" t="s">
        <v>3135</v>
      </c>
      <c r="F1105" s="29" t="s">
        <v>3136</v>
      </c>
      <c r="G1105" s="27" t="s">
        <v>2018</v>
      </c>
      <c r="H1105" s="27" t="s">
        <v>522</v>
      </c>
      <c r="I1105" s="27">
        <v>1</v>
      </c>
      <c r="J1105" s="30">
        <v>124836423</v>
      </c>
      <c r="K1105" s="26" t="s">
        <v>20</v>
      </c>
      <c r="L1105" s="36" t="s">
        <v>229</v>
      </c>
      <c r="M1105" s="31" t="str">
        <f>IFERROR(VLOOKUP(E1105, TSCD_XUAN!$C$7:$K$1000, 9, 0), "Không tìm thấy")</f>
        <v>A2 soft Infinity</v>
      </c>
      <c r="N1105" s="6"/>
      <c r="O1105" s="6"/>
      <c r="P1105" s="23"/>
      <c r="Q1105" s="2"/>
      <c r="R1105" s="2"/>
      <c r="S1105" s="2"/>
      <c r="T1105" s="2"/>
      <c r="U1105" s="2"/>
      <c r="V1105" s="2"/>
      <c r="W1105" s="2"/>
      <c r="X1105" s="2"/>
      <c r="Y1105" s="2"/>
    </row>
    <row r="1106" spans="1:25" ht="25.5" hidden="1" customHeight="1">
      <c r="A1106" s="26">
        <v>737</v>
      </c>
      <c r="B1106" s="27" t="s">
        <v>1037</v>
      </c>
      <c r="C1106" s="28">
        <v>43799</v>
      </c>
      <c r="D1106" s="27"/>
      <c r="E1106" s="27" t="s">
        <v>3137</v>
      </c>
      <c r="F1106" s="29" t="s">
        <v>3138</v>
      </c>
      <c r="G1106" s="27" t="s">
        <v>2070</v>
      </c>
      <c r="H1106" s="27" t="s">
        <v>522</v>
      </c>
      <c r="I1106" s="27">
        <v>1</v>
      </c>
      <c r="J1106" s="30">
        <v>297000000</v>
      </c>
      <c r="K1106" s="26" t="s">
        <v>20</v>
      </c>
      <c r="L1106" s="26" t="s">
        <v>295</v>
      </c>
      <c r="M1106" s="31" t="s">
        <v>3139</v>
      </c>
      <c r="N1106" s="6"/>
      <c r="O1106" s="6"/>
      <c r="P1106" s="23"/>
      <c r="Q1106" s="2"/>
      <c r="R1106" s="2"/>
      <c r="S1106" s="2"/>
      <c r="T1106" s="2"/>
      <c r="U1106" s="2"/>
      <c r="V1106" s="2"/>
      <c r="W1106" s="2"/>
      <c r="X1106" s="2"/>
      <c r="Y1106" s="2"/>
    </row>
    <row r="1107" spans="1:25" ht="25.5" hidden="1" customHeight="1">
      <c r="A1107" s="26">
        <v>738</v>
      </c>
      <c r="B1107" s="27" t="s">
        <v>973</v>
      </c>
      <c r="C1107" s="28">
        <v>43799</v>
      </c>
      <c r="D1107" s="27"/>
      <c r="E1107" s="27" t="s">
        <v>3140</v>
      </c>
      <c r="F1107" s="29" t="s">
        <v>3141</v>
      </c>
      <c r="G1107" s="27" t="s">
        <v>1088</v>
      </c>
      <c r="H1107" s="27" t="s">
        <v>522</v>
      </c>
      <c r="I1107" s="27">
        <v>1</v>
      </c>
      <c r="J1107" s="30">
        <v>906849170</v>
      </c>
      <c r="K1107" s="26" t="s">
        <v>20</v>
      </c>
      <c r="L1107" s="26" t="s">
        <v>295</v>
      </c>
      <c r="M1107" s="31" t="s">
        <v>3142</v>
      </c>
      <c r="N1107" s="6"/>
      <c r="O1107" s="6"/>
      <c r="P1107" s="23"/>
      <c r="Q1107" s="2"/>
      <c r="R1107" s="2"/>
      <c r="S1107" s="2"/>
      <c r="T1107" s="2"/>
      <c r="U1107" s="2"/>
      <c r="V1107" s="2"/>
      <c r="W1107" s="2"/>
      <c r="X1107" s="2"/>
      <c r="Y1107" s="2"/>
    </row>
    <row r="1108" spans="1:25" ht="25.5" hidden="1" customHeight="1">
      <c r="A1108" s="26">
        <v>739</v>
      </c>
      <c r="B1108" s="27" t="s">
        <v>973</v>
      </c>
      <c r="C1108" s="28">
        <v>43799</v>
      </c>
      <c r="D1108" s="27"/>
      <c r="E1108" s="27" t="s">
        <v>3143</v>
      </c>
      <c r="F1108" s="29" t="s">
        <v>3141</v>
      </c>
      <c r="G1108" s="27" t="s">
        <v>1088</v>
      </c>
      <c r="H1108" s="27" t="s">
        <v>522</v>
      </c>
      <c r="I1108" s="27">
        <v>1</v>
      </c>
      <c r="J1108" s="30">
        <v>906849170</v>
      </c>
      <c r="K1108" s="26" t="s">
        <v>20</v>
      </c>
      <c r="L1108" s="26" t="s">
        <v>295</v>
      </c>
      <c r="M1108" s="31" t="s">
        <v>3142</v>
      </c>
      <c r="N1108" s="6"/>
      <c r="O1108" s="6"/>
      <c r="P1108" s="23"/>
      <c r="Q1108" s="2"/>
      <c r="R1108" s="2"/>
      <c r="S1108" s="2"/>
      <c r="T1108" s="2"/>
      <c r="U1108" s="2"/>
      <c r="V1108" s="2"/>
      <c r="W1108" s="2"/>
      <c r="X1108" s="2"/>
      <c r="Y1108" s="2"/>
    </row>
    <row r="1109" spans="1:25" ht="25.5" hidden="1" customHeight="1">
      <c r="A1109" s="26">
        <v>740</v>
      </c>
      <c r="B1109" s="27" t="s">
        <v>973</v>
      </c>
      <c r="C1109" s="28">
        <v>43799</v>
      </c>
      <c r="D1109" s="27"/>
      <c r="E1109" s="27" t="s">
        <v>3144</v>
      </c>
      <c r="F1109" s="29" t="s">
        <v>3145</v>
      </c>
      <c r="G1109" s="27" t="s">
        <v>1088</v>
      </c>
      <c r="H1109" s="27" t="s">
        <v>522</v>
      </c>
      <c r="I1109" s="27">
        <v>1</v>
      </c>
      <c r="J1109" s="30">
        <v>1373141210</v>
      </c>
      <c r="K1109" s="26" t="s">
        <v>20</v>
      </c>
      <c r="L1109" s="26" t="s">
        <v>295</v>
      </c>
      <c r="M1109" s="31" t="s">
        <v>3142</v>
      </c>
      <c r="N1109" s="6"/>
      <c r="O1109" s="6"/>
      <c r="P1109" s="23"/>
      <c r="Q1109" s="2"/>
      <c r="R1109" s="2"/>
      <c r="S1109" s="2"/>
      <c r="T1109" s="2"/>
      <c r="U1109" s="2"/>
      <c r="V1109" s="2"/>
      <c r="W1109" s="2"/>
      <c r="X1109" s="2"/>
      <c r="Y1109" s="2"/>
    </row>
    <row r="1110" spans="1:25" ht="25.5" hidden="1" customHeight="1">
      <c r="A1110" s="26">
        <v>741</v>
      </c>
      <c r="B1110" s="27" t="s">
        <v>973</v>
      </c>
      <c r="C1110" s="28">
        <v>43799</v>
      </c>
      <c r="D1110" s="27"/>
      <c r="E1110" s="27" t="s">
        <v>3146</v>
      </c>
      <c r="F1110" s="29" t="s">
        <v>3147</v>
      </c>
      <c r="G1110" s="27" t="s">
        <v>1088</v>
      </c>
      <c r="H1110" s="27" t="s">
        <v>522</v>
      </c>
      <c r="I1110" s="27">
        <v>1</v>
      </c>
      <c r="J1110" s="30">
        <v>972411915</v>
      </c>
      <c r="K1110" s="26" t="s">
        <v>20</v>
      </c>
      <c r="L1110" s="26" t="s">
        <v>295</v>
      </c>
      <c r="M1110" s="31" t="s">
        <v>3142</v>
      </c>
      <c r="N1110" s="6"/>
      <c r="O1110" s="6"/>
      <c r="P1110" s="23"/>
      <c r="Q1110" s="2"/>
      <c r="R1110" s="2"/>
      <c r="S1110" s="2"/>
      <c r="T1110" s="2"/>
      <c r="U1110" s="2"/>
      <c r="V1110" s="2"/>
      <c r="W1110" s="2"/>
      <c r="X1110" s="2"/>
      <c r="Y1110" s="2"/>
    </row>
    <row r="1111" spans="1:25" ht="38.25" hidden="1" customHeight="1">
      <c r="A1111" s="26">
        <v>742</v>
      </c>
      <c r="B1111" s="27" t="s">
        <v>973</v>
      </c>
      <c r="C1111" s="28">
        <v>43799</v>
      </c>
      <c r="D1111" s="27"/>
      <c r="E1111" s="27" t="s">
        <v>3148</v>
      </c>
      <c r="F1111" s="29" t="s">
        <v>3149</v>
      </c>
      <c r="G1111" s="27" t="s">
        <v>1088</v>
      </c>
      <c r="H1111" s="27" t="s">
        <v>522</v>
      </c>
      <c r="I1111" s="27">
        <v>1</v>
      </c>
      <c r="J1111" s="30">
        <v>680627067</v>
      </c>
      <c r="K1111" s="26" t="s">
        <v>20</v>
      </c>
      <c r="L1111" s="26" t="s">
        <v>295</v>
      </c>
      <c r="M1111" s="31" t="s">
        <v>3142</v>
      </c>
      <c r="N1111" s="6"/>
      <c r="O1111" s="6"/>
      <c r="P1111" s="23"/>
      <c r="Q1111" s="2"/>
      <c r="R1111" s="2"/>
      <c r="S1111" s="2"/>
      <c r="T1111" s="2"/>
      <c r="U1111" s="2"/>
      <c r="V1111" s="2"/>
      <c r="W1111" s="2"/>
      <c r="X1111" s="2"/>
      <c r="Y1111" s="2"/>
    </row>
    <row r="1112" spans="1:25" ht="25.5" hidden="1" customHeight="1">
      <c r="A1112" s="26">
        <v>743</v>
      </c>
      <c r="B1112" s="27" t="s">
        <v>973</v>
      </c>
      <c r="C1112" s="28">
        <v>43799</v>
      </c>
      <c r="D1112" s="27"/>
      <c r="E1112" s="27" t="s">
        <v>3150</v>
      </c>
      <c r="F1112" s="29" t="s">
        <v>3151</v>
      </c>
      <c r="G1112" s="27" t="s">
        <v>1088</v>
      </c>
      <c r="H1112" s="27" t="s">
        <v>522</v>
      </c>
      <c r="I1112" s="27">
        <v>1</v>
      </c>
      <c r="J1112" s="30">
        <v>2099846019</v>
      </c>
      <c r="K1112" s="26" t="s">
        <v>20</v>
      </c>
      <c r="L1112" s="26" t="s">
        <v>295</v>
      </c>
      <c r="M1112" s="31" t="s">
        <v>3142</v>
      </c>
      <c r="N1112" s="6"/>
      <c r="O1112" s="6"/>
      <c r="P1112" s="23"/>
      <c r="Q1112" s="2"/>
      <c r="R1112" s="2"/>
      <c r="S1112" s="2"/>
      <c r="T1112" s="2"/>
      <c r="U1112" s="2"/>
      <c r="V1112" s="2"/>
      <c r="W1112" s="2"/>
      <c r="X1112" s="2"/>
      <c r="Y1112" s="2"/>
    </row>
    <row r="1113" spans="1:25" ht="25.5" hidden="1" customHeight="1">
      <c r="A1113" s="26">
        <v>744</v>
      </c>
      <c r="B1113" s="27" t="s">
        <v>973</v>
      </c>
      <c r="C1113" s="28">
        <v>43799</v>
      </c>
      <c r="D1113" s="27"/>
      <c r="E1113" s="27" t="s">
        <v>3152</v>
      </c>
      <c r="F1113" s="29" t="s">
        <v>3153</v>
      </c>
      <c r="G1113" s="27" t="s">
        <v>1088</v>
      </c>
      <c r="H1113" s="27" t="s">
        <v>522</v>
      </c>
      <c r="I1113" s="27">
        <v>1</v>
      </c>
      <c r="J1113" s="30">
        <v>209800781</v>
      </c>
      <c r="K1113" s="26" t="s">
        <v>20</v>
      </c>
      <c r="L1113" s="26" t="s">
        <v>295</v>
      </c>
      <c r="M1113" s="31" t="s">
        <v>3142</v>
      </c>
      <c r="N1113" s="6"/>
      <c r="O1113" s="6"/>
      <c r="P1113" s="23"/>
      <c r="Q1113" s="2"/>
      <c r="R1113" s="2"/>
      <c r="S1113" s="2"/>
      <c r="T1113" s="2"/>
      <c r="U1113" s="2"/>
      <c r="V1113" s="2"/>
      <c r="W1113" s="2"/>
      <c r="X1113" s="2"/>
      <c r="Y1113" s="2"/>
    </row>
    <row r="1114" spans="1:25" ht="25.5" hidden="1" customHeight="1">
      <c r="A1114" s="26">
        <v>745</v>
      </c>
      <c r="B1114" s="27" t="s">
        <v>973</v>
      </c>
      <c r="C1114" s="28">
        <v>43799</v>
      </c>
      <c r="D1114" s="27"/>
      <c r="E1114" s="27" t="s">
        <v>3154</v>
      </c>
      <c r="F1114" s="29" t="s">
        <v>3153</v>
      </c>
      <c r="G1114" s="27" t="s">
        <v>1088</v>
      </c>
      <c r="H1114" s="27" t="s">
        <v>522</v>
      </c>
      <c r="I1114" s="27">
        <v>1</v>
      </c>
      <c r="J1114" s="30">
        <v>209800781</v>
      </c>
      <c r="K1114" s="26" t="s">
        <v>20</v>
      </c>
      <c r="L1114" s="26" t="s">
        <v>295</v>
      </c>
      <c r="M1114" s="31" t="s">
        <v>3142</v>
      </c>
      <c r="N1114" s="6"/>
      <c r="O1114" s="6"/>
      <c r="P1114" s="23"/>
      <c r="Q1114" s="2"/>
      <c r="R1114" s="2"/>
      <c r="S1114" s="2"/>
      <c r="T1114" s="2"/>
      <c r="U1114" s="2"/>
      <c r="V1114" s="2"/>
      <c r="W1114" s="2"/>
      <c r="X1114" s="2"/>
      <c r="Y1114" s="2"/>
    </row>
    <row r="1115" spans="1:25" ht="25.5" hidden="1" customHeight="1">
      <c r="A1115" s="26">
        <v>746</v>
      </c>
      <c r="B1115" s="27" t="s">
        <v>973</v>
      </c>
      <c r="C1115" s="28">
        <v>43799</v>
      </c>
      <c r="D1115" s="27"/>
      <c r="E1115" s="27" t="s">
        <v>3155</v>
      </c>
      <c r="F1115" s="29" t="s">
        <v>3153</v>
      </c>
      <c r="G1115" s="27" t="s">
        <v>1088</v>
      </c>
      <c r="H1115" s="27" t="s">
        <v>522</v>
      </c>
      <c r="I1115" s="27">
        <v>1</v>
      </c>
      <c r="J1115" s="30">
        <v>209800781</v>
      </c>
      <c r="K1115" s="26" t="s">
        <v>20</v>
      </c>
      <c r="L1115" s="26" t="s">
        <v>295</v>
      </c>
      <c r="M1115" s="31" t="s">
        <v>3142</v>
      </c>
      <c r="N1115" s="6"/>
      <c r="O1115" s="6"/>
      <c r="P1115" s="23"/>
      <c r="Q1115" s="2"/>
      <c r="R1115" s="2"/>
      <c r="S1115" s="2"/>
      <c r="T1115" s="2"/>
      <c r="U1115" s="2"/>
      <c r="V1115" s="2"/>
      <c r="W1115" s="2"/>
      <c r="X1115" s="2"/>
      <c r="Y1115" s="2"/>
    </row>
    <row r="1116" spans="1:25" ht="25.5" hidden="1" customHeight="1">
      <c r="A1116" s="26">
        <v>747</v>
      </c>
      <c r="B1116" s="27" t="s">
        <v>973</v>
      </c>
      <c r="C1116" s="28">
        <v>43799</v>
      </c>
      <c r="D1116" s="27"/>
      <c r="E1116" s="27" t="s">
        <v>3156</v>
      </c>
      <c r="F1116" s="29" t="s">
        <v>3157</v>
      </c>
      <c r="G1116" s="27" t="s">
        <v>1088</v>
      </c>
      <c r="H1116" s="27" t="s">
        <v>522</v>
      </c>
      <c r="I1116" s="27">
        <v>1</v>
      </c>
      <c r="J1116" s="30">
        <v>1805732774</v>
      </c>
      <c r="K1116" s="26" t="s">
        <v>20</v>
      </c>
      <c r="L1116" s="26" t="s">
        <v>295</v>
      </c>
      <c r="M1116" s="31" t="s">
        <v>3142</v>
      </c>
      <c r="N1116" s="6"/>
      <c r="O1116" s="6"/>
      <c r="P1116" s="23"/>
      <c r="Q1116" s="2"/>
      <c r="R1116" s="2"/>
      <c r="S1116" s="2"/>
      <c r="T1116" s="2"/>
      <c r="U1116" s="2"/>
      <c r="V1116" s="2"/>
      <c r="W1116" s="2"/>
      <c r="X1116" s="2"/>
      <c r="Y1116" s="2"/>
    </row>
    <row r="1117" spans="1:25" ht="25.5" hidden="1" customHeight="1">
      <c r="A1117" s="26">
        <v>748</v>
      </c>
      <c r="B1117" s="27" t="s">
        <v>973</v>
      </c>
      <c r="C1117" s="28">
        <v>43799</v>
      </c>
      <c r="D1117" s="27"/>
      <c r="E1117" s="27" t="s">
        <v>3158</v>
      </c>
      <c r="F1117" s="29" t="s">
        <v>3157</v>
      </c>
      <c r="G1117" s="27" t="s">
        <v>1088</v>
      </c>
      <c r="H1117" s="27" t="s">
        <v>522</v>
      </c>
      <c r="I1117" s="27">
        <v>1</v>
      </c>
      <c r="J1117" s="30">
        <v>1805732774</v>
      </c>
      <c r="K1117" s="26" t="s">
        <v>20</v>
      </c>
      <c r="L1117" s="26" t="s">
        <v>295</v>
      </c>
      <c r="M1117" s="31" t="s">
        <v>3142</v>
      </c>
      <c r="N1117" s="6"/>
      <c r="O1117" s="6"/>
      <c r="P1117" s="23"/>
      <c r="Q1117" s="2"/>
      <c r="R1117" s="2"/>
      <c r="S1117" s="2"/>
      <c r="T1117" s="2"/>
      <c r="U1117" s="2"/>
      <c r="V1117" s="2"/>
      <c r="W1117" s="2"/>
      <c r="X1117" s="2"/>
      <c r="Y1117" s="2"/>
    </row>
    <row r="1118" spans="1:25" ht="12.75" hidden="1" customHeight="1">
      <c r="A1118" s="26">
        <v>749</v>
      </c>
      <c r="B1118" s="27" t="s">
        <v>973</v>
      </c>
      <c r="C1118" s="28">
        <v>43799</v>
      </c>
      <c r="D1118" s="27"/>
      <c r="E1118" s="27" t="s">
        <v>3159</v>
      </c>
      <c r="F1118" s="29" t="s">
        <v>3160</v>
      </c>
      <c r="G1118" s="27" t="s">
        <v>1088</v>
      </c>
      <c r="H1118" s="27" t="s">
        <v>522</v>
      </c>
      <c r="I1118" s="27">
        <v>1</v>
      </c>
      <c r="J1118" s="30">
        <v>656240177</v>
      </c>
      <c r="K1118" s="26" t="s">
        <v>20</v>
      </c>
      <c r="L1118" s="26" t="s">
        <v>295</v>
      </c>
      <c r="M1118" s="31" t="s">
        <v>3142</v>
      </c>
      <c r="N1118" s="6"/>
      <c r="O1118" s="6"/>
      <c r="P1118" s="23"/>
      <c r="Q1118" s="2"/>
      <c r="R1118" s="2"/>
      <c r="S1118" s="2"/>
      <c r="T1118" s="2"/>
      <c r="U1118" s="2"/>
      <c r="V1118" s="2"/>
      <c r="W1118" s="2"/>
      <c r="X1118" s="2"/>
      <c r="Y1118" s="2"/>
    </row>
    <row r="1119" spans="1:25" ht="25.5" hidden="1" customHeight="1">
      <c r="A1119" s="26">
        <v>750</v>
      </c>
      <c r="B1119" s="27" t="s">
        <v>973</v>
      </c>
      <c r="C1119" s="28">
        <v>43799</v>
      </c>
      <c r="D1119" s="27"/>
      <c r="E1119" s="27" t="s">
        <v>3161</v>
      </c>
      <c r="F1119" s="29" t="s">
        <v>3162</v>
      </c>
      <c r="G1119" s="27" t="s">
        <v>1088</v>
      </c>
      <c r="H1119" s="27" t="s">
        <v>522</v>
      </c>
      <c r="I1119" s="27">
        <v>1</v>
      </c>
      <c r="J1119" s="30">
        <v>972411915</v>
      </c>
      <c r="K1119" s="26" t="s">
        <v>20</v>
      </c>
      <c r="L1119" s="26" t="s">
        <v>295</v>
      </c>
      <c r="M1119" s="31" t="s">
        <v>3142</v>
      </c>
      <c r="N1119" s="6"/>
      <c r="O1119" s="6"/>
      <c r="P1119" s="23"/>
      <c r="Q1119" s="2"/>
      <c r="R1119" s="2"/>
      <c r="S1119" s="2"/>
      <c r="T1119" s="2"/>
      <c r="U1119" s="2"/>
      <c r="V1119" s="2"/>
      <c r="W1119" s="2"/>
      <c r="X1119" s="2"/>
      <c r="Y1119" s="2"/>
    </row>
    <row r="1120" spans="1:25" ht="25.5" hidden="1" customHeight="1">
      <c r="A1120" s="26">
        <v>751</v>
      </c>
      <c r="B1120" s="27" t="s">
        <v>973</v>
      </c>
      <c r="C1120" s="28">
        <v>43799</v>
      </c>
      <c r="D1120" s="27"/>
      <c r="E1120" s="27" t="s">
        <v>3163</v>
      </c>
      <c r="F1120" s="29" t="s">
        <v>3162</v>
      </c>
      <c r="G1120" s="27" t="s">
        <v>1088</v>
      </c>
      <c r="H1120" s="27" t="s">
        <v>522</v>
      </c>
      <c r="I1120" s="27">
        <v>1</v>
      </c>
      <c r="J1120" s="30">
        <v>972411915</v>
      </c>
      <c r="K1120" s="26" t="s">
        <v>20</v>
      </c>
      <c r="L1120" s="26" t="s">
        <v>295</v>
      </c>
      <c r="M1120" s="31" t="s">
        <v>3142</v>
      </c>
      <c r="N1120" s="6"/>
      <c r="O1120" s="6"/>
      <c r="P1120" s="23"/>
      <c r="Q1120" s="2"/>
      <c r="R1120" s="2"/>
      <c r="S1120" s="2"/>
      <c r="T1120" s="2"/>
      <c r="U1120" s="2"/>
      <c r="V1120" s="2"/>
      <c r="W1120" s="2"/>
      <c r="X1120" s="2"/>
      <c r="Y1120" s="2"/>
    </row>
    <row r="1121" spans="1:25" ht="25.5" hidden="1" customHeight="1">
      <c r="A1121" s="26">
        <v>752</v>
      </c>
      <c r="B1121" s="27" t="s">
        <v>973</v>
      </c>
      <c r="C1121" s="28">
        <v>43799</v>
      </c>
      <c r="D1121" s="27"/>
      <c r="E1121" s="27" t="s">
        <v>3164</v>
      </c>
      <c r="F1121" s="29" t="s">
        <v>3165</v>
      </c>
      <c r="G1121" s="27" t="s">
        <v>1088</v>
      </c>
      <c r="H1121" s="27" t="s">
        <v>522</v>
      </c>
      <c r="I1121" s="27">
        <v>1</v>
      </c>
      <c r="J1121" s="30">
        <v>233207293</v>
      </c>
      <c r="K1121" s="26" t="s">
        <v>20</v>
      </c>
      <c r="L1121" s="26" t="s">
        <v>295</v>
      </c>
      <c r="M1121" s="31" t="s">
        <v>3142</v>
      </c>
      <c r="N1121" s="6"/>
      <c r="O1121" s="6"/>
      <c r="P1121" s="23"/>
      <c r="Q1121" s="2"/>
      <c r="R1121" s="2"/>
      <c r="S1121" s="2"/>
      <c r="T1121" s="2"/>
      <c r="U1121" s="2"/>
      <c r="V1121" s="2"/>
      <c r="W1121" s="2"/>
      <c r="X1121" s="2"/>
      <c r="Y1121" s="2"/>
    </row>
    <row r="1122" spans="1:25" ht="25.5" hidden="1" customHeight="1">
      <c r="A1122" s="26">
        <v>753</v>
      </c>
      <c r="B1122" s="27" t="s">
        <v>973</v>
      </c>
      <c r="C1122" s="28">
        <v>43799</v>
      </c>
      <c r="D1122" s="27"/>
      <c r="E1122" s="27" t="s">
        <v>3166</v>
      </c>
      <c r="F1122" s="29" t="s">
        <v>3165</v>
      </c>
      <c r="G1122" s="27" t="s">
        <v>1088</v>
      </c>
      <c r="H1122" s="27" t="s">
        <v>522</v>
      </c>
      <c r="I1122" s="27">
        <v>1</v>
      </c>
      <c r="J1122" s="30">
        <v>233207293</v>
      </c>
      <c r="K1122" s="26" t="s">
        <v>20</v>
      </c>
      <c r="L1122" s="26" t="s">
        <v>295</v>
      </c>
      <c r="M1122" s="31" t="s">
        <v>3142</v>
      </c>
      <c r="N1122" s="6"/>
      <c r="O1122" s="6"/>
      <c r="P1122" s="23"/>
      <c r="Q1122" s="2"/>
      <c r="R1122" s="2"/>
      <c r="S1122" s="2"/>
      <c r="T1122" s="2"/>
      <c r="U1122" s="2"/>
      <c r="V1122" s="2"/>
      <c r="W1122" s="2"/>
      <c r="X1122" s="2"/>
      <c r="Y1122" s="2"/>
    </row>
    <row r="1123" spans="1:25" ht="25.5" hidden="1" customHeight="1">
      <c r="A1123" s="26">
        <v>754</v>
      </c>
      <c r="B1123" s="27" t="s">
        <v>973</v>
      </c>
      <c r="C1123" s="28">
        <v>43799</v>
      </c>
      <c r="D1123" s="27"/>
      <c r="E1123" s="27" t="s">
        <v>3167</v>
      </c>
      <c r="F1123" s="29" t="s">
        <v>3168</v>
      </c>
      <c r="G1123" s="27" t="s">
        <v>1088</v>
      </c>
      <c r="H1123" s="27" t="s">
        <v>522</v>
      </c>
      <c r="I1123" s="27">
        <v>1</v>
      </c>
      <c r="J1123" s="30">
        <v>777806985</v>
      </c>
      <c r="K1123" s="26" t="s">
        <v>20</v>
      </c>
      <c r="L1123" s="26" t="s">
        <v>295</v>
      </c>
      <c r="M1123" s="31" t="s">
        <v>3142</v>
      </c>
      <c r="N1123" s="6"/>
      <c r="O1123" s="6"/>
      <c r="P1123" s="23"/>
      <c r="Q1123" s="2"/>
      <c r="R1123" s="2"/>
      <c r="S1123" s="2"/>
      <c r="T1123" s="2"/>
      <c r="U1123" s="2"/>
      <c r="V1123" s="2"/>
      <c r="W1123" s="2"/>
      <c r="X1123" s="2"/>
      <c r="Y1123" s="2"/>
    </row>
    <row r="1124" spans="1:25" ht="25.5" hidden="1" customHeight="1">
      <c r="A1124" s="26">
        <v>755</v>
      </c>
      <c r="B1124" s="27" t="s">
        <v>973</v>
      </c>
      <c r="C1124" s="28">
        <v>43799</v>
      </c>
      <c r="D1124" s="27"/>
      <c r="E1124" s="27" t="s">
        <v>3169</v>
      </c>
      <c r="F1124" s="29" t="s">
        <v>3170</v>
      </c>
      <c r="G1124" s="27" t="s">
        <v>1088</v>
      </c>
      <c r="H1124" s="27" t="s">
        <v>522</v>
      </c>
      <c r="I1124" s="27">
        <v>1</v>
      </c>
      <c r="J1124" s="30">
        <v>1049984291</v>
      </c>
      <c r="K1124" s="26" t="s">
        <v>20</v>
      </c>
      <c r="L1124" s="26" t="s">
        <v>295</v>
      </c>
      <c r="M1124" s="31" t="s">
        <v>3142</v>
      </c>
      <c r="N1124" s="6"/>
      <c r="O1124" s="6"/>
      <c r="P1124" s="23"/>
      <c r="Q1124" s="2"/>
      <c r="R1124" s="2"/>
      <c r="S1124" s="2"/>
      <c r="T1124" s="2"/>
      <c r="U1124" s="2"/>
      <c r="V1124" s="2"/>
      <c r="W1124" s="2"/>
      <c r="X1124" s="2"/>
      <c r="Y1124" s="2"/>
    </row>
    <row r="1125" spans="1:25" ht="12.75" hidden="1" customHeight="1">
      <c r="A1125" s="26">
        <v>756</v>
      </c>
      <c r="B1125" s="27" t="s">
        <v>388</v>
      </c>
      <c r="C1125" s="28">
        <v>41576</v>
      </c>
      <c r="D1125" s="27"/>
      <c r="E1125" s="27" t="s">
        <v>3171</v>
      </c>
      <c r="F1125" s="29" t="s">
        <v>3172</v>
      </c>
      <c r="G1125" s="27" t="s">
        <v>573</v>
      </c>
      <c r="H1125" s="27" t="s">
        <v>522</v>
      </c>
      <c r="I1125" s="27">
        <v>1</v>
      </c>
      <c r="J1125" s="30">
        <v>1588901071</v>
      </c>
      <c r="K1125" s="26" t="s">
        <v>36</v>
      </c>
      <c r="L1125" s="26" t="s">
        <v>2054</v>
      </c>
      <c r="M1125" s="31" t="s">
        <v>3086</v>
      </c>
      <c r="N1125" s="6"/>
      <c r="O1125" s="6"/>
      <c r="P1125" s="23"/>
      <c r="Q1125" s="2"/>
      <c r="R1125" s="2"/>
      <c r="S1125" s="2"/>
      <c r="T1125" s="2"/>
      <c r="U1125" s="2"/>
      <c r="V1125" s="2"/>
      <c r="W1125" s="2"/>
      <c r="X1125" s="2"/>
      <c r="Y1125" s="2"/>
    </row>
    <row r="1126" spans="1:25" ht="12.75" hidden="1" customHeight="1">
      <c r="A1126" s="26">
        <v>757</v>
      </c>
      <c r="B1126" s="27" t="s">
        <v>470</v>
      </c>
      <c r="C1126" s="28">
        <v>41983</v>
      </c>
      <c r="D1126" s="27"/>
      <c r="E1126" s="27" t="s">
        <v>3173</v>
      </c>
      <c r="F1126" s="29" t="s">
        <v>3174</v>
      </c>
      <c r="G1126" s="27" t="s">
        <v>35</v>
      </c>
      <c r="H1126" s="27" t="s">
        <v>19</v>
      </c>
      <c r="I1126" s="27">
        <v>1</v>
      </c>
      <c r="J1126" s="30">
        <v>302191391</v>
      </c>
      <c r="K1126" s="26" t="s">
        <v>20</v>
      </c>
      <c r="L1126" s="26" t="s">
        <v>284</v>
      </c>
      <c r="M1126" s="31" t="s">
        <v>2122</v>
      </c>
      <c r="N1126" s="6"/>
      <c r="O1126" s="6"/>
      <c r="P1126" s="23"/>
      <c r="Q1126" s="2"/>
      <c r="R1126" s="2"/>
      <c r="S1126" s="2"/>
      <c r="T1126" s="2"/>
      <c r="U1126" s="2"/>
      <c r="V1126" s="2"/>
      <c r="W1126" s="2"/>
      <c r="X1126" s="2"/>
      <c r="Y1126" s="2"/>
    </row>
    <row r="1127" spans="1:25" ht="12.75" hidden="1" customHeight="1">
      <c r="A1127" s="26">
        <v>758</v>
      </c>
      <c r="B1127" s="27" t="s">
        <v>470</v>
      </c>
      <c r="C1127" s="28">
        <v>41983</v>
      </c>
      <c r="D1127" s="27"/>
      <c r="E1127" s="27" t="s">
        <v>3175</v>
      </c>
      <c r="F1127" s="29" t="s">
        <v>3174</v>
      </c>
      <c r="G1127" s="27" t="s">
        <v>35</v>
      </c>
      <c r="H1127" s="27" t="s">
        <v>19</v>
      </c>
      <c r="I1127" s="27">
        <v>1</v>
      </c>
      <c r="J1127" s="30">
        <v>302191391</v>
      </c>
      <c r="K1127" s="26" t="s">
        <v>20</v>
      </c>
      <c r="L1127" s="26" t="s">
        <v>284</v>
      </c>
      <c r="M1127" s="31" t="s">
        <v>2122</v>
      </c>
      <c r="N1127" s="6"/>
      <c r="O1127" s="6"/>
      <c r="P1127" s="23"/>
      <c r="Q1127" s="2"/>
      <c r="R1127" s="2"/>
      <c r="S1127" s="2"/>
      <c r="T1127" s="2"/>
      <c r="U1127" s="2"/>
      <c r="V1127" s="2"/>
      <c r="W1127" s="2"/>
      <c r="X1127" s="2"/>
      <c r="Y1127" s="2"/>
    </row>
    <row r="1128" spans="1:25" ht="29.25" hidden="1" customHeight="1">
      <c r="A1128" s="26">
        <v>759</v>
      </c>
      <c r="B1128" s="82" t="s">
        <v>3176</v>
      </c>
      <c r="C1128" s="83">
        <v>44196</v>
      </c>
      <c r="D1128" s="84"/>
      <c r="E1128" s="82" t="s">
        <v>3177</v>
      </c>
      <c r="F1128" s="29" t="s">
        <v>3178</v>
      </c>
      <c r="G1128" s="85" t="s">
        <v>35</v>
      </c>
      <c r="H1128" s="85" t="s">
        <v>19</v>
      </c>
      <c r="I1128" s="86">
        <v>1</v>
      </c>
      <c r="J1128" s="87">
        <v>313000000</v>
      </c>
      <c r="K1128" s="1" t="s">
        <v>36</v>
      </c>
      <c r="L1128" s="1" t="s">
        <v>1542</v>
      </c>
      <c r="M1128" s="6" t="s">
        <v>3179</v>
      </c>
      <c r="N1128" s="6"/>
      <c r="O1128" s="6"/>
      <c r="P1128" s="23"/>
      <c r="Q1128" s="2"/>
      <c r="R1128" s="2"/>
      <c r="S1128" s="2"/>
      <c r="T1128" s="2"/>
      <c r="U1128" s="2"/>
      <c r="V1128" s="2"/>
      <c r="W1128" s="2"/>
      <c r="X1128" s="2"/>
      <c r="Y1128" s="2"/>
    </row>
    <row r="1129" spans="1:25" ht="25.5" hidden="1" customHeight="1">
      <c r="A1129" s="26">
        <v>760</v>
      </c>
      <c r="B1129" s="82" t="s">
        <v>3180</v>
      </c>
      <c r="C1129" s="83">
        <v>44196</v>
      </c>
      <c r="D1129" s="84"/>
      <c r="E1129" s="82" t="s">
        <v>3181</v>
      </c>
      <c r="F1129" s="29" t="s">
        <v>3182</v>
      </c>
      <c r="G1129" s="85" t="s">
        <v>35</v>
      </c>
      <c r="H1129" s="85" t="s">
        <v>19</v>
      </c>
      <c r="I1129" s="86">
        <v>1</v>
      </c>
      <c r="J1129" s="87">
        <v>126000000</v>
      </c>
      <c r="K1129" s="26" t="s">
        <v>206</v>
      </c>
      <c r="L1129" s="26"/>
      <c r="M1129" s="88" t="s">
        <v>3183</v>
      </c>
      <c r="N1129" s="6"/>
      <c r="O1129" s="6"/>
      <c r="P1129" s="23"/>
      <c r="Q1129" s="2"/>
      <c r="R1129" s="2"/>
      <c r="S1129" s="2"/>
      <c r="T1129" s="2"/>
      <c r="U1129" s="2"/>
      <c r="V1129" s="2"/>
      <c r="W1129" s="2"/>
      <c r="X1129" s="2"/>
      <c r="Y1129" s="2"/>
    </row>
    <row r="1130" spans="1:25" ht="12.75" hidden="1" customHeight="1">
      <c r="A1130" s="26" t="s">
        <v>3184</v>
      </c>
      <c r="B1130" s="89"/>
      <c r="C1130" s="89"/>
      <c r="D1130" s="89"/>
      <c r="E1130" s="90" t="s">
        <v>3185</v>
      </c>
      <c r="F1130" s="29" t="s">
        <v>3186</v>
      </c>
      <c r="G1130" s="91" t="s">
        <v>248</v>
      </c>
      <c r="H1130" s="91" t="s">
        <v>249</v>
      </c>
      <c r="I1130" s="92">
        <v>1</v>
      </c>
      <c r="J1130" s="93">
        <v>0</v>
      </c>
      <c r="K1130" s="26" t="s">
        <v>206</v>
      </c>
      <c r="L1130" s="26"/>
      <c r="M1130" s="88" t="s">
        <v>3183</v>
      </c>
      <c r="N1130" s="6"/>
      <c r="O1130" s="6"/>
      <c r="P1130" s="23"/>
      <c r="Q1130" s="2"/>
      <c r="R1130" s="2"/>
      <c r="S1130" s="2"/>
      <c r="T1130" s="2"/>
      <c r="U1130" s="2"/>
      <c r="V1130" s="2"/>
      <c r="W1130" s="2"/>
      <c r="X1130" s="2"/>
      <c r="Y1130" s="2"/>
    </row>
    <row r="1131" spans="1:25" ht="25.5" hidden="1" customHeight="1">
      <c r="A1131" s="26">
        <v>761</v>
      </c>
      <c r="B1131" s="82" t="s">
        <v>3180</v>
      </c>
      <c r="C1131" s="83">
        <v>44196</v>
      </c>
      <c r="D1131" s="84"/>
      <c r="E1131" s="82" t="s">
        <v>3187</v>
      </c>
      <c r="F1131" s="29" t="s">
        <v>3188</v>
      </c>
      <c r="G1131" s="85" t="s">
        <v>35</v>
      </c>
      <c r="H1131" s="85" t="s">
        <v>19</v>
      </c>
      <c r="I1131" s="86">
        <v>1</v>
      </c>
      <c r="J1131" s="87">
        <v>126000000</v>
      </c>
      <c r="K1131" s="26" t="s">
        <v>206</v>
      </c>
      <c r="L1131" s="26"/>
      <c r="M1131" s="88" t="s">
        <v>3183</v>
      </c>
      <c r="N1131" s="6"/>
      <c r="O1131" s="6"/>
      <c r="P1131" s="23"/>
      <c r="Q1131" s="2"/>
      <c r="R1131" s="2"/>
      <c r="S1131" s="2"/>
      <c r="T1131" s="2"/>
      <c r="U1131" s="2"/>
      <c r="V1131" s="2"/>
      <c r="W1131" s="2"/>
      <c r="X1131" s="2"/>
      <c r="Y1131" s="2"/>
    </row>
    <row r="1132" spans="1:25" ht="12.75" hidden="1" customHeight="1">
      <c r="A1132" s="26" t="s">
        <v>3189</v>
      </c>
      <c r="B1132" s="89"/>
      <c r="C1132" s="89"/>
      <c r="D1132" s="89"/>
      <c r="E1132" s="90" t="s">
        <v>3190</v>
      </c>
      <c r="F1132" s="29" t="s">
        <v>3191</v>
      </c>
      <c r="G1132" s="91" t="s">
        <v>248</v>
      </c>
      <c r="H1132" s="91" t="s">
        <v>249</v>
      </c>
      <c r="I1132" s="92">
        <v>1</v>
      </c>
      <c r="J1132" s="93">
        <v>0</v>
      </c>
      <c r="K1132" s="26" t="s">
        <v>206</v>
      </c>
      <c r="L1132" s="26"/>
      <c r="M1132" s="88" t="s">
        <v>3183</v>
      </c>
      <c r="N1132" s="6"/>
      <c r="O1132" s="6"/>
      <c r="P1132" s="23"/>
      <c r="Q1132" s="2"/>
      <c r="R1132" s="2"/>
      <c r="S1132" s="2"/>
      <c r="T1132" s="2"/>
      <c r="U1132" s="2"/>
      <c r="V1132" s="2"/>
      <c r="W1132" s="2"/>
      <c r="X1132" s="2"/>
      <c r="Y1132" s="2"/>
    </row>
    <row r="1133" spans="1:25" ht="25.5" hidden="1" customHeight="1">
      <c r="A1133" s="26">
        <v>762</v>
      </c>
      <c r="B1133" s="82" t="s">
        <v>3192</v>
      </c>
      <c r="C1133" s="83">
        <v>44196</v>
      </c>
      <c r="D1133" s="84"/>
      <c r="E1133" s="82" t="s">
        <v>3193</v>
      </c>
      <c r="F1133" s="29" t="s">
        <v>3194</v>
      </c>
      <c r="G1133" s="85" t="s">
        <v>35</v>
      </c>
      <c r="H1133" s="85" t="s">
        <v>19</v>
      </c>
      <c r="I1133" s="86">
        <v>1</v>
      </c>
      <c r="J1133" s="87">
        <v>121000000</v>
      </c>
      <c r="K1133" s="1" t="s">
        <v>206</v>
      </c>
      <c r="L1133" s="1" t="s">
        <v>207</v>
      </c>
      <c r="M1133" s="6"/>
      <c r="N1133" s="6"/>
      <c r="O1133" s="6"/>
      <c r="P1133" s="23"/>
      <c r="Q1133" s="2"/>
      <c r="R1133" s="2"/>
      <c r="S1133" s="2"/>
      <c r="T1133" s="2"/>
      <c r="U1133" s="2"/>
      <c r="V1133" s="2"/>
      <c r="W1133" s="2"/>
      <c r="X1133" s="2"/>
      <c r="Y1133" s="2"/>
    </row>
    <row r="1134" spans="1:25" ht="25.5" hidden="1" customHeight="1">
      <c r="A1134" s="26">
        <v>763</v>
      </c>
      <c r="B1134" s="82" t="s">
        <v>3192</v>
      </c>
      <c r="C1134" s="83">
        <v>44196</v>
      </c>
      <c r="D1134" s="84"/>
      <c r="E1134" s="82" t="s">
        <v>3195</v>
      </c>
      <c r="F1134" s="29" t="s">
        <v>3196</v>
      </c>
      <c r="G1134" s="85" t="s">
        <v>35</v>
      </c>
      <c r="H1134" s="85" t="s">
        <v>19</v>
      </c>
      <c r="I1134" s="86">
        <v>1</v>
      </c>
      <c r="J1134" s="87">
        <v>121000000</v>
      </c>
      <c r="K1134" s="1" t="s">
        <v>206</v>
      </c>
      <c r="L1134" s="1" t="s">
        <v>207</v>
      </c>
      <c r="M1134" s="6"/>
      <c r="N1134" s="6"/>
      <c r="O1134" s="6"/>
      <c r="P1134" s="23"/>
      <c r="Q1134" s="2"/>
      <c r="R1134" s="2"/>
      <c r="S1134" s="2"/>
      <c r="T1134" s="2"/>
      <c r="U1134" s="2"/>
      <c r="V1134" s="2"/>
      <c r="W1134" s="2"/>
      <c r="X1134" s="2"/>
      <c r="Y1134" s="2"/>
    </row>
    <row r="1135" spans="1:25" ht="25.5" hidden="1" customHeight="1">
      <c r="A1135" s="26">
        <v>764</v>
      </c>
      <c r="B1135" s="82" t="s">
        <v>3192</v>
      </c>
      <c r="C1135" s="83">
        <v>44196</v>
      </c>
      <c r="D1135" s="84"/>
      <c r="E1135" s="82" t="s">
        <v>3197</v>
      </c>
      <c r="F1135" s="29" t="s">
        <v>3198</v>
      </c>
      <c r="G1135" s="85" t="s">
        <v>35</v>
      </c>
      <c r="H1135" s="85" t="s">
        <v>19</v>
      </c>
      <c r="I1135" s="86">
        <v>1</v>
      </c>
      <c r="J1135" s="87">
        <v>237000000</v>
      </c>
      <c r="K1135" s="1" t="s">
        <v>206</v>
      </c>
      <c r="L1135" s="1" t="s">
        <v>207</v>
      </c>
      <c r="M1135" s="6"/>
      <c r="N1135" s="6"/>
      <c r="O1135" s="6"/>
      <c r="P1135" s="23"/>
      <c r="Q1135" s="2"/>
      <c r="R1135" s="2"/>
      <c r="S1135" s="2"/>
      <c r="T1135" s="2"/>
      <c r="U1135" s="2"/>
      <c r="V1135" s="2"/>
      <c r="W1135" s="2"/>
      <c r="X1135" s="2"/>
      <c r="Y1135" s="2"/>
    </row>
    <row r="1136" spans="1:25" ht="25.5" hidden="1" customHeight="1">
      <c r="A1136" s="26">
        <v>765</v>
      </c>
      <c r="B1136" s="82" t="s">
        <v>3192</v>
      </c>
      <c r="C1136" s="83">
        <v>44196</v>
      </c>
      <c r="D1136" s="84"/>
      <c r="E1136" s="82" t="s">
        <v>3199</v>
      </c>
      <c r="F1136" s="29" t="s">
        <v>3200</v>
      </c>
      <c r="G1136" s="85" t="s">
        <v>35</v>
      </c>
      <c r="H1136" s="85" t="s">
        <v>19</v>
      </c>
      <c r="I1136" s="86">
        <v>1</v>
      </c>
      <c r="J1136" s="87">
        <v>237000000</v>
      </c>
      <c r="K1136" s="1" t="s">
        <v>206</v>
      </c>
      <c r="L1136" s="1" t="s">
        <v>207</v>
      </c>
      <c r="M1136" s="6"/>
      <c r="N1136" s="6"/>
      <c r="O1136" s="6"/>
      <c r="P1136" s="23"/>
      <c r="Q1136" s="2"/>
      <c r="R1136" s="2"/>
      <c r="S1136" s="2"/>
      <c r="T1136" s="2"/>
      <c r="U1136" s="2"/>
      <c r="V1136" s="2"/>
      <c r="W1136" s="2"/>
      <c r="X1136" s="2"/>
      <c r="Y1136" s="2"/>
    </row>
    <row r="1137" spans="1:25" ht="25.5" hidden="1" customHeight="1">
      <c r="A1137" s="26">
        <v>766</v>
      </c>
      <c r="B1137" s="82" t="s">
        <v>3192</v>
      </c>
      <c r="C1137" s="83">
        <v>44196</v>
      </c>
      <c r="D1137" s="84"/>
      <c r="E1137" s="82" t="s">
        <v>3201</v>
      </c>
      <c r="F1137" s="29" t="s">
        <v>3202</v>
      </c>
      <c r="G1137" s="85" t="s">
        <v>35</v>
      </c>
      <c r="H1137" s="85" t="s">
        <v>19</v>
      </c>
      <c r="I1137" s="86">
        <v>1</v>
      </c>
      <c r="J1137" s="87">
        <v>237000000</v>
      </c>
      <c r="K1137" s="1" t="s">
        <v>206</v>
      </c>
      <c r="L1137" s="1" t="s">
        <v>207</v>
      </c>
      <c r="M1137" s="6"/>
      <c r="N1137" s="6"/>
      <c r="O1137" s="6"/>
      <c r="P1137" s="23"/>
      <c r="Q1137" s="2"/>
      <c r="R1137" s="2"/>
      <c r="S1137" s="2"/>
      <c r="T1137" s="2"/>
      <c r="U1137" s="2"/>
      <c r="V1137" s="2"/>
      <c r="W1137" s="2"/>
      <c r="X1137" s="2"/>
      <c r="Y1137" s="2"/>
    </row>
    <row r="1138" spans="1:25" ht="25.5" hidden="1" customHeight="1">
      <c r="A1138" s="26">
        <v>767</v>
      </c>
      <c r="B1138" s="82" t="s">
        <v>3192</v>
      </c>
      <c r="C1138" s="83">
        <v>44196</v>
      </c>
      <c r="D1138" s="84"/>
      <c r="E1138" s="82" t="s">
        <v>3203</v>
      </c>
      <c r="F1138" s="29" t="s">
        <v>3204</v>
      </c>
      <c r="G1138" s="85" t="s">
        <v>35</v>
      </c>
      <c r="H1138" s="85" t="s">
        <v>19</v>
      </c>
      <c r="I1138" s="86">
        <v>1</v>
      </c>
      <c r="J1138" s="87">
        <v>237000000</v>
      </c>
      <c r="K1138" s="1" t="s">
        <v>206</v>
      </c>
      <c r="L1138" s="1" t="s">
        <v>207</v>
      </c>
      <c r="M1138" s="6"/>
      <c r="N1138" s="6"/>
      <c r="O1138" s="6"/>
      <c r="P1138" s="23"/>
      <c r="Q1138" s="2"/>
      <c r="R1138" s="2"/>
      <c r="S1138" s="2"/>
      <c r="T1138" s="2"/>
      <c r="U1138" s="2"/>
      <c r="V1138" s="2"/>
      <c r="W1138" s="2"/>
      <c r="X1138" s="2"/>
      <c r="Y1138" s="2"/>
    </row>
    <row r="1139" spans="1:25" ht="12.75" hidden="1" customHeight="1">
      <c r="A1139" s="26">
        <v>768</v>
      </c>
      <c r="B1139" s="82" t="s">
        <v>3176</v>
      </c>
      <c r="C1139" s="83">
        <v>44196</v>
      </c>
      <c r="D1139" s="84"/>
      <c r="E1139" s="82" t="s">
        <v>3205</v>
      </c>
      <c r="F1139" s="82" t="s">
        <v>3206</v>
      </c>
      <c r="G1139" s="85" t="s">
        <v>1008</v>
      </c>
      <c r="H1139" s="85" t="s">
        <v>19</v>
      </c>
      <c r="I1139" s="86">
        <v>1</v>
      </c>
      <c r="J1139" s="94">
        <v>1300000000</v>
      </c>
      <c r="K1139" s="26" t="s">
        <v>20</v>
      </c>
      <c r="L1139" s="26" t="s">
        <v>233</v>
      </c>
      <c r="M1139" s="31" t="s">
        <v>3207</v>
      </c>
      <c r="N1139" s="6"/>
      <c r="O1139" s="6"/>
      <c r="P1139" s="23"/>
      <c r="Q1139" s="2"/>
      <c r="R1139" s="2"/>
      <c r="S1139" s="2"/>
      <c r="T1139" s="2"/>
      <c r="U1139" s="2"/>
      <c r="V1139" s="2"/>
      <c r="W1139" s="2"/>
      <c r="X1139" s="2"/>
      <c r="Y1139" s="2"/>
    </row>
    <row r="1140" spans="1:25" ht="12.75" hidden="1" customHeight="1">
      <c r="A1140" s="26" t="s">
        <v>3208</v>
      </c>
      <c r="B1140" s="89"/>
      <c r="C1140" s="89"/>
      <c r="D1140" s="89"/>
      <c r="E1140" s="90" t="s">
        <v>3209</v>
      </c>
      <c r="F1140" s="90" t="s">
        <v>3210</v>
      </c>
      <c r="G1140" s="91" t="s">
        <v>1008</v>
      </c>
      <c r="H1140" s="91" t="s">
        <v>249</v>
      </c>
      <c r="I1140" s="92">
        <v>1</v>
      </c>
      <c r="J1140" s="95">
        <v>0</v>
      </c>
      <c r="K1140" s="26" t="s">
        <v>20</v>
      </c>
      <c r="L1140" s="26" t="s">
        <v>233</v>
      </c>
      <c r="M1140" s="31" t="s">
        <v>3207</v>
      </c>
      <c r="N1140" s="6"/>
      <c r="O1140" s="6"/>
      <c r="P1140" s="23"/>
      <c r="Q1140" s="2"/>
      <c r="R1140" s="2"/>
      <c r="S1140" s="2"/>
      <c r="T1140" s="2"/>
      <c r="U1140" s="2"/>
      <c r="V1140" s="2"/>
      <c r="W1140" s="2"/>
      <c r="X1140" s="2"/>
      <c r="Y1140" s="2"/>
    </row>
    <row r="1141" spans="1:25" ht="12.75" hidden="1" customHeight="1">
      <c r="A1141" s="26" t="s">
        <v>3211</v>
      </c>
      <c r="B1141" s="89"/>
      <c r="C1141" s="89"/>
      <c r="D1141" s="89"/>
      <c r="E1141" s="90" t="s">
        <v>3212</v>
      </c>
      <c r="F1141" s="90" t="s">
        <v>3213</v>
      </c>
      <c r="G1141" s="91" t="s">
        <v>1008</v>
      </c>
      <c r="H1141" s="91" t="s">
        <v>249</v>
      </c>
      <c r="I1141" s="92">
        <v>1</v>
      </c>
      <c r="J1141" s="95">
        <v>0</v>
      </c>
      <c r="K1141" s="26" t="s">
        <v>20</v>
      </c>
      <c r="L1141" s="26" t="s">
        <v>233</v>
      </c>
      <c r="M1141" s="31" t="s">
        <v>3207</v>
      </c>
      <c r="N1141" s="6"/>
      <c r="O1141" s="6"/>
      <c r="P1141" s="23"/>
      <c r="Q1141" s="2"/>
      <c r="R1141" s="2"/>
      <c r="S1141" s="2"/>
      <c r="T1141" s="2"/>
      <c r="U1141" s="2"/>
      <c r="V1141" s="2"/>
      <c r="W1141" s="2"/>
      <c r="X1141" s="2"/>
      <c r="Y1141" s="2"/>
    </row>
    <row r="1142" spans="1:25" ht="12.75" hidden="1" customHeight="1">
      <c r="A1142" s="26" t="s">
        <v>3214</v>
      </c>
      <c r="B1142" s="89"/>
      <c r="C1142" s="89"/>
      <c r="D1142" s="89"/>
      <c r="E1142" s="90" t="s">
        <v>3215</v>
      </c>
      <c r="F1142" s="90" t="s">
        <v>3216</v>
      </c>
      <c r="G1142" s="91" t="s">
        <v>1008</v>
      </c>
      <c r="H1142" s="91" t="s">
        <v>249</v>
      </c>
      <c r="I1142" s="92">
        <v>1</v>
      </c>
      <c r="J1142" s="95">
        <v>0</v>
      </c>
      <c r="K1142" s="26" t="s">
        <v>20</v>
      </c>
      <c r="L1142" s="26" t="s">
        <v>233</v>
      </c>
      <c r="M1142" s="31" t="s">
        <v>3207</v>
      </c>
      <c r="N1142" s="6"/>
      <c r="O1142" s="6"/>
      <c r="P1142" s="23"/>
      <c r="Q1142" s="2"/>
      <c r="R1142" s="2"/>
      <c r="S1142" s="2"/>
      <c r="T1142" s="2"/>
      <c r="U1142" s="2"/>
      <c r="V1142" s="2"/>
      <c r="W1142" s="2"/>
      <c r="X1142" s="2"/>
      <c r="Y1142" s="2"/>
    </row>
    <row r="1143" spans="1:25" ht="12.75" hidden="1" customHeight="1">
      <c r="A1143" s="26" t="s">
        <v>3217</v>
      </c>
      <c r="B1143" s="89"/>
      <c r="C1143" s="89"/>
      <c r="D1143" s="89"/>
      <c r="E1143" s="90" t="s">
        <v>3218</v>
      </c>
      <c r="F1143" s="90" t="s">
        <v>3219</v>
      </c>
      <c r="G1143" s="91" t="s">
        <v>1008</v>
      </c>
      <c r="H1143" s="91" t="s">
        <v>249</v>
      </c>
      <c r="I1143" s="92">
        <v>1</v>
      </c>
      <c r="J1143" s="95">
        <v>0</v>
      </c>
      <c r="K1143" s="26" t="s">
        <v>20</v>
      </c>
      <c r="L1143" s="26" t="s">
        <v>233</v>
      </c>
      <c r="M1143" s="31" t="s">
        <v>3207</v>
      </c>
      <c r="N1143" s="6"/>
      <c r="O1143" s="6"/>
      <c r="P1143" s="23"/>
      <c r="Q1143" s="2"/>
      <c r="R1143" s="2"/>
      <c r="S1143" s="2"/>
      <c r="T1143" s="2"/>
      <c r="U1143" s="2"/>
      <c r="V1143" s="2"/>
      <c r="W1143" s="2"/>
      <c r="X1143" s="2"/>
      <c r="Y1143" s="2"/>
    </row>
    <row r="1144" spans="1:25" ht="25" hidden="1">
      <c r="A1144" s="96">
        <v>769</v>
      </c>
      <c r="B1144" s="97" t="s">
        <v>3220</v>
      </c>
      <c r="C1144" s="98">
        <v>44515</v>
      </c>
      <c r="D1144" s="99"/>
      <c r="E1144" s="97" t="s">
        <v>3221</v>
      </c>
      <c r="F1144" s="29" t="s">
        <v>3222</v>
      </c>
      <c r="G1144" s="100" t="s">
        <v>35</v>
      </c>
      <c r="H1144" s="100" t="s">
        <v>19</v>
      </c>
      <c r="I1144" s="101">
        <v>1</v>
      </c>
      <c r="J1144" s="102">
        <v>272000000</v>
      </c>
      <c r="K1144" s="26" t="s">
        <v>20</v>
      </c>
      <c r="L1144" s="36" t="s">
        <v>229</v>
      </c>
      <c r="M1144" s="31" t="str">
        <f>IFERROR(VLOOKUP(E1144, TSCD_XUAN!$C$7:$K$1000, 9, 0), "Không tìm thấy")</f>
        <v>A2-R6: DDR2</v>
      </c>
      <c r="N1144" s="6"/>
      <c r="O1144" s="6"/>
      <c r="P1144" s="23"/>
      <c r="Q1144" s="2"/>
      <c r="R1144" s="2"/>
      <c r="S1144" s="2"/>
      <c r="T1144" s="2"/>
      <c r="U1144" s="2"/>
      <c r="V1144" s="2"/>
      <c r="W1144" s="2"/>
      <c r="X1144" s="2"/>
      <c r="Y1144" s="2"/>
    </row>
    <row r="1145" spans="1:25" ht="25" hidden="1">
      <c r="A1145" s="96">
        <v>770</v>
      </c>
      <c r="B1145" s="97" t="s">
        <v>3220</v>
      </c>
      <c r="C1145" s="98">
        <v>44515</v>
      </c>
      <c r="D1145" s="99"/>
      <c r="E1145" s="97" t="s">
        <v>3223</v>
      </c>
      <c r="F1145" s="29" t="s">
        <v>3224</v>
      </c>
      <c r="G1145" s="100" t="s">
        <v>35</v>
      </c>
      <c r="H1145" s="100" t="s">
        <v>19</v>
      </c>
      <c r="I1145" s="101">
        <v>1</v>
      </c>
      <c r="J1145" s="102">
        <v>272000000</v>
      </c>
      <c r="K1145" s="26" t="s">
        <v>20</v>
      </c>
      <c r="L1145" s="26" t="s">
        <v>295</v>
      </c>
      <c r="M1145" s="31" t="s">
        <v>3225</v>
      </c>
      <c r="N1145" s="6"/>
      <c r="O1145" s="6"/>
      <c r="P1145" s="23"/>
      <c r="Q1145" s="2"/>
      <c r="R1145" s="2"/>
      <c r="S1145" s="2"/>
      <c r="T1145" s="2"/>
      <c r="U1145" s="2"/>
      <c r="V1145" s="2"/>
      <c r="W1145" s="2"/>
      <c r="X1145" s="2"/>
      <c r="Y1145" s="2"/>
    </row>
    <row r="1146" spans="1:25" ht="25" hidden="1">
      <c r="A1146" s="96">
        <v>771</v>
      </c>
      <c r="B1146" s="97" t="s">
        <v>3226</v>
      </c>
      <c r="C1146" s="98">
        <v>44515</v>
      </c>
      <c r="D1146" s="99"/>
      <c r="E1146" s="97" t="s">
        <v>3227</v>
      </c>
      <c r="F1146" s="29" t="s">
        <v>3228</v>
      </c>
      <c r="G1146" s="100" t="s">
        <v>2070</v>
      </c>
      <c r="H1146" s="100" t="s">
        <v>19</v>
      </c>
      <c r="I1146" s="101">
        <v>1</v>
      </c>
      <c r="J1146" s="102">
        <v>484545454</v>
      </c>
      <c r="K1146" s="26" t="s">
        <v>20</v>
      </c>
      <c r="L1146" s="26" t="s">
        <v>295</v>
      </c>
      <c r="M1146" s="31" t="s">
        <v>3229</v>
      </c>
      <c r="N1146" s="6"/>
      <c r="O1146" s="6"/>
      <c r="P1146" s="23"/>
      <c r="Q1146" s="2"/>
      <c r="R1146" s="2"/>
      <c r="S1146" s="2"/>
      <c r="T1146" s="2"/>
      <c r="U1146" s="2"/>
      <c r="V1146" s="2"/>
      <c r="W1146" s="2"/>
      <c r="X1146" s="2"/>
      <c r="Y1146" s="2"/>
    </row>
    <row r="1147" spans="1:25" ht="25" hidden="1">
      <c r="A1147" s="96">
        <v>772</v>
      </c>
      <c r="B1147" s="97" t="s">
        <v>3226</v>
      </c>
      <c r="C1147" s="98">
        <v>44515</v>
      </c>
      <c r="D1147" s="99"/>
      <c r="E1147" s="97" t="s">
        <v>3230</v>
      </c>
      <c r="F1147" s="29" t="s">
        <v>3231</v>
      </c>
      <c r="G1147" s="100" t="s">
        <v>2070</v>
      </c>
      <c r="H1147" s="100" t="s">
        <v>19</v>
      </c>
      <c r="I1147" s="101">
        <v>1</v>
      </c>
      <c r="J1147" s="102">
        <v>484545455</v>
      </c>
      <c r="K1147" s="61" t="s">
        <v>20</v>
      </c>
      <c r="L1147" s="61" t="s">
        <v>295</v>
      </c>
      <c r="M1147" s="103" t="s">
        <v>3232</v>
      </c>
      <c r="N1147" s="6"/>
      <c r="O1147" s="6"/>
      <c r="P1147" s="23"/>
      <c r="Q1147" s="2"/>
      <c r="R1147" s="2"/>
      <c r="S1147" s="2"/>
      <c r="T1147" s="2"/>
      <c r="U1147" s="2"/>
      <c r="V1147" s="2"/>
      <c r="W1147" s="2"/>
      <c r="X1147" s="2"/>
      <c r="Y1147" s="2"/>
    </row>
    <row r="1148" spans="1:25" ht="13" hidden="1">
      <c r="A1148" s="96">
        <v>386</v>
      </c>
      <c r="B1148" s="97" t="s">
        <v>3233</v>
      </c>
      <c r="C1148" s="98">
        <v>44867</v>
      </c>
      <c r="D1148" s="99"/>
      <c r="E1148" s="97" t="s">
        <v>3234</v>
      </c>
      <c r="F1148" s="97" t="s">
        <v>3235</v>
      </c>
      <c r="G1148" s="100" t="s">
        <v>307</v>
      </c>
      <c r="H1148" s="100" t="s">
        <v>19</v>
      </c>
      <c r="I1148" s="101">
        <v>1</v>
      </c>
      <c r="J1148" s="102">
        <v>283800000</v>
      </c>
      <c r="K1148" s="26" t="s">
        <v>20</v>
      </c>
      <c r="L1148" s="104" t="s">
        <v>295</v>
      </c>
      <c r="M1148" s="88" t="s">
        <v>2004</v>
      </c>
      <c r="N1148" s="7"/>
      <c r="O1148" s="7"/>
      <c r="P1148" s="23"/>
    </row>
    <row r="1149" spans="1:25" ht="13" hidden="1">
      <c r="A1149" s="96">
        <v>387</v>
      </c>
      <c r="B1149" s="97" t="s">
        <v>3233</v>
      </c>
      <c r="C1149" s="98">
        <v>44867</v>
      </c>
      <c r="D1149" s="99"/>
      <c r="E1149" s="97" t="s">
        <v>3236</v>
      </c>
      <c r="F1149" s="97" t="s">
        <v>3237</v>
      </c>
      <c r="G1149" s="100" t="s">
        <v>307</v>
      </c>
      <c r="H1149" s="100" t="s">
        <v>19</v>
      </c>
      <c r="I1149" s="101">
        <v>1</v>
      </c>
      <c r="J1149" s="102">
        <v>283800000</v>
      </c>
      <c r="K1149" s="26" t="s">
        <v>20</v>
      </c>
      <c r="L1149" s="104" t="s">
        <v>295</v>
      </c>
      <c r="M1149" s="88" t="s">
        <v>2004</v>
      </c>
      <c r="N1149" s="7"/>
      <c r="O1149" s="7"/>
      <c r="P1149" s="23"/>
    </row>
    <row r="1150" spans="1:25" ht="13" hidden="1">
      <c r="A1150" s="96">
        <v>388</v>
      </c>
      <c r="B1150" s="97" t="s">
        <v>3233</v>
      </c>
      <c r="C1150" s="98">
        <v>44867</v>
      </c>
      <c r="D1150" s="99"/>
      <c r="E1150" s="97" t="s">
        <v>3238</v>
      </c>
      <c r="F1150" s="97" t="s">
        <v>3239</v>
      </c>
      <c r="G1150" s="100" t="s">
        <v>1088</v>
      </c>
      <c r="H1150" s="100" t="s">
        <v>19</v>
      </c>
      <c r="I1150" s="101">
        <v>1</v>
      </c>
      <c r="J1150" s="102">
        <v>119680000</v>
      </c>
      <c r="K1150" s="26" t="s">
        <v>20</v>
      </c>
      <c r="L1150" s="104" t="s">
        <v>295</v>
      </c>
      <c r="M1150" s="88" t="s">
        <v>3240</v>
      </c>
      <c r="N1150" s="7"/>
      <c r="O1150" s="7"/>
      <c r="P1150" s="23"/>
    </row>
    <row r="1151" spans="1:25" ht="13" hidden="1">
      <c r="A1151" s="96">
        <v>389</v>
      </c>
      <c r="B1151" s="97" t="s">
        <v>3241</v>
      </c>
      <c r="C1151" s="98">
        <v>44916</v>
      </c>
      <c r="D1151" s="99"/>
      <c r="E1151" s="97" t="s">
        <v>3242</v>
      </c>
      <c r="F1151" s="97" t="s">
        <v>3243</v>
      </c>
      <c r="G1151" s="100" t="s">
        <v>2015</v>
      </c>
      <c r="H1151" s="100" t="s">
        <v>249</v>
      </c>
      <c r="I1151" s="101">
        <v>1</v>
      </c>
      <c r="J1151" s="102">
        <v>45000000</v>
      </c>
      <c r="K1151" s="104" t="s">
        <v>20</v>
      </c>
      <c r="L1151" s="105" t="s">
        <v>229</v>
      </c>
      <c r="M1151" s="31" t="str">
        <f>IFERROR(VLOOKUP(E1151, TSCD_XUAN!$C$7:$K$1000, 9, 0), "Không tìm thấy")</f>
        <v>A1 CONTROL: mixer chính</v>
      </c>
      <c r="N1151" s="7"/>
      <c r="O1151" s="7"/>
      <c r="P1151" s="23"/>
    </row>
    <row r="1152" spans="1:25" ht="13" hidden="1">
      <c r="A1152" s="96">
        <v>390</v>
      </c>
      <c r="B1152" s="97" t="s">
        <v>3244</v>
      </c>
      <c r="C1152" s="98">
        <v>44916</v>
      </c>
      <c r="D1152" s="99"/>
      <c r="E1152" s="97" t="s">
        <v>3245</v>
      </c>
      <c r="F1152" s="97" t="s">
        <v>3246</v>
      </c>
      <c r="G1152" s="100" t="s">
        <v>248</v>
      </c>
      <c r="H1152" s="100" t="s">
        <v>19</v>
      </c>
      <c r="I1152" s="101">
        <v>1</v>
      </c>
      <c r="J1152" s="102">
        <v>43727273</v>
      </c>
      <c r="K1152" s="26" t="s">
        <v>20</v>
      </c>
      <c r="L1152" s="104" t="s">
        <v>295</v>
      </c>
      <c r="M1152" s="88" t="s">
        <v>3247</v>
      </c>
      <c r="N1152" s="7"/>
      <c r="O1152" s="7"/>
      <c r="P1152" s="23"/>
    </row>
    <row r="1153" spans="1:25" ht="13" hidden="1">
      <c r="A1153" s="96">
        <v>632</v>
      </c>
      <c r="B1153" s="97" t="s">
        <v>3248</v>
      </c>
      <c r="C1153" s="98">
        <v>41274</v>
      </c>
      <c r="D1153" s="99"/>
      <c r="E1153" s="97" t="s">
        <v>3249</v>
      </c>
      <c r="F1153" s="97" t="s">
        <v>3250</v>
      </c>
      <c r="G1153" s="100" t="s">
        <v>1008</v>
      </c>
      <c r="H1153" s="100" t="s">
        <v>19</v>
      </c>
      <c r="I1153" s="101">
        <v>1</v>
      </c>
      <c r="J1153" s="102">
        <v>475585133</v>
      </c>
      <c r="K1153" s="104" t="s">
        <v>20</v>
      </c>
      <c r="L1153" s="105" t="s">
        <v>229</v>
      </c>
      <c r="M1153" s="31" t="str">
        <f>IFERROR(VLOOKUP(E1153, TSCD_XUAN!$C$7:$K$1000, 9, 0), "Không tìm thấy")</f>
        <v>A2-MC - cam 2</v>
      </c>
      <c r="N1153" s="7"/>
      <c r="O1153" s="7"/>
      <c r="P1153" s="23"/>
    </row>
    <row r="1154" spans="1:25" ht="13" hidden="1">
      <c r="A1154" s="96">
        <v>633</v>
      </c>
      <c r="B1154" s="97" t="s">
        <v>3248</v>
      </c>
      <c r="C1154" s="98">
        <v>41274</v>
      </c>
      <c r="D1154" s="99"/>
      <c r="E1154" s="97" t="s">
        <v>3251</v>
      </c>
      <c r="F1154" s="97" t="s">
        <v>3252</v>
      </c>
      <c r="G1154" s="100" t="s">
        <v>1008</v>
      </c>
      <c r="H1154" s="100" t="s">
        <v>19</v>
      </c>
      <c r="I1154" s="101">
        <v>1</v>
      </c>
      <c r="J1154" s="102">
        <v>475585133</v>
      </c>
      <c r="K1154" s="104" t="s">
        <v>20</v>
      </c>
      <c r="L1154" s="105" t="s">
        <v>229</v>
      </c>
      <c r="M1154" s="31" t="str">
        <f>IFERROR(VLOOKUP(E1154, TSCD_XUAN!$C$7:$K$1000, 9, 0), "Không tìm thấy")</f>
        <v>A2-MC - cam 1</v>
      </c>
      <c r="N1154" s="7"/>
      <c r="O1154" s="7"/>
      <c r="P1154" s="23"/>
    </row>
    <row r="1155" spans="1:25" ht="13" hidden="1">
      <c r="A1155" s="96">
        <v>634</v>
      </c>
      <c r="B1155" s="97" t="s">
        <v>3248</v>
      </c>
      <c r="C1155" s="98">
        <v>41274</v>
      </c>
      <c r="D1155" s="99"/>
      <c r="E1155" s="97" t="s">
        <v>3253</v>
      </c>
      <c r="F1155" s="97" t="s">
        <v>3254</v>
      </c>
      <c r="G1155" s="100" t="s">
        <v>1008</v>
      </c>
      <c r="H1155" s="100" t="s">
        <v>19</v>
      </c>
      <c r="I1155" s="101">
        <v>1</v>
      </c>
      <c r="J1155" s="102">
        <v>475585133</v>
      </c>
      <c r="K1155" s="104" t="s">
        <v>20</v>
      </c>
      <c r="L1155" s="105" t="s">
        <v>229</v>
      </c>
      <c r="M1155" s="31" t="str">
        <f>IFERROR(VLOOKUP(E1155, TSCD_XUAN!$C$7:$K$1000, 9, 0), "Không tìm thấy")</f>
        <v>A2-MC - cam 3</v>
      </c>
      <c r="N1155" s="7"/>
      <c r="O1155" s="7"/>
      <c r="P1155" s="23"/>
    </row>
    <row r="1156" spans="1:25" ht="12.75" hidden="1" customHeight="1">
      <c r="A1156" s="96">
        <v>635</v>
      </c>
      <c r="B1156" s="97" t="s">
        <v>3255</v>
      </c>
      <c r="C1156" s="98">
        <v>45247</v>
      </c>
      <c r="D1156" s="99"/>
      <c r="E1156" s="97" t="s">
        <v>3256</v>
      </c>
      <c r="F1156" s="106" t="s">
        <v>3257</v>
      </c>
      <c r="G1156" s="100" t="s">
        <v>1435</v>
      </c>
      <c r="H1156" s="100" t="s">
        <v>249</v>
      </c>
      <c r="I1156" s="101">
        <v>1</v>
      </c>
      <c r="J1156" s="102">
        <v>88470000</v>
      </c>
      <c r="K1156" s="107"/>
      <c r="L1156" s="26"/>
      <c r="M1156" s="31"/>
      <c r="O1156" s="108" t="s">
        <v>3258</v>
      </c>
      <c r="P1156" s="2"/>
      <c r="Q1156" s="2"/>
      <c r="R1156" s="2"/>
      <c r="S1156" s="2"/>
      <c r="T1156" s="2"/>
      <c r="U1156" s="2"/>
      <c r="V1156" s="2"/>
      <c r="W1156" s="2"/>
      <c r="X1156" s="2"/>
      <c r="Y1156" s="2"/>
    </row>
    <row r="1157" spans="1:25" ht="26" hidden="1">
      <c r="A1157" s="96">
        <v>636</v>
      </c>
      <c r="B1157" s="97" t="s">
        <v>3259</v>
      </c>
      <c r="C1157" s="98">
        <v>45259</v>
      </c>
      <c r="D1157" s="99"/>
      <c r="E1157" s="97" t="s">
        <v>3260</v>
      </c>
      <c r="F1157" s="106" t="s">
        <v>3261</v>
      </c>
      <c r="G1157" s="100" t="s">
        <v>248</v>
      </c>
      <c r="H1157" s="100" t="s">
        <v>19</v>
      </c>
      <c r="I1157" s="101">
        <v>1</v>
      </c>
      <c r="J1157" s="102">
        <v>80900000</v>
      </c>
      <c r="K1157" s="107" t="s">
        <v>20</v>
      </c>
      <c r="L1157" s="26" t="s">
        <v>3262</v>
      </c>
      <c r="M1157" s="31" t="s">
        <v>3263</v>
      </c>
      <c r="O1157" s="108" t="s">
        <v>3258</v>
      </c>
      <c r="P1157" s="2"/>
      <c r="Q1157" s="2"/>
      <c r="R1157" s="2"/>
      <c r="S1157" s="2"/>
      <c r="T1157" s="2"/>
      <c r="U1157" s="2"/>
      <c r="V1157" s="2"/>
      <c r="W1157" s="2"/>
      <c r="X1157" s="2"/>
      <c r="Y1157" s="2"/>
    </row>
    <row r="1158" spans="1:25" ht="13" hidden="1">
      <c r="A1158" s="96">
        <v>637</v>
      </c>
      <c r="B1158" s="97" t="s">
        <v>3264</v>
      </c>
      <c r="C1158" s="98">
        <v>45271</v>
      </c>
      <c r="D1158" s="99"/>
      <c r="E1158" s="97" t="s">
        <v>3265</v>
      </c>
      <c r="F1158" s="106" t="s">
        <v>3266</v>
      </c>
      <c r="G1158" s="101"/>
      <c r="H1158" s="100" t="s">
        <v>19</v>
      </c>
      <c r="I1158" s="101">
        <v>1</v>
      </c>
      <c r="J1158" s="102">
        <v>1459545455</v>
      </c>
      <c r="K1158" s="107" t="s">
        <v>20</v>
      </c>
      <c r="L1158" s="26" t="s">
        <v>295</v>
      </c>
      <c r="M1158" s="31" t="s">
        <v>3267</v>
      </c>
      <c r="O1158" s="108" t="s">
        <v>3258</v>
      </c>
      <c r="P1158" s="2"/>
      <c r="Q1158" s="2"/>
      <c r="R1158" s="2"/>
      <c r="S1158" s="2"/>
      <c r="T1158" s="2"/>
      <c r="U1158" s="2"/>
      <c r="V1158" s="2"/>
      <c r="W1158" s="2"/>
      <c r="X1158" s="2"/>
      <c r="Y1158" s="2"/>
    </row>
    <row r="1159" spans="1:25" ht="13" hidden="1">
      <c r="A1159" s="96" t="s">
        <v>2879</v>
      </c>
      <c r="B1159" s="109"/>
      <c r="C1159" s="109"/>
      <c r="D1159" s="109"/>
      <c r="E1159" s="110" t="s">
        <v>3268</v>
      </c>
      <c r="F1159" s="111" t="s">
        <v>3269</v>
      </c>
      <c r="G1159" s="112" t="s">
        <v>1008</v>
      </c>
      <c r="H1159" s="112" t="s">
        <v>19</v>
      </c>
      <c r="I1159" s="113">
        <v>1</v>
      </c>
      <c r="J1159" s="114">
        <v>819545455</v>
      </c>
      <c r="K1159" s="107" t="s">
        <v>20</v>
      </c>
      <c r="L1159" s="26" t="s">
        <v>295</v>
      </c>
      <c r="M1159" s="31" t="s">
        <v>3267</v>
      </c>
      <c r="O1159" s="108" t="s">
        <v>3258</v>
      </c>
      <c r="P1159" s="2"/>
      <c r="Q1159" s="2"/>
      <c r="R1159" s="2"/>
      <c r="S1159" s="2"/>
      <c r="T1159" s="2"/>
      <c r="U1159" s="2"/>
      <c r="V1159" s="2"/>
      <c r="W1159" s="2"/>
      <c r="X1159" s="2"/>
      <c r="Y1159" s="2"/>
    </row>
    <row r="1160" spans="1:25" ht="23" hidden="1">
      <c r="A1160" s="96" t="s">
        <v>3270</v>
      </c>
      <c r="B1160" s="109"/>
      <c r="C1160" s="109"/>
      <c r="D1160" s="109"/>
      <c r="E1160" s="110" t="s">
        <v>3271</v>
      </c>
      <c r="F1160" s="111" t="s">
        <v>3272</v>
      </c>
      <c r="G1160" s="112" t="s">
        <v>1008</v>
      </c>
      <c r="H1160" s="112" t="s">
        <v>19</v>
      </c>
      <c r="I1160" s="113">
        <v>1</v>
      </c>
      <c r="J1160" s="114">
        <v>390000000</v>
      </c>
      <c r="K1160" s="107" t="s">
        <v>20</v>
      </c>
      <c r="L1160" s="26" t="s">
        <v>295</v>
      </c>
      <c r="M1160" s="31" t="s">
        <v>3267</v>
      </c>
      <c r="O1160" s="108" t="s">
        <v>3258</v>
      </c>
      <c r="P1160" s="2"/>
      <c r="Q1160" s="2"/>
      <c r="R1160" s="2"/>
      <c r="S1160" s="2"/>
      <c r="T1160" s="2"/>
      <c r="U1160" s="2"/>
      <c r="V1160" s="2"/>
      <c r="W1160" s="2"/>
      <c r="X1160" s="2"/>
      <c r="Y1160" s="2"/>
    </row>
    <row r="1161" spans="1:25" ht="13" hidden="1">
      <c r="A1161" s="96" t="s">
        <v>3273</v>
      </c>
      <c r="B1161" s="109"/>
      <c r="C1161" s="109"/>
      <c r="D1161" s="109"/>
      <c r="E1161" s="110" t="s">
        <v>3274</v>
      </c>
      <c r="F1161" s="111" t="s">
        <v>3275</v>
      </c>
      <c r="G1161" s="112" t="s">
        <v>248</v>
      </c>
      <c r="H1161" s="112" t="s">
        <v>19</v>
      </c>
      <c r="I1161" s="113">
        <v>1</v>
      </c>
      <c r="J1161" s="114">
        <v>250000000</v>
      </c>
      <c r="K1161" s="107" t="s">
        <v>20</v>
      </c>
      <c r="L1161" s="26" t="s">
        <v>295</v>
      </c>
      <c r="M1161" s="31" t="s">
        <v>3267</v>
      </c>
      <c r="O1161" s="108" t="s">
        <v>3258</v>
      </c>
      <c r="P1161" s="2"/>
      <c r="Q1161" s="2"/>
      <c r="R1161" s="2"/>
      <c r="S1161" s="2"/>
      <c r="T1161" s="2"/>
      <c r="U1161" s="2"/>
      <c r="V1161" s="2"/>
      <c r="W1161" s="2"/>
      <c r="X1161" s="2"/>
      <c r="Y1161" s="2"/>
    </row>
    <row r="1162" spans="1:25" ht="12.75" customHeight="1">
      <c r="A1162" s="1"/>
      <c r="B1162" s="115"/>
      <c r="C1162" s="115"/>
      <c r="D1162" s="115"/>
      <c r="E1162" s="116"/>
      <c r="F1162" s="116"/>
      <c r="G1162" s="117"/>
      <c r="H1162" s="117"/>
      <c r="I1162" s="118"/>
      <c r="J1162" s="119"/>
      <c r="K1162" s="1"/>
      <c r="L1162" s="1"/>
      <c r="M1162" s="6"/>
      <c r="N1162" s="7"/>
      <c r="O1162" s="7"/>
      <c r="P1162" s="2"/>
      <c r="Q1162" s="2"/>
      <c r="R1162" s="2"/>
      <c r="S1162" s="2"/>
      <c r="T1162" s="2"/>
      <c r="U1162" s="2"/>
      <c r="V1162" s="2"/>
      <c r="W1162" s="2"/>
      <c r="X1162" s="2"/>
      <c r="Y1162" s="2"/>
    </row>
    <row r="1163" spans="1:25" ht="12.75" customHeight="1">
      <c r="A1163" s="1"/>
      <c r="B1163" s="115"/>
      <c r="C1163" s="115"/>
      <c r="D1163" s="115"/>
      <c r="E1163" s="116"/>
      <c r="F1163" s="116"/>
      <c r="G1163" s="117"/>
      <c r="H1163" s="117"/>
      <c r="I1163" s="118"/>
      <c r="J1163" s="119"/>
      <c r="K1163" s="1"/>
      <c r="L1163" s="1"/>
      <c r="M1163" s="6"/>
      <c r="N1163" s="7"/>
      <c r="O1163" s="7"/>
      <c r="P1163" s="2"/>
      <c r="Q1163" s="2"/>
      <c r="R1163" s="2"/>
      <c r="S1163" s="2"/>
      <c r="T1163" s="2"/>
      <c r="U1163" s="2"/>
      <c r="V1163" s="2"/>
      <c r="W1163" s="2"/>
      <c r="X1163" s="2"/>
      <c r="Y1163" s="2"/>
    </row>
    <row r="1164" spans="1:25" ht="12.75" customHeight="1">
      <c r="A1164" s="1"/>
      <c r="B1164" s="2"/>
      <c r="C1164" s="8"/>
      <c r="D1164" s="2"/>
      <c r="E1164" s="3"/>
      <c r="F1164" s="4"/>
      <c r="G1164" s="2"/>
      <c r="H1164" s="2"/>
      <c r="I1164" s="2"/>
      <c r="J1164" s="5"/>
      <c r="K1164" s="1"/>
      <c r="L1164" s="1"/>
      <c r="M1164" s="6"/>
      <c r="N1164" s="7"/>
      <c r="O1164" s="7"/>
      <c r="P1164" s="2"/>
      <c r="Q1164" s="2"/>
      <c r="R1164" s="2"/>
      <c r="S1164" s="2"/>
      <c r="T1164" s="2"/>
      <c r="U1164" s="2"/>
      <c r="V1164" s="2"/>
      <c r="W1164" s="2"/>
      <c r="X1164" s="2"/>
      <c r="Y1164" s="2"/>
    </row>
    <row r="1165" spans="1:25" ht="12.75" customHeight="1">
      <c r="A1165" s="1"/>
      <c r="B1165" s="2"/>
      <c r="C1165" s="8"/>
      <c r="D1165" s="2"/>
      <c r="E1165" s="3"/>
      <c r="F1165" s="4"/>
      <c r="G1165" s="2"/>
      <c r="H1165" s="2"/>
      <c r="I1165" s="2"/>
      <c r="J1165" s="5"/>
      <c r="K1165" s="1"/>
      <c r="L1165" s="1"/>
      <c r="M1165" s="6"/>
      <c r="N1165" s="7"/>
      <c r="O1165" s="7"/>
      <c r="P1165" s="2"/>
      <c r="Q1165" s="2"/>
      <c r="R1165" s="2"/>
      <c r="S1165" s="2"/>
      <c r="T1165" s="2"/>
      <c r="U1165" s="2"/>
      <c r="V1165" s="2"/>
      <c r="W1165" s="2"/>
      <c r="X1165" s="2"/>
      <c r="Y1165" s="2"/>
    </row>
    <row r="1166" spans="1:25" ht="12.75" customHeight="1">
      <c r="A1166" s="1"/>
      <c r="B1166" s="2"/>
      <c r="C1166" s="8"/>
      <c r="D1166" s="2"/>
      <c r="E1166" s="120" t="s">
        <v>3276</v>
      </c>
      <c r="F1166" s="4"/>
      <c r="G1166" s="2"/>
      <c r="H1166" s="2"/>
      <c r="I1166" s="2"/>
      <c r="J1166" s="2"/>
      <c r="K1166" s="121" t="s">
        <v>3277</v>
      </c>
      <c r="L1166" s="1"/>
      <c r="M1166" s="6"/>
      <c r="N1166" s="7"/>
      <c r="O1166" s="7"/>
      <c r="P1166" s="2"/>
      <c r="Q1166" s="2"/>
      <c r="R1166" s="2"/>
      <c r="S1166" s="2"/>
      <c r="T1166" s="2"/>
      <c r="U1166" s="2"/>
      <c r="V1166" s="2"/>
      <c r="W1166" s="2"/>
      <c r="X1166" s="2"/>
      <c r="Y1166" s="2"/>
    </row>
    <row r="1167" spans="1:25" ht="12.75" customHeight="1">
      <c r="A1167" s="1"/>
      <c r="B1167" s="2"/>
      <c r="C1167" s="8"/>
      <c r="D1167" s="2"/>
      <c r="E1167" s="3"/>
      <c r="F1167" s="4"/>
      <c r="G1167" s="2"/>
      <c r="H1167" s="2"/>
      <c r="I1167" s="2"/>
      <c r="J1167" s="5"/>
      <c r="K1167" s="1"/>
      <c r="L1167" s="1"/>
      <c r="M1167" s="6"/>
      <c r="N1167" s="7"/>
      <c r="O1167" s="7"/>
      <c r="P1167" s="2"/>
      <c r="Q1167" s="2"/>
      <c r="R1167" s="2"/>
      <c r="S1167" s="2"/>
      <c r="T1167" s="2"/>
      <c r="U1167" s="2"/>
      <c r="V1167" s="2"/>
      <c r="W1167" s="2"/>
      <c r="X1167" s="2"/>
      <c r="Y1167" s="2"/>
    </row>
    <row r="1168" spans="1:25" ht="12.75" customHeight="1">
      <c r="A1168" s="1"/>
      <c r="B1168" s="2"/>
      <c r="C1168" s="8"/>
      <c r="D1168" s="2"/>
      <c r="E1168" s="3"/>
      <c r="F1168" s="4"/>
      <c r="G1168" s="2"/>
      <c r="H1168" s="2"/>
      <c r="I1168" s="2"/>
      <c r="J1168" s="5"/>
      <c r="K1168" s="1"/>
      <c r="L1168" s="1"/>
      <c r="M1168" s="6"/>
      <c r="N1168" s="7"/>
      <c r="O1168" s="7"/>
      <c r="P1168" s="2"/>
      <c r="Q1168" s="2"/>
      <c r="R1168" s="2"/>
      <c r="S1168" s="2"/>
      <c r="T1168" s="2"/>
      <c r="U1168" s="2"/>
      <c r="V1168" s="2"/>
      <c r="W1168" s="2"/>
      <c r="X1168" s="2"/>
      <c r="Y1168" s="2"/>
    </row>
    <row r="1169" spans="1:25" ht="12.75" customHeight="1">
      <c r="A1169" s="1"/>
      <c r="B1169" s="2"/>
      <c r="C1169" s="8"/>
      <c r="D1169" s="2"/>
      <c r="E1169" s="3"/>
      <c r="F1169" s="4"/>
      <c r="G1169" s="2"/>
      <c r="H1169" s="2"/>
      <c r="I1169" s="2"/>
      <c r="J1169" s="5"/>
      <c r="K1169" s="1"/>
      <c r="L1169" s="1"/>
      <c r="M1169" s="6"/>
      <c r="N1169" s="7"/>
      <c r="O1169" s="7"/>
      <c r="P1169" s="2"/>
      <c r="Q1169" s="2"/>
      <c r="R1169" s="2"/>
      <c r="S1169" s="2"/>
      <c r="T1169" s="2"/>
      <c r="U1169" s="2"/>
      <c r="V1169" s="2"/>
      <c r="W1169" s="2"/>
      <c r="X1169" s="2"/>
      <c r="Y1169" s="2"/>
    </row>
    <row r="1170" spans="1:25" ht="12.75" customHeight="1">
      <c r="A1170" s="1"/>
      <c r="B1170" s="2"/>
      <c r="C1170" s="8"/>
      <c r="D1170" s="2"/>
      <c r="E1170" s="3"/>
      <c r="F1170" s="4"/>
      <c r="G1170" s="2"/>
      <c r="H1170" s="2"/>
      <c r="I1170" s="2"/>
      <c r="J1170" s="5"/>
      <c r="K1170" s="1"/>
      <c r="L1170" s="1"/>
      <c r="M1170" s="6"/>
      <c r="N1170" s="7"/>
      <c r="O1170" s="7"/>
      <c r="P1170" s="2"/>
      <c r="Q1170" s="2"/>
      <c r="R1170" s="2"/>
      <c r="S1170" s="2"/>
      <c r="T1170" s="2"/>
      <c r="U1170" s="2"/>
      <c r="V1170" s="2"/>
      <c r="W1170" s="2"/>
      <c r="X1170" s="2"/>
      <c r="Y1170" s="2"/>
    </row>
    <row r="1171" spans="1:25" ht="12.75" customHeight="1">
      <c r="A1171" s="1"/>
      <c r="B1171" s="2"/>
      <c r="C1171" s="8"/>
      <c r="D1171" s="2"/>
      <c r="E1171" s="3"/>
      <c r="F1171" s="4"/>
      <c r="G1171" s="2"/>
      <c r="H1171" s="2"/>
      <c r="I1171" s="2"/>
      <c r="J1171" s="5"/>
      <c r="K1171" s="1"/>
      <c r="L1171" s="1"/>
      <c r="M1171" s="6"/>
      <c r="N1171" s="7"/>
      <c r="O1171" s="7"/>
      <c r="P1171" s="2"/>
      <c r="Q1171" s="2"/>
      <c r="R1171" s="2"/>
      <c r="S1171" s="2"/>
      <c r="T1171" s="2"/>
      <c r="U1171" s="2"/>
      <c r="V1171" s="2"/>
      <c r="W1171" s="2"/>
      <c r="X1171" s="2"/>
      <c r="Y1171" s="2"/>
    </row>
    <row r="1172" spans="1:25" ht="12.75" customHeight="1">
      <c r="A1172" s="1"/>
      <c r="B1172" s="2"/>
      <c r="C1172" s="8"/>
      <c r="D1172" s="2"/>
      <c r="E1172" s="3"/>
      <c r="F1172" s="4"/>
      <c r="G1172" s="2"/>
      <c r="H1172" s="2"/>
      <c r="I1172" s="2"/>
      <c r="J1172" s="5"/>
      <c r="K1172" s="1"/>
      <c r="L1172" s="1"/>
      <c r="M1172" s="6"/>
      <c r="N1172" s="7"/>
      <c r="O1172" s="7"/>
      <c r="P1172" s="2"/>
      <c r="Q1172" s="2"/>
      <c r="R1172" s="2"/>
      <c r="S1172" s="2"/>
      <c r="T1172" s="2"/>
      <c r="U1172" s="2"/>
      <c r="V1172" s="2"/>
      <c r="W1172" s="2"/>
      <c r="X1172" s="2"/>
      <c r="Y1172" s="2"/>
    </row>
    <row r="1173" spans="1:25" ht="12.75" customHeight="1">
      <c r="A1173" s="1"/>
      <c r="B1173" s="2"/>
      <c r="C1173" s="8"/>
      <c r="D1173" s="2"/>
      <c r="E1173" s="3"/>
      <c r="F1173" s="4"/>
      <c r="G1173" s="2"/>
      <c r="H1173" s="2"/>
      <c r="I1173" s="2"/>
      <c r="J1173" s="5"/>
      <c r="K1173" s="1"/>
      <c r="L1173" s="1"/>
      <c r="M1173" s="6"/>
      <c r="N1173" s="7"/>
      <c r="O1173" s="7"/>
      <c r="P1173" s="2"/>
      <c r="Q1173" s="2"/>
      <c r="R1173" s="2"/>
      <c r="S1173" s="2"/>
      <c r="T1173" s="2"/>
      <c r="U1173" s="2"/>
      <c r="V1173" s="2"/>
      <c r="W1173" s="2"/>
      <c r="X1173" s="2"/>
      <c r="Y1173" s="2"/>
    </row>
    <row r="1174" spans="1:25" ht="12.75" customHeight="1">
      <c r="A1174" s="1"/>
      <c r="B1174" s="2"/>
      <c r="C1174" s="8"/>
      <c r="D1174" s="2"/>
      <c r="E1174" s="3"/>
      <c r="F1174" s="122" t="s">
        <v>3278</v>
      </c>
      <c r="G1174" s="2"/>
      <c r="H1174" s="2"/>
      <c r="I1174" s="2"/>
      <c r="J1174" s="5"/>
      <c r="K1174" s="1"/>
      <c r="L1174" s="1"/>
      <c r="M1174" s="6"/>
      <c r="N1174" s="7"/>
      <c r="O1174" s="7"/>
      <c r="P1174" s="2"/>
      <c r="Q1174" s="2"/>
      <c r="R1174" s="2"/>
      <c r="S1174" s="2"/>
      <c r="T1174" s="2"/>
      <c r="U1174" s="2"/>
      <c r="V1174" s="2"/>
      <c r="W1174" s="2"/>
      <c r="X1174" s="2"/>
      <c r="Y1174" s="2"/>
    </row>
    <row r="1175" spans="1:25" ht="15" customHeight="1">
      <c r="E1175" s="123"/>
      <c r="N1175" s="7"/>
      <c r="O1175" s="7"/>
    </row>
    <row r="1176" spans="1:25" ht="15" customHeight="1">
      <c r="E1176" s="123"/>
      <c r="N1176" s="7"/>
      <c r="O1176" s="7"/>
    </row>
    <row r="1177" spans="1:25" ht="15" customHeight="1">
      <c r="E1177" s="123"/>
      <c r="N1177" s="7"/>
      <c r="O1177" s="7"/>
    </row>
    <row r="1178" spans="1:25" ht="15" customHeight="1">
      <c r="E1178" s="123"/>
      <c r="N1178" s="7"/>
      <c r="O1178" s="7"/>
    </row>
    <row r="1179" spans="1:25" ht="15" customHeight="1">
      <c r="E1179" s="123"/>
      <c r="N1179" s="7"/>
      <c r="O1179" s="7"/>
    </row>
    <row r="1180" spans="1:25" ht="15" customHeight="1">
      <c r="E1180" s="123"/>
      <c r="N1180" s="7"/>
      <c r="O1180" s="7"/>
    </row>
    <row r="1181" spans="1:25" ht="15" customHeight="1">
      <c r="E1181" s="123"/>
      <c r="N1181" s="7"/>
      <c r="O1181" s="7"/>
    </row>
    <row r="1182" spans="1:25" ht="15" customHeight="1">
      <c r="E1182" s="123"/>
      <c r="N1182" s="7"/>
      <c r="O1182" s="7"/>
    </row>
    <row r="1183" spans="1:25" ht="15" customHeight="1">
      <c r="E1183" s="123"/>
      <c r="N1183" s="7"/>
      <c r="O1183" s="7"/>
    </row>
    <row r="1184" spans="1:25" ht="15" customHeight="1">
      <c r="E1184" s="123"/>
      <c r="N1184" s="7"/>
      <c r="O1184" s="7"/>
    </row>
    <row r="1185" spans="5:15" ht="15" customHeight="1">
      <c r="E1185" s="123"/>
      <c r="N1185" s="7"/>
      <c r="O1185" s="7"/>
    </row>
    <row r="1186" spans="5:15" ht="15" customHeight="1">
      <c r="E1186" s="123"/>
      <c r="N1186" s="7"/>
      <c r="O1186" s="7"/>
    </row>
    <row r="1187" spans="5:15" ht="15" customHeight="1">
      <c r="E1187" s="123"/>
      <c r="N1187" s="7"/>
      <c r="O1187" s="7"/>
    </row>
    <row r="1188" spans="5:15" ht="15" customHeight="1">
      <c r="E1188" s="123"/>
      <c r="N1188" s="7"/>
      <c r="O1188" s="7"/>
    </row>
    <row r="1189" spans="5:15" ht="15" customHeight="1">
      <c r="E1189" s="123"/>
      <c r="N1189" s="7"/>
      <c r="O1189" s="7"/>
    </row>
    <row r="1190" spans="5:15" ht="15" customHeight="1">
      <c r="E1190" s="123"/>
      <c r="N1190" s="7"/>
      <c r="O1190" s="7"/>
    </row>
    <row r="1191" spans="5:15" ht="15" customHeight="1">
      <c r="E1191" s="123"/>
      <c r="N1191" s="7"/>
      <c r="O1191" s="7"/>
    </row>
    <row r="1192" spans="5:15" ht="15" customHeight="1">
      <c r="E1192" s="123"/>
      <c r="N1192" s="7"/>
      <c r="O1192" s="7"/>
    </row>
    <row r="1193" spans="5:15" ht="15" customHeight="1">
      <c r="E1193" s="123"/>
      <c r="N1193" s="7"/>
      <c r="O1193" s="7"/>
    </row>
    <row r="1194" spans="5:15" ht="15" customHeight="1">
      <c r="E1194" s="123"/>
      <c r="N1194" s="7"/>
      <c r="O1194" s="7"/>
    </row>
    <row r="1195" spans="5:15" ht="15" customHeight="1">
      <c r="E1195" s="123"/>
      <c r="N1195" s="7"/>
      <c r="O1195" s="7"/>
    </row>
    <row r="1196" spans="5:15" ht="15" customHeight="1">
      <c r="E1196" s="123"/>
      <c r="N1196" s="7"/>
      <c r="O1196" s="7"/>
    </row>
    <row r="1197" spans="5:15" ht="15" customHeight="1">
      <c r="E1197" s="123"/>
      <c r="N1197" s="7"/>
      <c r="O1197" s="7"/>
    </row>
    <row r="1198" spans="5:15" ht="15" customHeight="1">
      <c r="E1198" s="123"/>
      <c r="N1198" s="7"/>
      <c r="O1198" s="7"/>
    </row>
    <row r="1199" spans="5:15" ht="15" customHeight="1">
      <c r="E1199" s="123"/>
      <c r="N1199" s="7"/>
      <c r="O1199" s="7"/>
    </row>
    <row r="1200" spans="5:15" ht="15" customHeight="1">
      <c r="E1200" s="123"/>
      <c r="N1200" s="7"/>
      <c r="O1200" s="7"/>
    </row>
    <row r="1201" spans="5:15" ht="15" customHeight="1">
      <c r="E1201" s="123"/>
      <c r="N1201" s="7"/>
      <c r="O1201" s="7"/>
    </row>
    <row r="1202" spans="5:15" ht="15" customHeight="1">
      <c r="E1202" s="123"/>
      <c r="N1202" s="7"/>
      <c r="O1202" s="7"/>
    </row>
    <row r="1203" spans="5:15" ht="15" customHeight="1">
      <c r="E1203" s="123"/>
      <c r="N1203" s="7"/>
      <c r="O1203" s="7"/>
    </row>
    <row r="1204" spans="5:15" ht="15" customHeight="1">
      <c r="E1204" s="123"/>
      <c r="N1204" s="7"/>
      <c r="O1204" s="7"/>
    </row>
    <row r="1205" spans="5:15" ht="15" customHeight="1">
      <c r="E1205" s="123"/>
      <c r="N1205" s="7"/>
      <c r="O1205" s="7"/>
    </row>
    <row r="1206" spans="5:15" ht="15" customHeight="1">
      <c r="E1206" s="123"/>
      <c r="N1206" s="7"/>
      <c r="O1206" s="7"/>
    </row>
    <row r="1207" spans="5:15" ht="15" customHeight="1">
      <c r="E1207" s="123"/>
      <c r="N1207" s="7"/>
      <c r="O1207" s="7"/>
    </row>
    <row r="1208" spans="5:15" ht="15" customHeight="1">
      <c r="E1208" s="123"/>
      <c r="N1208" s="7"/>
      <c r="O1208" s="7"/>
    </row>
    <row r="1209" spans="5:15" ht="15" customHeight="1">
      <c r="E1209" s="123"/>
      <c r="N1209" s="7"/>
      <c r="O1209" s="7"/>
    </row>
    <row r="1210" spans="5:15" ht="15" customHeight="1">
      <c r="E1210" s="123"/>
      <c r="N1210" s="7"/>
      <c r="O1210" s="7"/>
    </row>
    <row r="1211" spans="5:15" ht="15" customHeight="1">
      <c r="E1211" s="123"/>
      <c r="N1211" s="7"/>
      <c r="O1211" s="7"/>
    </row>
    <row r="1212" spans="5:15" ht="15" customHeight="1">
      <c r="E1212" s="123"/>
      <c r="N1212" s="7"/>
      <c r="O1212" s="7"/>
    </row>
    <row r="1213" spans="5:15" ht="15" customHeight="1">
      <c r="E1213" s="123"/>
      <c r="N1213" s="7"/>
      <c r="O1213" s="7"/>
    </row>
    <row r="1214" spans="5:15" ht="15" customHeight="1">
      <c r="E1214" s="123"/>
      <c r="N1214" s="7"/>
      <c r="O1214" s="7"/>
    </row>
    <row r="1215" spans="5:15" ht="15" customHeight="1">
      <c r="E1215" s="123"/>
      <c r="N1215" s="7"/>
      <c r="O1215" s="7"/>
    </row>
    <row r="1216" spans="5:15" ht="15" customHeight="1">
      <c r="E1216" s="123"/>
      <c r="N1216" s="7"/>
      <c r="O1216" s="7"/>
    </row>
    <row r="1217" spans="5:15" ht="15" customHeight="1">
      <c r="E1217" s="123"/>
      <c r="N1217" s="7"/>
      <c r="O1217" s="7"/>
    </row>
    <row r="1218" spans="5:15" ht="15" customHeight="1">
      <c r="E1218" s="123"/>
      <c r="N1218" s="7"/>
      <c r="O1218" s="7"/>
    </row>
    <row r="1219" spans="5:15" ht="15" customHeight="1">
      <c r="E1219" s="123"/>
      <c r="N1219" s="7"/>
      <c r="O1219" s="7"/>
    </row>
    <row r="1220" spans="5:15" ht="15" customHeight="1">
      <c r="E1220" s="123"/>
      <c r="N1220" s="7"/>
      <c r="O1220" s="7"/>
    </row>
    <row r="1221" spans="5:15" ht="15" customHeight="1">
      <c r="E1221" s="123"/>
      <c r="N1221" s="7"/>
      <c r="O1221" s="7"/>
    </row>
    <row r="1222" spans="5:15" ht="15" customHeight="1">
      <c r="E1222" s="123"/>
      <c r="N1222" s="7"/>
      <c r="O1222" s="7"/>
    </row>
    <row r="1223" spans="5:15" ht="15" customHeight="1">
      <c r="E1223" s="123"/>
      <c r="N1223" s="7"/>
      <c r="O1223" s="7"/>
    </row>
    <row r="1224" spans="5:15" ht="15" customHeight="1">
      <c r="E1224" s="123"/>
      <c r="N1224" s="7"/>
      <c r="O1224" s="7"/>
    </row>
    <row r="1225" spans="5:15" ht="15" customHeight="1">
      <c r="E1225" s="123"/>
      <c r="N1225" s="7"/>
      <c r="O1225" s="7"/>
    </row>
    <row r="1226" spans="5:15" ht="15" customHeight="1">
      <c r="E1226" s="123"/>
      <c r="N1226" s="7"/>
      <c r="O1226" s="7"/>
    </row>
    <row r="1227" spans="5:15" ht="15" customHeight="1">
      <c r="E1227" s="123"/>
      <c r="N1227" s="7"/>
      <c r="O1227" s="7"/>
    </row>
    <row r="1228" spans="5:15" ht="15" customHeight="1">
      <c r="E1228" s="123"/>
      <c r="N1228" s="7"/>
      <c r="O1228" s="7"/>
    </row>
    <row r="1229" spans="5:15" ht="15" customHeight="1">
      <c r="E1229" s="123"/>
      <c r="N1229" s="7"/>
      <c r="O1229" s="7"/>
    </row>
    <row r="1230" spans="5:15" ht="15" customHeight="1">
      <c r="E1230" s="123"/>
      <c r="N1230" s="7"/>
      <c r="O1230" s="7"/>
    </row>
    <row r="1231" spans="5:15" ht="15" customHeight="1">
      <c r="E1231" s="123"/>
      <c r="N1231" s="7"/>
      <c r="O1231" s="7"/>
    </row>
    <row r="1232" spans="5:15" ht="15" customHeight="1">
      <c r="E1232" s="123"/>
      <c r="N1232" s="7"/>
      <c r="O1232" s="7"/>
    </row>
    <row r="1233" spans="5:15" ht="15" customHeight="1">
      <c r="E1233" s="123"/>
      <c r="N1233" s="7"/>
      <c r="O1233" s="7"/>
    </row>
    <row r="1234" spans="5:15" ht="15" customHeight="1">
      <c r="E1234" s="123"/>
      <c r="N1234" s="7"/>
      <c r="O1234" s="7"/>
    </row>
    <row r="1235" spans="5:15" ht="15" customHeight="1">
      <c r="E1235" s="123"/>
      <c r="N1235" s="7"/>
      <c r="O1235" s="7"/>
    </row>
    <row r="1236" spans="5:15" ht="15" customHeight="1">
      <c r="E1236" s="123"/>
      <c r="N1236" s="7"/>
      <c r="O1236" s="7"/>
    </row>
    <row r="1237" spans="5:15" ht="15" customHeight="1">
      <c r="E1237" s="123"/>
      <c r="N1237" s="7"/>
      <c r="O1237" s="7"/>
    </row>
    <row r="1238" spans="5:15" ht="15" customHeight="1">
      <c r="E1238" s="123"/>
      <c r="N1238" s="7"/>
      <c r="O1238" s="7"/>
    </row>
    <row r="1239" spans="5:15" ht="15" customHeight="1">
      <c r="E1239" s="123"/>
      <c r="N1239" s="7"/>
      <c r="O1239" s="7"/>
    </row>
    <row r="1240" spans="5:15" ht="15" customHeight="1">
      <c r="E1240" s="123"/>
      <c r="N1240" s="7"/>
      <c r="O1240" s="7"/>
    </row>
    <row r="1241" spans="5:15" ht="15" customHeight="1">
      <c r="E1241" s="123"/>
      <c r="N1241" s="7"/>
      <c r="O1241" s="7"/>
    </row>
    <row r="1242" spans="5:15" ht="15" customHeight="1">
      <c r="E1242" s="123"/>
      <c r="N1242" s="7"/>
      <c r="O1242" s="7"/>
    </row>
    <row r="1243" spans="5:15" ht="15" customHeight="1">
      <c r="E1243" s="123"/>
      <c r="N1243" s="7"/>
      <c r="O1243" s="7"/>
    </row>
    <row r="1244" spans="5:15" ht="15" customHeight="1">
      <c r="E1244" s="123"/>
      <c r="N1244" s="7"/>
      <c r="O1244" s="7"/>
    </row>
    <row r="1245" spans="5:15" ht="15" customHeight="1">
      <c r="E1245" s="123"/>
      <c r="N1245" s="7"/>
      <c r="O1245" s="7"/>
    </row>
    <row r="1246" spans="5:15" ht="15" customHeight="1">
      <c r="E1246" s="123"/>
      <c r="N1246" s="7"/>
      <c r="O1246" s="7"/>
    </row>
    <row r="1247" spans="5:15" ht="15" customHeight="1">
      <c r="E1247" s="123"/>
      <c r="N1247" s="7"/>
      <c r="O1247" s="7"/>
    </row>
    <row r="1248" spans="5:15" ht="15" customHeight="1">
      <c r="E1248" s="123"/>
      <c r="N1248" s="7"/>
      <c r="O1248" s="7"/>
    </row>
    <row r="1249" spans="5:15" ht="15" customHeight="1">
      <c r="E1249" s="123"/>
      <c r="N1249" s="7"/>
      <c r="O1249" s="7"/>
    </row>
    <row r="1250" spans="5:15" ht="15" customHeight="1">
      <c r="E1250" s="123"/>
      <c r="N1250" s="7"/>
      <c r="O1250" s="7"/>
    </row>
    <row r="1251" spans="5:15" ht="15" customHeight="1">
      <c r="E1251" s="123"/>
      <c r="N1251" s="7"/>
      <c r="O1251" s="7"/>
    </row>
    <row r="1252" spans="5:15" ht="15" customHeight="1">
      <c r="E1252" s="123"/>
      <c r="N1252" s="7"/>
      <c r="O1252" s="7"/>
    </row>
    <row r="1253" spans="5:15" ht="15" customHeight="1">
      <c r="E1253" s="123"/>
      <c r="N1253" s="7"/>
      <c r="O1253" s="7"/>
    </row>
    <row r="1254" spans="5:15" ht="15" customHeight="1">
      <c r="E1254" s="123"/>
      <c r="N1254" s="7"/>
      <c r="O1254" s="7"/>
    </row>
    <row r="1255" spans="5:15" ht="15" customHeight="1">
      <c r="E1255" s="123"/>
      <c r="N1255" s="7"/>
      <c r="O1255" s="7"/>
    </row>
    <row r="1256" spans="5:15" ht="15" customHeight="1">
      <c r="E1256" s="123"/>
      <c r="N1256" s="7"/>
      <c r="O1256" s="7"/>
    </row>
    <row r="1257" spans="5:15" ht="15" customHeight="1">
      <c r="E1257" s="123"/>
      <c r="N1257" s="7"/>
      <c r="O1257" s="7"/>
    </row>
    <row r="1258" spans="5:15" ht="15" customHeight="1">
      <c r="E1258" s="123"/>
      <c r="N1258" s="7"/>
      <c r="O1258" s="7"/>
    </row>
    <row r="1259" spans="5:15" ht="15" customHeight="1">
      <c r="E1259" s="123"/>
      <c r="N1259" s="7"/>
      <c r="O1259" s="7"/>
    </row>
    <row r="1260" spans="5:15" ht="15" customHeight="1">
      <c r="E1260" s="123"/>
      <c r="N1260" s="7"/>
      <c r="O1260" s="7"/>
    </row>
    <row r="1261" spans="5:15" ht="15" customHeight="1">
      <c r="E1261" s="123"/>
      <c r="N1261" s="7"/>
      <c r="O1261" s="7"/>
    </row>
    <row r="1262" spans="5:15" ht="15" customHeight="1">
      <c r="E1262" s="123"/>
      <c r="N1262" s="7"/>
      <c r="O1262" s="7"/>
    </row>
    <row r="1263" spans="5:15" ht="15" customHeight="1">
      <c r="E1263" s="123"/>
      <c r="N1263" s="7"/>
      <c r="O1263" s="7"/>
    </row>
    <row r="1264" spans="5:15" ht="15" customHeight="1">
      <c r="E1264" s="123"/>
      <c r="N1264" s="7"/>
      <c r="O1264" s="7"/>
    </row>
    <row r="1265" spans="5:15" ht="15" customHeight="1">
      <c r="E1265" s="123"/>
      <c r="N1265" s="7"/>
      <c r="O1265" s="7"/>
    </row>
    <row r="1266" spans="5:15" ht="15" customHeight="1">
      <c r="E1266" s="123"/>
      <c r="N1266" s="7"/>
      <c r="O1266" s="7"/>
    </row>
    <row r="1267" spans="5:15" ht="15" customHeight="1">
      <c r="E1267" s="123"/>
      <c r="N1267" s="7"/>
      <c r="O1267" s="7"/>
    </row>
    <row r="1268" spans="5:15" ht="15" customHeight="1">
      <c r="E1268" s="123"/>
      <c r="N1268" s="7"/>
      <c r="O1268" s="7"/>
    </row>
    <row r="1269" spans="5:15" ht="15" customHeight="1">
      <c r="E1269" s="123"/>
      <c r="N1269" s="7"/>
      <c r="O1269" s="7"/>
    </row>
    <row r="1270" spans="5:15" ht="15" customHeight="1">
      <c r="E1270" s="123"/>
      <c r="N1270" s="7"/>
      <c r="O1270" s="7"/>
    </row>
    <row r="1271" spans="5:15" ht="15" customHeight="1">
      <c r="E1271" s="123"/>
      <c r="N1271" s="7"/>
      <c r="O1271" s="7"/>
    </row>
    <row r="1272" spans="5:15" ht="15" customHeight="1">
      <c r="E1272" s="123"/>
      <c r="N1272" s="7"/>
      <c r="O1272" s="7"/>
    </row>
    <row r="1273" spans="5:15" ht="15" customHeight="1">
      <c r="E1273" s="123"/>
      <c r="N1273" s="7"/>
      <c r="O1273" s="7"/>
    </row>
    <row r="1274" spans="5:15" ht="15" customHeight="1">
      <c r="E1274" s="123"/>
      <c r="N1274" s="7"/>
      <c r="O1274" s="7"/>
    </row>
    <row r="1275" spans="5:15" ht="15" customHeight="1">
      <c r="E1275" s="123"/>
      <c r="N1275" s="7"/>
      <c r="O1275" s="7"/>
    </row>
    <row r="1276" spans="5:15" ht="15" customHeight="1">
      <c r="E1276" s="123"/>
      <c r="N1276" s="7"/>
      <c r="O1276" s="7"/>
    </row>
    <row r="1277" spans="5:15" ht="15" customHeight="1">
      <c r="E1277" s="123"/>
      <c r="N1277" s="7"/>
      <c r="O1277" s="7"/>
    </row>
    <row r="1278" spans="5:15" ht="15" customHeight="1">
      <c r="E1278" s="123"/>
      <c r="N1278" s="7"/>
      <c r="O1278" s="7"/>
    </row>
    <row r="1279" spans="5:15" ht="15" customHeight="1">
      <c r="E1279" s="123"/>
      <c r="N1279" s="7"/>
      <c r="O1279" s="7"/>
    </row>
    <row r="1280" spans="5:15" ht="15" customHeight="1">
      <c r="E1280" s="123"/>
      <c r="N1280" s="7"/>
      <c r="O1280" s="7"/>
    </row>
    <row r="1281" spans="5:15" ht="15" customHeight="1">
      <c r="E1281" s="123"/>
      <c r="N1281" s="7"/>
      <c r="O1281" s="7"/>
    </row>
    <row r="1282" spans="5:15" ht="15" customHeight="1">
      <c r="E1282" s="123"/>
      <c r="N1282" s="7"/>
      <c r="O1282" s="7"/>
    </row>
    <row r="1283" spans="5:15" ht="15" customHeight="1">
      <c r="E1283" s="123"/>
      <c r="N1283" s="7"/>
      <c r="O1283" s="7"/>
    </row>
    <row r="1284" spans="5:15" ht="15" customHeight="1">
      <c r="E1284" s="123"/>
      <c r="N1284" s="7"/>
      <c r="O1284" s="7"/>
    </row>
    <row r="1285" spans="5:15" ht="15" customHeight="1">
      <c r="E1285" s="123"/>
      <c r="N1285" s="7"/>
      <c r="O1285" s="7"/>
    </row>
    <row r="1286" spans="5:15" ht="15" customHeight="1">
      <c r="E1286" s="123"/>
      <c r="N1286" s="7"/>
      <c r="O1286" s="7"/>
    </row>
    <row r="1287" spans="5:15" ht="15" customHeight="1">
      <c r="E1287" s="123"/>
      <c r="N1287" s="7"/>
      <c r="O1287" s="7"/>
    </row>
    <row r="1288" spans="5:15" ht="15" customHeight="1">
      <c r="E1288" s="123"/>
      <c r="N1288" s="7"/>
      <c r="O1288" s="7"/>
    </row>
    <row r="1289" spans="5:15" ht="15" customHeight="1">
      <c r="E1289" s="123"/>
      <c r="N1289" s="7"/>
      <c r="O1289" s="7"/>
    </row>
    <row r="1290" spans="5:15" ht="15" customHeight="1">
      <c r="E1290" s="123"/>
      <c r="N1290" s="7"/>
      <c r="O1290" s="7"/>
    </row>
    <row r="1291" spans="5:15" ht="15" customHeight="1">
      <c r="E1291" s="123"/>
      <c r="N1291" s="7"/>
      <c r="O1291" s="7"/>
    </row>
    <row r="1292" spans="5:15" ht="15" customHeight="1">
      <c r="E1292" s="123"/>
      <c r="N1292" s="7"/>
      <c r="O1292" s="7"/>
    </row>
    <row r="1293" spans="5:15" ht="15" customHeight="1">
      <c r="E1293" s="123"/>
      <c r="N1293" s="7"/>
      <c r="O1293" s="7"/>
    </row>
    <row r="1294" spans="5:15" ht="15" customHeight="1">
      <c r="E1294" s="123"/>
      <c r="N1294" s="7"/>
      <c r="O1294" s="7"/>
    </row>
    <row r="1295" spans="5:15" ht="15" customHeight="1">
      <c r="E1295" s="123"/>
      <c r="N1295" s="7"/>
      <c r="O1295" s="7"/>
    </row>
    <row r="1296" spans="5:15" ht="15" customHeight="1">
      <c r="E1296" s="123"/>
      <c r="N1296" s="7"/>
      <c r="O1296" s="7"/>
    </row>
    <row r="1297" spans="5:15" ht="15" customHeight="1">
      <c r="E1297" s="123"/>
      <c r="N1297" s="7"/>
      <c r="O1297" s="7"/>
    </row>
    <row r="1298" spans="5:15" ht="15" customHeight="1">
      <c r="E1298" s="123"/>
      <c r="N1298" s="7"/>
      <c r="O1298" s="7"/>
    </row>
    <row r="1299" spans="5:15" ht="15" customHeight="1">
      <c r="E1299" s="123"/>
      <c r="N1299" s="7"/>
      <c r="O1299" s="7"/>
    </row>
    <row r="1300" spans="5:15" ht="15" customHeight="1">
      <c r="E1300" s="123"/>
      <c r="N1300" s="7"/>
      <c r="O1300" s="7"/>
    </row>
    <row r="1301" spans="5:15" ht="15" customHeight="1">
      <c r="E1301" s="123"/>
      <c r="N1301" s="7"/>
      <c r="O1301" s="7"/>
    </row>
    <row r="1302" spans="5:15" ht="15" customHeight="1">
      <c r="E1302" s="123"/>
      <c r="N1302" s="7"/>
      <c r="O1302" s="7"/>
    </row>
    <row r="1303" spans="5:15" ht="15" customHeight="1">
      <c r="E1303" s="123"/>
      <c r="N1303" s="7"/>
      <c r="O1303" s="7"/>
    </row>
    <row r="1304" spans="5:15" ht="15" customHeight="1">
      <c r="E1304" s="123"/>
      <c r="N1304" s="7"/>
      <c r="O1304" s="7"/>
    </row>
    <row r="1305" spans="5:15" ht="15" customHeight="1">
      <c r="E1305" s="123"/>
      <c r="N1305" s="7"/>
      <c r="O1305" s="7"/>
    </row>
    <row r="1306" spans="5:15" ht="15" customHeight="1">
      <c r="E1306" s="123"/>
      <c r="N1306" s="7"/>
      <c r="O1306" s="7"/>
    </row>
    <row r="1307" spans="5:15" ht="15" customHeight="1">
      <c r="E1307" s="123"/>
      <c r="N1307" s="7"/>
      <c r="O1307" s="7"/>
    </row>
    <row r="1308" spans="5:15" ht="15" customHeight="1">
      <c r="E1308" s="123"/>
      <c r="N1308" s="7"/>
      <c r="O1308" s="7"/>
    </row>
    <row r="1309" spans="5:15" ht="15" customHeight="1">
      <c r="E1309" s="123"/>
      <c r="N1309" s="7"/>
      <c r="O1309" s="7"/>
    </row>
    <row r="1310" spans="5:15" ht="15" customHeight="1">
      <c r="E1310" s="123"/>
      <c r="N1310" s="7"/>
      <c r="O1310" s="7"/>
    </row>
    <row r="1311" spans="5:15" ht="15" customHeight="1">
      <c r="E1311" s="123"/>
      <c r="N1311" s="7"/>
      <c r="O1311" s="7"/>
    </row>
    <row r="1312" spans="5:15" ht="15" customHeight="1">
      <c r="E1312" s="123"/>
      <c r="N1312" s="7"/>
      <c r="O1312" s="7"/>
    </row>
    <row r="1313" spans="5:15" ht="15" customHeight="1">
      <c r="E1313" s="123"/>
      <c r="N1313" s="7"/>
      <c r="O1313" s="7"/>
    </row>
    <row r="1314" spans="5:15" ht="15" customHeight="1">
      <c r="E1314" s="123"/>
      <c r="N1314" s="7"/>
      <c r="O1314" s="7"/>
    </row>
    <row r="1315" spans="5:15" ht="15" customHeight="1">
      <c r="E1315" s="123"/>
      <c r="N1315" s="7"/>
      <c r="O1315" s="7"/>
    </row>
    <row r="1316" spans="5:15" ht="15" customHeight="1">
      <c r="E1316" s="123"/>
      <c r="N1316" s="7"/>
      <c r="O1316" s="7"/>
    </row>
    <row r="1317" spans="5:15" ht="15" customHeight="1">
      <c r="E1317" s="123"/>
      <c r="N1317" s="7"/>
      <c r="O1317" s="7"/>
    </row>
    <row r="1318" spans="5:15" ht="15" customHeight="1">
      <c r="E1318" s="123"/>
      <c r="N1318" s="7"/>
      <c r="O1318" s="7"/>
    </row>
    <row r="1319" spans="5:15" ht="15" customHeight="1">
      <c r="E1319" s="123"/>
      <c r="N1319" s="7"/>
      <c r="O1319" s="7"/>
    </row>
    <row r="1320" spans="5:15" ht="15" customHeight="1">
      <c r="E1320" s="123"/>
      <c r="N1320" s="7"/>
      <c r="O1320" s="7"/>
    </row>
    <row r="1321" spans="5:15" ht="15" customHeight="1">
      <c r="E1321" s="123"/>
      <c r="N1321" s="7"/>
      <c r="O1321" s="7"/>
    </row>
    <row r="1322" spans="5:15" ht="15" customHeight="1">
      <c r="E1322" s="123"/>
      <c r="N1322" s="7"/>
      <c r="O1322" s="7"/>
    </row>
    <row r="1323" spans="5:15" ht="15" customHeight="1">
      <c r="E1323" s="123"/>
      <c r="N1323" s="7"/>
      <c r="O1323" s="7"/>
    </row>
    <row r="1324" spans="5:15" ht="15" customHeight="1">
      <c r="E1324" s="123"/>
      <c r="N1324" s="7"/>
      <c r="O1324" s="7"/>
    </row>
    <row r="1325" spans="5:15" ht="15" customHeight="1">
      <c r="E1325" s="123"/>
      <c r="N1325" s="7"/>
      <c r="O1325" s="7"/>
    </row>
    <row r="1326" spans="5:15" ht="15" customHeight="1">
      <c r="E1326" s="123"/>
      <c r="N1326" s="7"/>
      <c r="O1326" s="7"/>
    </row>
    <row r="1327" spans="5:15" ht="15" customHeight="1">
      <c r="E1327" s="123"/>
      <c r="N1327" s="7"/>
      <c r="O1327" s="7"/>
    </row>
    <row r="1328" spans="5:15" ht="15" customHeight="1">
      <c r="E1328" s="123"/>
      <c r="N1328" s="7"/>
      <c r="O1328" s="7"/>
    </row>
    <row r="1329" spans="5:15" ht="15" customHeight="1">
      <c r="E1329" s="123"/>
      <c r="N1329" s="7"/>
      <c r="O1329" s="7"/>
    </row>
    <row r="1330" spans="5:15" ht="15" customHeight="1">
      <c r="E1330" s="123"/>
      <c r="N1330" s="7"/>
      <c r="O1330" s="7"/>
    </row>
    <row r="1331" spans="5:15" ht="15" customHeight="1">
      <c r="E1331" s="123"/>
      <c r="N1331" s="7"/>
      <c r="O1331" s="7"/>
    </row>
    <row r="1332" spans="5:15" ht="15" customHeight="1">
      <c r="E1332" s="123"/>
      <c r="N1332" s="7"/>
      <c r="O1332" s="7"/>
    </row>
    <row r="1333" spans="5:15" ht="15" customHeight="1">
      <c r="E1333" s="123"/>
      <c r="N1333" s="7"/>
      <c r="O1333" s="7"/>
    </row>
    <row r="1334" spans="5:15" ht="15" customHeight="1">
      <c r="E1334" s="123"/>
      <c r="N1334" s="7"/>
      <c r="O1334" s="7"/>
    </row>
    <row r="1335" spans="5:15" ht="15" customHeight="1">
      <c r="E1335" s="123"/>
      <c r="N1335" s="7"/>
      <c r="O1335" s="7"/>
    </row>
    <row r="1336" spans="5:15" ht="15" customHeight="1">
      <c r="E1336" s="123"/>
      <c r="N1336" s="7"/>
      <c r="O1336" s="7"/>
    </row>
    <row r="1337" spans="5:15" ht="15" customHeight="1">
      <c r="E1337" s="123"/>
      <c r="N1337" s="7"/>
      <c r="O1337" s="7"/>
    </row>
    <row r="1338" spans="5:15" ht="15" customHeight="1">
      <c r="E1338" s="123"/>
      <c r="N1338" s="7"/>
      <c r="O1338" s="7"/>
    </row>
    <row r="1339" spans="5:15" ht="15" customHeight="1">
      <c r="E1339" s="123"/>
      <c r="N1339" s="7"/>
      <c r="O1339" s="7"/>
    </row>
    <row r="1340" spans="5:15" ht="15" customHeight="1">
      <c r="E1340" s="123"/>
      <c r="N1340" s="7"/>
      <c r="O1340" s="7"/>
    </row>
    <row r="1341" spans="5:15" ht="15" customHeight="1">
      <c r="E1341" s="123"/>
      <c r="N1341" s="7"/>
      <c r="O1341" s="7"/>
    </row>
    <row r="1342" spans="5:15" ht="15" customHeight="1">
      <c r="E1342" s="123"/>
      <c r="N1342" s="7"/>
      <c r="O1342" s="7"/>
    </row>
    <row r="1343" spans="5:15" ht="15" customHeight="1">
      <c r="E1343" s="123"/>
      <c r="N1343" s="7"/>
      <c r="O1343" s="7"/>
    </row>
    <row r="1344" spans="5:15" ht="15" customHeight="1">
      <c r="E1344" s="123"/>
      <c r="N1344" s="7"/>
      <c r="O1344" s="7"/>
    </row>
    <row r="1345" spans="5:15" ht="15" customHeight="1">
      <c r="E1345" s="123"/>
      <c r="N1345" s="7"/>
      <c r="O1345" s="7"/>
    </row>
    <row r="1346" spans="5:15" ht="15" customHeight="1">
      <c r="E1346" s="123"/>
      <c r="N1346" s="7"/>
      <c r="O1346" s="7"/>
    </row>
    <row r="1347" spans="5:15" ht="15" customHeight="1">
      <c r="E1347" s="123"/>
      <c r="N1347" s="7"/>
      <c r="O1347" s="7"/>
    </row>
    <row r="1348" spans="5:15" ht="15" customHeight="1">
      <c r="E1348" s="123"/>
      <c r="N1348" s="7"/>
      <c r="O1348" s="7"/>
    </row>
    <row r="1349" spans="5:15" ht="15" customHeight="1">
      <c r="E1349" s="123"/>
      <c r="N1349" s="7"/>
      <c r="O1349" s="7"/>
    </row>
    <row r="1350" spans="5:15" ht="15" customHeight="1">
      <c r="E1350" s="123"/>
      <c r="N1350" s="7"/>
      <c r="O1350" s="7"/>
    </row>
    <row r="1351" spans="5:15" ht="15" customHeight="1">
      <c r="E1351" s="123"/>
      <c r="N1351" s="7"/>
      <c r="O1351" s="7"/>
    </row>
    <row r="1352" spans="5:15" ht="15" customHeight="1">
      <c r="E1352" s="123"/>
      <c r="N1352" s="7"/>
      <c r="O1352" s="7"/>
    </row>
    <row r="1353" spans="5:15" ht="15" customHeight="1">
      <c r="E1353" s="123"/>
      <c r="N1353" s="7"/>
      <c r="O1353" s="7"/>
    </row>
    <row r="1354" spans="5:15" ht="15" customHeight="1">
      <c r="E1354" s="123"/>
      <c r="N1354" s="7"/>
      <c r="O1354" s="7"/>
    </row>
    <row r="1355" spans="5:15" ht="15" customHeight="1">
      <c r="E1355" s="123"/>
      <c r="N1355" s="7"/>
      <c r="O1355" s="7"/>
    </row>
    <row r="1356" spans="5:15" ht="15" customHeight="1">
      <c r="E1356" s="123"/>
      <c r="N1356" s="7"/>
      <c r="O1356" s="7"/>
    </row>
    <row r="1357" spans="5:15" ht="15" customHeight="1">
      <c r="E1357" s="123"/>
      <c r="N1357" s="7"/>
      <c r="O1357" s="7"/>
    </row>
    <row r="1358" spans="5:15" ht="15" customHeight="1">
      <c r="E1358" s="123"/>
      <c r="N1358" s="7"/>
      <c r="O1358" s="7"/>
    </row>
    <row r="1359" spans="5:15" ht="15" customHeight="1">
      <c r="E1359" s="123"/>
      <c r="N1359" s="7"/>
      <c r="O1359" s="7"/>
    </row>
    <row r="1360" spans="5:15" ht="15" customHeight="1">
      <c r="E1360" s="123"/>
      <c r="N1360" s="7"/>
      <c r="O1360" s="7"/>
    </row>
    <row r="1361" spans="5:15" ht="15" customHeight="1">
      <c r="E1361" s="123"/>
      <c r="N1361" s="7"/>
      <c r="O1361" s="7"/>
    </row>
    <row r="1362" spans="5:15" ht="15" customHeight="1">
      <c r="E1362" s="123"/>
      <c r="N1362" s="7"/>
      <c r="O1362" s="7"/>
    </row>
    <row r="1363" spans="5:15" ht="15" customHeight="1">
      <c r="E1363" s="123"/>
      <c r="N1363" s="7"/>
      <c r="O1363" s="7"/>
    </row>
    <row r="1364" spans="5:15" ht="15" customHeight="1">
      <c r="E1364" s="123"/>
      <c r="N1364" s="7"/>
      <c r="O1364" s="7"/>
    </row>
    <row r="1365" spans="5:15" ht="15" customHeight="1">
      <c r="E1365" s="123"/>
      <c r="N1365" s="7"/>
      <c r="O1365" s="7"/>
    </row>
    <row r="1366" spans="5:15" ht="15" customHeight="1">
      <c r="E1366" s="123"/>
      <c r="N1366" s="7"/>
      <c r="O1366" s="7"/>
    </row>
    <row r="1367" spans="5:15" ht="15" customHeight="1">
      <c r="E1367" s="123"/>
      <c r="N1367" s="7"/>
      <c r="O1367" s="7"/>
    </row>
    <row r="1368" spans="5:15" ht="15" customHeight="1">
      <c r="E1368" s="123"/>
      <c r="N1368" s="7"/>
      <c r="O1368" s="7"/>
    </row>
    <row r="1369" spans="5:15" ht="15" customHeight="1">
      <c r="E1369" s="123"/>
      <c r="N1369" s="7"/>
      <c r="O1369" s="7"/>
    </row>
    <row r="1370" spans="5:15" ht="15" customHeight="1">
      <c r="E1370" s="123"/>
      <c r="N1370" s="7"/>
      <c r="O1370" s="7"/>
    </row>
    <row r="1371" spans="5:15" ht="15" customHeight="1">
      <c r="E1371" s="123"/>
      <c r="N1371" s="7"/>
      <c r="O1371" s="7"/>
    </row>
    <row r="1372" spans="5:15" ht="15" customHeight="1">
      <c r="E1372" s="123"/>
      <c r="N1372" s="7"/>
      <c r="O1372" s="7"/>
    </row>
    <row r="1373" spans="5:15" ht="15" customHeight="1">
      <c r="E1373" s="123"/>
      <c r="N1373" s="7"/>
      <c r="O1373" s="7"/>
    </row>
    <row r="1374" spans="5:15" ht="15" customHeight="1">
      <c r="E1374" s="123"/>
      <c r="N1374" s="7"/>
      <c r="O1374" s="7"/>
    </row>
  </sheetData>
  <autoFilter ref="A6:P1161">
    <filterColumn colId="11">
      <filters>
        <filter val="Thanh"/>
        <filter val="QUAN"/>
      </filters>
    </filterColumn>
  </autoFilter>
  <pageMargins left="0.7" right="0.25" top="0.5" bottom="0.5" header="0" footer="0"/>
  <pageSetup orientation="landscape"/>
  <rowBreaks count="2" manualBreakCount="2">
    <brk id="1155" man="1"/>
    <brk id="1110" man="1"/>
  </rowBreaks>
  <colBreaks count="1" manualBreakCount="1">
    <brk id="14"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W1000"/>
  <sheetViews>
    <sheetView workbookViewId="0"/>
  </sheetViews>
  <sheetFormatPr defaultColWidth="12.6328125" defaultRowHeight="15" customHeight="1"/>
  <cols>
    <col min="11" max="11" width="37.26953125" customWidth="1"/>
  </cols>
  <sheetData>
    <row r="1" spans="1:23" ht="15" customHeight="1">
      <c r="A1" s="405" t="s">
        <v>3279</v>
      </c>
      <c r="B1" s="406"/>
      <c r="C1" s="406"/>
      <c r="D1" s="406"/>
      <c r="E1" s="406"/>
      <c r="F1" s="124"/>
      <c r="G1" s="125"/>
      <c r="H1" s="125"/>
      <c r="I1" s="125"/>
      <c r="J1" s="125"/>
      <c r="K1" s="126"/>
      <c r="L1" s="126"/>
      <c r="M1" s="127"/>
      <c r="N1" s="127"/>
      <c r="O1" s="125"/>
      <c r="P1" s="125"/>
      <c r="Q1" s="125"/>
      <c r="R1" s="125"/>
      <c r="S1" s="125"/>
      <c r="T1" s="125"/>
      <c r="U1" s="125"/>
      <c r="V1" s="125"/>
      <c r="W1" s="128"/>
    </row>
    <row r="2" spans="1:23" ht="15" customHeight="1">
      <c r="A2" s="126"/>
      <c r="B2" s="129" t="s">
        <v>3280</v>
      </c>
      <c r="C2" s="130"/>
      <c r="D2" s="124"/>
      <c r="E2" s="125"/>
      <c r="F2" s="125"/>
      <c r="G2" s="125"/>
      <c r="H2" s="125"/>
      <c r="I2" s="126"/>
      <c r="J2" s="126"/>
      <c r="K2" s="127"/>
      <c r="L2" s="127"/>
      <c r="M2" s="125"/>
      <c r="N2" s="125"/>
      <c r="O2" s="125"/>
      <c r="P2" s="125"/>
      <c r="Q2" s="125"/>
      <c r="R2" s="125"/>
      <c r="S2" s="125"/>
      <c r="T2" s="125"/>
      <c r="U2" s="128"/>
    </row>
    <row r="3" spans="1:23" ht="15" customHeight="1">
      <c r="A3" s="126"/>
      <c r="B3" s="125"/>
      <c r="C3" s="130"/>
      <c r="D3" s="124"/>
      <c r="E3" s="125"/>
      <c r="F3" s="125"/>
      <c r="G3" s="125"/>
      <c r="H3" s="125"/>
      <c r="I3" s="126"/>
      <c r="J3" s="126"/>
      <c r="K3" s="127"/>
      <c r="L3" s="127"/>
      <c r="M3" s="125"/>
      <c r="N3" s="125"/>
      <c r="O3" s="125"/>
      <c r="P3" s="125"/>
      <c r="Q3" s="125"/>
      <c r="R3" s="125"/>
      <c r="S3" s="125"/>
      <c r="T3" s="125"/>
      <c r="U3" s="128"/>
    </row>
    <row r="4" spans="1:23" ht="15" customHeight="1">
      <c r="A4" s="126"/>
      <c r="B4" s="125"/>
      <c r="C4" s="407" t="s">
        <v>3281</v>
      </c>
      <c r="D4" s="406"/>
      <c r="E4" s="406"/>
      <c r="F4" s="406"/>
      <c r="G4" s="406"/>
      <c r="H4" s="406"/>
      <c r="I4" s="406"/>
      <c r="J4" s="406"/>
      <c r="K4" s="127"/>
      <c r="L4" s="127"/>
      <c r="M4" s="125"/>
      <c r="N4" s="125"/>
      <c r="O4" s="125"/>
      <c r="P4" s="125"/>
      <c r="Q4" s="125"/>
      <c r="R4" s="125"/>
      <c r="S4" s="125"/>
      <c r="T4" s="125"/>
      <c r="U4" s="128"/>
    </row>
    <row r="5" spans="1:23" ht="15" customHeight="1">
      <c r="A5" s="126"/>
      <c r="B5" s="125"/>
      <c r="C5" s="130"/>
      <c r="D5" s="124"/>
      <c r="E5" s="125"/>
      <c r="F5" s="125"/>
      <c r="G5" s="125"/>
      <c r="H5" s="125"/>
      <c r="I5" s="126"/>
      <c r="J5" s="126"/>
      <c r="K5" s="127"/>
      <c r="L5" s="127"/>
      <c r="M5" s="125"/>
      <c r="N5" s="125"/>
      <c r="O5" s="125"/>
      <c r="P5" s="125"/>
      <c r="Q5" s="125"/>
      <c r="R5" s="125"/>
      <c r="S5" s="125"/>
      <c r="T5" s="125"/>
      <c r="U5" s="128"/>
    </row>
    <row r="6" spans="1:23">
      <c r="A6" s="131" t="s">
        <v>3</v>
      </c>
      <c r="B6" s="132" t="s">
        <v>5</v>
      </c>
      <c r="C6" s="133" t="s">
        <v>7</v>
      </c>
      <c r="D6" s="134" t="s">
        <v>8</v>
      </c>
      <c r="E6" s="132" t="s">
        <v>9</v>
      </c>
      <c r="F6" s="132" t="s">
        <v>10</v>
      </c>
      <c r="G6" s="132" t="s">
        <v>11</v>
      </c>
      <c r="H6" s="132" t="s">
        <v>12</v>
      </c>
      <c r="I6" s="131" t="s">
        <v>13</v>
      </c>
      <c r="J6" s="131" t="s">
        <v>14</v>
      </c>
      <c r="K6" s="135" t="s">
        <v>15</v>
      </c>
      <c r="L6" s="136"/>
      <c r="M6" s="137" t="s">
        <v>3282</v>
      </c>
      <c r="N6" s="137" t="s">
        <v>3283</v>
      </c>
      <c r="O6" s="125"/>
      <c r="P6" s="125"/>
      <c r="Q6" s="125"/>
      <c r="R6" s="125"/>
      <c r="S6" s="125"/>
      <c r="T6" s="125"/>
      <c r="U6" s="128"/>
    </row>
    <row r="7" spans="1:23" ht="15" customHeight="1">
      <c r="A7" s="138">
        <v>29</v>
      </c>
      <c r="B7" s="139">
        <v>41635</v>
      </c>
      <c r="C7" s="140" t="s">
        <v>227</v>
      </c>
      <c r="D7" s="141" t="s">
        <v>228</v>
      </c>
      <c r="E7" s="142" t="s">
        <v>35</v>
      </c>
      <c r="F7" s="142" t="s">
        <v>19</v>
      </c>
      <c r="G7" s="143">
        <v>1</v>
      </c>
      <c r="H7" s="144">
        <v>254478351</v>
      </c>
      <c r="I7" s="138" t="s">
        <v>20</v>
      </c>
      <c r="J7" s="138" t="s">
        <v>229</v>
      </c>
      <c r="K7" s="145" t="s">
        <v>3284</v>
      </c>
      <c r="L7" s="146"/>
      <c r="M7" s="147" t="b">
        <v>1</v>
      </c>
      <c r="N7" s="137" t="s">
        <v>3285</v>
      </c>
      <c r="O7" s="125"/>
      <c r="P7" s="125"/>
      <c r="Q7" s="125"/>
      <c r="R7" s="125"/>
      <c r="S7" s="125"/>
      <c r="T7" s="125"/>
      <c r="U7" s="128"/>
    </row>
    <row r="8" spans="1:23" ht="15" customHeight="1">
      <c r="A8" s="138">
        <v>36</v>
      </c>
      <c r="B8" s="139">
        <v>41542</v>
      </c>
      <c r="C8" s="140" t="s">
        <v>275</v>
      </c>
      <c r="D8" s="141" t="s">
        <v>276</v>
      </c>
      <c r="E8" s="142" t="s">
        <v>35</v>
      </c>
      <c r="F8" s="142" t="s">
        <v>19</v>
      </c>
      <c r="G8" s="143">
        <v>1</v>
      </c>
      <c r="H8" s="144">
        <v>59900000</v>
      </c>
      <c r="I8" s="138" t="s">
        <v>20</v>
      </c>
      <c r="J8" s="138" t="s">
        <v>229</v>
      </c>
      <c r="K8" s="145" t="s">
        <v>3286</v>
      </c>
      <c r="L8" s="146"/>
      <c r="M8" s="147" t="b">
        <v>1</v>
      </c>
      <c r="N8" s="137" t="s">
        <v>3285</v>
      </c>
      <c r="O8" s="125"/>
      <c r="P8" s="125"/>
      <c r="Q8" s="125"/>
      <c r="R8" s="125"/>
      <c r="S8" s="125"/>
      <c r="T8" s="125"/>
      <c r="U8" s="128"/>
    </row>
    <row r="9" spans="1:23" ht="15" customHeight="1">
      <c r="A9" s="138">
        <v>40</v>
      </c>
      <c r="B9" s="139">
        <v>41635</v>
      </c>
      <c r="C9" s="140" t="s">
        <v>309</v>
      </c>
      <c r="D9" s="141" t="s">
        <v>310</v>
      </c>
      <c r="E9" s="142" t="s">
        <v>307</v>
      </c>
      <c r="F9" s="142" t="s">
        <v>19</v>
      </c>
      <c r="G9" s="143">
        <v>1</v>
      </c>
      <c r="H9" s="144">
        <v>236609694</v>
      </c>
      <c r="I9" s="138" t="s">
        <v>20</v>
      </c>
      <c r="J9" s="138" t="s">
        <v>229</v>
      </c>
      <c r="K9" s="145" t="s">
        <v>3287</v>
      </c>
      <c r="L9" s="146"/>
      <c r="M9" s="147" t="b">
        <v>1</v>
      </c>
      <c r="N9" s="137" t="s">
        <v>3285</v>
      </c>
      <c r="O9" s="125"/>
      <c r="P9" s="125"/>
      <c r="Q9" s="125"/>
      <c r="R9" s="125"/>
      <c r="S9" s="125"/>
      <c r="T9" s="125"/>
      <c r="U9" s="128"/>
    </row>
    <row r="10" spans="1:23" ht="15" customHeight="1">
      <c r="A10" s="138">
        <v>42</v>
      </c>
      <c r="B10" s="139">
        <v>41193</v>
      </c>
      <c r="C10" s="140" t="s">
        <v>319</v>
      </c>
      <c r="D10" s="141" t="s">
        <v>320</v>
      </c>
      <c r="E10" s="142" t="s">
        <v>307</v>
      </c>
      <c r="F10" s="142" t="s">
        <v>19</v>
      </c>
      <c r="G10" s="143">
        <v>1</v>
      </c>
      <c r="H10" s="144">
        <v>932830700</v>
      </c>
      <c r="I10" s="138" t="s">
        <v>20</v>
      </c>
      <c r="J10" s="138" t="s">
        <v>229</v>
      </c>
      <c r="K10" s="145" t="s">
        <v>3288</v>
      </c>
      <c r="L10" s="146"/>
      <c r="M10" s="147" t="b">
        <v>1</v>
      </c>
      <c r="N10" s="137" t="s">
        <v>3285</v>
      </c>
      <c r="O10" s="125"/>
      <c r="P10" s="125"/>
      <c r="Q10" s="125"/>
      <c r="R10" s="125"/>
      <c r="S10" s="125"/>
      <c r="T10" s="125"/>
      <c r="U10" s="128"/>
    </row>
    <row r="11" spans="1:23" ht="15" customHeight="1">
      <c r="A11" s="138">
        <v>44</v>
      </c>
      <c r="B11" s="139">
        <v>41193</v>
      </c>
      <c r="C11" s="140" t="s">
        <v>331</v>
      </c>
      <c r="D11" s="141" t="s">
        <v>332</v>
      </c>
      <c r="E11" s="142" t="s">
        <v>307</v>
      </c>
      <c r="F11" s="142" t="s">
        <v>19</v>
      </c>
      <c r="G11" s="143">
        <v>1</v>
      </c>
      <c r="H11" s="144">
        <v>115933734</v>
      </c>
      <c r="I11" s="138" t="s">
        <v>20</v>
      </c>
      <c r="J11" s="138" t="s">
        <v>229</v>
      </c>
      <c r="K11" s="145" t="s">
        <v>3289</v>
      </c>
      <c r="L11" s="146"/>
      <c r="M11" s="147" t="b">
        <v>1</v>
      </c>
      <c r="N11" s="137" t="s">
        <v>3285</v>
      </c>
      <c r="O11" s="125"/>
      <c r="P11" s="125"/>
      <c r="Q11" s="125"/>
      <c r="R11" s="125"/>
      <c r="S11" s="125"/>
      <c r="T11" s="125"/>
      <c r="U11" s="128"/>
    </row>
    <row r="12" spans="1:23" ht="15" customHeight="1">
      <c r="A12" s="138">
        <v>60.2</v>
      </c>
      <c r="B12" s="148"/>
      <c r="C12" s="140" t="s">
        <v>418</v>
      </c>
      <c r="D12" s="141" t="s">
        <v>419</v>
      </c>
      <c r="E12" s="148"/>
      <c r="F12" s="148"/>
      <c r="G12" s="143">
        <v>1</v>
      </c>
      <c r="H12" s="143">
        <v>0</v>
      </c>
      <c r="I12" s="138" t="s">
        <v>20</v>
      </c>
      <c r="J12" s="138" t="s">
        <v>229</v>
      </c>
      <c r="K12" s="145" t="s">
        <v>3290</v>
      </c>
      <c r="L12" s="146"/>
      <c r="M12" s="147" t="b">
        <v>1</v>
      </c>
      <c r="N12" s="137" t="s">
        <v>3285</v>
      </c>
      <c r="O12" s="125"/>
      <c r="P12" s="125"/>
      <c r="Q12" s="125"/>
      <c r="R12" s="125"/>
      <c r="S12" s="125"/>
      <c r="T12" s="125"/>
      <c r="U12" s="128"/>
    </row>
    <row r="13" spans="1:23" ht="15" customHeight="1">
      <c r="A13" s="149">
        <v>71.400000000000006</v>
      </c>
      <c r="B13" s="150"/>
      <c r="C13" s="151" t="s">
        <v>539</v>
      </c>
      <c r="D13" s="152" t="s">
        <v>540</v>
      </c>
      <c r="E13" s="153" t="s">
        <v>248</v>
      </c>
      <c r="F13" s="153" t="s">
        <v>249</v>
      </c>
      <c r="G13" s="154">
        <v>1</v>
      </c>
      <c r="H13" s="154">
        <v>0</v>
      </c>
      <c r="I13" s="149" t="s">
        <v>20</v>
      </c>
      <c r="J13" s="138" t="s">
        <v>229</v>
      </c>
      <c r="K13" s="155" t="s">
        <v>3291</v>
      </c>
      <c r="L13" s="156"/>
      <c r="M13" s="157" t="b">
        <v>1</v>
      </c>
      <c r="N13" s="158" t="s">
        <v>3285</v>
      </c>
      <c r="O13" s="159"/>
      <c r="P13" s="159"/>
      <c r="Q13" s="159"/>
      <c r="R13" s="159"/>
      <c r="S13" s="159"/>
      <c r="T13" s="159"/>
      <c r="U13" s="160"/>
    </row>
    <row r="14" spans="1:23" ht="15" customHeight="1">
      <c r="A14" s="138">
        <v>143</v>
      </c>
      <c r="B14" s="139">
        <v>43256</v>
      </c>
      <c r="C14" s="140" t="s">
        <v>965</v>
      </c>
      <c r="D14" s="141" t="s">
        <v>966</v>
      </c>
      <c r="E14" s="142" t="s">
        <v>307</v>
      </c>
      <c r="F14" s="142" t="s">
        <v>19</v>
      </c>
      <c r="G14" s="143">
        <v>1</v>
      </c>
      <c r="H14" s="144">
        <v>389452666</v>
      </c>
      <c r="I14" s="138" t="s">
        <v>20</v>
      </c>
      <c r="J14" s="138" t="s">
        <v>229</v>
      </c>
      <c r="K14" s="145" t="s">
        <v>3292</v>
      </c>
      <c r="L14" s="127"/>
      <c r="M14" s="147" t="b">
        <v>1</v>
      </c>
      <c r="N14" s="137" t="s">
        <v>3285</v>
      </c>
      <c r="O14" s="125"/>
      <c r="P14" s="125"/>
      <c r="Q14" s="125"/>
      <c r="R14" s="125"/>
      <c r="S14" s="125"/>
      <c r="T14" s="125"/>
      <c r="U14" s="128"/>
    </row>
    <row r="15" spans="1:23" ht="15" customHeight="1">
      <c r="A15" s="138">
        <v>143.1</v>
      </c>
      <c r="B15" s="148"/>
      <c r="C15" s="140" t="s">
        <v>968</v>
      </c>
      <c r="D15" s="141" t="s">
        <v>969</v>
      </c>
      <c r="E15" s="142" t="s">
        <v>248</v>
      </c>
      <c r="F15" s="142" t="s">
        <v>249</v>
      </c>
      <c r="G15" s="143">
        <v>1</v>
      </c>
      <c r="H15" s="144">
        <v>14892045</v>
      </c>
      <c r="I15" s="138" t="s">
        <v>20</v>
      </c>
      <c r="J15" s="138" t="s">
        <v>229</v>
      </c>
      <c r="K15" s="145" t="s">
        <v>3293</v>
      </c>
      <c r="L15" s="127"/>
      <c r="M15" s="147" t="b">
        <v>1</v>
      </c>
      <c r="N15" s="137" t="s">
        <v>3285</v>
      </c>
      <c r="O15" s="125"/>
      <c r="P15" s="125"/>
      <c r="Q15" s="125"/>
      <c r="R15" s="125"/>
      <c r="S15" s="125"/>
      <c r="T15" s="125"/>
      <c r="U15" s="128"/>
    </row>
    <row r="16" spans="1:23" ht="15" customHeight="1">
      <c r="A16" s="138">
        <v>143.19999999999999</v>
      </c>
      <c r="B16" s="148"/>
      <c r="C16" s="140" t="s">
        <v>971</v>
      </c>
      <c r="D16" s="141" t="s">
        <v>972</v>
      </c>
      <c r="E16" s="142" t="s">
        <v>55</v>
      </c>
      <c r="F16" s="142" t="s">
        <v>249</v>
      </c>
      <c r="G16" s="143">
        <v>1</v>
      </c>
      <c r="H16" s="144">
        <v>102395650</v>
      </c>
      <c r="I16" s="138" t="s">
        <v>20</v>
      </c>
      <c r="J16" s="138" t="s">
        <v>229</v>
      </c>
      <c r="K16" s="145" t="s">
        <v>3294</v>
      </c>
      <c r="L16" s="127"/>
      <c r="M16" s="147" t="b">
        <v>1</v>
      </c>
      <c r="N16" s="137" t="s">
        <v>3285</v>
      </c>
      <c r="O16" s="125"/>
      <c r="P16" s="125"/>
      <c r="Q16" s="125"/>
      <c r="R16" s="125"/>
      <c r="S16" s="125"/>
      <c r="T16" s="125"/>
      <c r="U16" s="128"/>
    </row>
    <row r="17" spans="1:21" ht="15" customHeight="1">
      <c r="A17" s="138">
        <v>173</v>
      </c>
      <c r="B17" s="139">
        <v>43256</v>
      </c>
      <c r="C17" s="140" t="s">
        <v>1080</v>
      </c>
      <c r="D17" s="141" t="s">
        <v>1081</v>
      </c>
      <c r="E17" s="142" t="s">
        <v>248</v>
      </c>
      <c r="F17" s="142" t="s">
        <v>249</v>
      </c>
      <c r="G17" s="143">
        <v>1</v>
      </c>
      <c r="H17" s="144">
        <v>34611169</v>
      </c>
      <c r="I17" s="138" t="s">
        <v>20</v>
      </c>
      <c r="J17" s="138" t="s">
        <v>229</v>
      </c>
      <c r="K17" s="145" t="s">
        <v>3295</v>
      </c>
      <c r="L17" s="127"/>
      <c r="M17" s="147" t="b">
        <v>1</v>
      </c>
      <c r="N17" s="137" t="s">
        <v>3285</v>
      </c>
      <c r="O17" s="125"/>
      <c r="P17" s="125"/>
      <c r="Q17" s="125"/>
      <c r="R17" s="125"/>
      <c r="S17" s="125"/>
      <c r="T17" s="125"/>
      <c r="U17" s="128"/>
    </row>
    <row r="18" spans="1:21" ht="15" customHeight="1">
      <c r="A18" s="138">
        <v>194</v>
      </c>
      <c r="B18" s="139">
        <v>36160</v>
      </c>
      <c r="C18" s="140" t="s">
        <v>1200</v>
      </c>
      <c r="D18" s="141" t="s">
        <v>3296</v>
      </c>
      <c r="E18" s="148"/>
      <c r="F18" s="142" t="s">
        <v>249</v>
      </c>
      <c r="G18" s="143">
        <v>1</v>
      </c>
      <c r="H18" s="144">
        <v>44585475</v>
      </c>
      <c r="I18" s="138" t="s">
        <v>20</v>
      </c>
      <c r="J18" s="138" t="s">
        <v>229</v>
      </c>
      <c r="K18" s="145" t="s">
        <v>3297</v>
      </c>
      <c r="L18" s="127"/>
      <c r="M18" s="147" t="b">
        <v>1</v>
      </c>
      <c r="N18" s="137" t="s">
        <v>3285</v>
      </c>
      <c r="O18" s="125"/>
      <c r="P18" s="125"/>
      <c r="Q18" s="125"/>
      <c r="R18" s="125"/>
      <c r="S18" s="125"/>
      <c r="T18" s="125"/>
      <c r="U18" s="128"/>
    </row>
    <row r="19" spans="1:21" ht="15" customHeight="1">
      <c r="A19" s="138">
        <v>194.1</v>
      </c>
      <c r="B19" s="148"/>
      <c r="C19" s="140" t="s">
        <v>1203</v>
      </c>
      <c r="D19" s="141" t="s">
        <v>1204</v>
      </c>
      <c r="E19" s="148"/>
      <c r="F19" s="148"/>
      <c r="G19" s="143">
        <v>1</v>
      </c>
      <c r="H19" s="148"/>
      <c r="I19" s="138" t="s">
        <v>20</v>
      </c>
      <c r="J19" s="138" t="s">
        <v>229</v>
      </c>
      <c r="K19" s="145" t="s">
        <v>3298</v>
      </c>
      <c r="L19" s="127"/>
      <c r="M19" s="147" t="b">
        <v>1</v>
      </c>
      <c r="N19" s="137" t="s">
        <v>3285</v>
      </c>
      <c r="O19" s="125"/>
      <c r="P19" s="125"/>
      <c r="Q19" s="125"/>
      <c r="R19" s="125"/>
      <c r="S19" s="125"/>
      <c r="T19" s="125"/>
      <c r="U19" s="128"/>
    </row>
    <row r="20" spans="1:21">
      <c r="A20" s="138">
        <v>199</v>
      </c>
      <c r="B20" s="139">
        <v>40639</v>
      </c>
      <c r="C20" s="140" t="s">
        <v>1222</v>
      </c>
      <c r="D20" s="141" t="s">
        <v>1223</v>
      </c>
      <c r="E20" s="148"/>
      <c r="F20" s="142" t="s">
        <v>157</v>
      </c>
      <c r="G20" s="143">
        <v>1</v>
      </c>
      <c r="H20" s="144">
        <v>153553733</v>
      </c>
      <c r="I20" s="138" t="s">
        <v>20</v>
      </c>
      <c r="J20" s="138" t="s">
        <v>229</v>
      </c>
      <c r="K20" s="135" t="s">
        <v>1224</v>
      </c>
      <c r="L20" s="127"/>
      <c r="M20" s="147" t="b">
        <v>1</v>
      </c>
      <c r="N20" s="137" t="s">
        <v>3285</v>
      </c>
      <c r="O20" s="125"/>
      <c r="P20" s="125"/>
      <c r="Q20" s="125"/>
      <c r="R20" s="125"/>
      <c r="S20" s="125"/>
      <c r="T20" s="125"/>
      <c r="U20" s="128"/>
    </row>
    <row r="21" spans="1:21" ht="15" customHeight="1">
      <c r="A21" s="138">
        <v>199.1</v>
      </c>
      <c r="B21" s="148"/>
      <c r="C21" s="140" t="s">
        <v>1226</v>
      </c>
      <c r="D21" s="141" t="s">
        <v>1227</v>
      </c>
      <c r="E21" s="148"/>
      <c r="F21" s="148"/>
      <c r="G21" s="143">
        <v>1</v>
      </c>
      <c r="H21" s="144">
        <v>12862200</v>
      </c>
      <c r="I21" s="138" t="s">
        <v>20</v>
      </c>
      <c r="J21" s="138" t="s">
        <v>229</v>
      </c>
      <c r="K21" s="145" t="s">
        <v>3299</v>
      </c>
      <c r="L21" s="127"/>
      <c r="M21" s="147" t="b">
        <v>1</v>
      </c>
      <c r="N21" s="137" t="s">
        <v>3285</v>
      </c>
      <c r="O21" s="125"/>
      <c r="P21" s="125"/>
      <c r="Q21" s="125"/>
      <c r="R21" s="125"/>
      <c r="S21" s="125"/>
      <c r="T21" s="125"/>
      <c r="U21" s="128"/>
    </row>
    <row r="22" spans="1:21" ht="15" customHeight="1">
      <c r="A22" s="138">
        <v>199.2</v>
      </c>
      <c r="B22" s="148"/>
      <c r="C22" s="140" t="s">
        <v>1229</v>
      </c>
      <c r="D22" s="141" t="s">
        <v>1230</v>
      </c>
      <c r="E22" s="148"/>
      <c r="F22" s="148"/>
      <c r="G22" s="143">
        <v>1</v>
      </c>
      <c r="H22" s="144">
        <v>12862200</v>
      </c>
      <c r="I22" s="138" t="s">
        <v>20</v>
      </c>
      <c r="J22" s="138" t="s">
        <v>229</v>
      </c>
      <c r="K22" s="145" t="s">
        <v>1510</v>
      </c>
      <c r="L22" s="127"/>
      <c r="M22" s="147" t="b">
        <v>1</v>
      </c>
      <c r="N22" s="137" t="s">
        <v>3285</v>
      </c>
      <c r="O22" s="125"/>
      <c r="P22" s="125"/>
      <c r="Q22" s="125"/>
      <c r="R22" s="125"/>
      <c r="S22" s="125"/>
      <c r="T22" s="125"/>
      <c r="U22" s="128"/>
    </row>
    <row r="23" spans="1:21" ht="12.5">
      <c r="A23" s="138">
        <v>199.3</v>
      </c>
      <c r="B23" s="148"/>
      <c r="C23" s="140" t="s">
        <v>1232</v>
      </c>
      <c r="D23" s="141" t="s">
        <v>1233</v>
      </c>
      <c r="E23" s="148"/>
      <c r="F23" s="148"/>
      <c r="G23" s="143">
        <v>1</v>
      </c>
      <c r="H23" s="144">
        <v>12862200</v>
      </c>
      <c r="I23" s="138" t="s">
        <v>20</v>
      </c>
      <c r="J23" s="138" t="s">
        <v>229</v>
      </c>
      <c r="K23" s="145" t="s">
        <v>3300</v>
      </c>
      <c r="L23" s="127"/>
      <c r="M23" s="147" t="b">
        <v>1</v>
      </c>
      <c r="N23" s="137" t="s">
        <v>3285</v>
      </c>
      <c r="O23" s="125"/>
      <c r="P23" s="125"/>
      <c r="Q23" s="125"/>
      <c r="R23" s="125"/>
      <c r="S23" s="125"/>
      <c r="T23" s="125"/>
      <c r="U23" s="128"/>
    </row>
    <row r="24" spans="1:21" ht="12.5">
      <c r="A24" s="138">
        <v>199.4</v>
      </c>
      <c r="B24" s="148"/>
      <c r="C24" s="140" t="s">
        <v>1236</v>
      </c>
      <c r="D24" s="141" t="s">
        <v>1237</v>
      </c>
      <c r="E24" s="148"/>
      <c r="F24" s="148"/>
      <c r="G24" s="143">
        <v>1</v>
      </c>
      <c r="H24" s="144">
        <v>12862200</v>
      </c>
      <c r="I24" s="138" t="s">
        <v>20</v>
      </c>
      <c r="J24" s="138" t="s">
        <v>229</v>
      </c>
      <c r="K24" s="145" t="s">
        <v>3301</v>
      </c>
      <c r="L24" s="127"/>
      <c r="M24" s="147" t="b">
        <v>1</v>
      </c>
      <c r="N24" s="137" t="s">
        <v>3285</v>
      </c>
      <c r="O24" s="125"/>
      <c r="P24" s="125"/>
      <c r="Q24" s="125"/>
      <c r="R24" s="125"/>
      <c r="S24" s="125"/>
      <c r="T24" s="125"/>
      <c r="U24" s="128"/>
    </row>
    <row r="25" spans="1:21" ht="12.5">
      <c r="A25" s="138">
        <v>199.5</v>
      </c>
      <c r="B25" s="148"/>
      <c r="C25" s="140" t="s">
        <v>1239</v>
      </c>
      <c r="D25" s="141" t="s">
        <v>1240</v>
      </c>
      <c r="E25" s="148"/>
      <c r="F25" s="148"/>
      <c r="G25" s="143">
        <v>1</v>
      </c>
      <c r="H25" s="144">
        <v>12862200</v>
      </c>
      <c r="I25" s="138" t="s">
        <v>20</v>
      </c>
      <c r="J25" s="138" t="s">
        <v>229</v>
      </c>
      <c r="K25" s="145" t="s">
        <v>3302</v>
      </c>
      <c r="L25" s="127"/>
      <c r="M25" s="147" t="b">
        <v>1</v>
      </c>
      <c r="N25" s="137" t="s">
        <v>3285</v>
      </c>
      <c r="O25" s="125"/>
      <c r="P25" s="125"/>
      <c r="Q25" s="125"/>
      <c r="R25" s="125"/>
      <c r="S25" s="125"/>
      <c r="T25" s="125"/>
      <c r="U25" s="128"/>
    </row>
    <row r="26" spans="1:21" ht="12.5">
      <c r="A26" s="138">
        <v>199.6</v>
      </c>
      <c r="B26" s="148"/>
      <c r="C26" s="140" t="s">
        <v>1242</v>
      </c>
      <c r="D26" s="141" t="s">
        <v>1243</v>
      </c>
      <c r="E26" s="148"/>
      <c r="F26" s="148"/>
      <c r="G26" s="143">
        <v>1</v>
      </c>
      <c r="H26" s="144">
        <v>12862200</v>
      </c>
      <c r="I26" s="138" t="s">
        <v>20</v>
      </c>
      <c r="J26" s="138" t="s">
        <v>229</v>
      </c>
      <c r="K26" s="145" t="s">
        <v>1510</v>
      </c>
      <c r="L26" s="127"/>
      <c r="M26" s="147" t="b">
        <v>1</v>
      </c>
      <c r="N26" s="137" t="s">
        <v>3285</v>
      </c>
      <c r="O26" s="125"/>
      <c r="P26" s="125"/>
      <c r="Q26" s="125"/>
      <c r="R26" s="125"/>
      <c r="S26" s="125"/>
      <c r="T26" s="125"/>
      <c r="U26" s="128"/>
    </row>
    <row r="27" spans="1:21" ht="13">
      <c r="A27" s="138">
        <v>199.1</v>
      </c>
      <c r="B27" s="148"/>
      <c r="C27" s="140" t="s">
        <v>3303</v>
      </c>
      <c r="D27" s="141" t="s">
        <v>1258</v>
      </c>
      <c r="E27" s="148"/>
      <c r="F27" s="148"/>
      <c r="G27" s="143">
        <v>1</v>
      </c>
      <c r="H27" s="143">
        <v>0</v>
      </c>
      <c r="I27" s="138" t="s">
        <v>20</v>
      </c>
      <c r="J27" s="138" t="s">
        <v>229</v>
      </c>
      <c r="K27" s="161" t="s">
        <v>3304</v>
      </c>
      <c r="L27" s="127"/>
      <c r="M27" s="147" t="b">
        <v>1</v>
      </c>
      <c r="N27" s="137" t="s">
        <v>3285</v>
      </c>
      <c r="O27" s="125"/>
      <c r="P27" s="125"/>
      <c r="Q27" s="125"/>
      <c r="R27" s="125"/>
      <c r="S27" s="125"/>
      <c r="T27" s="125"/>
      <c r="U27" s="128"/>
    </row>
    <row r="28" spans="1:21" ht="12.5">
      <c r="A28" s="138">
        <v>201</v>
      </c>
      <c r="B28" s="139">
        <v>39994</v>
      </c>
      <c r="C28" s="140" t="s">
        <v>1261</v>
      </c>
      <c r="D28" s="141" t="s">
        <v>1262</v>
      </c>
      <c r="E28" s="142" t="s">
        <v>55</v>
      </c>
      <c r="F28" s="142" t="s">
        <v>249</v>
      </c>
      <c r="G28" s="143">
        <v>1</v>
      </c>
      <c r="H28" s="144">
        <v>60254203</v>
      </c>
      <c r="I28" s="138" t="s">
        <v>20</v>
      </c>
      <c r="J28" s="138" t="s">
        <v>229</v>
      </c>
      <c r="K28" s="145" t="s">
        <v>3305</v>
      </c>
      <c r="L28" s="127"/>
      <c r="M28" s="147" t="b">
        <v>1</v>
      </c>
      <c r="N28" s="137" t="s">
        <v>3285</v>
      </c>
      <c r="O28" s="125"/>
      <c r="P28" s="125"/>
      <c r="Q28" s="125"/>
      <c r="R28" s="125"/>
      <c r="S28" s="125"/>
      <c r="T28" s="125"/>
      <c r="U28" s="128"/>
    </row>
    <row r="29" spans="1:21" ht="12.5">
      <c r="A29" s="138">
        <v>229</v>
      </c>
      <c r="B29" s="139">
        <v>41274</v>
      </c>
      <c r="C29" s="140" t="s">
        <v>1333</v>
      </c>
      <c r="D29" s="141" t="s">
        <v>1334</v>
      </c>
      <c r="E29" s="142" t="s">
        <v>248</v>
      </c>
      <c r="F29" s="142" t="s">
        <v>19</v>
      </c>
      <c r="G29" s="143">
        <v>1</v>
      </c>
      <c r="H29" s="144">
        <v>65131148</v>
      </c>
      <c r="I29" s="138" t="s">
        <v>20</v>
      </c>
      <c r="J29" s="138" t="s">
        <v>229</v>
      </c>
      <c r="K29" s="145" t="s">
        <v>3306</v>
      </c>
      <c r="L29" s="127"/>
      <c r="M29" s="147" t="b">
        <v>1</v>
      </c>
      <c r="N29" s="137" t="s">
        <v>3285</v>
      </c>
      <c r="O29" s="125"/>
      <c r="P29" s="125"/>
      <c r="Q29" s="125"/>
      <c r="R29" s="125"/>
      <c r="S29" s="125"/>
      <c r="T29" s="125"/>
      <c r="U29" s="128"/>
    </row>
    <row r="30" spans="1:21" ht="12.5">
      <c r="A30" s="138">
        <v>229.1</v>
      </c>
      <c r="B30" s="148"/>
      <c r="C30" s="140" t="s">
        <v>1336</v>
      </c>
      <c r="D30" s="141" t="s">
        <v>1337</v>
      </c>
      <c r="E30" s="148"/>
      <c r="F30" s="148"/>
      <c r="G30" s="143">
        <v>1</v>
      </c>
      <c r="H30" s="144">
        <v>25000000</v>
      </c>
      <c r="I30" s="138" t="s">
        <v>20</v>
      </c>
      <c r="J30" s="138" t="s">
        <v>229</v>
      </c>
      <c r="K30" s="145" t="s">
        <v>523</v>
      </c>
      <c r="L30" s="127"/>
      <c r="M30" s="147" t="b">
        <v>1</v>
      </c>
      <c r="N30" s="137" t="s">
        <v>3285</v>
      </c>
      <c r="O30" s="125"/>
      <c r="P30" s="125"/>
      <c r="Q30" s="125"/>
      <c r="R30" s="125"/>
      <c r="S30" s="125"/>
      <c r="T30" s="125"/>
      <c r="U30" s="128"/>
    </row>
    <row r="31" spans="1:21" ht="12.5">
      <c r="A31" s="138">
        <v>232</v>
      </c>
      <c r="B31" s="139">
        <v>36160</v>
      </c>
      <c r="C31" s="140" t="s">
        <v>1345</v>
      </c>
      <c r="D31" s="141" t="s">
        <v>3307</v>
      </c>
      <c r="E31" s="148"/>
      <c r="F31" s="142" t="s">
        <v>19</v>
      </c>
      <c r="G31" s="143">
        <v>1</v>
      </c>
      <c r="H31" s="144">
        <v>48231975</v>
      </c>
      <c r="I31" s="138" t="s">
        <v>20</v>
      </c>
      <c r="J31" s="138" t="s">
        <v>229</v>
      </c>
      <c r="K31" s="145" t="s">
        <v>3308</v>
      </c>
      <c r="L31" s="127"/>
      <c r="M31" s="147" t="b">
        <v>1</v>
      </c>
      <c r="N31" s="137" t="s">
        <v>3285</v>
      </c>
      <c r="O31" s="125"/>
      <c r="P31" s="125"/>
      <c r="Q31" s="125"/>
      <c r="R31" s="125"/>
      <c r="S31" s="125"/>
      <c r="T31" s="125"/>
      <c r="U31" s="128"/>
    </row>
    <row r="32" spans="1:21" ht="12.5">
      <c r="A32" s="138">
        <v>232.1</v>
      </c>
      <c r="B32" s="148"/>
      <c r="C32" s="140" t="s">
        <v>1348</v>
      </c>
      <c r="D32" s="141" t="s">
        <v>1349</v>
      </c>
      <c r="E32" s="148"/>
      <c r="F32" s="148"/>
      <c r="G32" s="143">
        <v>1</v>
      </c>
      <c r="H32" s="148"/>
      <c r="I32" s="138" t="s">
        <v>20</v>
      </c>
      <c r="J32" s="138" t="s">
        <v>229</v>
      </c>
      <c r="K32" s="145" t="s">
        <v>3308</v>
      </c>
      <c r="L32" s="127"/>
      <c r="M32" s="147" t="b">
        <v>1</v>
      </c>
      <c r="N32" s="137" t="s">
        <v>3285</v>
      </c>
      <c r="O32" s="125"/>
      <c r="P32" s="125"/>
      <c r="Q32" s="125"/>
      <c r="R32" s="125"/>
      <c r="S32" s="125"/>
      <c r="T32" s="125"/>
      <c r="U32" s="128"/>
    </row>
    <row r="33" spans="1:21" ht="12.5">
      <c r="A33" s="138">
        <v>233</v>
      </c>
      <c r="B33" s="139">
        <v>41983</v>
      </c>
      <c r="C33" s="140" t="s">
        <v>1356</v>
      </c>
      <c r="D33" s="141" t="s">
        <v>1357</v>
      </c>
      <c r="E33" s="142" t="s">
        <v>248</v>
      </c>
      <c r="F33" s="142" t="s">
        <v>19</v>
      </c>
      <c r="G33" s="143">
        <v>1</v>
      </c>
      <c r="H33" s="144">
        <v>123652652</v>
      </c>
      <c r="I33" s="138" t="s">
        <v>20</v>
      </c>
      <c r="J33" s="138" t="s">
        <v>229</v>
      </c>
      <c r="K33" s="145" t="s">
        <v>3309</v>
      </c>
      <c r="L33" s="127"/>
      <c r="M33" s="147" t="b">
        <v>1</v>
      </c>
      <c r="N33" s="137" t="s">
        <v>3285</v>
      </c>
      <c r="O33" s="125"/>
      <c r="P33" s="125"/>
      <c r="Q33" s="125"/>
      <c r="R33" s="125"/>
      <c r="S33" s="125"/>
      <c r="T33" s="125"/>
      <c r="U33" s="128"/>
    </row>
    <row r="34" spans="1:21" ht="12.5">
      <c r="A34" s="138">
        <v>257</v>
      </c>
      <c r="B34" s="139">
        <v>39994</v>
      </c>
      <c r="C34" s="140" t="s">
        <v>1504</v>
      </c>
      <c r="D34" s="141" t="s">
        <v>1505</v>
      </c>
      <c r="E34" s="148"/>
      <c r="F34" s="142" t="s">
        <v>249</v>
      </c>
      <c r="G34" s="143">
        <v>1</v>
      </c>
      <c r="H34" s="144">
        <v>38725405</v>
      </c>
      <c r="I34" s="138" t="s">
        <v>20</v>
      </c>
      <c r="J34" s="138" t="s">
        <v>229</v>
      </c>
      <c r="K34" s="145" t="s">
        <v>3310</v>
      </c>
      <c r="L34" s="127"/>
      <c r="M34" s="147" t="b">
        <v>1</v>
      </c>
      <c r="N34" s="137" t="s">
        <v>3285</v>
      </c>
      <c r="O34" s="125"/>
      <c r="P34" s="125"/>
      <c r="Q34" s="125"/>
      <c r="R34" s="125"/>
      <c r="S34" s="125"/>
      <c r="T34" s="125"/>
      <c r="U34" s="128"/>
    </row>
    <row r="35" spans="1:21" ht="12.5">
      <c r="A35" s="138">
        <v>262</v>
      </c>
      <c r="B35" s="139">
        <v>40352</v>
      </c>
      <c r="C35" s="140" t="s">
        <v>1517</v>
      </c>
      <c r="D35" s="141" t="s">
        <v>1518</v>
      </c>
      <c r="E35" s="142" t="s">
        <v>338</v>
      </c>
      <c r="F35" s="142" t="s">
        <v>19</v>
      </c>
      <c r="G35" s="143">
        <v>1</v>
      </c>
      <c r="H35" s="144">
        <v>433862205</v>
      </c>
      <c r="I35" s="138" t="s">
        <v>20</v>
      </c>
      <c r="J35" s="138" t="s">
        <v>229</v>
      </c>
      <c r="K35" s="145" t="s">
        <v>1617</v>
      </c>
      <c r="L35" s="127"/>
      <c r="M35" s="147" t="b">
        <v>1</v>
      </c>
      <c r="N35" s="137" t="s">
        <v>3285</v>
      </c>
      <c r="O35" s="125"/>
      <c r="P35" s="125"/>
      <c r="Q35" s="125"/>
      <c r="R35" s="125"/>
      <c r="S35" s="125"/>
      <c r="T35" s="125"/>
      <c r="U35" s="128"/>
    </row>
    <row r="36" spans="1:21" ht="12.5">
      <c r="A36" s="138">
        <v>262.10000000000002</v>
      </c>
      <c r="B36" s="148"/>
      <c r="C36" s="140" t="s">
        <v>1520</v>
      </c>
      <c r="D36" s="141" t="s">
        <v>1521</v>
      </c>
      <c r="E36" s="148"/>
      <c r="F36" s="148"/>
      <c r="G36" s="143">
        <v>1</v>
      </c>
      <c r="H36" s="144">
        <v>21916668</v>
      </c>
      <c r="I36" s="138" t="s">
        <v>20</v>
      </c>
      <c r="J36" s="138" t="s">
        <v>229</v>
      </c>
      <c r="K36" s="145" t="s">
        <v>3311</v>
      </c>
      <c r="L36" s="162" t="s">
        <v>1522</v>
      </c>
      <c r="M36" s="147" t="b">
        <v>1</v>
      </c>
      <c r="N36" s="137" t="s">
        <v>3285</v>
      </c>
      <c r="O36" s="125"/>
      <c r="P36" s="125"/>
      <c r="Q36" s="125"/>
      <c r="R36" s="125"/>
      <c r="S36" s="125"/>
      <c r="T36" s="125"/>
      <c r="U36" s="128"/>
    </row>
    <row r="37" spans="1:21" ht="12.5">
      <c r="A37" s="138">
        <v>262.2</v>
      </c>
      <c r="B37" s="148"/>
      <c r="C37" s="140" t="s">
        <v>1524</v>
      </c>
      <c r="D37" s="141" t="s">
        <v>1525</v>
      </c>
      <c r="E37" s="148"/>
      <c r="F37" s="148"/>
      <c r="G37" s="143">
        <v>1</v>
      </c>
      <c r="H37" s="144">
        <v>21916668</v>
      </c>
      <c r="I37" s="138" t="s">
        <v>20</v>
      </c>
      <c r="J37" s="138" t="s">
        <v>229</v>
      </c>
      <c r="K37" s="145" t="s">
        <v>3311</v>
      </c>
      <c r="L37" s="162" t="s">
        <v>1522</v>
      </c>
      <c r="M37" s="147" t="b">
        <v>1</v>
      </c>
      <c r="N37" s="137" t="s">
        <v>3285</v>
      </c>
      <c r="O37" s="125"/>
      <c r="P37" s="125"/>
      <c r="Q37" s="125"/>
      <c r="R37" s="125"/>
      <c r="S37" s="125"/>
      <c r="T37" s="125"/>
      <c r="U37" s="128"/>
    </row>
    <row r="38" spans="1:21" ht="12.5">
      <c r="A38" s="138">
        <v>262.3</v>
      </c>
      <c r="B38" s="148"/>
      <c r="C38" s="140" t="s">
        <v>1527</v>
      </c>
      <c r="D38" s="141" t="s">
        <v>1528</v>
      </c>
      <c r="E38" s="148"/>
      <c r="F38" s="148"/>
      <c r="G38" s="143">
        <v>1</v>
      </c>
      <c r="H38" s="144">
        <v>21916668</v>
      </c>
      <c r="I38" s="138" t="s">
        <v>20</v>
      </c>
      <c r="J38" s="138" t="s">
        <v>229</v>
      </c>
      <c r="K38" s="145" t="s">
        <v>3311</v>
      </c>
      <c r="L38" s="162" t="s">
        <v>1522</v>
      </c>
      <c r="M38" s="147" t="b">
        <v>1</v>
      </c>
      <c r="N38" s="137" t="s">
        <v>3285</v>
      </c>
      <c r="O38" s="125"/>
      <c r="P38" s="125"/>
      <c r="Q38" s="125"/>
      <c r="R38" s="125"/>
      <c r="S38" s="125"/>
      <c r="T38" s="125"/>
      <c r="U38" s="128"/>
    </row>
    <row r="39" spans="1:21" ht="12.5">
      <c r="A39" s="138">
        <v>262.39999999999998</v>
      </c>
      <c r="B39" s="148"/>
      <c r="C39" s="140" t="s">
        <v>1530</v>
      </c>
      <c r="D39" s="141" t="s">
        <v>1531</v>
      </c>
      <c r="E39" s="148"/>
      <c r="F39" s="148"/>
      <c r="G39" s="143">
        <v>1</v>
      </c>
      <c r="H39" s="144">
        <v>21916670</v>
      </c>
      <c r="I39" s="138" t="s">
        <v>20</v>
      </c>
      <c r="J39" s="138" t="s">
        <v>229</v>
      </c>
      <c r="K39" s="145" t="s">
        <v>3311</v>
      </c>
      <c r="L39" s="162" t="s">
        <v>1522</v>
      </c>
      <c r="M39" s="147" t="b">
        <v>1</v>
      </c>
      <c r="N39" s="137" t="s">
        <v>3285</v>
      </c>
      <c r="O39" s="125"/>
      <c r="P39" s="125"/>
      <c r="Q39" s="125"/>
      <c r="R39" s="125"/>
      <c r="S39" s="125"/>
      <c r="T39" s="125"/>
      <c r="U39" s="128"/>
    </row>
    <row r="40" spans="1:21" ht="12.5">
      <c r="A40" s="138">
        <v>269</v>
      </c>
      <c r="B40" s="139">
        <v>40948</v>
      </c>
      <c r="C40" s="140" t="s">
        <v>1555</v>
      </c>
      <c r="D40" s="141" t="s">
        <v>1556</v>
      </c>
      <c r="E40" s="142" t="s">
        <v>338</v>
      </c>
      <c r="F40" s="142" t="s">
        <v>19</v>
      </c>
      <c r="G40" s="143">
        <v>1</v>
      </c>
      <c r="H40" s="144">
        <v>268070586</v>
      </c>
      <c r="I40" s="138" t="s">
        <v>20</v>
      </c>
      <c r="J40" s="138" t="s">
        <v>229</v>
      </c>
      <c r="K40" s="145" t="s">
        <v>3312</v>
      </c>
      <c r="L40" s="127"/>
      <c r="M40" s="147" t="b">
        <v>1</v>
      </c>
      <c r="N40" s="137" t="s">
        <v>3285</v>
      </c>
      <c r="O40" s="125"/>
      <c r="P40" s="125"/>
      <c r="Q40" s="125"/>
      <c r="R40" s="125"/>
      <c r="S40" s="125"/>
      <c r="T40" s="125"/>
      <c r="U40" s="128"/>
    </row>
    <row r="41" spans="1:21" ht="12.5">
      <c r="A41" s="138">
        <v>271.10000000000002</v>
      </c>
      <c r="B41" s="148"/>
      <c r="C41" s="140" t="s">
        <v>1565</v>
      </c>
      <c r="D41" s="141" t="s">
        <v>1566</v>
      </c>
      <c r="E41" s="148"/>
      <c r="F41" s="148"/>
      <c r="G41" s="143">
        <v>1</v>
      </c>
      <c r="H41" s="143">
        <v>0</v>
      </c>
      <c r="I41" s="138" t="s">
        <v>20</v>
      </c>
      <c r="J41" s="138" t="s">
        <v>229</v>
      </c>
      <c r="K41" s="145" t="s">
        <v>3313</v>
      </c>
      <c r="L41" s="127"/>
      <c r="M41" s="147" t="b">
        <v>1</v>
      </c>
      <c r="N41" s="137" t="s">
        <v>3285</v>
      </c>
      <c r="O41" s="125"/>
      <c r="P41" s="125"/>
      <c r="Q41" s="125"/>
      <c r="R41" s="125"/>
      <c r="S41" s="125"/>
      <c r="T41" s="125"/>
      <c r="U41" s="128"/>
    </row>
    <row r="42" spans="1:21" ht="12.5">
      <c r="A42" s="138">
        <v>272</v>
      </c>
      <c r="B42" s="139">
        <v>41044</v>
      </c>
      <c r="C42" s="140" t="s">
        <v>1567</v>
      </c>
      <c r="D42" s="141" t="s">
        <v>1568</v>
      </c>
      <c r="E42" s="142" t="s">
        <v>248</v>
      </c>
      <c r="F42" s="142" t="s">
        <v>19</v>
      </c>
      <c r="G42" s="143">
        <v>1</v>
      </c>
      <c r="H42" s="144">
        <v>112936000</v>
      </c>
      <c r="I42" s="138" t="s">
        <v>20</v>
      </c>
      <c r="J42" s="138" t="s">
        <v>229</v>
      </c>
      <c r="K42" s="145" t="s">
        <v>3309</v>
      </c>
      <c r="L42" s="162" t="s">
        <v>1358</v>
      </c>
      <c r="M42" s="147" t="b">
        <v>1</v>
      </c>
      <c r="N42" s="137" t="s">
        <v>3285</v>
      </c>
      <c r="O42" s="125"/>
      <c r="P42" s="125"/>
      <c r="Q42" s="125"/>
      <c r="R42" s="125"/>
      <c r="S42" s="125"/>
      <c r="T42" s="125"/>
      <c r="U42" s="128"/>
    </row>
    <row r="43" spans="1:21" ht="12.5">
      <c r="A43" s="149">
        <v>278</v>
      </c>
      <c r="B43" s="163">
        <v>41606</v>
      </c>
      <c r="C43" s="151" t="s">
        <v>1619</v>
      </c>
      <c r="D43" s="152" t="s">
        <v>1620</v>
      </c>
      <c r="E43" s="153" t="s">
        <v>45</v>
      </c>
      <c r="F43" s="153" t="s">
        <v>19</v>
      </c>
      <c r="G43" s="154">
        <v>1</v>
      </c>
      <c r="H43" s="164">
        <v>2641956303</v>
      </c>
      <c r="I43" s="149" t="s">
        <v>20</v>
      </c>
      <c r="J43" s="138" t="s">
        <v>229</v>
      </c>
      <c r="K43" s="155" t="s">
        <v>3314</v>
      </c>
      <c r="L43" s="165" t="s">
        <v>1522</v>
      </c>
      <c r="M43" s="157" t="b">
        <v>1</v>
      </c>
      <c r="N43" s="158" t="s">
        <v>3285</v>
      </c>
      <c r="O43" s="159"/>
      <c r="P43" s="159"/>
      <c r="Q43" s="159"/>
      <c r="R43" s="159"/>
      <c r="S43" s="159"/>
      <c r="T43" s="159"/>
      <c r="U43" s="160"/>
    </row>
    <row r="44" spans="1:21" ht="12.5">
      <c r="A44" s="138">
        <v>278.10000000000002</v>
      </c>
      <c r="B44" s="148"/>
      <c r="C44" s="140" t="s">
        <v>1622</v>
      </c>
      <c r="D44" s="141" t="s">
        <v>1623</v>
      </c>
      <c r="E44" s="148"/>
      <c r="F44" s="148"/>
      <c r="G44" s="143">
        <v>1</v>
      </c>
      <c r="H44" s="143">
        <v>0</v>
      </c>
      <c r="I44" s="138" t="s">
        <v>20</v>
      </c>
      <c r="J44" s="138" t="s">
        <v>229</v>
      </c>
      <c r="K44" s="145" t="s">
        <v>3315</v>
      </c>
      <c r="L44" s="162" t="s">
        <v>1522</v>
      </c>
      <c r="M44" s="147" t="b">
        <v>1</v>
      </c>
      <c r="N44" s="137" t="s">
        <v>3285</v>
      </c>
      <c r="O44" s="125"/>
      <c r="P44" s="125"/>
      <c r="Q44" s="125"/>
      <c r="R44" s="125"/>
      <c r="S44" s="125"/>
      <c r="T44" s="125"/>
      <c r="U44" s="128"/>
    </row>
    <row r="45" spans="1:21" ht="12.5">
      <c r="A45" s="138">
        <v>278.2</v>
      </c>
      <c r="B45" s="148"/>
      <c r="C45" s="140" t="s">
        <v>1625</v>
      </c>
      <c r="D45" s="141" t="s">
        <v>1626</v>
      </c>
      <c r="E45" s="148"/>
      <c r="F45" s="148"/>
      <c r="G45" s="143">
        <v>1</v>
      </c>
      <c r="H45" s="143">
        <v>0</v>
      </c>
      <c r="I45" s="138" t="s">
        <v>20</v>
      </c>
      <c r="J45" s="138" t="s">
        <v>229</v>
      </c>
      <c r="K45" s="145" t="s">
        <v>3315</v>
      </c>
      <c r="L45" s="162" t="s">
        <v>1522</v>
      </c>
      <c r="M45" s="147" t="b">
        <v>1</v>
      </c>
      <c r="N45" s="137" t="s">
        <v>3285</v>
      </c>
      <c r="O45" s="125"/>
      <c r="P45" s="125"/>
      <c r="Q45" s="125"/>
      <c r="R45" s="125"/>
      <c r="S45" s="125"/>
      <c r="T45" s="125"/>
      <c r="U45" s="128"/>
    </row>
    <row r="46" spans="1:21" ht="12.5">
      <c r="A46" s="138">
        <v>278.3</v>
      </c>
      <c r="B46" s="148"/>
      <c r="C46" s="140" t="s">
        <v>1628</v>
      </c>
      <c r="D46" s="141" t="s">
        <v>1629</v>
      </c>
      <c r="E46" s="148"/>
      <c r="F46" s="148"/>
      <c r="G46" s="143">
        <v>1</v>
      </c>
      <c r="H46" s="143">
        <v>0</v>
      </c>
      <c r="I46" s="138" t="s">
        <v>20</v>
      </c>
      <c r="J46" s="138" t="s">
        <v>229</v>
      </c>
      <c r="K46" s="145" t="s">
        <v>3316</v>
      </c>
      <c r="L46" s="162" t="s">
        <v>1522</v>
      </c>
      <c r="M46" s="147" t="b">
        <v>1</v>
      </c>
      <c r="N46" s="137" t="s">
        <v>3285</v>
      </c>
      <c r="O46" s="125"/>
      <c r="P46" s="125"/>
      <c r="Q46" s="125"/>
      <c r="R46" s="125"/>
      <c r="S46" s="125"/>
      <c r="T46" s="125"/>
      <c r="U46" s="128"/>
    </row>
    <row r="47" spans="1:21" ht="12.5">
      <c r="A47" s="138">
        <v>278.39999999999998</v>
      </c>
      <c r="B47" s="148"/>
      <c r="C47" s="140" t="s">
        <v>1631</v>
      </c>
      <c r="D47" s="141" t="s">
        <v>1632</v>
      </c>
      <c r="E47" s="148"/>
      <c r="F47" s="148"/>
      <c r="G47" s="143">
        <v>1</v>
      </c>
      <c r="H47" s="143">
        <v>0</v>
      </c>
      <c r="I47" s="138" t="s">
        <v>20</v>
      </c>
      <c r="J47" s="138" t="s">
        <v>229</v>
      </c>
      <c r="K47" s="145" t="s">
        <v>3315</v>
      </c>
      <c r="L47" s="162" t="s">
        <v>1522</v>
      </c>
      <c r="M47" s="147" t="b">
        <v>1</v>
      </c>
      <c r="N47" s="137" t="s">
        <v>3285</v>
      </c>
      <c r="O47" s="125"/>
      <c r="P47" s="125"/>
      <c r="Q47" s="125"/>
      <c r="R47" s="125"/>
      <c r="S47" s="125"/>
      <c r="T47" s="125"/>
      <c r="U47" s="128"/>
    </row>
    <row r="48" spans="1:21" ht="12.5">
      <c r="A48" s="138">
        <v>303</v>
      </c>
      <c r="B48" s="139">
        <v>41983</v>
      </c>
      <c r="C48" s="140" t="s">
        <v>1731</v>
      </c>
      <c r="D48" s="141" t="s">
        <v>1732</v>
      </c>
      <c r="E48" s="142" t="s">
        <v>45</v>
      </c>
      <c r="F48" s="142" t="s">
        <v>19</v>
      </c>
      <c r="G48" s="143">
        <v>1</v>
      </c>
      <c r="H48" s="144">
        <v>2456211629</v>
      </c>
      <c r="I48" s="138" t="s">
        <v>20</v>
      </c>
      <c r="J48" s="138" t="s">
        <v>229</v>
      </c>
      <c r="K48" s="145" t="s">
        <v>3315</v>
      </c>
      <c r="L48" s="162" t="s">
        <v>1522</v>
      </c>
      <c r="M48" s="147" t="b">
        <v>1</v>
      </c>
      <c r="N48" s="137" t="s">
        <v>3285</v>
      </c>
      <c r="O48" s="125"/>
      <c r="P48" s="125"/>
      <c r="Q48" s="125"/>
      <c r="R48" s="125"/>
      <c r="S48" s="125"/>
      <c r="T48" s="125"/>
      <c r="U48" s="128"/>
    </row>
    <row r="49" spans="1:21" ht="12.5">
      <c r="A49" s="138">
        <v>303.2</v>
      </c>
      <c r="B49" s="148"/>
      <c r="C49" s="140" t="s">
        <v>1738</v>
      </c>
      <c r="D49" s="141" t="s">
        <v>1739</v>
      </c>
      <c r="E49" s="148"/>
      <c r="F49" s="142" t="s">
        <v>249</v>
      </c>
      <c r="G49" s="143">
        <v>1</v>
      </c>
      <c r="H49" s="143">
        <v>0</v>
      </c>
      <c r="I49" s="138" t="s">
        <v>20</v>
      </c>
      <c r="J49" s="138" t="s">
        <v>229</v>
      </c>
      <c r="K49" s="145" t="s">
        <v>3315</v>
      </c>
      <c r="L49" s="162" t="s">
        <v>1522</v>
      </c>
      <c r="M49" s="147" t="b">
        <v>1</v>
      </c>
      <c r="N49" s="137" t="s">
        <v>3285</v>
      </c>
      <c r="O49" s="125"/>
      <c r="P49" s="125"/>
      <c r="Q49" s="125"/>
      <c r="R49" s="125"/>
      <c r="S49" s="125"/>
      <c r="T49" s="125"/>
      <c r="U49" s="128"/>
    </row>
    <row r="50" spans="1:21" ht="12.5">
      <c r="A50" s="138">
        <v>321</v>
      </c>
      <c r="B50" s="139">
        <v>42726</v>
      </c>
      <c r="C50" s="140" t="s">
        <v>1873</v>
      </c>
      <c r="D50" s="141" t="s">
        <v>1874</v>
      </c>
      <c r="E50" s="142" t="s">
        <v>338</v>
      </c>
      <c r="F50" s="142" t="s">
        <v>19</v>
      </c>
      <c r="G50" s="143">
        <v>1</v>
      </c>
      <c r="H50" s="144">
        <v>242150000</v>
      </c>
      <c r="I50" s="138" t="s">
        <v>20</v>
      </c>
      <c r="J50" s="138" t="s">
        <v>229</v>
      </c>
      <c r="K50" s="145" t="s">
        <v>3317</v>
      </c>
      <c r="L50" s="127"/>
      <c r="M50" s="147" t="b">
        <v>1</v>
      </c>
      <c r="N50" s="137" t="s">
        <v>3285</v>
      </c>
      <c r="O50" s="125"/>
      <c r="P50" s="125"/>
      <c r="Q50" s="125"/>
      <c r="R50" s="125"/>
      <c r="S50" s="125"/>
      <c r="T50" s="125"/>
      <c r="U50" s="128"/>
    </row>
    <row r="51" spans="1:21" ht="12.5">
      <c r="A51" s="138">
        <v>322</v>
      </c>
      <c r="B51" s="139">
        <v>42726</v>
      </c>
      <c r="C51" s="140" t="s">
        <v>1875</v>
      </c>
      <c r="D51" s="141" t="s">
        <v>1876</v>
      </c>
      <c r="E51" s="142" t="s">
        <v>307</v>
      </c>
      <c r="F51" s="142" t="s">
        <v>19</v>
      </c>
      <c r="G51" s="143">
        <v>1</v>
      </c>
      <c r="H51" s="144">
        <v>245230000</v>
      </c>
      <c r="I51" s="138" t="s">
        <v>20</v>
      </c>
      <c r="J51" s="138" t="s">
        <v>229</v>
      </c>
      <c r="K51" s="145" t="s">
        <v>3318</v>
      </c>
      <c r="L51" s="127"/>
      <c r="M51" s="147" t="b">
        <v>1</v>
      </c>
      <c r="N51" s="137" t="s">
        <v>3285</v>
      </c>
      <c r="O51" s="125"/>
      <c r="P51" s="125"/>
      <c r="Q51" s="125"/>
      <c r="R51" s="125"/>
      <c r="S51" s="125"/>
      <c r="T51" s="125"/>
      <c r="U51" s="128"/>
    </row>
    <row r="52" spans="1:21" ht="12.5">
      <c r="A52" s="138">
        <v>322.10000000000002</v>
      </c>
      <c r="B52" s="148"/>
      <c r="C52" s="140" t="s">
        <v>1878</v>
      </c>
      <c r="D52" s="141" t="s">
        <v>1879</v>
      </c>
      <c r="E52" s="142" t="s">
        <v>1088</v>
      </c>
      <c r="F52" s="142" t="s">
        <v>249</v>
      </c>
      <c r="G52" s="143">
        <v>1</v>
      </c>
      <c r="H52" s="143">
        <v>0</v>
      </c>
      <c r="I52" s="138" t="s">
        <v>20</v>
      </c>
      <c r="J52" s="138" t="s">
        <v>229</v>
      </c>
      <c r="K52" s="145" t="s">
        <v>3319</v>
      </c>
      <c r="L52" s="127"/>
      <c r="M52" s="147" t="b">
        <v>1</v>
      </c>
      <c r="N52" s="137" t="s">
        <v>3285</v>
      </c>
      <c r="O52" s="125"/>
      <c r="P52" s="125"/>
      <c r="Q52" s="125"/>
      <c r="R52" s="125"/>
      <c r="S52" s="125"/>
      <c r="T52" s="125"/>
      <c r="U52" s="128"/>
    </row>
    <row r="53" spans="1:21" ht="12.5">
      <c r="A53" s="138">
        <v>373</v>
      </c>
      <c r="B53" s="139">
        <v>43798</v>
      </c>
      <c r="C53" s="140" t="s">
        <v>2013</v>
      </c>
      <c r="D53" s="141" t="s">
        <v>2014</v>
      </c>
      <c r="E53" s="142" t="s">
        <v>2015</v>
      </c>
      <c r="F53" s="142" t="s">
        <v>249</v>
      </c>
      <c r="G53" s="143">
        <v>1</v>
      </c>
      <c r="H53" s="144">
        <v>72900000</v>
      </c>
      <c r="I53" s="138" t="s">
        <v>20</v>
      </c>
      <c r="J53" s="138" t="s">
        <v>229</v>
      </c>
      <c r="K53" s="145" t="s">
        <v>2023</v>
      </c>
      <c r="L53" s="127"/>
      <c r="M53" s="147" t="b">
        <v>1</v>
      </c>
      <c r="N53" s="137" t="s">
        <v>3285</v>
      </c>
      <c r="O53" s="125"/>
      <c r="P53" s="125"/>
      <c r="Q53" s="125"/>
      <c r="R53" s="125"/>
      <c r="S53" s="125"/>
      <c r="T53" s="125"/>
      <c r="U53" s="128"/>
    </row>
    <row r="54" spans="1:21" ht="12.5">
      <c r="A54" s="138">
        <v>374</v>
      </c>
      <c r="B54" s="139">
        <v>43827</v>
      </c>
      <c r="C54" s="140" t="s">
        <v>2016</v>
      </c>
      <c r="D54" s="141" t="s">
        <v>2017</v>
      </c>
      <c r="E54" s="142" t="s">
        <v>2018</v>
      </c>
      <c r="F54" s="142" t="s">
        <v>19</v>
      </c>
      <c r="G54" s="143">
        <v>1</v>
      </c>
      <c r="H54" s="144">
        <v>219000000</v>
      </c>
      <c r="I54" s="138" t="s">
        <v>20</v>
      </c>
      <c r="J54" s="138" t="s">
        <v>229</v>
      </c>
      <c r="K54" s="145" t="s">
        <v>3320</v>
      </c>
      <c r="L54" s="127"/>
      <c r="M54" s="147" t="b">
        <v>1</v>
      </c>
      <c r="N54" s="137" t="s">
        <v>3285</v>
      </c>
      <c r="O54" s="125"/>
      <c r="P54" s="125"/>
      <c r="Q54" s="125"/>
      <c r="R54" s="125"/>
      <c r="S54" s="125"/>
      <c r="T54" s="125"/>
      <c r="U54" s="128"/>
    </row>
    <row r="55" spans="1:21" ht="12.5">
      <c r="A55" s="138">
        <v>375</v>
      </c>
      <c r="B55" s="139">
        <v>43827</v>
      </c>
      <c r="C55" s="140" t="s">
        <v>2019</v>
      </c>
      <c r="D55" s="141" t="s">
        <v>2020</v>
      </c>
      <c r="E55" s="142" t="s">
        <v>2018</v>
      </c>
      <c r="F55" s="142" t="s">
        <v>19</v>
      </c>
      <c r="G55" s="143">
        <v>1</v>
      </c>
      <c r="H55" s="144">
        <v>219000000</v>
      </c>
      <c r="I55" s="138" t="s">
        <v>20</v>
      </c>
      <c r="J55" s="138" t="s">
        <v>229</v>
      </c>
      <c r="K55" s="145" t="s">
        <v>3321</v>
      </c>
      <c r="L55" s="127"/>
      <c r="M55" s="147" t="b">
        <v>1</v>
      </c>
      <c r="N55" s="137" t="s">
        <v>3285</v>
      </c>
      <c r="O55" s="125"/>
      <c r="P55" s="125"/>
      <c r="Q55" s="125"/>
      <c r="R55" s="125"/>
      <c r="S55" s="125"/>
      <c r="T55" s="125"/>
      <c r="U55" s="128"/>
    </row>
    <row r="56" spans="1:21" ht="12.5">
      <c r="A56" s="138">
        <v>513</v>
      </c>
      <c r="B56" s="139">
        <v>40045</v>
      </c>
      <c r="C56" s="140" t="s">
        <v>2355</v>
      </c>
      <c r="D56" s="141" t="s">
        <v>2356</v>
      </c>
      <c r="E56" s="142" t="s">
        <v>55</v>
      </c>
      <c r="F56" s="142" t="s">
        <v>249</v>
      </c>
      <c r="G56" s="143">
        <v>1</v>
      </c>
      <c r="H56" s="144">
        <v>169640260</v>
      </c>
      <c r="I56" s="138" t="s">
        <v>20</v>
      </c>
      <c r="J56" s="138" t="s">
        <v>229</v>
      </c>
      <c r="K56" s="145" t="s">
        <v>3321</v>
      </c>
      <c r="L56" s="127"/>
      <c r="M56" s="147" t="b">
        <v>1</v>
      </c>
      <c r="N56" s="137" t="s">
        <v>3285</v>
      </c>
      <c r="O56" s="125"/>
      <c r="P56" s="125"/>
      <c r="Q56" s="125"/>
      <c r="R56" s="125"/>
      <c r="S56" s="125"/>
      <c r="T56" s="125"/>
      <c r="U56" s="128"/>
    </row>
    <row r="57" spans="1:21" ht="12.5">
      <c r="A57" s="138">
        <v>526.1</v>
      </c>
      <c r="B57" s="148"/>
      <c r="C57" s="140" t="s">
        <v>2390</v>
      </c>
      <c r="D57" s="141" t="s">
        <v>2391</v>
      </c>
      <c r="E57" s="142" t="s">
        <v>248</v>
      </c>
      <c r="F57" s="142" t="s">
        <v>249</v>
      </c>
      <c r="G57" s="143">
        <v>1</v>
      </c>
      <c r="H57" s="143">
        <v>0</v>
      </c>
      <c r="I57" s="138" t="s">
        <v>20</v>
      </c>
      <c r="J57" s="138" t="s">
        <v>229</v>
      </c>
      <c r="K57" s="145" t="s">
        <v>3322</v>
      </c>
      <c r="L57" s="127"/>
      <c r="M57" s="147" t="b">
        <v>1</v>
      </c>
      <c r="N57" s="137" t="s">
        <v>3285</v>
      </c>
      <c r="O57" s="125"/>
      <c r="P57" s="125"/>
      <c r="Q57" s="125"/>
      <c r="R57" s="125"/>
      <c r="S57" s="125"/>
      <c r="T57" s="125"/>
      <c r="U57" s="128"/>
    </row>
    <row r="58" spans="1:21" ht="12.5">
      <c r="A58" s="138">
        <v>612</v>
      </c>
      <c r="B58" s="139">
        <v>35430</v>
      </c>
      <c r="C58" s="140" t="s">
        <v>2683</v>
      </c>
      <c r="D58" s="141" t="s">
        <v>2684</v>
      </c>
      <c r="E58" s="148"/>
      <c r="F58" s="142" t="s">
        <v>2685</v>
      </c>
      <c r="G58" s="143">
        <v>1</v>
      </c>
      <c r="H58" s="144">
        <v>133770332</v>
      </c>
      <c r="I58" s="138" t="s">
        <v>20</v>
      </c>
      <c r="J58" s="138" t="s">
        <v>229</v>
      </c>
      <c r="K58" s="166" t="s">
        <v>3323</v>
      </c>
      <c r="L58" s="127"/>
      <c r="M58" s="147" t="b">
        <v>1</v>
      </c>
      <c r="N58" s="137" t="s">
        <v>3285</v>
      </c>
      <c r="O58" s="125"/>
      <c r="P58" s="125"/>
      <c r="Q58" s="125"/>
      <c r="R58" s="125"/>
      <c r="S58" s="125"/>
      <c r="T58" s="125"/>
      <c r="U58" s="128"/>
    </row>
    <row r="59" spans="1:21" ht="12.5">
      <c r="A59" s="138">
        <v>612.1</v>
      </c>
      <c r="B59" s="148"/>
      <c r="C59" s="140" t="s">
        <v>2687</v>
      </c>
      <c r="D59" s="141" t="s">
        <v>2688</v>
      </c>
      <c r="E59" s="148"/>
      <c r="F59" s="148"/>
      <c r="G59" s="143">
        <v>1</v>
      </c>
      <c r="H59" s="148"/>
      <c r="I59" s="138" t="s">
        <v>20</v>
      </c>
      <c r="J59" s="138" t="s">
        <v>229</v>
      </c>
      <c r="K59" s="166" t="s">
        <v>3323</v>
      </c>
      <c r="L59" s="127"/>
      <c r="M59" s="147" t="b">
        <v>1</v>
      </c>
      <c r="N59" s="137" t="s">
        <v>3285</v>
      </c>
      <c r="O59" s="125"/>
      <c r="P59" s="125"/>
      <c r="Q59" s="125"/>
      <c r="R59" s="125"/>
      <c r="S59" s="125"/>
      <c r="T59" s="125"/>
      <c r="U59" s="128"/>
    </row>
    <row r="60" spans="1:21" ht="12.5">
      <c r="A60" s="138">
        <v>612.20000000000005</v>
      </c>
      <c r="B60" s="148"/>
      <c r="C60" s="140" t="s">
        <v>2690</v>
      </c>
      <c r="D60" s="141" t="s">
        <v>2691</v>
      </c>
      <c r="E60" s="148"/>
      <c r="F60" s="148"/>
      <c r="G60" s="143">
        <v>1</v>
      </c>
      <c r="H60" s="148"/>
      <c r="I60" s="138" t="s">
        <v>20</v>
      </c>
      <c r="J60" s="138" t="s">
        <v>229</v>
      </c>
      <c r="K60" s="166" t="s">
        <v>3323</v>
      </c>
      <c r="L60" s="127"/>
      <c r="M60" s="147" t="b">
        <v>1</v>
      </c>
      <c r="N60" s="137" t="s">
        <v>3285</v>
      </c>
      <c r="O60" s="125"/>
      <c r="P60" s="125"/>
      <c r="Q60" s="125"/>
      <c r="R60" s="125"/>
      <c r="S60" s="125"/>
      <c r="T60" s="125"/>
      <c r="U60" s="128"/>
    </row>
    <row r="61" spans="1:21" ht="12.5">
      <c r="A61" s="138">
        <v>612.29999999999995</v>
      </c>
      <c r="B61" s="148"/>
      <c r="C61" s="140" t="s">
        <v>2693</v>
      </c>
      <c r="D61" s="141" t="s">
        <v>2694</v>
      </c>
      <c r="E61" s="148"/>
      <c r="F61" s="148"/>
      <c r="G61" s="143">
        <v>1</v>
      </c>
      <c r="H61" s="148"/>
      <c r="I61" s="138" t="s">
        <v>20</v>
      </c>
      <c r="J61" s="138" t="s">
        <v>229</v>
      </c>
      <c r="K61" s="166" t="s">
        <v>3323</v>
      </c>
      <c r="L61" s="127"/>
      <c r="M61" s="147" t="b">
        <v>1</v>
      </c>
      <c r="N61" s="137" t="s">
        <v>3285</v>
      </c>
      <c r="O61" s="125"/>
      <c r="P61" s="125"/>
      <c r="Q61" s="125"/>
      <c r="R61" s="125"/>
      <c r="S61" s="125"/>
      <c r="T61" s="125"/>
      <c r="U61" s="128"/>
    </row>
    <row r="62" spans="1:21" ht="12.5">
      <c r="A62" s="138">
        <v>612.4</v>
      </c>
      <c r="B62" s="148"/>
      <c r="C62" s="140" t="s">
        <v>2696</v>
      </c>
      <c r="D62" s="141" t="s">
        <v>3324</v>
      </c>
      <c r="E62" s="148"/>
      <c r="F62" s="148"/>
      <c r="G62" s="143">
        <v>1</v>
      </c>
      <c r="H62" s="148"/>
      <c r="I62" s="138" t="s">
        <v>20</v>
      </c>
      <c r="J62" s="138" t="s">
        <v>229</v>
      </c>
      <c r="K62" s="166" t="s">
        <v>3323</v>
      </c>
      <c r="L62" s="127"/>
      <c r="M62" s="147" t="b">
        <v>1</v>
      </c>
      <c r="N62" s="137" t="s">
        <v>3285</v>
      </c>
      <c r="O62" s="125"/>
      <c r="P62" s="125"/>
      <c r="Q62" s="125"/>
      <c r="R62" s="125"/>
      <c r="S62" s="125"/>
      <c r="T62" s="125"/>
      <c r="U62" s="128"/>
    </row>
    <row r="63" spans="1:21" ht="12.5">
      <c r="A63" s="138">
        <v>612.5</v>
      </c>
      <c r="B63" s="148"/>
      <c r="C63" s="140" t="s">
        <v>2699</v>
      </c>
      <c r="D63" s="141" t="s">
        <v>3325</v>
      </c>
      <c r="E63" s="148"/>
      <c r="F63" s="148"/>
      <c r="G63" s="143">
        <v>1</v>
      </c>
      <c r="H63" s="148"/>
      <c r="I63" s="138" t="s">
        <v>20</v>
      </c>
      <c r="J63" s="138" t="s">
        <v>229</v>
      </c>
      <c r="K63" s="166" t="s">
        <v>3323</v>
      </c>
      <c r="L63" s="127"/>
      <c r="M63" s="147" t="b">
        <v>1</v>
      </c>
      <c r="N63" s="137" t="s">
        <v>3285</v>
      </c>
      <c r="O63" s="125"/>
      <c r="P63" s="125"/>
      <c r="Q63" s="125"/>
      <c r="R63" s="125"/>
      <c r="S63" s="125"/>
      <c r="T63" s="125"/>
      <c r="U63" s="128"/>
    </row>
    <row r="64" spans="1:21" ht="12.5">
      <c r="A64" s="138">
        <v>612.6</v>
      </c>
      <c r="B64" s="148"/>
      <c r="C64" s="140" t="s">
        <v>2702</v>
      </c>
      <c r="D64" s="141" t="s">
        <v>3326</v>
      </c>
      <c r="E64" s="148"/>
      <c r="F64" s="148"/>
      <c r="G64" s="143">
        <v>1</v>
      </c>
      <c r="H64" s="148"/>
      <c r="I64" s="138" t="s">
        <v>20</v>
      </c>
      <c r="J64" s="138" t="s">
        <v>229</v>
      </c>
      <c r="K64" s="166" t="s">
        <v>3323</v>
      </c>
      <c r="L64" s="127"/>
      <c r="M64" s="147" t="b">
        <v>1</v>
      </c>
      <c r="N64" s="137" t="s">
        <v>3285</v>
      </c>
      <c r="O64" s="125"/>
      <c r="P64" s="125"/>
      <c r="Q64" s="125"/>
      <c r="R64" s="125"/>
      <c r="S64" s="125"/>
      <c r="T64" s="125"/>
      <c r="U64" s="128"/>
    </row>
    <row r="65" spans="1:21" ht="12.5">
      <c r="A65" s="138">
        <v>621</v>
      </c>
      <c r="B65" s="139">
        <v>41982</v>
      </c>
      <c r="C65" s="140" t="s">
        <v>2791</v>
      </c>
      <c r="D65" s="141" t="s">
        <v>2792</v>
      </c>
      <c r="E65" s="142" t="s">
        <v>45</v>
      </c>
      <c r="F65" s="142" t="s">
        <v>19</v>
      </c>
      <c r="G65" s="143">
        <v>1</v>
      </c>
      <c r="H65" s="144">
        <v>416658000</v>
      </c>
      <c r="I65" s="138" t="s">
        <v>20</v>
      </c>
      <c r="J65" s="138" t="s">
        <v>229</v>
      </c>
      <c r="K65" s="145" t="s">
        <v>2023</v>
      </c>
      <c r="L65" s="127"/>
      <c r="M65" s="147" t="b">
        <v>1</v>
      </c>
      <c r="N65" s="137" t="s">
        <v>3285</v>
      </c>
      <c r="O65" s="125"/>
      <c r="P65" s="125"/>
      <c r="Q65" s="125"/>
      <c r="R65" s="125"/>
      <c r="S65" s="125"/>
      <c r="T65" s="125"/>
      <c r="U65" s="128"/>
    </row>
    <row r="66" spans="1:21" ht="12.5">
      <c r="A66" s="138">
        <v>637</v>
      </c>
      <c r="B66" s="139">
        <v>43798</v>
      </c>
      <c r="C66" s="140" t="s">
        <v>2877</v>
      </c>
      <c r="D66" s="141" t="s">
        <v>2878</v>
      </c>
      <c r="E66" s="142" t="s">
        <v>307</v>
      </c>
      <c r="F66" s="142" t="s">
        <v>249</v>
      </c>
      <c r="G66" s="143">
        <v>1</v>
      </c>
      <c r="H66" s="144">
        <v>78660000</v>
      </c>
      <c r="I66" s="138" t="s">
        <v>20</v>
      </c>
      <c r="J66" s="138" t="s">
        <v>229</v>
      </c>
      <c r="K66" s="145" t="s">
        <v>3327</v>
      </c>
      <c r="L66" s="127"/>
      <c r="M66" s="147" t="b">
        <v>1</v>
      </c>
      <c r="N66" s="137" t="s">
        <v>3285</v>
      </c>
      <c r="O66" s="125"/>
      <c r="P66" s="125"/>
      <c r="Q66" s="125"/>
      <c r="R66" s="125"/>
      <c r="S66" s="125"/>
      <c r="T66" s="125"/>
      <c r="U66" s="128"/>
    </row>
    <row r="67" spans="1:21" ht="12.5">
      <c r="A67" s="138">
        <v>637.1</v>
      </c>
      <c r="B67" s="148"/>
      <c r="C67" s="140" t="s">
        <v>2880</v>
      </c>
      <c r="D67" s="141" t="s">
        <v>2881</v>
      </c>
      <c r="E67" s="142" t="s">
        <v>1008</v>
      </c>
      <c r="F67" s="142" t="s">
        <v>249</v>
      </c>
      <c r="G67" s="143">
        <v>1</v>
      </c>
      <c r="H67" s="144">
        <v>27560000</v>
      </c>
      <c r="I67" s="138" t="s">
        <v>20</v>
      </c>
      <c r="J67" s="138" t="s">
        <v>229</v>
      </c>
      <c r="K67" s="145" t="s">
        <v>3327</v>
      </c>
      <c r="L67" s="127"/>
      <c r="M67" s="147" t="b">
        <v>1</v>
      </c>
      <c r="N67" s="137" t="s">
        <v>3285</v>
      </c>
      <c r="O67" s="125"/>
      <c r="P67" s="125"/>
      <c r="Q67" s="125"/>
      <c r="R67" s="125"/>
      <c r="S67" s="125"/>
      <c r="T67" s="125"/>
      <c r="U67" s="128"/>
    </row>
    <row r="68" spans="1:21" ht="12.5">
      <c r="A68" s="138">
        <v>638</v>
      </c>
      <c r="B68" s="139">
        <v>43798</v>
      </c>
      <c r="C68" s="140" t="s">
        <v>2882</v>
      </c>
      <c r="D68" s="141" t="s">
        <v>2883</v>
      </c>
      <c r="E68" s="142" t="s">
        <v>307</v>
      </c>
      <c r="F68" s="142" t="s">
        <v>249</v>
      </c>
      <c r="G68" s="143">
        <v>1</v>
      </c>
      <c r="H68" s="144">
        <v>71490000</v>
      </c>
      <c r="I68" s="138" t="s">
        <v>20</v>
      </c>
      <c r="J68" s="138" t="s">
        <v>229</v>
      </c>
      <c r="K68" s="145" t="s">
        <v>2023</v>
      </c>
      <c r="L68" s="127"/>
      <c r="M68" s="147" t="b">
        <v>1</v>
      </c>
      <c r="N68" s="137" t="s">
        <v>3285</v>
      </c>
      <c r="O68" s="125"/>
      <c r="P68" s="125"/>
      <c r="Q68" s="125"/>
      <c r="R68" s="125"/>
      <c r="S68" s="125"/>
      <c r="T68" s="125"/>
      <c r="U68" s="128"/>
    </row>
    <row r="69" spans="1:21" ht="12.5">
      <c r="A69" s="138">
        <v>638.1</v>
      </c>
      <c r="B69" s="148"/>
      <c r="C69" s="140" t="s">
        <v>2885</v>
      </c>
      <c r="D69" s="141" t="s">
        <v>2886</v>
      </c>
      <c r="E69" s="142" t="s">
        <v>248</v>
      </c>
      <c r="F69" s="142" t="s">
        <v>249</v>
      </c>
      <c r="G69" s="143">
        <v>1</v>
      </c>
      <c r="H69" s="144">
        <v>20390000</v>
      </c>
      <c r="I69" s="138" t="s">
        <v>20</v>
      </c>
      <c r="J69" s="138" t="s">
        <v>229</v>
      </c>
      <c r="K69" s="145" t="s">
        <v>2023</v>
      </c>
      <c r="L69" s="127"/>
      <c r="M69" s="147" t="b">
        <v>1</v>
      </c>
      <c r="N69" s="137" t="s">
        <v>3285</v>
      </c>
      <c r="O69" s="125"/>
      <c r="P69" s="125"/>
      <c r="Q69" s="125"/>
      <c r="R69" s="125"/>
      <c r="S69" s="125"/>
      <c r="T69" s="125"/>
      <c r="U69" s="128"/>
    </row>
    <row r="70" spans="1:21" ht="12.5">
      <c r="A70" s="138">
        <v>639</v>
      </c>
      <c r="B70" s="139">
        <v>43798</v>
      </c>
      <c r="C70" s="140" t="s">
        <v>2887</v>
      </c>
      <c r="D70" s="141" t="s">
        <v>2888</v>
      </c>
      <c r="E70" s="142" t="s">
        <v>307</v>
      </c>
      <c r="F70" s="142" t="s">
        <v>249</v>
      </c>
      <c r="G70" s="143">
        <v>1</v>
      </c>
      <c r="H70" s="144">
        <v>71490000</v>
      </c>
      <c r="I70" s="138" t="s">
        <v>20</v>
      </c>
      <c r="J70" s="138" t="s">
        <v>229</v>
      </c>
      <c r="K70" s="145" t="s">
        <v>2023</v>
      </c>
      <c r="L70" s="127"/>
      <c r="M70" s="147" t="b">
        <v>1</v>
      </c>
      <c r="N70" s="137" t="s">
        <v>3285</v>
      </c>
      <c r="O70" s="125"/>
      <c r="P70" s="125"/>
      <c r="Q70" s="125"/>
      <c r="R70" s="125"/>
      <c r="S70" s="125"/>
      <c r="T70" s="125"/>
      <c r="U70" s="128"/>
    </row>
    <row r="71" spans="1:21" ht="12.5">
      <c r="A71" s="138">
        <v>639.1</v>
      </c>
      <c r="B71" s="148"/>
      <c r="C71" s="140" t="s">
        <v>2890</v>
      </c>
      <c r="D71" s="141" t="s">
        <v>2891</v>
      </c>
      <c r="E71" s="142" t="s">
        <v>248</v>
      </c>
      <c r="F71" s="142" t="s">
        <v>249</v>
      </c>
      <c r="G71" s="143">
        <v>1</v>
      </c>
      <c r="H71" s="144">
        <v>20390000</v>
      </c>
      <c r="I71" s="138" t="s">
        <v>20</v>
      </c>
      <c r="J71" s="138" t="s">
        <v>229</v>
      </c>
      <c r="K71" s="145" t="s">
        <v>2023</v>
      </c>
      <c r="L71" s="127"/>
      <c r="M71" s="147" t="b">
        <v>1</v>
      </c>
      <c r="N71" s="137" t="s">
        <v>3285</v>
      </c>
      <c r="O71" s="125"/>
      <c r="P71" s="125"/>
      <c r="Q71" s="125"/>
      <c r="R71" s="125"/>
      <c r="S71" s="125"/>
      <c r="T71" s="125"/>
      <c r="U71" s="128"/>
    </row>
    <row r="72" spans="1:21" ht="12.5">
      <c r="A72" s="138">
        <v>640</v>
      </c>
      <c r="B72" s="139">
        <v>41044</v>
      </c>
      <c r="C72" s="140" t="s">
        <v>2892</v>
      </c>
      <c r="D72" s="141" t="s">
        <v>2893</v>
      </c>
      <c r="E72" s="142" t="s">
        <v>35</v>
      </c>
      <c r="F72" s="142" t="s">
        <v>19</v>
      </c>
      <c r="G72" s="143">
        <v>1</v>
      </c>
      <c r="H72" s="144">
        <v>229000000</v>
      </c>
      <c r="I72" s="138" t="s">
        <v>20</v>
      </c>
      <c r="J72" s="138" t="s">
        <v>229</v>
      </c>
      <c r="K72" s="145" t="s">
        <v>3328</v>
      </c>
      <c r="L72" s="162" t="s">
        <v>923</v>
      </c>
      <c r="M72" s="147" t="b">
        <v>1</v>
      </c>
      <c r="N72" s="137" t="s">
        <v>3285</v>
      </c>
      <c r="O72" s="125"/>
      <c r="P72" s="125"/>
      <c r="Q72" s="125"/>
      <c r="R72" s="125"/>
      <c r="S72" s="125"/>
      <c r="T72" s="125"/>
      <c r="U72" s="128"/>
    </row>
    <row r="73" spans="1:21" ht="13">
      <c r="A73" s="138">
        <v>640.1</v>
      </c>
      <c r="B73" s="148"/>
      <c r="C73" s="140" t="s">
        <v>2895</v>
      </c>
      <c r="D73" s="141" t="s">
        <v>2896</v>
      </c>
      <c r="E73" s="148"/>
      <c r="F73" s="148"/>
      <c r="G73" s="143">
        <v>1</v>
      </c>
      <c r="H73" s="143">
        <v>0</v>
      </c>
      <c r="I73" s="138" t="s">
        <v>20</v>
      </c>
      <c r="J73" s="138" t="s">
        <v>229</v>
      </c>
      <c r="K73" s="161" t="s">
        <v>3329</v>
      </c>
      <c r="L73" s="127"/>
      <c r="M73" s="147" t="b">
        <v>1</v>
      </c>
      <c r="N73" s="137" t="s">
        <v>3285</v>
      </c>
      <c r="O73" s="125"/>
      <c r="P73" s="125"/>
      <c r="Q73" s="125"/>
      <c r="R73" s="125"/>
      <c r="S73" s="125"/>
      <c r="T73" s="125"/>
      <c r="U73" s="128"/>
    </row>
    <row r="74" spans="1:21" ht="12.5">
      <c r="A74" s="138">
        <v>645</v>
      </c>
      <c r="B74" s="139">
        <v>39994</v>
      </c>
      <c r="C74" s="140" t="s">
        <v>2908</v>
      </c>
      <c r="D74" s="141" t="s">
        <v>2909</v>
      </c>
      <c r="E74" s="142" t="s">
        <v>1008</v>
      </c>
      <c r="F74" s="142" t="s">
        <v>569</v>
      </c>
      <c r="G74" s="143">
        <v>1</v>
      </c>
      <c r="H74" s="144">
        <v>103874900</v>
      </c>
      <c r="I74" s="138" t="s">
        <v>20</v>
      </c>
      <c r="J74" s="138" t="s">
        <v>229</v>
      </c>
      <c r="K74" s="145" t="s">
        <v>3330</v>
      </c>
      <c r="L74" s="127"/>
      <c r="M74" s="147" t="b">
        <v>1</v>
      </c>
      <c r="N74" s="137" t="s">
        <v>3285</v>
      </c>
      <c r="O74" s="125"/>
      <c r="P74" s="125"/>
      <c r="Q74" s="125"/>
      <c r="R74" s="125"/>
      <c r="S74" s="125"/>
      <c r="T74" s="125"/>
      <c r="U74" s="128"/>
    </row>
    <row r="75" spans="1:21" ht="12.5">
      <c r="A75" s="138">
        <v>650</v>
      </c>
      <c r="B75" s="139">
        <v>42184</v>
      </c>
      <c r="C75" s="140" t="s">
        <v>2923</v>
      </c>
      <c r="D75" s="141" t="s">
        <v>2924</v>
      </c>
      <c r="E75" s="142" t="s">
        <v>55</v>
      </c>
      <c r="F75" s="142" t="s">
        <v>19</v>
      </c>
      <c r="G75" s="143">
        <v>1</v>
      </c>
      <c r="H75" s="144">
        <v>133099518</v>
      </c>
      <c r="I75" s="138" t="s">
        <v>20</v>
      </c>
      <c r="J75" s="138" t="s">
        <v>229</v>
      </c>
      <c r="K75" s="145" t="s">
        <v>3331</v>
      </c>
      <c r="L75" s="127"/>
      <c r="M75" s="147" t="b">
        <v>1</v>
      </c>
      <c r="N75" s="137" t="s">
        <v>3285</v>
      </c>
      <c r="O75" s="125"/>
      <c r="P75" s="125"/>
      <c r="Q75" s="125"/>
      <c r="R75" s="125"/>
      <c r="S75" s="125"/>
      <c r="T75" s="125"/>
      <c r="U75" s="128"/>
    </row>
    <row r="76" spans="1:21" ht="12.5">
      <c r="A76" s="138">
        <v>673</v>
      </c>
      <c r="B76" s="139">
        <v>43343</v>
      </c>
      <c r="C76" s="140" t="s">
        <v>2985</v>
      </c>
      <c r="D76" s="141" t="s">
        <v>2986</v>
      </c>
      <c r="E76" s="142" t="s">
        <v>248</v>
      </c>
      <c r="F76" s="142" t="s">
        <v>19</v>
      </c>
      <c r="G76" s="143">
        <v>1</v>
      </c>
      <c r="H76" s="144">
        <v>33500000</v>
      </c>
      <c r="I76" s="138" t="s">
        <v>20</v>
      </c>
      <c r="J76" s="138" t="s">
        <v>229</v>
      </c>
      <c r="K76" s="145" t="s">
        <v>3332</v>
      </c>
      <c r="L76" s="127"/>
      <c r="M76" s="147" t="b">
        <v>1</v>
      </c>
      <c r="N76" s="137" t="s">
        <v>3285</v>
      </c>
      <c r="O76" s="125"/>
      <c r="P76" s="125"/>
      <c r="Q76" s="125"/>
      <c r="R76" s="125"/>
      <c r="S76" s="125"/>
      <c r="T76" s="125"/>
      <c r="U76" s="128"/>
    </row>
    <row r="77" spans="1:21" ht="12.5">
      <c r="A77" s="138">
        <v>674</v>
      </c>
      <c r="B77" s="139">
        <v>43343</v>
      </c>
      <c r="C77" s="140" t="s">
        <v>2987</v>
      </c>
      <c r="D77" s="141" t="s">
        <v>2988</v>
      </c>
      <c r="E77" s="142" t="s">
        <v>248</v>
      </c>
      <c r="F77" s="142" t="s">
        <v>19</v>
      </c>
      <c r="G77" s="143">
        <v>1</v>
      </c>
      <c r="H77" s="144">
        <v>33500000</v>
      </c>
      <c r="I77" s="138" t="s">
        <v>20</v>
      </c>
      <c r="J77" s="138" t="s">
        <v>229</v>
      </c>
      <c r="K77" s="145" t="s">
        <v>3333</v>
      </c>
      <c r="L77" s="127"/>
      <c r="M77" s="147" t="b">
        <v>1</v>
      </c>
      <c r="N77" s="137" t="s">
        <v>3285</v>
      </c>
      <c r="O77" s="125"/>
      <c r="P77" s="125"/>
      <c r="Q77" s="125"/>
      <c r="R77" s="125"/>
      <c r="S77" s="125"/>
      <c r="T77" s="125"/>
      <c r="U77" s="128"/>
    </row>
    <row r="78" spans="1:21" ht="12.5">
      <c r="A78" s="138">
        <v>684</v>
      </c>
      <c r="B78" s="139">
        <v>36160</v>
      </c>
      <c r="C78" s="140" t="s">
        <v>3013</v>
      </c>
      <c r="D78" s="141" t="s">
        <v>3014</v>
      </c>
      <c r="E78" s="148"/>
      <c r="F78" s="142" t="s">
        <v>19</v>
      </c>
      <c r="G78" s="143">
        <v>1</v>
      </c>
      <c r="H78" s="144">
        <v>80054700</v>
      </c>
      <c r="I78" s="138" t="s">
        <v>20</v>
      </c>
      <c r="J78" s="138" t="s">
        <v>229</v>
      </c>
      <c r="K78" s="145" t="s">
        <v>3334</v>
      </c>
      <c r="L78" s="127"/>
      <c r="M78" s="147" t="b">
        <v>1</v>
      </c>
      <c r="N78" s="137" t="s">
        <v>3285</v>
      </c>
      <c r="O78" s="125"/>
      <c r="P78" s="125"/>
      <c r="Q78" s="125"/>
      <c r="R78" s="125"/>
      <c r="S78" s="125"/>
      <c r="T78" s="125"/>
      <c r="U78" s="128"/>
    </row>
    <row r="79" spans="1:21" ht="12.5">
      <c r="A79" s="138">
        <v>684.1</v>
      </c>
      <c r="B79" s="148"/>
      <c r="C79" s="140" t="s">
        <v>3016</v>
      </c>
      <c r="D79" s="141" t="s">
        <v>3017</v>
      </c>
      <c r="E79" s="148"/>
      <c r="F79" s="148"/>
      <c r="G79" s="143">
        <v>1</v>
      </c>
      <c r="H79" s="148"/>
      <c r="I79" s="138" t="s">
        <v>20</v>
      </c>
      <c r="J79" s="138" t="s">
        <v>229</v>
      </c>
      <c r="K79" s="145" t="s">
        <v>3334</v>
      </c>
      <c r="L79" s="127"/>
      <c r="M79" s="147" t="b">
        <v>1</v>
      </c>
      <c r="N79" s="137" t="s">
        <v>3285</v>
      </c>
      <c r="O79" s="125"/>
      <c r="P79" s="125"/>
      <c r="Q79" s="125"/>
      <c r="R79" s="125"/>
      <c r="S79" s="125"/>
      <c r="T79" s="125"/>
      <c r="U79" s="128"/>
    </row>
    <row r="80" spans="1:21" ht="12.5">
      <c r="A80" s="138">
        <v>684.2</v>
      </c>
      <c r="B80" s="148"/>
      <c r="C80" s="140" t="s">
        <v>3019</v>
      </c>
      <c r="D80" s="141" t="s">
        <v>3020</v>
      </c>
      <c r="E80" s="148"/>
      <c r="F80" s="148"/>
      <c r="G80" s="143">
        <v>1</v>
      </c>
      <c r="H80" s="148"/>
      <c r="I80" s="138" t="s">
        <v>20</v>
      </c>
      <c r="J80" s="138" t="s">
        <v>229</v>
      </c>
      <c r="K80" s="145" t="s">
        <v>3334</v>
      </c>
      <c r="L80" s="127"/>
      <c r="M80" s="147" t="b">
        <v>1</v>
      </c>
      <c r="N80" s="137" t="s">
        <v>3285</v>
      </c>
      <c r="O80" s="125"/>
      <c r="P80" s="125"/>
      <c r="Q80" s="125"/>
      <c r="R80" s="125"/>
      <c r="S80" s="125"/>
      <c r="T80" s="125"/>
      <c r="U80" s="128"/>
    </row>
    <row r="81" spans="1:21" ht="12.5">
      <c r="A81" s="138">
        <v>684.3</v>
      </c>
      <c r="B81" s="148"/>
      <c r="C81" s="140" t="s">
        <v>3022</v>
      </c>
      <c r="D81" s="141" t="s">
        <v>3023</v>
      </c>
      <c r="E81" s="148"/>
      <c r="F81" s="148"/>
      <c r="G81" s="143">
        <v>1</v>
      </c>
      <c r="H81" s="148"/>
      <c r="I81" s="138" t="s">
        <v>20</v>
      </c>
      <c r="J81" s="138" t="s">
        <v>229</v>
      </c>
      <c r="K81" s="145" t="s">
        <v>3334</v>
      </c>
      <c r="L81" s="127"/>
      <c r="M81" s="147" t="b">
        <v>1</v>
      </c>
      <c r="N81" s="137" t="s">
        <v>3285</v>
      </c>
      <c r="O81" s="125"/>
      <c r="P81" s="125"/>
      <c r="Q81" s="125"/>
      <c r="R81" s="125"/>
      <c r="S81" s="125"/>
      <c r="T81" s="125"/>
      <c r="U81" s="128"/>
    </row>
    <row r="82" spans="1:21" ht="12.5">
      <c r="A82" s="138">
        <v>688</v>
      </c>
      <c r="B82" s="139">
        <v>40948</v>
      </c>
      <c r="C82" s="140" t="s">
        <v>3036</v>
      </c>
      <c r="D82" s="141" t="s">
        <v>3037</v>
      </c>
      <c r="E82" s="142" t="s">
        <v>1435</v>
      </c>
      <c r="F82" s="142" t="s">
        <v>249</v>
      </c>
      <c r="G82" s="143">
        <v>1</v>
      </c>
      <c r="H82" s="144">
        <v>75050674</v>
      </c>
      <c r="I82" s="138" t="s">
        <v>20</v>
      </c>
      <c r="J82" s="138" t="s">
        <v>229</v>
      </c>
      <c r="K82" s="145" t="s">
        <v>3335</v>
      </c>
      <c r="L82" s="127"/>
      <c r="M82" s="147" t="b">
        <v>1</v>
      </c>
      <c r="N82" s="137" t="s">
        <v>3285</v>
      </c>
      <c r="O82" s="125"/>
      <c r="P82" s="125"/>
      <c r="Q82" s="125"/>
      <c r="R82" s="125"/>
      <c r="S82" s="125"/>
      <c r="T82" s="125"/>
      <c r="U82" s="128"/>
    </row>
    <row r="83" spans="1:21" ht="12.5">
      <c r="A83" s="138">
        <v>689</v>
      </c>
      <c r="B83" s="139">
        <v>40948</v>
      </c>
      <c r="C83" s="140" t="s">
        <v>3038</v>
      </c>
      <c r="D83" s="141" t="s">
        <v>3039</v>
      </c>
      <c r="E83" s="142" t="s">
        <v>1435</v>
      </c>
      <c r="F83" s="142" t="s">
        <v>249</v>
      </c>
      <c r="G83" s="143">
        <v>1</v>
      </c>
      <c r="H83" s="144">
        <v>75050674</v>
      </c>
      <c r="I83" s="138" t="s">
        <v>20</v>
      </c>
      <c r="J83" s="138" t="s">
        <v>229</v>
      </c>
      <c r="K83" s="145" t="s">
        <v>3336</v>
      </c>
      <c r="L83" s="127"/>
      <c r="M83" s="147" t="b">
        <v>1</v>
      </c>
      <c r="N83" s="137" t="s">
        <v>3285</v>
      </c>
      <c r="O83" s="125"/>
      <c r="P83" s="125"/>
      <c r="Q83" s="125"/>
      <c r="R83" s="125"/>
      <c r="S83" s="125"/>
      <c r="T83" s="125"/>
      <c r="U83" s="128"/>
    </row>
    <row r="84" spans="1:21" ht="12.5">
      <c r="A84" s="138">
        <v>698</v>
      </c>
      <c r="B84" s="139">
        <v>41500</v>
      </c>
      <c r="C84" s="140" t="s">
        <v>3066</v>
      </c>
      <c r="D84" s="141" t="s">
        <v>3067</v>
      </c>
      <c r="E84" s="142" t="s">
        <v>35</v>
      </c>
      <c r="F84" s="142" t="s">
        <v>157</v>
      </c>
      <c r="G84" s="143">
        <v>1</v>
      </c>
      <c r="H84" s="144">
        <v>50295000</v>
      </c>
      <c r="I84" s="138" t="s">
        <v>20</v>
      </c>
      <c r="J84" s="138" t="s">
        <v>229</v>
      </c>
      <c r="K84" s="145" t="s">
        <v>3337</v>
      </c>
      <c r="L84" s="127"/>
      <c r="M84" s="147" t="b">
        <v>1</v>
      </c>
      <c r="N84" s="137" t="s">
        <v>3285</v>
      </c>
      <c r="O84" s="125"/>
      <c r="P84" s="125"/>
      <c r="Q84" s="125"/>
      <c r="R84" s="125"/>
      <c r="S84" s="125"/>
      <c r="T84" s="125"/>
      <c r="U84" s="128"/>
    </row>
    <row r="85" spans="1:21" ht="12.5">
      <c r="A85" s="138">
        <v>735</v>
      </c>
      <c r="B85" s="139">
        <v>43256</v>
      </c>
      <c r="C85" s="140" t="s">
        <v>3134</v>
      </c>
      <c r="D85" s="141" t="s">
        <v>3132</v>
      </c>
      <c r="E85" s="142" t="s">
        <v>2018</v>
      </c>
      <c r="F85" s="142" t="s">
        <v>522</v>
      </c>
      <c r="G85" s="143">
        <v>1</v>
      </c>
      <c r="H85" s="144">
        <v>1007164447</v>
      </c>
      <c r="I85" s="138" t="s">
        <v>20</v>
      </c>
      <c r="J85" s="138" t="s">
        <v>229</v>
      </c>
      <c r="K85" s="145" t="s">
        <v>3338</v>
      </c>
      <c r="L85" s="127"/>
      <c r="M85" s="147" t="b">
        <v>1</v>
      </c>
      <c r="N85" s="137" t="s">
        <v>3285</v>
      </c>
      <c r="O85" s="125"/>
      <c r="P85" s="125"/>
      <c r="Q85" s="125"/>
      <c r="R85" s="125"/>
      <c r="S85" s="125"/>
      <c r="T85" s="125"/>
      <c r="U85" s="128"/>
    </row>
    <row r="86" spans="1:21" ht="12.5">
      <c r="A86" s="138">
        <v>736</v>
      </c>
      <c r="B86" s="139">
        <v>43256</v>
      </c>
      <c r="C86" s="140" t="s">
        <v>3135</v>
      </c>
      <c r="D86" s="141" t="s">
        <v>3136</v>
      </c>
      <c r="E86" s="142" t="s">
        <v>2018</v>
      </c>
      <c r="F86" s="142" t="s">
        <v>522</v>
      </c>
      <c r="G86" s="143">
        <v>1</v>
      </c>
      <c r="H86" s="144">
        <v>124836423</v>
      </c>
      <c r="I86" s="138" t="s">
        <v>20</v>
      </c>
      <c r="J86" s="138" t="s">
        <v>229</v>
      </c>
      <c r="K86" s="145" t="s">
        <v>3339</v>
      </c>
      <c r="L86" s="127"/>
      <c r="M86" s="147" t="b">
        <v>1</v>
      </c>
      <c r="N86" s="137" t="s">
        <v>3285</v>
      </c>
      <c r="O86" s="125"/>
      <c r="P86" s="125"/>
      <c r="Q86" s="125"/>
      <c r="R86" s="125"/>
      <c r="S86" s="125"/>
      <c r="T86" s="125"/>
      <c r="U86" s="128"/>
    </row>
    <row r="87" spans="1:21" ht="12.5">
      <c r="A87" s="167">
        <v>769</v>
      </c>
      <c r="B87" s="168">
        <v>44515</v>
      </c>
      <c r="C87" s="169" t="s">
        <v>3221</v>
      </c>
      <c r="D87" s="141" t="s">
        <v>3222</v>
      </c>
      <c r="E87" s="170" t="s">
        <v>35</v>
      </c>
      <c r="F87" s="170" t="s">
        <v>19</v>
      </c>
      <c r="G87" s="170">
        <v>1</v>
      </c>
      <c r="H87" s="171">
        <v>272000000</v>
      </c>
      <c r="I87" s="138" t="s">
        <v>20</v>
      </c>
      <c r="J87" s="138" t="s">
        <v>229</v>
      </c>
      <c r="K87" s="145" t="s">
        <v>3340</v>
      </c>
      <c r="L87" s="127"/>
      <c r="M87" s="147" t="b">
        <v>1</v>
      </c>
      <c r="N87" s="137" t="s">
        <v>3285</v>
      </c>
      <c r="O87" s="125"/>
      <c r="P87" s="125"/>
      <c r="Q87" s="125"/>
      <c r="R87" s="125"/>
      <c r="S87" s="125"/>
      <c r="T87" s="125"/>
      <c r="U87" s="128"/>
    </row>
    <row r="88" spans="1:21" ht="12.5">
      <c r="A88" s="167">
        <v>389</v>
      </c>
      <c r="B88" s="168">
        <v>44916</v>
      </c>
      <c r="C88" s="169" t="s">
        <v>3242</v>
      </c>
      <c r="D88" s="172" t="s">
        <v>3341</v>
      </c>
      <c r="E88" s="170" t="s">
        <v>2015</v>
      </c>
      <c r="F88" s="170" t="s">
        <v>249</v>
      </c>
      <c r="G88" s="170">
        <v>1</v>
      </c>
      <c r="H88" s="171">
        <v>45000000</v>
      </c>
      <c r="I88" s="138" t="s">
        <v>20</v>
      </c>
      <c r="J88" s="138" t="s">
        <v>229</v>
      </c>
      <c r="K88" s="173" t="s">
        <v>3342</v>
      </c>
      <c r="L88" s="128"/>
      <c r="M88" s="147" t="b">
        <v>1</v>
      </c>
      <c r="N88" s="174" t="s">
        <v>3285</v>
      </c>
      <c r="O88" s="128"/>
      <c r="P88" s="128"/>
      <c r="Q88" s="128"/>
      <c r="R88" s="128"/>
      <c r="S88" s="128"/>
      <c r="T88" s="128"/>
      <c r="U88" s="128"/>
    </row>
    <row r="89" spans="1:21" ht="12.5">
      <c r="A89" s="167">
        <v>632</v>
      </c>
      <c r="B89" s="168">
        <v>41274</v>
      </c>
      <c r="C89" s="169" t="s">
        <v>3249</v>
      </c>
      <c r="D89" s="172" t="s">
        <v>3250</v>
      </c>
      <c r="E89" s="170" t="s">
        <v>1008</v>
      </c>
      <c r="F89" s="170" t="s">
        <v>19</v>
      </c>
      <c r="G89" s="170">
        <v>1</v>
      </c>
      <c r="H89" s="171">
        <v>475585133</v>
      </c>
      <c r="I89" s="138" t="s">
        <v>20</v>
      </c>
      <c r="J89" s="138" t="s">
        <v>229</v>
      </c>
      <c r="K89" s="173" t="s">
        <v>3343</v>
      </c>
      <c r="L89" s="128"/>
      <c r="M89" s="147" t="b">
        <v>1</v>
      </c>
      <c r="N89" s="174" t="s">
        <v>3285</v>
      </c>
      <c r="O89" s="128"/>
      <c r="P89" s="128"/>
      <c r="Q89" s="128"/>
      <c r="R89" s="128"/>
      <c r="S89" s="128"/>
      <c r="T89" s="128"/>
      <c r="U89" s="128"/>
    </row>
    <row r="90" spans="1:21" ht="12.5">
      <c r="A90" s="167">
        <v>633</v>
      </c>
      <c r="B90" s="168">
        <v>41274</v>
      </c>
      <c r="C90" s="169" t="s">
        <v>3251</v>
      </c>
      <c r="D90" s="172" t="s">
        <v>3252</v>
      </c>
      <c r="E90" s="170" t="s">
        <v>1008</v>
      </c>
      <c r="F90" s="170" t="s">
        <v>19</v>
      </c>
      <c r="G90" s="170">
        <v>1</v>
      </c>
      <c r="H90" s="171">
        <v>475585133</v>
      </c>
      <c r="I90" s="138" t="s">
        <v>20</v>
      </c>
      <c r="J90" s="138" t="s">
        <v>229</v>
      </c>
      <c r="K90" s="173" t="s">
        <v>3344</v>
      </c>
      <c r="L90" s="128"/>
      <c r="M90" s="147" t="b">
        <v>1</v>
      </c>
      <c r="N90" s="174" t="s">
        <v>3285</v>
      </c>
      <c r="O90" s="128"/>
      <c r="P90" s="128"/>
      <c r="Q90" s="128"/>
      <c r="R90" s="128"/>
      <c r="S90" s="128"/>
      <c r="T90" s="128"/>
      <c r="U90" s="128"/>
    </row>
    <row r="91" spans="1:21" ht="12.5">
      <c r="A91" s="167">
        <v>634</v>
      </c>
      <c r="B91" s="168">
        <v>41274</v>
      </c>
      <c r="C91" s="169" t="s">
        <v>3253</v>
      </c>
      <c r="D91" s="172" t="s">
        <v>3254</v>
      </c>
      <c r="E91" s="170" t="s">
        <v>1008</v>
      </c>
      <c r="F91" s="170" t="s">
        <v>19</v>
      </c>
      <c r="G91" s="170">
        <v>1</v>
      </c>
      <c r="H91" s="171">
        <v>475585133</v>
      </c>
      <c r="I91" s="138" t="s">
        <v>20</v>
      </c>
      <c r="J91" s="138" t="s">
        <v>229</v>
      </c>
      <c r="K91" s="173" t="s">
        <v>3345</v>
      </c>
      <c r="L91" s="128"/>
      <c r="M91" s="147" t="b">
        <v>1</v>
      </c>
      <c r="N91" s="174" t="s">
        <v>3285</v>
      </c>
      <c r="O91" s="128"/>
      <c r="P91" s="128"/>
      <c r="Q91" s="128"/>
      <c r="R91" s="128"/>
      <c r="S91" s="128"/>
      <c r="T91" s="128"/>
      <c r="U91" s="128"/>
    </row>
    <row r="92" spans="1:21" ht="12.5">
      <c r="A92" s="175">
        <v>395</v>
      </c>
      <c r="B92" s="176">
        <v>45931</v>
      </c>
      <c r="C92" s="177" t="s">
        <v>3346</v>
      </c>
      <c r="D92" s="178" t="s">
        <v>3347</v>
      </c>
      <c r="E92" s="175" t="s">
        <v>248</v>
      </c>
      <c r="F92" s="175" t="s">
        <v>249</v>
      </c>
      <c r="G92" s="179"/>
      <c r="H92" s="180">
        <v>82780000</v>
      </c>
      <c r="I92" s="181" t="s">
        <v>20</v>
      </c>
      <c r="J92" s="182" t="s">
        <v>229</v>
      </c>
      <c r="K92" s="183" t="s">
        <v>3348</v>
      </c>
      <c r="L92" s="184" t="s">
        <v>3349</v>
      </c>
      <c r="M92" s="185" t="b">
        <v>1</v>
      </c>
      <c r="N92" s="174" t="s">
        <v>3285</v>
      </c>
      <c r="O92" s="128"/>
      <c r="P92" s="128"/>
      <c r="Q92" s="128"/>
      <c r="R92" s="128"/>
      <c r="S92" s="128"/>
      <c r="T92" s="128"/>
      <c r="U92" s="128"/>
    </row>
    <row r="93" spans="1:21" ht="12.5">
      <c r="A93" s="186"/>
      <c r="B93" s="186"/>
      <c r="C93" s="187"/>
      <c r="D93" s="186"/>
      <c r="E93" s="186"/>
      <c r="F93" s="186"/>
      <c r="G93" s="186"/>
      <c r="H93" s="186"/>
      <c r="I93" s="188"/>
      <c r="J93" s="186"/>
      <c r="K93" s="186"/>
      <c r="L93" s="189"/>
      <c r="M93" s="128"/>
      <c r="N93" s="128"/>
      <c r="O93" s="128"/>
      <c r="P93" s="128"/>
      <c r="Q93" s="128"/>
      <c r="R93" s="128"/>
      <c r="S93" s="128"/>
      <c r="T93" s="128"/>
      <c r="U93" s="128"/>
    </row>
    <row r="94" spans="1:21" ht="12.5">
      <c r="A94" s="128"/>
      <c r="B94" s="128"/>
      <c r="C94" s="190"/>
      <c r="D94" s="128"/>
      <c r="E94" s="128"/>
      <c r="F94" s="128"/>
      <c r="G94" s="128"/>
      <c r="H94" s="128"/>
      <c r="I94" s="128"/>
      <c r="J94" s="128"/>
      <c r="K94" s="128"/>
      <c r="L94" s="128"/>
      <c r="M94" s="128"/>
      <c r="N94" s="128"/>
      <c r="O94" s="128"/>
      <c r="P94" s="128"/>
      <c r="Q94" s="128"/>
      <c r="R94" s="128"/>
      <c r="S94" s="128"/>
      <c r="T94" s="128"/>
      <c r="U94" s="128"/>
    </row>
    <row r="95" spans="1:21" ht="12.5">
      <c r="A95" s="128"/>
      <c r="B95" s="128"/>
      <c r="C95" s="190"/>
      <c r="D95" s="128"/>
      <c r="E95" s="128"/>
      <c r="F95" s="128"/>
      <c r="G95" s="128"/>
      <c r="H95" s="408" t="s">
        <v>3350</v>
      </c>
      <c r="I95" s="406"/>
      <c r="J95" s="406"/>
      <c r="K95" s="128"/>
      <c r="L95" s="128"/>
      <c r="M95" s="128"/>
      <c r="N95" s="128"/>
      <c r="O95" s="128"/>
      <c r="P95" s="128"/>
      <c r="Q95" s="128"/>
      <c r="R95" s="128"/>
      <c r="S95" s="128"/>
      <c r="T95" s="128"/>
      <c r="U95" s="128"/>
    </row>
    <row r="96" spans="1:21" ht="12.5">
      <c r="A96" s="128"/>
      <c r="B96" s="128"/>
      <c r="C96" s="190"/>
      <c r="D96" s="128"/>
      <c r="E96" s="128"/>
      <c r="F96" s="128"/>
      <c r="G96" s="128"/>
      <c r="H96" s="128"/>
      <c r="I96" s="191" t="s">
        <v>3351</v>
      </c>
      <c r="J96" s="128"/>
      <c r="K96" s="128"/>
      <c r="L96" s="128"/>
      <c r="M96" s="128"/>
      <c r="N96" s="128"/>
      <c r="O96" s="128"/>
      <c r="P96" s="128"/>
      <c r="Q96" s="128"/>
      <c r="R96" s="128"/>
      <c r="S96" s="128"/>
      <c r="T96" s="128"/>
      <c r="U96" s="128"/>
    </row>
    <row r="97" spans="1:21" ht="12.5">
      <c r="A97" s="128"/>
      <c r="B97" s="128"/>
      <c r="C97" s="190"/>
      <c r="D97" s="128"/>
      <c r="E97" s="128"/>
      <c r="F97" s="192"/>
      <c r="G97" s="128"/>
      <c r="H97" s="128"/>
      <c r="I97" s="128"/>
      <c r="J97" s="128"/>
      <c r="K97" s="128"/>
      <c r="L97" s="128"/>
      <c r="M97" s="128"/>
      <c r="N97" s="128"/>
      <c r="O97" s="128"/>
      <c r="P97" s="128"/>
      <c r="Q97" s="128"/>
      <c r="R97" s="128"/>
      <c r="S97" s="128"/>
      <c r="T97" s="128"/>
      <c r="U97" s="128"/>
    </row>
    <row r="98" spans="1:21" ht="12.5">
      <c r="C98" s="123"/>
    </row>
    <row r="99" spans="1:21" ht="12.5">
      <c r="C99" s="123"/>
    </row>
    <row r="100" spans="1:21" ht="12.5">
      <c r="C100" s="123"/>
    </row>
    <row r="101" spans="1:21" ht="12.5">
      <c r="C101" s="123"/>
    </row>
    <row r="102" spans="1:21" ht="12.5">
      <c r="C102" s="123"/>
    </row>
    <row r="103" spans="1:21" ht="12.5">
      <c r="C103" s="123"/>
    </row>
    <row r="104" spans="1:21" ht="12.5">
      <c r="C104" s="123"/>
    </row>
    <row r="105" spans="1:21" ht="12.5">
      <c r="C105" s="123"/>
    </row>
    <row r="106" spans="1:21" ht="12.5">
      <c r="C106" s="123"/>
    </row>
    <row r="107" spans="1:21" ht="12.5">
      <c r="C107" s="123"/>
    </row>
    <row r="108" spans="1:21" ht="12.5">
      <c r="C108" s="123"/>
    </row>
    <row r="109" spans="1:21" ht="12.5">
      <c r="C109" s="123"/>
    </row>
    <row r="110" spans="1:21" ht="12.5">
      <c r="C110" s="123"/>
    </row>
    <row r="111" spans="1:21" ht="12.5">
      <c r="C111" s="123"/>
    </row>
    <row r="112" spans="1:21" ht="12.5">
      <c r="C112" s="123"/>
    </row>
    <row r="113" spans="3:3" ht="12.5">
      <c r="C113" s="123"/>
    </row>
    <row r="114" spans="3:3" ht="12.5">
      <c r="C114" s="123"/>
    </row>
    <row r="115" spans="3:3" ht="12.5">
      <c r="C115" s="123"/>
    </row>
    <row r="116" spans="3:3" ht="12.5">
      <c r="C116" s="123"/>
    </row>
    <row r="117" spans="3:3" ht="12.5">
      <c r="C117" s="123"/>
    </row>
    <row r="118" spans="3:3" ht="12.5">
      <c r="C118" s="123"/>
    </row>
    <row r="119" spans="3:3" ht="12.5">
      <c r="C119" s="123"/>
    </row>
    <row r="120" spans="3:3" ht="12.5">
      <c r="C120" s="123"/>
    </row>
    <row r="121" spans="3:3" ht="12.5">
      <c r="C121" s="123"/>
    </row>
    <row r="122" spans="3:3" ht="12.5">
      <c r="C122" s="123"/>
    </row>
    <row r="123" spans="3:3" ht="12.5">
      <c r="C123" s="123"/>
    </row>
    <row r="124" spans="3:3" ht="12.5">
      <c r="C124" s="123"/>
    </row>
    <row r="125" spans="3:3" ht="12.5">
      <c r="C125" s="123"/>
    </row>
    <row r="126" spans="3:3" ht="12.5">
      <c r="C126" s="123"/>
    </row>
    <row r="127" spans="3:3" ht="12.5">
      <c r="C127" s="123"/>
    </row>
    <row r="128" spans="3:3" ht="12.5">
      <c r="C128" s="123"/>
    </row>
    <row r="129" spans="3:3" ht="12.5">
      <c r="C129" s="123"/>
    </row>
    <row r="130" spans="3:3" ht="12.5">
      <c r="C130" s="123"/>
    </row>
    <row r="131" spans="3:3" ht="12.5">
      <c r="C131" s="123"/>
    </row>
    <row r="132" spans="3:3" ht="12.5">
      <c r="C132" s="123"/>
    </row>
    <row r="133" spans="3:3" ht="12.5">
      <c r="C133" s="123"/>
    </row>
    <row r="134" spans="3:3" ht="12.5">
      <c r="C134" s="123"/>
    </row>
    <row r="135" spans="3:3" ht="12.5">
      <c r="C135" s="123"/>
    </row>
    <row r="136" spans="3:3" ht="12.5">
      <c r="C136" s="123"/>
    </row>
    <row r="137" spans="3:3" ht="12.5">
      <c r="C137" s="123"/>
    </row>
    <row r="138" spans="3:3" ht="12.5">
      <c r="C138" s="123"/>
    </row>
    <row r="139" spans="3:3" ht="12.5">
      <c r="C139" s="123"/>
    </row>
    <row r="140" spans="3:3" ht="12.5">
      <c r="C140" s="123"/>
    </row>
    <row r="141" spans="3:3" ht="12.5">
      <c r="C141" s="123"/>
    </row>
    <row r="142" spans="3:3" ht="12.5">
      <c r="C142" s="123"/>
    </row>
    <row r="143" spans="3:3" ht="12.5">
      <c r="C143" s="123"/>
    </row>
    <row r="144" spans="3:3" ht="12.5">
      <c r="C144" s="123"/>
    </row>
    <row r="145" spans="3:3" ht="12.5">
      <c r="C145" s="123"/>
    </row>
    <row r="146" spans="3:3" ht="12.5">
      <c r="C146" s="123"/>
    </row>
    <row r="147" spans="3:3" ht="12.5">
      <c r="C147" s="123"/>
    </row>
    <row r="148" spans="3:3" ht="12.5">
      <c r="C148" s="123"/>
    </row>
    <row r="149" spans="3:3" ht="12.5">
      <c r="C149" s="123"/>
    </row>
    <row r="150" spans="3:3" ht="12.5">
      <c r="C150" s="123"/>
    </row>
    <row r="151" spans="3:3" ht="12.5">
      <c r="C151" s="123"/>
    </row>
    <row r="152" spans="3:3" ht="12.5">
      <c r="C152" s="123"/>
    </row>
    <row r="153" spans="3:3" ht="12.5">
      <c r="C153" s="123"/>
    </row>
    <row r="154" spans="3:3" ht="12.5">
      <c r="C154" s="123"/>
    </row>
    <row r="155" spans="3:3" ht="12.5">
      <c r="C155" s="123"/>
    </row>
    <row r="156" spans="3:3" ht="12.5">
      <c r="C156" s="123"/>
    </row>
    <row r="157" spans="3:3" ht="12.5">
      <c r="C157" s="123"/>
    </row>
    <row r="158" spans="3:3" ht="12.5">
      <c r="C158" s="123"/>
    </row>
    <row r="159" spans="3:3" ht="12.5">
      <c r="C159" s="123"/>
    </row>
    <row r="160" spans="3:3" ht="12.5">
      <c r="C160" s="123"/>
    </row>
    <row r="161" spans="3:3" ht="12.5">
      <c r="C161" s="123"/>
    </row>
    <row r="162" spans="3:3" ht="12.5">
      <c r="C162" s="123"/>
    </row>
    <row r="163" spans="3:3" ht="12.5">
      <c r="C163" s="123"/>
    </row>
    <row r="164" spans="3:3" ht="12.5">
      <c r="C164" s="123"/>
    </row>
    <row r="165" spans="3:3" ht="12.5">
      <c r="C165" s="123"/>
    </row>
    <row r="166" spans="3:3" ht="12.5">
      <c r="C166" s="123"/>
    </row>
    <row r="167" spans="3:3" ht="12.5">
      <c r="C167" s="123"/>
    </row>
    <row r="168" spans="3:3" ht="12.5">
      <c r="C168" s="123"/>
    </row>
    <row r="169" spans="3:3" ht="12.5">
      <c r="C169" s="123"/>
    </row>
    <row r="170" spans="3:3" ht="12.5">
      <c r="C170" s="123"/>
    </row>
    <row r="171" spans="3:3" ht="12.5">
      <c r="C171" s="123"/>
    </row>
    <row r="172" spans="3:3" ht="12.5">
      <c r="C172" s="123"/>
    </row>
    <row r="173" spans="3:3" ht="12.5">
      <c r="C173" s="123"/>
    </row>
    <row r="174" spans="3:3" ht="12.5">
      <c r="C174" s="123"/>
    </row>
    <row r="175" spans="3:3" ht="12.5">
      <c r="C175" s="123"/>
    </row>
    <row r="176" spans="3:3" ht="12.5">
      <c r="C176" s="123"/>
    </row>
    <row r="177" spans="3:3" ht="12.5">
      <c r="C177" s="123"/>
    </row>
    <row r="178" spans="3:3" ht="12.5">
      <c r="C178" s="123"/>
    </row>
    <row r="179" spans="3:3" ht="12.5">
      <c r="C179" s="123"/>
    </row>
    <row r="180" spans="3:3" ht="12.5">
      <c r="C180" s="123"/>
    </row>
    <row r="181" spans="3:3" ht="12.5">
      <c r="C181" s="123"/>
    </row>
    <row r="182" spans="3:3" ht="12.5">
      <c r="C182" s="123"/>
    </row>
    <row r="183" spans="3:3" ht="12.5">
      <c r="C183" s="123"/>
    </row>
    <row r="184" spans="3:3" ht="12.5">
      <c r="C184" s="123"/>
    </row>
    <row r="185" spans="3:3" ht="12.5">
      <c r="C185" s="123"/>
    </row>
    <row r="186" spans="3:3" ht="12.5">
      <c r="C186" s="123"/>
    </row>
    <row r="187" spans="3:3" ht="12.5">
      <c r="C187" s="123"/>
    </row>
    <row r="188" spans="3:3" ht="12.5">
      <c r="C188" s="123"/>
    </row>
    <row r="189" spans="3:3" ht="12.5">
      <c r="C189" s="123"/>
    </row>
    <row r="190" spans="3:3" ht="12.5">
      <c r="C190" s="123"/>
    </row>
    <row r="191" spans="3:3" ht="12.5">
      <c r="C191" s="123"/>
    </row>
    <row r="192" spans="3:3" ht="12.5">
      <c r="C192" s="123"/>
    </row>
    <row r="193" spans="3:3" ht="12.5">
      <c r="C193" s="123"/>
    </row>
    <row r="194" spans="3:3" ht="12.5">
      <c r="C194" s="123"/>
    </row>
    <row r="195" spans="3:3" ht="12.5">
      <c r="C195" s="123"/>
    </row>
    <row r="196" spans="3:3" ht="12.5">
      <c r="C196" s="123"/>
    </row>
    <row r="197" spans="3:3" ht="12.5">
      <c r="C197" s="123"/>
    </row>
    <row r="198" spans="3:3" ht="12.5">
      <c r="C198" s="123"/>
    </row>
    <row r="199" spans="3:3" ht="12.5">
      <c r="C199" s="123"/>
    </row>
    <row r="200" spans="3:3" ht="12.5">
      <c r="C200" s="123"/>
    </row>
    <row r="201" spans="3:3" ht="12.5">
      <c r="C201" s="123"/>
    </row>
    <row r="202" spans="3:3" ht="12.5">
      <c r="C202" s="123"/>
    </row>
    <row r="203" spans="3:3" ht="12.5">
      <c r="C203" s="123"/>
    </row>
    <row r="204" spans="3:3" ht="12.5">
      <c r="C204" s="123"/>
    </row>
    <row r="205" spans="3:3" ht="12.5">
      <c r="C205" s="123"/>
    </row>
    <row r="206" spans="3:3" ht="12.5">
      <c r="C206" s="123"/>
    </row>
    <row r="207" spans="3:3" ht="12.5">
      <c r="C207" s="123"/>
    </row>
    <row r="208" spans="3:3" ht="12.5">
      <c r="C208" s="123"/>
    </row>
    <row r="209" spans="3:3" ht="12.5">
      <c r="C209" s="123"/>
    </row>
    <row r="210" spans="3:3" ht="12.5">
      <c r="C210" s="123"/>
    </row>
    <row r="211" spans="3:3" ht="12.5">
      <c r="C211" s="123"/>
    </row>
    <row r="212" spans="3:3" ht="12.5">
      <c r="C212" s="123"/>
    </row>
    <row r="213" spans="3:3" ht="12.5">
      <c r="C213" s="123"/>
    </row>
    <row r="214" spans="3:3" ht="12.5">
      <c r="C214" s="123"/>
    </row>
    <row r="215" spans="3:3" ht="12.5">
      <c r="C215" s="123"/>
    </row>
    <row r="216" spans="3:3" ht="12.5">
      <c r="C216" s="123"/>
    </row>
    <row r="217" spans="3:3" ht="12.5">
      <c r="C217" s="123"/>
    </row>
    <row r="218" spans="3:3" ht="12.5">
      <c r="C218" s="123"/>
    </row>
    <row r="219" spans="3:3" ht="12.5">
      <c r="C219" s="123"/>
    </row>
    <row r="220" spans="3:3" ht="12.5">
      <c r="C220" s="123"/>
    </row>
    <row r="221" spans="3:3" ht="12.5">
      <c r="C221" s="123"/>
    </row>
    <row r="222" spans="3:3" ht="12.5">
      <c r="C222" s="123"/>
    </row>
    <row r="223" spans="3:3" ht="12.5">
      <c r="C223" s="123"/>
    </row>
    <row r="224" spans="3:3" ht="12.5">
      <c r="C224" s="123"/>
    </row>
    <row r="225" spans="3:3" ht="12.5">
      <c r="C225" s="123"/>
    </row>
    <row r="226" spans="3:3" ht="12.5">
      <c r="C226" s="123"/>
    </row>
    <row r="227" spans="3:3" ht="12.5">
      <c r="C227" s="123"/>
    </row>
    <row r="228" spans="3:3" ht="12.5">
      <c r="C228" s="123"/>
    </row>
    <row r="229" spans="3:3" ht="12.5">
      <c r="C229" s="123"/>
    </row>
    <row r="230" spans="3:3" ht="12.5">
      <c r="C230" s="123"/>
    </row>
    <row r="231" spans="3:3" ht="12.5">
      <c r="C231" s="123"/>
    </row>
    <row r="232" spans="3:3" ht="12.5">
      <c r="C232" s="123"/>
    </row>
    <row r="233" spans="3:3" ht="12.5">
      <c r="C233" s="123"/>
    </row>
    <row r="234" spans="3:3" ht="12.5">
      <c r="C234" s="123"/>
    </row>
    <row r="235" spans="3:3" ht="12.5">
      <c r="C235" s="123"/>
    </row>
    <row r="236" spans="3:3" ht="12.5">
      <c r="C236" s="123"/>
    </row>
    <row r="237" spans="3:3" ht="12.5">
      <c r="C237" s="123"/>
    </row>
    <row r="238" spans="3:3" ht="12.5">
      <c r="C238" s="123"/>
    </row>
    <row r="239" spans="3:3" ht="12.5">
      <c r="C239" s="123"/>
    </row>
    <row r="240" spans="3:3" ht="12.5">
      <c r="C240" s="123"/>
    </row>
    <row r="241" spans="3:3" ht="12.5">
      <c r="C241" s="123"/>
    </row>
    <row r="242" spans="3:3" ht="12.5">
      <c r="C242" s="123"/>
    </row>
    <row r="243" spans="3:3" ht="12.5">
      <c r="C243" s="123"/>
    </row>
    <row r="244" spans="3:3" ht="12.5">
      <c r="C244" s="123"/>
    </row>
    <row r="245" spans="3:3" ht="12.5">
      <c r="C245" s="123"/>
    </row>
    <row r="246" spans="3:3" ht="12.5">
      <c r="C246" s="123"/>
    </row>
    <row r="247" spans="3:3" ht="12.5">
      <c r="C247" s="123"/>
    </row>
    <row r="248" spans="3:3" ht="12.5">
      <c r="C248" s="123"/>
    </row>
    <row r="249" spans="3:3" ht="12.5">
      <c r="C249" s="123"/>
    </row>
    <row r="250" spans="3:3" ht="12.5">
      <c r="C250" s="123"/>
    </row>
    <row r="251" spans="3:3" ht="12.5">
      <c r="C251" s="123"/>
    </row>
    <row r="252" spans="3:3" ht="12.5">
      <c r="C252" s="123"/>
    </row>
    <row r="253" spans="3:3" ht="12.5">
      <c r="C253" s="123"/>
    </row>
    <row r="254" spans="3:3" ht="12.5">
      <c r="C254" s="123"/>
    </row>
    <row r="255" spans="3:3" ht="12.5">
      <c r="C255" s="123"/>
    </row>
    <row r="256" spans="3:3" ht="12.5">
      <c r="C256" s="123"/>
    </row>
    <row r="257" spans="3:3" ht="12.5">
      <c r="C257" s="123"/>
    </row>
    <row r="258" spans="3:3" ht="12.5">
      <c r="C258" s="123"/>
    </row>
    <row r="259" spans="3:3" ht="12.5">
      <c r="C259" s="123"/>
    </row>
    <row r="260" spans="3:3" ht="12.5">
      <c r="C260" s="123"/>
    </row>
    <row r="261" spans="3:3" ht="12.5">
      <c r="C261" s="123"/>
    </row>
    <row r="262" spans="3:3" ht="12.5">
      <c r="C262" s="123"/>
    </row>
    <row r="263" spans="3:3" ht="12.5">
      <c r="C263" s="123"/>
    </row>
    <row r="264" spans="3:3" ht="12.5">
      <c r="C264" s="123"/>
    </row>
    <row r="265" spans="3:3" ht="12.5">
      <c r="C265" s="123"/>
    </row>
    <row r="266" spans="3:3" ht="12.5">
      <c r="C266" s="123"/>
    </row>
    <row r="267" spans="3:3" ht="12.5">
      <c r="C267" s="123"/>
    </row>
    <row r="268" spans="3:3" ht="12.5">
      <c r="C268" s="123"/>
    </row>
    <row r="269" spans="3:3" ht="12.5">
      <c r="C269" s="123"/>
    </row>
    <row r="270" spans="3:3" ht="12.5">
      <c r="C270" s="123"/>
    </row>
    <row r="271" spans="3:3" ht="12.5">
      <c r="C271" s="123"/>
    </row>
    <row r="272" spans="3:3" ht="12.5">
      <c r="C272" s="123"/>
    </row>
    <row r="273" spans="3:3" ht="12.5">
      <c r="C273" s="123"/>
    </row>
    <row r="274" spans="3:3" ht="12.5">
      <c r="C274" s="123"/>
    </row>
    <row r="275" spans="3:3" ht="12.5">
      <c r="C275" s="123"/>
    </row>
    <row r="276" spans="3:3" ht="12.5">
      <c r="C276" s="123"/>
    </row>
    <row r="277" spans="3:3" ht="12.5">
      <c r="C277" s="123"/>
    </row>
    <row r="278" spans="3:3" ht="12.5">
      <c r="C278" s="123"/>
    </row>
    <row r="279" spans="3:3" ht="12.5">
      <c r="C279" s="123"/>
    </row>
    <row r="280" spans="3:3" ht="12.5">
      <c r="C280" s="123"/>
    </row>
    <row r="281" spans="3:3" ht="12.5">
      <c r="C281" s="123"/>
    </row>
    <row r="282" spans="3:3" ht="12.5">
      <c r="C282" s="123"/>
    </row>
    <row r="283" spans="3:3" ht="12.5">
      <c r="C283" s="123"/>
    </row>
    <row r="284" spans="3:3" ht="12.5">
      <c r="C284" s="123"/>
    </row>
    <row r="285" spans="3:3" ht="12.5">
      <c r="C285" s="123"/>
    </row>
    <row r="286" spans="3:3" ht="12.5">
      <c r="C286" s="123"/>
    </row>
    <row r="287" spans="3:3" ht="12.5">
      <c r="C287" s="123"/>
    </row>
    <row r="288" spans="3:3" ht="12.5">
      <c r="C288" s="123"/>
    </row>
    <row r="289" spans="3:3" ht="12.5">
      <c r="C289" s="123"/>
    </row>
    <row r="290" spans="3:3" ht="12.5">
      <c r="C290" s="123"/>
    </row>
    <row r="291" spans="3:3" ht="12.5">
      <c r="C291" s="123"/>
    </row>
    <row r="292" spans="3:3" ht="12.5">
      <c r="C292" s="123"/>
    </row>
    <row r="293" spans="3:3" ht="12.5">
      <c r="C293" s="123"/>
    </row>
    <row r="294" spans="3:3" ht="12.5">
      <c r="C294" s="123"/>
    </row>
    <row r="295" spans="3:3" ht="12.5">
      <c r="C295" s="123"/>
    </row>
    <row r="296" spans="3:3" ht="12.5">
      <c r="C296" s="123"/>
    </row>
    <row r="297" spans="3:3" ht="12.5">
      <c r="C297" s="123"/>
    </row>
    <row r="298" spans="3:3" ht="12.5">
      <c r="C298" s="123"/>
    </row>
    <row r="299" spans="3:3" ht="12.5">
      <c r="C299" s="123"/>
    </row>
    <row r="300" spans="3:3" ht="12.5">
      <c r="C300" s="123"/>
    </row>
    <row r="301" spans="3:3" ht="12.5">
      <c r="C301" s="123"/>
    </row>
    <row r="302" spans="3:3" ht="12.5">
      <c r="C302" s="123"/>
    </row>
    <row r="303" spans="3:3" ht="12.5">
      <c r="C303" s="123"/>
    </row>
    <row r="304" spans="3:3" ht="12.5">
      <c r="C304" s="123"/>
    </row>
    <row r="305" spans="3:3" ht="12.5">
      <c r="C305" s="123"/>
    </row>
    <row r="306" spans="3:3" ht="12.5">
      <c r="C306" s="123"/>
    </row>
    <row r="307" spans="3:3" ht="12.5">
      <c r="C307" s="123"/>
    </row>
    <row r="308" spans="3:3" ht="12.5">
      <c r="C308" s="123"/>
    </row>
    <row r="309" spans="3:3" ht="12.5">
      <c r="C309" s="123"/>
    </row>
    <row r="310" spans="3:3" ht="12.5">
      <c r="C310" s="123"/>
    </row>
    <row r="311" spans="3:3" ht="12.5">
      <c r="C311" s="123"/>
    </row>
    <row r="312" spans="3:3" ht="12.5">
      <c r="C312" s="123"/>
    </row>
    <row r="313" spans="3:3" ht="12.5">
      <c r="C313" s="123"/>
    </row>
    <row r="314" spans="3:3" ht="12.5">
      <c r="C314" s="123"/>
    </row>
    <row r="315" spans="3:3" ht="12.5">
      <c r="C315" s="123"/>
    </row>
    <row r="316" spans="3:3" ht="12.5">
      <c r="C316" s="123"/>
    </row>
    <row r="317" spans="3:3" ht="12.5">
      <c r="C317" s="123"/>
    </row>
    <row r="318" spans="3:3" ht="12.5">
      <c r="C318" s="123"/>
    </row>
    <row r="319" spans="3:3" ht="12.5">
      <c r="C319" s="123"/>
    </row>
    <row r="320" spans="3:3" ht="12.5">
      <c r="C320" s="123"/>
    </row>
    <row r="321" spans="3:3" ht="12.5">
      <c r="C321" s="123"/>
    </row>
    <row r="322" spans="3:3" ht="12.5">
      <c r="C322" s="123"/>
    </row>
    <row r="323" spans="3:3" ht="12.5">
      <c r="C323" s="123"/>
    </row>
    <row r="324" spans="3:3" ht="12.5">
      <c r="C324" s="123"/>
    </row>
    <row r="325" spans="3:3" ht="12.5">
      <c r="C325" s="123"/>
    </row>
    <row r="326" spans="3:3" ht="12.5">
      <c r="C326" s="123"/>
    </row>
    <row r="327" spans="3:3" ht="12.5">
      <c r="C327" s="123"/>
    </row>
    <row r="328" spans="3:3" ht="12.5">
      <c r="C328" s="123"/>
    </row>
    <row r="329" spans="3:3" ht="12.5">
      <c r="C329" s="123"/>
    </row>
    <row r="330" spans="3:3" ht="12.5">
      <c r="C330" s="123"/>
    </row>
    <row r="331" spans="3:3" ht="12.5">
      <c r="C331" s="123"/>
    </row>
    <row r="332" spans="3:3" ht="12.5">
      <c r="C332" s="123"/>
    </row>
    <row r="333" spans="3:3" ht="12.5">
      <c r="C333" s="123"/>
    </row>
    <row r="334" spans="3:3" ht="12.5">
      <c r="C334" s="123"/>
    </row>
    <row r="335" spans="3:3" ht="12.5">
      <c r="C335" s="123"/>
    </row>
    <row r="336" spans="3:3" ht="12.5">
      <c r="C336" s="123"/>
    </row>
    <row r="337" spans="3:3" ht="12.5">
      <c r="C337" s="123"/>
    </row>
    <row r="338" spans="3:3" ht="12.5">
      <c r="C338" s="123"/>
    </row>
    <row r="339" spans="3:3" ht="12.5">
      <c r="C339" s="123"/>
    </row>
    <row r="340" spans="3:3" ht="12.5">
      <c r="C340" s="123"/>
    </row>
    <row r="341" spans="3:3" ht="12.5">
      <c r="C341" s="123"/>
    </row>
    <row r="342" spans="3:3" ht="12.5">
      <c r="C342" s="123"/>
    </row>
    <row r="343" spans="3:3" ht="12.5">
      <c r="C343" s="123"/>
    </row>
    <row r="344" spans="3:3" ht="12.5">
      <c r="C344" s="123"/>
    </row>
    <row r="345" spans="3:3" ht="12.5">
      <c r="C345" s="123"/>
    </row>
    <row r="346" spans="3:3" ht="12.5">
      <c r="C346" s="123"/>
    </row>
    <row r="347" spans="3:3" ht="12.5">
      <c r="C347" s="123"/>
    </row>
    <row r="348" spans="3:3" ht="12.5">
      <c r="C348" s="123"/>
    </row>
    <row r="349" spans="3:3" ht="12.5">
      <c r="C349" s="123"/>
    </row>
    <row r="350" spans="3:3" ht="12.5">
      <c r="C350" s="123"/>
    </row>
    <row r="351" spans="3:3" ht="12.5">
      <c r="C351" s="123"/>
    </row>
    <row r="352" spans="3:3" ht="12.5">
      <c r="C352" s="123"/>
    </row>
    <row r="353" spans="3:3" ht="12.5">
      <c r="C353" s="123"/>
    </row>
    <row r="354" spans="3:3" ht="12.5">
      <c r="C354" s="123"/>
    </row>
    <row r="355" spans="3:3" ht="12.5">
      <c r="C355" s="123"/>
    </row>
    <row r="356" spans="3:3" ht="12.5">
      <c r="C356" s="123"/>
    </row>
    <row r="357" spans="3:3" ht="12.5">
      <c r="C357" s="123"/>
    </row>
    <row r="358" spans="3:3" ht="12.5">
      <c r="C358" s="123"/>
    </row>
    <row r="359" spans="3:3" ht="12.5">
      <c r="C359" s="123"/>
    </row>
    <row r="360" spans="3:3" ht="12.5">
      <c r="C360" s="123"/>
    </row>
    <row r="361" spans="3:3" ht="12.5">
      <c r="C361" s="123"/>
    </row>
    <row r="362" spans="3:3" ht="12.5">
      <c r="C362" s="123"/>
    </row>
    <row r="363" spans="3:3" ht="12.5">
      <c r="C363" s="123"/>
    </row>
    <row r="364" spans="3:3" ht="12.5">
      <c r="C364" s="123"/>
    </row>
    <row r="365" spans="3:3" ht="12.5">
      <c r="C365" s="123"/>
    </row>
    <row r="366" spans="3:3" ht="12.5">
      <c r="C366" s="123"/>
    </row>
    <row r="367" spans="3:3" ht="12.5">
      <c r="C367" s="123"/>
    </row>
    <row r="368" spans="3:3" ht="12.5">
      <c r="C368" s="123"/>
    </row>
    <row r="369" spans="3:3" ht="12.5">
      <c r="C369" s="123"/>
    </row>
    <row r="370" spans="3:3" ht="12.5">
      <c r="C370" s="123"/>
    </row>
    <row r="371" spans="3:3" ht="12.5">
      <c r="C371" s="123"/>
    </row>
    <row r="372" spans="3:3" ht="12.5">
      <c r="C372" s="123"/>
    </row>
    <row r="373" spans="3:3" ht="12.5">
      <c r="C373" s="123"/>
    </row>
    <row r="374" spans="3:3" ht="12.5">
      <c r="C374" s="123"/>
    </row>
    <row r="375" spans="3:3" ht="12.5">
      <c r="C375" s="123"/>
    </row>
    <row r="376" spans="3:3" ht="12.5">
      <c r="C376" s="123"/>
    </row>
    <row r="377" spans="3:3" ht="12.5">
      <c r="C377" s="123"/>
    </row>
    <row r="378" spans="3:3" ht="12.5">
      <c r="C378" s="123"/>
    </row>
    <row r="379" spans="3:3" ht="12.5">
      <c r="C379" s="123"/>
    </row>
    <row r="380" spans="3:3" ht="12.5">
      <c r="C380" s="123"/>
    </row>
    <row r="381" spans="3:3" ht="12.5">
      <c r="C381" s="123"/>
    </row>
    <row r="382" spans="3:3" ht="12.5">
      <c r="C382" s="123"/>
    </row>
    <row r="383" spans="3:3" ht="12.5">
      <c r="C383" s="123"/>
    </row>
    <row r="384" spans="3:3" ht="12.5">
      <c r="C384" s="123"/>
    </row>
    <row r="385" spans="3:3" ht="12.5">
      <c r="C385" s="123"/>
    </row>
    <row r="386" spans="3:3" ht="12.5">
      <c r="C386" s="123"/>
    </row>
    <row r="387" spans="3:3" ht="12.5">
      <c r="C387" s="123"/>
    </row>
    <row r="388" spans="3:3" ht="12.5">
      <c r="C388" s="123"/>
    </row>
    <row r="389" spans="3:3" ht="12.5">
      <c r="C389" s="123"/>
    </row>
    <row r="390" spans="3:3" ht="12.5">
      <c r="C390" s="123"/>
    </row>
    <row r="391" spans="3:3" ht="12.5">
      <c r="C391" s="123"/>
    </row>
    <row r="392" spans="3:3" ht="12.5">
      <c r="C392" s="123"/>
    </row>
    <row r="393" spans="3:3" ht="12.5">
      <c r="C393" s="123"/>
    </row>
    <row r="394" spans="3:3" ht="12.5">
      <c r="C394" s="123"/>
    </row>
    <row r="395" spans="3:3" ht="12.5">
      <c r="C395" s="123"/>
    </row>
    <row r="396" spans="3:3" ht="12.5">
      <c r="C396" s="123"/>
    </row>
    <row r="397" spans="3:3" ht="12.5">
      <c r="C397" s="123"/>
    </row>
    <row r="398" spans="3:3" ht="12.5">
      <c r="C398" s="123"/>
    </row>
    <row r="399" spans="3:3" ht="12.5">
      <c r="C399" s="123"/>
    </row>
    <row r="400" spans="3:3" ht="12.5">
      <c r="C400" s="123"/>
    </row>
    <row r="401" spans="3:3" ht="12.5">
      <c r="C401" s="123"/>
    </row>
    <row r="402" spans="3:3" ht="12.5">
      <c r="C402" s="123"/>
    </row>
    <row r="403" spans="3:3" ht="12.5">
      <c r="C403" s="123"/>
    </row>
    <row r="404" spans="3:3" ht="12.5">
      <c r="C404" s="123"/>
    </row>
    <row r="405" spans="3:3" ht="12.5">
      <c r="C405" s="123"/>
    </row>
    <row r="406" spans="3:3" ht="12.5">
      <c r="C406" s="123"/>
    </row>
    <row r="407" spans="3:3" ht="12.5">
      <c r="C407" s="123"/>
    </row>
    <row r="408" spans="3:3" ht="12.5">
      <c r="C408" s="123"/>
    </row>
    <row r="409" spans="3:3" ht="12.5">
      <c r="C409" s="123"/>
    </row>
    <row r="410" spans="3:3" ht="12.5">
      <c r="C410" s="123"/>
    </row>
    <row r="411" spans="3:3" ht="12.5">
      <c r="C411" s="123"/>
    </row>
    <row r="412" spans="3:3" ht="12.5">
      <c r="C412" s="123"/>
    </row>
    <row r="413" spans="3:3" ht="12.5">
      <c r="C413" s="123"/>
    </row>
    <row r="414" spans="3:3" ht="12.5">
      <c r="C414" s="123"/>
    </row>
    <row r="415" spans="3:3" ht="12.5">
      <c r="C415" s="123"/>
    </row>
    <row r="416" spans="3:3" ht="12.5">
      <c r="C416" s="123"/>
    </row>
    <row r="417" spans="3:3" ht="12.5">
      <c r="C417" s="123"/>
    </row>
    <row r="418" spans="3:3" ht="12.5">
      <c r="C418" s="123"/>
    </row>
    <row r="419" spans="3:3" ht="12.5">
      <c r="C419" s="123"/>
    </row>
    <row r="420" spans="3:3" ht="12.5">
      <c r="C420" s="123"/>
    </row>
    <row r="421" spans="3:3" ht="12.5">
      <c r="C421" s="123"/>
    </row>
    <row r="422" spans="3:3" ht="12.5">
      <c r="C422" s="123"/>
    </row>
    <row r="423" spans="3:3" ht="12.5">
      <c r="C423" s="123"/>
    </row>
    <row r="424" spans="3:3" ht="12.5">
      <c r="C424" s="123"/>
    </row>
    <row r="425" spans="3:3" ht="12.5">
      <c r="C425" s="123"/>
    </row>
    <row r="426" spans="3:3" ht="12.5">
      <c r="C426" s="123"/>
    </row>
    <row r="427" spans="3:3" ht="12.5">
      <c r="C427" s="123"/>
    </row>
    <row r="428" spans="3:3" ht="12.5">
      <c r="C428" s="123"/>
    </row>
    <row r="429" spans="3:3" ht="12.5">
      <c r="C429" s="123"/>
    </row>
    <row r="430" spans="3:3" ht="12.5">
      <c r="C430" s="123"/>
    </row>
    <row r="431" spans="3:3" ht="12.5">
      <c r="C431" s="123"/>
    </row>
    <row r="432" spans="3:3" ht="12.5">
      <c r="C432" s="123"/>
    </row>
    <row r="433" spans="3:3" ht="12.5">
      <c r="C433" s="123"/>
    </row>
    <row r="434" spans="3:3" ht="12.5">
      <c r="C434" s="123"/>
    </row>
    <row r="435" spans="3:3" ht="12.5">
      <c r="C435" s="123"/>
    </row>
    <row r="436" spans="3:3" ht="12.5">
      <c r="C436" s="123"/>
    </row>
    <row r="437" spans="3:3" ht="12.5">
      <c r="C437" s="123"/>
    </row>
    <row r="438" spans="3:3" ht="12.5">
      <c r="C438" s="123"/>
    </row>
    <row r="439" spans="3:3" ht="12.5">
      <c r="C439" s="123"/>
    </row>
    <row r="440" spans="3:3" ht="12.5">
      <c r="C440" s="123"/>
    </row>
    <row r="441" spans="3:3" ht="12.5">
      <c r="C441" s="123"/>
    </row>
    <row r="442" spans="3:3" ht="12.5">
      <c r="C442" s="123"/>
    </row>
    <row r="443" spans="3:3" ht="12.5">
      <c r="C443" s="123"/>
    </row>
    <row r="444" spans="3:3" ht="12.5">
      <c r="C444" s="123"/>
    </row>
    <row r="445" spans="3:3" ht="12.5">
      <c r="C445" s="123"/>
    </row>
    <row r="446" spans="3:3" ht="12.5">
      <c r="C446" s="123"/>
    </row>
    <row r="447" spans="3:3" ht="12.5">
      <c r="C447" s="123"/>
    </row>
    <row r="448" spans="3:3" ht="12.5">
      <c r="C448" s="123"/>
    </row>
    <row r="449" spans="3:3" ht="12.5">
      <c r="C449" s="123"/>
    </row>
    <row r="450" spans="3:3" ht="12.5">
      <c r="C450" s="123"/>
    </row>
    <row r="451" spans="3:3" ht="12.5">
      <c r="C451" s="123"/>
    </row>
    <row r="452" spans="3:3" ht="12.5">
      <c r="C452" s="123"/>
    </row>
    <row r="453" spans="3:3" ht="12.5">
      <c r="C453" s="123"/>
    </row>
    <row r="454" spans="3:3" ht="12.5">
      <c r="C454" s="123"/>
    </row>
    <row r="455" spans="3:3" ht="12.5">
      <c r="C455" s="123"/>
    </row>
    <row r="456" spans="3:3" ht="12.5">
      <c r="C456" s="123"/>
    </row>
    <row r="457" spans="3:3" ht="12.5">
      <c r="C457" s="123"/>
    </row>
    <row r="458" spans="3:3" ht="12.5">
      <c r="C458" s="123"/>
    </row>
    <row r="459" spans="3:3" ht="12.5">
      <c r="C459" s="123"/>
    </row>
    <row r="460" spans="3:3" ht="12.5">
      <c r="C460" s="123"/>
    </row>
    <row r="461" spans="3:3" ht="12.5">
      <c r="C461" s="123"/>
    </row>
    <row r="462" spans="3:3" ht="12.5">
      <c r="C462" s="123"/>
    </row>
    <row r="463" spans="3:3" ht="12.5">
      <c r="C463" s="123"/>
    </row>
    <row r="464" spans="3:3" ht="12.5">
      <c r="C464" s="123"/>
    </row>
    <row r="465" spans="3:3" ht="12.5">
      <c r="C465" s="123"/>
    </row>
    <row r="466" spans="3:3" ht="12.5">
      <c r="C466" s="123"/>
    </row>
    <row r="467" spans="3:3" ht="12.5">
      <c r="C467" s="123"/>
    </row>
    <row r="468" spans="3:3" ht="12.5">
      <c r="C468" s="123"/>
    </row>
    <row r="469" spans="3:3" ht="12.5">
      <c r="C469" s="123"/>
    </row>
    <row r="470" spans="3:3" ht="12.5">
      <c r="C470" s="123"/>
    </row>
    <row r="471" spans="3:3" ht="12.5">
      <c r="C471" s="123"/>
    </row>
    <row r="472" spans="3:3" ht="12.5">
      <c r="C472" s="123"/>
    </row>
    <row r="473" spans="3:3" ht="12.5">
      <c r="C473" s="123"/>
    </row>
    <row r="474" spans="3:3" ht="12.5">
      <c r="C474" s="123"/>
    </row>
    <row r="475" spans="3:3" ht="12.5">
      <c r="C475" s="123"/>
    </row>
    <row r="476" spans="3:3" ht="12.5">
      <c r="C476" s="123"/>
    </row>
    <row r="477" spans="3:3" ht="12.5">
      <c r="C477" s="123"/>
    </row>
    <row r="478" spans="3:3" ht="12.5">
      <c r="C478" s="123"/>
    </row>
    <row r="479" spans="3:3" ht="12.5">
      <c r="C479" s="123"/>
    </row>
    <row r="480" spans="3:3" ht="12.5">
      <c r="C480" s="123"/>
    </row>
    <row r="481" spans="3:3" ht="12.5">
      <c r="C481" s="123"/>
    </row>
    <row r="482" spans="3:3" ht="12.5">
      <c r="C482" s="123"/>
    </row>
    <row r="483" spans="3:3" ht="12.5">
      <c r="C483" s="123"/>
    </row>
    <row r="484" spans="3:3" ht="12.5">
      <c r="C484" s="123"/>
    </row>
    <row r="485" spans="3:3" ht="12.5">
      <c r="C485" s="123"/>
    </row>
    <row r="486" spans="3:3" ht="12.5">
      <c r="C486" s="123"/>
    </row>
    <row r="487" spans="3:3" ht="12.5">
      <c r="C487" s="123"/>
    </row>
    <row r="488" spans="3:3" ht="12.5">
      <c r="C488" s="123"/>
    </row>
    <row r="489" spans="3:3" ht="12.5">
      <c r="C489" s="123"/>
    </row>
    <row r="490" spans="3:3" ht="12.5">
      <c r="C490" s="123"/>
    </row>
    <row r="491" spans="3:3" ht="12.5">
      <c r="C491" s="123"/>
    </row>
    <row r="492" spans="3:3" ht="12.5">
      <c r="C492" s="123"/>
    </row>
    <row r="493" spans="3:3" ht="12.5">
      <c r="C493" s="123"/>
    </row>
    <row r="494" spans="3:3" ht="12.5">
      <c r="C494" s="123"/>
    </row>
    <row r="495" spans="3:3" ht="12.5">
      <c r="C495" s="123"/>
    </row>
    <row r="496" spans="3:3" ht="12.5">
      <c r="C496" s="123"/>
    </row>
    <row r="497" spans="3:3" ht="12.5">
      <c r="C497" s="123"/>
    </row>
    <row r="498" spans="3:3" ht="12.5">
      <c r="C498" s="123"/>
    </row>
    <row r="499" spans="3:3" ht="12.5">
      <c r="C499" s="123"/>
    </row>
    <row r="500" spans="3:3" ht="12.5">
      <c r="C500" s="123"/>
    </row>
    <row r="501" spans="3:3" ht="12.5">
      <c r="C501" s="123"/>
    </row>
    <row r="502" spans="3:3" ht="12.5">
      <c r="C502" s="123"/>
    </row>
    <row r="503" spans="3:3" ht="12.5">
      <c r="C503" s="123"/>
    </row>
    <row r="504" spans="3:3" ht="12.5">
      <c r="C504" s="123"/>
    </row>
    <row r="505" spans="3:3" ht="12.5">
      <c r="C505" s="123"/>
    </row>
    <row r="506" spans="3:3" ht="12.5">
      <c r="C506" s="123"/>
    </row>
    <row r="507" spans="3:3" ht="12.5">
      <c r="C507" s="123"/>
    </row>
    <row r="508" spans="3:3" ht="12.5">
      <c r="C508" s="123"/>
    </row>
    <row r="509" spans="3:3" ht="12.5">
      <c r="C509" s="123"/>
    </row>
    <row r="510" spans="3:3" ht="12.5">
      <c r="C510" s="123"/>
    </row>
    <row r="511" spans="3:3" ht="12.5">
      <c r="C511" s="123"/>
    </row>
    <row r="512" spans="3:3" ht="12.5">
      <c r="C512" s="123"/>
    </row>
    <row r="513" spans="3:3" ht="12.5">
      <c r="C513" s="123"/>
    </row>
    <row r="514" spans="3:3" ht="12.5">
      <c r="C514" s="123"/>
    </row>
    <row r="515" spans="3:3" ht="12.5">
      <c r="C515" s="123"/>
    </row>
    <row r="516" spans="3:3" ht="12.5">
      <c r="C516" s="123"/>
    </row>
    <row r="517" spans="3:3" ht="12.5">
      <c r="C517" s="123"/>
    </row>
    <row r="518" spans="3:3" ht="12.5">
      <c r="C518" s="123"/>
    </row>
    <row r="519" spans="3:3" ht="12.5">
      <c r="C519" s="123"/>
    </row>
    <row r="520" spans="3:3" ht="12.5">
      <c r="C520" s="123"/>
    </row>
    <row r="521" spans="3:3" ht="12.5">
      <c r="C521" s="123"/>
    </row>
    <row r="522" spans="3:3" ht="12.5">
      <c r="C522" s="123"/>
    </row>
    <row r="523" spans="3:3" ht="12.5">
      <c r="C523" s="123"/>
    </row>
    <row r="524" spans="3:3" ht="12.5">
      <c r="C524" s="123"/>
    </row>
    <row r="525" spans="3:3" ht="12.5">
      <c r="C525" s="123"/>
    </row>
    <row r="526" spans="3:3" ht="12.5">
      <c r="C526" s="123"/>
    </row>
    <row r="527" spans="3:3" ht="12.5">
      <c r="C527" s="123"/>
    </row>
    <row r="528" spans="3:3" ht="12.5">
      <c r="C528" s="123"/>
    </row>
    <row r="529" spans="3:3" ht="12.5">
      <c r="C529" s="123"/>
    </row>
    <row r="530" spans="3:3" ht="12.5">
      <c r="C530" s="123"/>
    </row>
    <row r="531" spans="3:3" ht="12.5">
      <c r="C531" s="123"/>
    </row>
    <row r="532" spans="3:3" ht="12.5">
      <c r="C532" s="123"/>
    </row>
    <row r="533" spans="3:3" ht="12.5">
      <c r="C533" s="123"/>
    </row>
    <row r="534" spans="3:3" ht="12.5">
      <c r="C534" s="123"/>
    </row>
    <row r="535" spans="3:3" ht="12.5">
      <c r="C535" s="123"/>
    </row>
    <row r="536" spans="3:3" ht="12.5">
      <c r="C536" s="123"/>
    </row>
    <row r="537" spans="3:3" ht="12.5">
      <c r="C537" s="123"/>
    </row>
    <row r="538" spans="3:3" ht="12.5">
      <c r="C538" s="123"/>
    </row>
    <row r="539" spans="3:3" ht="12.5">
      <c r="C539" s="123"/>
    </row>
    <row r="540" spans="3:3" ht="12.5">
      <c r="C540" s="123"/>
    </row>
    <row r="541" spans="3:3" ht="12.5">
      <c r="C541" s="123"/>
    </row>
    <row r="542" spans="3:3" ht="12.5">
      <c r="C542" s="123"/>
    </row>
    <row r="543" spans="3:3" ht="12.5">
      <c r="C543" s="123"/>
    </row>
    <row r="544" spans="3:3" ht="12.5">
      <c r="C544" s="123"/>
    </row>
    <row r="545" spans="3:3" ht="12.5">
      <c r="C545" s="123"/>
    </row>
    <row r="546" spans="3:3" ht="12.5">
      <c r="C546" s="123"/>
    </row>
    <row r="547" spans="3:3" ht="12.5">
      <c r="C547" s="123"/>
    </row>
    <row r="548" spans="3:3" ht="12.5">
      <c r="C548" s="123"/>
    </row>
    <row r="549" spans="3:3" ht="12.5">
      <c r="C549" s="123"/>
    </row>
    <row r="550" spans="3:3" ht="12.5">
      <c r="C550" s="123"/>
    </row>
    <row r="551" spans="3:3" ht="12.5">
      <c r="C551" s="123"/>
    </row>
    <row r="552" spans="3:3" ht="12.5">
      <c r="C552" s="123"/>
    </row>
    <row r="553" spans="3:3" ht="12.5">
      <c r="C553" s="123"/>
    </row>
    <row r="554" spans="3:3" ht="12.5">
      <c r="C554" s="123"/>
    </row>
    <row r="555" spans="3:3" ht="12.5">
      <c r="C555" s="123"/>
    </row>
    <row r="556" spans="3:3" ht="12.5">
      <c r="C556" s="123"/>
    </row>
    <row r="557" spans="3:3" ht="12.5">
      <c r="C557" s="123"/>
    </row>
    <row r="558" spans="3:3" ht="12.5">
      <c r="C558" s="123"/>
    </row>
    <row r="559" spans="3:3" ht="12.5">
      <c r="C559" s="123"/>
    </row>
    <row r="560" spans="3:3" ht="12.5">
      <c r="C560" s="123"/>
    </row>
    <row r="561" spans="3:3" ht="12.5">
      <c r="C561" s="123"/>
    </row>
    <row r="562" spans="3:3" ht="12.5">
      <c r="C562" s="123"/>
    </row>
    <row r="563" spans="3:3" ht="12.5">
      <c r="C563" s="123"/>
    </row>
    <row r="564" spans="3:3" ht="12.5">
      <c r="C564" s="123"/>
    </row>
    <row r="565" spans="3:3" ht="12.5">
      <c r="C565" s="123"/>
    </row>
    <row r="566" spans="3:3" ht="12.5">
      <c r="C566" s="123"/>
    </row>
    <row r="567" spans="3:3" ht="12.5">
      <c r="C567" s="123"/>
    </row>
    <row r="568" spans="3:3" ht="12.5">
      <c r="C568" s="123"/>
    </row>
    <row r="569" spans="3:3" ht="12.5">
      <c r="C569" s="123"/>
    </row>
    <row r="570" spans="3:3" ht="12.5">
      <c r="C570" s="123"/>
    </row>
    <row r="571" spans="3:3" ht="12.5">
      <c r="C571" s="123"/>
    </row>
    <row r="572" spans="3:3" ht="12.5">
      <c r="C572" s="123"/>
    </row>
    <row r="573" spans="3:3" ht="12.5">
      <c r="C573" s="123"/>
    </row>
    <row r="574" spans="3:3" ht="12.5">
      <c r="C574" s="123"/>
    </row>
    <row r="575" spans="3:3" ht="12.5">
      <c r="C575" s="123"/>
    </row>
    <row r="576" spans="3:3" ht="12.5">
      <c r="C576" s="123"/>
    </row>
    <row r="577" spans="3:3" ht="12.5">
      <c r="C577" s="123"/>
    </row>
    <row r="578" spans="3:3" ht="12.5">
      <c r="C578" s="123"/>
    </row>
    <row r="579" spans="3:3" ht="12.5">
      <c r="C579" s="123"/>
    </row>
    <row r="580" spans="3:3" ht="12.5">
      <c r="C580" s="123"/>
    </row>
    <row r="581" spans="3:3" ht="12.5">
      <c r="C581" s="123"/>
    </row>
    <row r="582" spans="3:3" ht="12.5">
      <c r="C582" s="123"/>
    </row>
    <row r="583" spans="3:3" ht="12.5">
      <c r="C583" s="123"/>
    </row>
    <row r="584" spans="3:3" ht="12.5">
      <c r="C584" s="123"/>
    </row>
    <row r="585" spans="3:3" ht="12.5">
      <c r="C585" s="123"/>
    </row>
    <row r="586" spans="3:3" ht="12.5">
      <c r="C586" s="123"/>
    </row>
    <row r="587" spans="3:3" ht="12.5">
      <c r="C587" s="123"/>
    </row>
    <row r="588" spans="3:3" ht="12.5">
      <c r="C588" s="123"/>
    </row>
    <row r="589" spans="3:3" ht="12.5">
      <c r="C589" s="123"/>
    </row>
    <row r="590" spans="3:3" ht="12.5">
      <c r="C590" s="123"/>
    </row>
    <row r="591" spans="3:3" ht="12.5">
      <c r="C591" s="123"/>
    </row>
    <row r="592" spans="3:3" ht="12.5">
      <c r="C592" s="123"/>
    </row>
    <row r="593" spans="3:3" ht="12.5">
      <c r="C593" s="123"/>
    </row>
    <row r="594" spans="3:3" ht="12.5">
      <c r="C594" s="123"/>
    </row>
    <row r="595" spans="3:3" ht="12.5">
      <c r="C595" s="123"/>
    </row>
    <row r="596" spans="3:3" ht="12.5">
      <c r="C596" s="123"/>
    </row>
    <row r="597" spans="3:3" ht="12.5">
      <c r="C597" s="123"/>
    </row>
    <row r="598" spans="3:3" ht="12.5">
      <c r="C598" s="123"/>
    </row>
    <row r="599" spans="3:3" ht="12.5">
      <c r="C599" s="123"/>
    </row>
    <row r="600" spans="3:3" ht="12.5">
      <c r="C600" s="123"/>
    </row>
    <row r="601" spans="3:3" ht="12.5">
      <c r="C601" s="123"/>
    </row>
    <row r="602" spans="3:3" ht="12.5">
      <c r="C602" s="123"/>
    </row>
    <row r="603" spans="3:3" ht="12.5">
      <c r="C603" s="123"/>
    </row>
    <row r="604" spans="3:3" ht="12.5">
      <c r="C604" s="123"/>
    </row>
    <row r="605" spans="3:3" ht="12.5">
      <c r="C605" s="123"/>
    </row>
    <row r="606" spans="3:3" ht="12.5">
      <c r="C606" s="123"/>
    </row>
    <row r="607" spans="3:3" ht="12.5">
      <c r="C607" s="123"/>
    </row>
    <row r="608" spans="3:3" ht="12.5">
      <c r="C608" s="123"/>
    </row>
    <row r="609" spans="3:3" ht="12.5">
      <c r="C609" s="123"/>
    </row>
    <row r="610" spans="3:3" ht="12.5">
      <c r="C610" s="123"/>
    </row>
    <row r="611" spans="3:3" ht="12.5">
      <c r="C611" s="123"/>
    </row>
    <row r="612" spans="3:3" ht="12.5">
      <c r="C612" s="123"/>
    </row>
    <row r="613" spans="3:3" ht="12.5">
      <c r="C613" s="123"/>
    </row>
    <row r="614" spans="3:3" ht="12.5">
      <c r="C614" s="123"/>
    </row>
    <row r="615" spans="3:3" ht="12.5">
      <c r="C615" s="123"/>
    </row>
    <row r="616" spans="3:3" ht="12.5">
      <c r="C616" s="123"/>
    </row>
    <row r="617" spans="3:3" ht="12.5">
      <c r="C617" s="123"/>
    </row>
    <row r="618" spans="3:3" ht="12.5">
      <c r="C618" s="123"/>
    </row>
    <row r="619" spans="3:3" ht="12.5">
      <c r="C619" s="123"/>
    </row>
    <row r="620" spans="3:3" ht="12.5">
      <c r="C620" s="123"/>
    </row>
    <row r="621" spans="3:3" ht="12.5">
      <c r="C621" s="123"/>
    </row>
    <row r="622" spans="3:3" ht="12.5">
      <c r="C622" s="123"/>
    </row>
    <row r="623" spans="3:3" ht="12.5">
      <c r="C623" s="123"/>
    </row>
    <row r="624" spans="3:3" ht="12.5">
      <c r="C624" s="123"/>
    </row>
    <row r="625" spans="3:3" ht="12.5">
      <c r="C625" s="123"/>
    </row>
    <row r="626" spans="3:3" ht="12.5">
      <c r="C626" s="123"/>
    </row>
    <row r="627" spans="3:3" ht="12.5">
      <c r="C627" s="123"/>
    </row>
    <row r="628" spans="3:3" ht="12.5">
      <c r="C628" s="123"/>
    </row>
    <row r="629" spans="3:3" ht="12.5">
      <c r="C629" s="123"/>
    </row>
    <row r="630" spans="3:3" ht="12.5">
      <c r="C630" s="123"/>
    </row>
    <row r="631" spans="3:3" ht="12.5">
      <c r="C631" s="123"/>
    </row>
    <row r="632" spans="3:3" ht="12.5">
      <c r="C632" s="123"/>
    </row>
    <row r="633" spans="3:3" ht="12.5">
      <c r="C633" s="123"/>
    </row>
    <row r="634" spans="3:3" ht="12.5">
      <c r="C634" s="123"/>
    </row>
    <row r="635" spans="3:3" ht="12.5">
      <c r="C635" s="123"/>
    </row>
    <row r="636" spans="3:3" ht="12.5">
      <c r="C636" s="123"/>
    </row>
    <row r="637" spans="3:3" ht="12.5">
      <c r="C637" s="123"/>
    </row>
    <row r="638" spans="3:3" ht="12.5">
      <c r="C638" s="123"/>
    </row>
    <row r="639" spans="3:3" ht="12.5">
      <c r="C639" s="123"/>
    </row>
    <row r="640" spans="3:3" ht="12.5">
      <c r="C640" s="123"/>
    </row>
    <row r="641" spans="3:3" ht="12.5">
      <c r="C641" s="123"/>
    </row>
    <row r="642" spans="3:3" ht="12.5">
      <c r="C642" s="123"/>
    </row>
    <row r="643" spans="3:3" ht="12.5">
      <c r="C643" s="123"/>
    </row>
    <row r="644" spans="3:3" ht="12.5">
      <c r="C644" s="123"/>
    </row>
    <row r="645" spans="3:3" ht="12.5">
      <c r="C645" s="123"/>
    </row>
    <row r="646" spans="3:3" ht="12.5">
      <c r="C646" s="123"/>
    </row>
    <row r="647" spans="3:3" ht="12.5">
      <c r="C647" s="123"/>
    </row>
    <row r="648" spans="3:3" ht="12.5">
      <c r="C648" s="123"/>
    </row>
    <row r="649" spans="3:3" ht="12.5">
      <c r="C649" s="123"/>
    </row>
    <row r="650" spans="3:3" ht="12.5">
      <c r="C650" s="123"/>
    </row>
    <row r="651" spans="3:3" ht="12.5">
      <c r="C651" s="123"/>
    </row>
    <row r="652" spans="3:3" ht="12.5">
      <c r="C652" s="123"/>
    </row>
    <row r="653" spans="3:3" ht="12.5">
      <c r="C653" s="123"/>
    </row>
    <row r="654" spans="3:3" ht="12.5">
      <c r="C654" s="123"/>
    </row>
    <row r="655" spans="3:3" ht="12.5">
      <c r="C655" s="123"/>
    </row>
    <row r="656" spans="3:3" ht="12.5">
      <c r="C656" s="123"/>
    </row>
    <row r="657" spans="3:3" ht="12.5">
      <c r="C657" s="123"/>
    </row>
    <row r="658" spans="3:3" ht="12.5">
      <c r="C658" s="123"/>
    </row>
    <row r="659" spans="3:3" ht="12.5">
      <c r="C659" s="123"/>
    </row>
    <row r="660" spans="3:3" ht="12.5">
      <c r="C660" s="123"/>
    </row>
    <row r="661" spans="3:3" ht="12.5">
      <c r="C661" s="123"/>
    </row>
    <row r="662" spans="3:3" ht="12.5">
      <c r="C662" s="123"/>
    </row>
    <row r="663" spans="3:3" ht="12.5">
      <c r="C663" s="123"/>
    </row>
    <row r="664" spans="3:3" ht="12.5">
      <c r="C664" s="123"/>
    </row>
    <row r="665" spans="3:3" ht="12.5">
      <c r="C665" s="123"/>
    </row>
    <row r="666" spans="3:3" ht="12.5">
      <c r="C666" s="123"/>
    </row>
    <row r="667" spans="3:3" ht="12.5">
      <c r="C667" s="123"/>
    </row>
    <row r="668" spans="3:3" ht="12.5">
      <c r="C668" s="123"/>
    </row>
    <row r="669" spans="3:3" ht="12.5">
      <c r="C669" s="123"/>
    </row>
    <row r="670" spans="3:3" ht="12.5">
      <c r="C670" s="123"/>
    </row>
    <row r="671" spans="3:3" ht="12.5">
      <c r="C671" s="123"/>
    </row>
    <row r="672" spans="3:3" ht="12.5">
      <c r="C672" s="123"/>
    </row>
    <row r="673" spans="3:3" ht="12.5">
      <c r="C673" s="123"/>
    </row>
    <row r="674" spans="3:3" ht="12.5">
      <c r="C674" s="123"/>
    </row>
    <row r="675" spans="3:3" ht="12.5">
      <c r="C675" s="123"/>
    </row>
    <row r="676" spans="3:3" ht="12.5">
      <c r="C676" s="123"/>
    </row>
    <row r="677" spans="3:3" ht="12.5">
      <c r="C677" s="123"/>
    </row>
    <row r="678" spans="3:3" ht="12.5">
      <c r="C678" s="123"/>
    </row>
    <row r="679" spans="3:3" ht="12.5">
      <c r="C679" s="123"/>
    </row>
    <row r="680" spans="3:3" ht="12.5">
      <c r="C680" s="123"/>
    </row>
    <row r="681" spans="3:3" ht="12.5">
      <c r="C681" s="123"/>
    </row>
    <row r="682" spans="3:3" ht="12.5">
      <c r="C682" s="123"/>
    </row>
    <row r="683" spans="3:3" ht="12.5">
      <c r="C683" s="123"/>
    </row>
    <row r="684" spans="3:3" ht="12.5">
      <c r="C684" s="123"/>
    </row>
    <row r="685" spans="3:3" ht="12.5">
      <c r="C685" s="123"/>
    </row>
    <row r="686" spans="3:3" ht="12.5">
      <c r="C686" s="123"/>
    </row>
    <row r="687" spans="3:3" ht="12.5">
      <c r="C687" s="123"/>
    </row>
    <row r="688" spans="3:3" ht="12.5">
      <c r="C688" s="123"/>
    </row>
    <row r="689" spans="3:3" ht="12.5">
      <c r="C689" s="123"/>
    </row>
    <row r="690" spans="3:3" ht="12.5">
      <c r="C690" s="123"/>
    </row>
    <row r="691" spans="3:3" ht="12.5">
      <c r="C691" s="123"/>
    </row>
    <row r="692" spans="3:3" ht="12.5">
      <c r="C692" s="123"/>
    </row>
    <row r="693" spans="3:3" ht="12.5">
      <c r="C693" s="123"/>
    </row>
    <row r="694" spans="3:3" ht="12.5">
      <c r="C694" s="123"/>
    </row>
    <row r="695" spans="3:3" ht="12.5">
      <c r="C695" s="123"/>
    </row>
    <row r="696" spans="3:3" ht="12.5">
      <c r="C696" s="123"/>
    </row>
    <row r="697" spans="3:3" ht="12.5">
      <c r="C697" s="123"/>
    </row>
    <row r="698" spans="3:3" ht="12.5">
      <c r="C698" s="123"/>
    </row>
    <row r="699" spans="3:3" ht="12.5">
      <c r="C699" s="123"/>
    </row>
    <row r="700" spans="3:3" ht="12.5">
      <c r="C700" s="123"/>
    </row>
    <row r="701" spans="3:3" ht="12.5">
      <c r="C701" s="123"/>
    </row>
    <row r="702" spans="3:3" ht="12.5">
      <c r="C702" s="123"/>
    </row>
    <row r="703" spans="3:3" ht="12.5">
      <c r="C703" s="123"/>
    </row>
    <row r="704" spans="3:3" ht="12.5">
      <c r="C704" s="123"/>
    </row>
    <row r="705" spans="3:3" ht="12.5">
      <c r="C705" s="123"/>
    </row>
    <row r="706" spans="3:3" ht="12.5">
      <c r="C706" s="123"/>
    </row>
    <row r="707" spans="3:3" ht="12.5">
      <c r="C707" s="123"/>
    </row>
    <row r="708" spans="3:3" ht="12.5">
      <c r="C708" s="123"/>
    </row>
    <row r="709" spans="3:3" ht="12.5">
      <c r="C709" s="123"/>
    </row>
    <row r="710" spans="3:3" ht="12.5">
      <c r="C710" s="123"/>
    </row>
    <row r="711" spans="3:3" ht="12.5">
      <c r="C711" s="123"/>
    </row>
    <row r="712" spans="3:3" ht="12.5">
      <c r="C712" s="123"/>
    </row>
    <row r="713" spans="3:3" ht="12.5">
      <c r="C713" s="123"/>
    </row>
    <row r="714" spans="3:3" ht="12.5">
      <c r="C714" s="123"/>
    </row>
    <row r="715" spans="3:3" ht="12.5">
      <c r="C715" s="123"/>
    </row>
    <row r="716" spans="3:3" ht="12.5">
      <c r="C716" s="123"/>
    </row>
    <row r="717" spans="3:3" ht="12.5">
      <c r="C717" s="123"/>
    </row>
    <row r="718" spans="3:3" ht="12.5">
      <c r="C718" s="123"/>
    </row>
    <row r="719" spans="3:3" ht="12.5">
      <c r="C719" s="123"/>
    </row>
    <row r="720" spans="3:3" ht="12.5">
      <c r="C720" s="123"/>
    </row>
    <row r="721" spans="3:3" ht="12.5">
      <c r="C721" s="123"/>
    </row>
    <row r="722" spans="3:3" ht="12.5">
      <c r="C722" s="123"/>
    </row>
    <row r="723" spans="3:3" ht="12.5">
      <c r="C723" s="123"/>
    </row>
    <row r="724" spans="3:3" ht="12.5">
      <c r="C724" s="123"/>
    </row>
    <row r="725" spans="3:3" ht="12.5">
      <c r="C725" s="123"/>
    </row>
    <row r="726" spans="3:3" ht="12.5">
      <c r="C726" s="123"/>
    </row>
    <row r="727" spans="3:3" ht="12.5">
      <c r="C727" s="123"/>
    </row>
    <row r="728" spans="3:3" ht="12.5">
      <c r="C728" s="123"/>
    </row>
    <row r="729" spans="3:3" ht="12.5">
      <c r="C729" s="123"/>
    </row>
    <row r="730" spans="3:3" ht="12.5">
      <c r="C730" s="123"/>
    </row>
    <row r="731" spans="3:3" ht="12.5">
      <c r="C731" s="123"/>
    </row>
    <row r="732" spans="3:3" ht="12.5">
      <c r="C732" s="123"/>
    </row>
    <row r="733" spans="3:3" ht="12.5">
      <c r="C733" s="123"/>
    </row>
    <row r="734" spans="3:3" ht="12.5">
      <c r="C734" s="123"/>
    </row>
    <row r="735" spans="3:3" ht="12.5">
      <c r="C735" s="123"/>
    </row>
    <row r="736" spans="3:3" ht="12.5">
      <c r="C736" s="123"/>
    </row>
    <row r="737" spans="3:3" ht="12.5">
      <c r="C737" s="123"/>
    </row>
    <row r="738" spans="3:3" ht="12.5">
      <c r="C738" s="123"/>
    </row>
    <row r="739" spans="3:3" ht="12.5">
      <c r="C739" s="123"/>
    </row>
    <row r="740" spans="3:3" ht="12.5">
      <c r="C740" s="123"/>
    </row>
    <row r="741" spans="3:3" ht="12.5">
      <c r="C741" s="123"/>
    </row>
    <row r="742" spans="3:3" ht="12.5">
      <c r="C742" s="123"/>
    </row>
    <row r="743" spans="3:3" ht="12.5">
      <c r="C743" s="123"/>
    </row>
    <row r="744" spans="3:3" ht="12.5">
      <c r="C744" s="123"/>
    </row>
    <row r="745" spans="3:3" ht="12.5">
      <c r="C745" s="123"/>
    </row>
    <row r="746" spans="3:3" ht="12.5">
      <c r="C746" s="123"/>
    </row>
    <row r="747" spans="3:3" ht="12.5">
      <c r="C747" s="123"/>
    </row>
    <row r="748" spans="3:3" ht="12.5">
      <c r="C748" s="123"/>
    </row>
    <row r="749" spans="3:3" ht="12.5">
      <c r="C749" s="123"/>
    </row>
    <row r="750" spans="3:3" ht="12.5">
      <c r="C750" s="123"/>
    </row>
    <row r="751" spans="3:3" ht="12.5">
      <c r="C751" s="123"/>
    </row>
    <row r="752" spans="3:3" ht="12.5">
      <c r="C752" s="123"/>
    </row>
    <row r="753" spans="3:3" ht="12.5">
      <c r="C753" s="123"/>
    </row>
    <row r="754" spans="3:3" ht="12.5">
      <c r="C754" s="123"/>
    </row>
    <row r="755" spans="3:3" ht="12.5">
      <c r="C755" s="123"/>
    </row>
    <row r="756" spans="3:3" ht="12.5">
      <c r="C756" s="123"/>
    </row>
    <row r="757" spans="3:3" ht="12.5">
      <c r="C757" s="123"/>
    </row>
    <row r="758" spans="3:3" ht="12.5">
      <c r="C758" s="123"/>
    </row>
    <row r="759" spans="3:3" ht="12.5">
      <c r="C759" s="123"/>
    </row>
    <row r="760" spans="3:3" ht="12.5">
      <c r="C760" s="123"/>
    </row>
    <row r="761" spans="3:3" ht="12.5">
      <c r="C761" s="123"/>
    </row>
    <row r="762" spans="3:3" ht="12.5">
      <c r="C762" s="123"/>
    </row>
    <row r="763" spans="3:3" ht="12.5">
      <c r="C763" s="123"/>
    </row>
    <row r="764" spans="3:3" ht="12.5">
      <c r="C764" s="123"/>
    </row>
    <row r="765" spans="3:3" ht="12.5">
      <c r="C765" s="123"/>
    </row>
    <row r="766" spans="3:3" ht="12.5">
      <c r="C766" s="123"/>
    </row>
    <row r="767" spans="3:3" ht="12.5">
      <c r="C767" s="123"/>
    </row>
    <row r="768" spans="3:3" ht="12.5">
      <c r="C768" s="123"/>
    </row>
    <row r="769" spans="3:3" ht="12.5">
      <c r="C769" s="123"/>
    </row>
    <row r="770" spans="3:3" ht="12.5">
      <c r="C770" s="123"/>
    </row>
    <row r="771" spans="3:3" ht="12.5">
      <c r="C771" s="123"/>
    </row>
    <row r="772" spans="3:3" ht="12.5">
      <c r="C772" s="123"/>
    </row>
    <row r="773" spans="3:3" ht="12.5">
      <c r="C773" s="123"/>
    </row>
    <row r="774" spans="3:3" ht="12.5">
      <c r="C774" s="123"/>
    </row>
    <row r="775" spans="3:3" ht="12.5">
      <c r="C775" s="123"/>
    </row>
    <row r="776" spans="3:3" ht="12.5">
      <c r="C776" s="123"/>
    </row>
    <row r="777" spans="3:3" ht="12.5">
      <c r="C777" s="123"/>
    </row>
    <row r="778" spans="3:3" ht="12.5">
      <c r="C778" s="123"/>
    </row>
    <row r="779" spans="3:3" ht="12.5">
      <c r="C779" s="123"/>
    </row>
    <row r="780" spans="3:3" ht="12.5">
      <c r="C780" s="123"/>
    </row>
    <row r="781" spans="3:3" ht="12.5">
      <c r="C781" s="123"/>
    </row>
    <row r="782" spans="3:3" ht="12.5">
      <c r="C782" s="123"/>
    </row>
    <row r="783" spans="3:3" ht="12.5">
      <c r="C783" s="123"/>
    </row>
    <row r="784" spans="3:3" ht="12.5">
      <c r="C784" s="123"/>
    </row>
    <row r="785" spans="3:3" ht="12.5">
      <c r="C785" s="123"/>
    </row>
    <row r="786" spans="3:3" ht="12.5">
      <c r="C786" s="123"/>
    </row>
    <row r="787" spans="3:3" ht="12.5">
      <c r="C787" s="123"/>
    </row>
    <row r="788" spans="3:3" ht="12.5">
      <c r="C788" s="123"/>
    </row>
    <row r="789" spans="3:3" ht="12.5">
      <c r="C789" s="123"/>
    </row>
    <row r="790" spans="3:3" ht="12.5">
      <c r="C790" s="123"/>
    </row>
    <row r="791" spans="3:3" ht="12.5">
      <c r="C791" s="123"/>
    </row>
    <row r="792" spans="3:3" ht="12.5">
      <c r="C792" s="123"/>
    </row>
    <row r="793" spans="3:3" ht="12.5">
      <c r="C793" s="123"/>
    </row>
    <row r="794" spans="3:3" ht="12.5">
      <c r="C794" s="123"/>
    </row>
    <row r="795" spans="3:3" ht="12.5">
      <c r="C795" s="123"/>
    </row>
    <row r="796" spans="3:3" ht="12.5">
      <c r="C796" s="123"/>
    </row>
    <row r="797" spans="3:3" ht="12.5">
      <c r="C797" s="123"/>
    </row>
    <row r="798" spans="3:3" ht="12.5">
      <c r="C798" s="123"/>
    </row>
    <row r="799" spans="3:3" ht="12.5">
      <c r="C799" s="123"/>
    </row>
    <row r="800" spans="3:3" ht="12.5">
      <c r="C800" s="123"/>
    </row>
    <row r="801" spans="3:3" ht="12.5">
      <c r="C801" s="123"/>
    </row>
    <row r="802" spans="3:3" ht="12.5">
      <c r="C802" s="123"/>
    </row>
    <row r="803" spans="3:3" ht="12.5">
      <c r="C803" s="123"/>
    </row>
    <row r="804" spans="3:3" ht="12.5">
      <c r="C804" s="123"/>
    </row>
    <row r="805" spans="3:3" ht="12.5">
      <c r="C805" s="123"/>
    </row>
    <row r="806" spans="3:3" ht="12.5">
      <c r="C806" s="123"/>
    </row>
    <row r="807" spans="3:3" ht="12.5">
      <c r="C807" s="123"/>
    </row>
    <row r="808" spans="3:3" ht="12.5">
      <c r="C808" s="123"/>
    </row>
    <row r="809" spans="3:3" ht="12.5">
      <c r="C809" s="123"/>
    </row>
    <row r="810" spans="3:3" ht="12.5">
      <c r="C810" s="123"/>
    </row>
    <row r="811" spans="3:3" ht="12.5">
      <c r="C811" s="123"/>
    </row>
    <row r="812" spans="3:3" ht="12.5">
      <c r="C812" s="123"/>
    </row>
    <row r="813" spans="3:3" ht="12.5">
      <c r="C813" s="123"/>
    </row>
    <row r="814" spans="3:3" ht="12.5">
      <c r="C814" s="123"/>
    </row>
    <row r="815" spans="3:3" ht="12.5">
      <c r="C815" s="123"/>
    </row>
    <row r="816" spans="3:3" ht="12.5">
      <c r="C816" s="123"/>
    </row>
    <row r="817" spans="3:3" ht="12.5">
      <c r="C817" s="123"/>
    </row>
    <row r="818" spans="3:3" ht="12.5">
      <c r="C818" s="123"/>
    </row>
    <row r="819" spans="3:3" ht="12.5">
      <c r="C819" s="123"/>
    </row>
    <row r="820" spans="3:3" ht="12.5">
      <c r="C820" s="123"/>
    </row>
    <row r="821" spans="3:3" ht="12.5">
      <c r="C821" s="123"/>
    </row>
    <row r="822" spans="3:3" ht="12.5">
      <c r="C822" s="123"/>
    </row>
    <row r="823" spans="3:3" ht="12.5">
      <c r="C823" s="123"/>
    </row>
    <row r="824" spans="3:3" ht="12.5">
      <c r="C824" s="123"/>
    </row>
    <row r="825" spans="3:3" ht="12.5">
      <c r="C825" s="123"/>
    </row>
    <row r="826" spans="3:3" ht="12.5">
      <c r="C826" s="123"/>
    </row>
    <row r="827" spans="3:3" ht="12.5">
      <c r="C827" s="123"/>
    </row>
    <row r="828" spans="3:3" ht="12.5">
      <c r="C828" s="123"/>
    </row>
    <row r="829" spans="3:3" ht="12.5">
      <c r="C829" s="123"/>
    </row>
    <row r="830" spans="3:3" ht="12.5">
      <c r="C830" s="123"/>
    </row>
    <row r="831" spans="3:3" ht="12.5">
      <c r="C831" s="123"/>
    </row>
    <row r="832" spans="3:3" ht="12.5">
      <c r="C832" s="123"/>
    </row>
    <row r="833" spans="3:3" ht="12.5">
      <c r="C833" s="123"/>
    </row>
    <row r="834" spans="3:3" ht="12.5">
      <c r="C834" s="123"/>
    </row>
    <row r="835" spans="3:3" ht="12.5">
      <c r="C835" s="123"/>
    </row>
    <row r="836" spans="3:3" ht="12.5">
      <c r="C836" s="123"/>
    </row>
    <row r="837" spans="3:3" ht="12.5">
      <c r="C837" s="123"/>
    </row>
    <row r="838" spans="3:3" ht="12.5">
      <c r="C838" s="123"/>
    </row>
    <row r="839" spans="3:3" ht="12.5">
      <c r="C839" s="123"/>
    </row>
    <row r="840" spans="3:3" ht="12.5">
      <c r="C840" s="123"/>
    </row>
    <row r="841" spans="3:3" ht="12.5">
      <c r="C841" s="123"/>
    </row>
    <row r="842" spans="3:3" ht="12.5">
      <c r="C842" s="123"/>
    </row>
    <row r="843" spans="3:3" ht="12.5">
      <c r="C843" s="123"/>
    </row>
    <row r="844" spans="3:3" ht="12.5">
      <c r="C844" s="123"/>
    </row>
    <row r="845" spans="3:3" ht="12.5">
      <c r="C845" s="123"/>
    </row>
    <row r="846" spans="3:3" ht="12.5">
      <c r="C846" s="123"/>
    </row>
    <row r="847" spans="3:3" ht="12.5">
      <c r="C847" s="123"/>
    </row>
    <row r="848" spans="3:3" ht="12.5">
      <c r="C848" s="123"/>
    </row>
    <row r="849" spans="3:3" ht="12.5">
      <c r="C849" s="123"/>
    </row>
    <row r="850" spans="3:3" ht="12.5">
      <c r="C850" s="123"/>
    </row>
    <row r="851" spans="3:3" ht="12.5">
      <c r="C851" s="123"/>
    </row>
    <row r="852" spans="3:3" ht="12.5">
      <c r="C852" s="123"/>
    </row>
    <row r="853" spans="3:3" ht="12.5">
      <c r="C853" s="123"/>
    </row>
    <row r="854" spans="3:3" ht="12.5">
      <c r="C854" s="123"/>
    </row>
    <row r="855" spans="3:3" ht="12.5">
      <c r="C855" s="123"/>
    </row>
    <row r="856" spans="3:3" ht="12.5">
      <c r="C856" s="123"/>
    </row>
    <row r="857" spans="3:3" ht="12.5">
      <c r="C857" s="123"/>
    </row>
    <row r="858" spans="3:3" ht="12.5">
      <c r="C858" s="123"/>
    </row>
    <row r="859" spans="3:3" ht="12.5">
      <c r="C859" s="123"/>
    </row>
    <row r="860" spans="3:3" ht="12.5">
      <c r="C860" s="123"/>
    </row>
    <row r="861" spans="3:3" ht="12.5">
      <c r="C861" s="123"/>
    </row>
    <row r="862" spans="3:3" ht="12.5">
      <c r="C862" s="123"/>
    </row>
    <row r="863" spans="3:3" ht="12.5">
      <c r="C863" s="123"/>
    </row>
    <row r="864" spans="3:3" ht="12.5">
      <c r="C864" s="123"/>
    </row>
    <row r="865" spans="3:3" ht="12.5">
      <c r="C865" s="123"/>
    </row>
    <row r="866" spans="3:3" ht="12.5">
      <c r="C866" s="123"/>
    </row>
    <row r="867" spans="3:3" ht="12.5">
      <c r="C867" s="123"/>
    </row>
    <row r="868" spans="3:3" ht="12.5">
      <c r="C868" s="123"/>
    </row>
    <row r="869" spans="3:3" ht="12.5">
      <c r="C869" s="123"/>
    </row>
    <row r="870" spans="3:3" ht="12.5">
      <c r="C870" s="123"/>
    </row>
    <row r="871" spans="3:3" ht="12.5">
      <c r="C871" s="123"/>
    </row>
    <row r="872" spans="3:3" ht="12.5">
      <c r="C872" s="123"/>
    </row>
    <row r="873" spans="3:3" ht="12.5">
      <c r="C873" s="123"/>
    </row>
    <row r="874" spans="3:3" ht="12.5">
      <c r="C874" s="123"/>
    </row>
    <row r="875" spans="3:3" ht="12.5">
      <c r="C875" s="123"/>
    </row>
    <row r="876" spans="3:3" ht="12.5">
      <c r="C876" s="123"/>
    </row>
    <row r="877" spans="3:3" ht="12.5">
      <c r="C877" s="123"/>
    </row>
    <row r="878" spans="3:3" ht="12.5">
      <c r="C878" s="123"/>
    </row>
    <row r="879" spans="3:3" ht="12.5">
      <c r="C879" s="123"/>
    </row>
    <row r="880" spans="3:3" ht="12.5">
      <c r="C880" s="123"/>
    </row>
    <row r="881" spans="3:3" ht="12.5">
      <c r="C881" s="123"/>
    </row>
    <row r="882" spans="3:3" ht="12.5">
      <c r="C882" s="123"/>
    </row>
    <row r="883" spans="3:3" ht="12.5">
      <c r="C883" s="123"/>
    </row>
    <row r="884" spans="3:3" ht="12.5">
      <c r="C884" s="123"/>
    </row>
    <row r="885" spans="3:3" ht="12.5">
      <c r="C885" s="123"/>
    </row>
    <row r="886" spans="3:3" ht="12.5">
      <c r="C886" s="123"/>
    </row>
    <row r="887" spans="3:3" ht="12.5">
      <c r="C887" s="123"/>
    </row>
    <row r="888" spans="3:3" ht="12.5">
      <c r="C888" s="123"/>
    </row>
    <row r="889" spans="3:3" ht="12.5">
      <c r="C889" s="123"/>
    </row>
    <row r="890" spans="3:3" ht="12.5">
      <c r="C890" s="123"/>
    </row>
    <row r="891" spans="3:3" ht="12.5">
      <c r="C891" s="123"/>
    </row>
    <row r="892" spans="3:3" ht="12.5">
      <c r="C892" s="123"/>
    </row>
    <row r="893" spans="3:3" ht="12.5">
      <c r="C893" s="123"/>
    </row>
    <row r="894" spans="3:3" ht="12.5">
      <c r="C894" s="123"/>
    </row>
    <row r="895" spans="3:3" ht="12.5">
      <c r="C895" s="123"/>
    </row>
    <row r="896" spans="3:3" ht="12.5">
      <c r="C896" s="123"/>
    </row>
    <row r="897" spans="3:3" ht="12.5">
      <c r="C897" s="123"/>
    </row>
    <row r="898" spans="3:3" ht="12.5">
      <c r="C898" s="123"/>
    </row>
    <row r="899" spans="3:3" ht="12.5">
      <c r="C899" s="123"/>
    </row>
    <row r="900" spans="3:3" ht="12.5">
      <c r="C900" s="123"/>
    </row>
    <row r="901" spans="3:3" ht="12.5">
      <c r="C901" s="123"/>
    </row>
    <row r="902" spans="3:3" ht="12.5">
      <c r="C902" s="123"/>
    </row>
    <row r="903" spans="3:3" ht="12.5">
      <c r="C903" s="123"/>
    </row>
    <row r="904" spans="3:3" ht="12.5">
      <c r="C904" s="123"/>
    </row>
    <row r="905" spans="3:3" ht="12.5">
      <c r="C905" s="123"/>
    </row>
    <row r="906" spans="3:3" ht="12.5">
      <c r="C906" s="123"/>
    </row>
    <row r="907" spans="3:3" ht="12.5">
      <c r="C907" s="123"/>
    </row>
    <row r="908" spans="3:3" ht="12.5">
      <c r="C908" s="123"/>
    </row>
    <row r="909" spans="3:3" ht="12.5">
      <c r="C909" s="123"/>
    </row>
    <row r="910" spans="3:3" ht="12.5">
      <c r="C910" s="123"/>
    </row>
    <row r="911" spans="3:3" ht="12.5">
      <c r="C911" s="123"/>
    </row>
    <row r="912" spans="3:3" ht="12.5">
      <c r="C912" s="123"/>
    </row>
    <row r="913" spans="3:3" ht="12.5">
      <c r="C913" s="123"/>
    </row>
    <row r="914" spans="3:3" ht="12.5">
      <c r="C914" s="123"/>
    </row>
    <row r="915" spans="3:3" ht="12.5">
      <c r="C915" s="123"/>
    </row>
    <row r="916" spans="3:3" ht="12.5">
      <c r="C916" s="123"/>
    </row>
    <row r="917" spans="3:3" ht="12.5">
      <c r="C917" s="123"/>
    </row>
    <row r="918" spans="3:3" ht="12.5">
      <c r="C918" s="123"/>
    </row>
    <row r="919" spans="3:3" ht="12.5">
      <c r="C919" s="123"/>
    </row>
    <row r="920" spans="3:3" ht="12.5">
      <c r="C920" s="123"/>
    </row>
    <row r="921" spans="3:3" ht="12.5">
      <c r="C921" s="123"/>
    </row>
    <row r="922" spans="3:3" ht="12.5">
      <c r="C922" s="123"/>
    </row>
    <row r="923" spans="3:3" ht="12.5">
      <c r="C923" s="123"/>
    </row>
    <row r="924" spans="3:3" ht="12.5">
      <c r="C924" s="123"/>
    </row>
    <row r="925" spans="3:3" ht="12.5">
      <c r="C925" s="123"/>
    </row>
    <row r="926" spans="3:3" ht="12.5">
      <c r="C926" s="123"/>
    </row>
    <row r="927" spans="3:3" ht="12.5">
      <c r="C927" s="123"/>
    </row>
    <row r="928" spans="3:3" ht="12.5">
      <c r="C928" s="123"/>
    </row>
    <row r="929" spans="3:3" ht="12.5">
      <c r="C929" s="123"/>
    </row>
    <row r="930" spans="3:3" ht="12.5">
      <c r="C930" s="123"/>
    </row>
    <row r="931" spans="3:3" ht="12.5">
      <c r="C931" s="123"/>
    </row>
    <row r="932" spans="3:3" ht="12.5">
      <c r="C932" s="123"/>
    </row>
    <row r="933" spans="3:3" ht="12.5">
      <c r="C933" s="123"/>
    </row>
    <row r="934" spans="3:3" ht="12.5">
      <c r="C934" s="123"/>
    </row>
    <row r="935" spans="3:3" ht="12.5">
      <c r="C935" s="123"/>
    </row>
    <row r="936" spans="3:3" ht="12.5">
      <c r="C936" s="123"/>
    </row>
    <row r="937" spans="3:3" ht="12.5">
      <c r="C937" s="123"/>
    </row>
    <row r="938" spans="3:3" ht="12.5">
      <c r="C938" s="123"/>
    </row>
    <row r="939" spans="3:3" ht="12.5">
      <c r="C939" s="123"/>
    </row>
    <row r="940" spans="3:3" ht="12.5">
      <c r="C940" s="123"/>
    </row>
    <row r="941" spans="3:3" ht="12.5">
      <c r="C941" s="123"/>
    </row>
    <row r="942" spans="3:3" ht="12.5">
      <c r="C942" s="123"/>
    </row>
    <row r="943" spans="3:3" ht="12.5">
      <c r="C943" s="123"/>
    </row>
    <row r="944" spans="3:3" ht="12.5">
      <c r="C944" s="123"/>
    </row>
    <row r="945" spans="3:3" ht="12.5">
      <c r="C945" s="123"/>
    </row>
    <row r="946" spans="3:3" ht="12.5">
      <c r="C946" s="123"/>
    </row>
    <row r="947" spans="3:3" ht="12.5">
      <c r="C947" s="123"/>
    </row>
    <row r="948" spans="3:3" ht="12.5">
      <c r="C948" s="123"/>
    </row>
    <row r="949" spans="3:3" ht="12.5">
      <c r="C949" s="123"/>
    </row>
    <row r="950" spans="3:3" ht="12.5">
      <c r="C950" s="123"/>
    </row>
    <row r="951" spans="3:3" ht="12.5">
      <c r="C951" s="123"/>
    </row>
    <row r="952" spans="3:3" ht="12.5">
      <c r="C952" s="123"/>
    </row>
    <row r="953" spans="3:3" ht="12.5">
      <c r="C953" s="123"/>
    </row>
    <row r="954" spans="3:3" ht="12.5">
      <c r="C954" s="123"/>
    </row>
    <row r="955" spans="3:3" ht="12.5">
      <c r="C955" s="123"/>
    </row>
    <row r="956" spans="3:3" ht="12.5">
      <c r="C956" s="123"/>
    </row>
    <row r="957" spans="3:3" ht="12.5">
      <c r="C957" s="123"/>
    </row>
    <row r="958" spans="3:3" ht="12.5">
      <c r="C958" s="123"/>
    </row>
    <row r="959" spans="3:3" ht="12.5">
      <c r="C959" s="123"/>
    </row>
    <row r="960" spans="3:3" ht="12.5">
      <c r="C960" s="123"/>
    </row>
    <row r="961" spans="3:3" ht="12.5">
      <c r="C961" s="123"/>
    </row>
    <row r="962" spans="3:3" ht="12.5">
      <c r="C962" s="123"/>
    </row>
    <row r="963" spans="3:3" ht="12.5">
      <c r="C963" s="123"/>
    </row>
    <row r="964" spans="3:3" ht="12.5">
      <c r="C964" s="123"/>
    </row>
    <row r="965" spans="3:3" ht="12.5">
      <c r="C965" s="123"/>
    </row>
    <row r="966" spans="3:3" ht="12.5">
      <c r="C966" s="123"/>
    </row>
    <row r="967" spans="3:3" ht="12.5">
      <c r="C967" s="123"/>
    </row>
    <row r="968" spans="3:3" ht="12.5">
      <c r="C968" s="123"/>
    </row>
    <row r="969" spans="3:3" ht="12.5">
      <c r="C969" s="123"/>
    </row>
    <row r="970" spans="3:3" ht="12.5">
      <c r="C970" s="123"/>
    </row>
    <row r="971" spans="3:3" ht="12.5">
      <c r="C971" s="123"/>
    </row>
    <row r="972" spans="3:3" ht="12.5">
      <c r="C972" s="123"/>
    </row>
    <row r="973" spans="3:3" ht="12.5">
      <c r="C973" s="123"/>
    </row>
    <row r="974" spans="3:3" ht="12.5">
      <c r="C974" s="123"/>
    </row>
    <row r="975" spans="3:3" ht="12.5">
      <c r="C975" s="123"/>
    </row>
    <row r="976" spans="3:3" ht="12.5">
      <c r="C976" s="123"/>
    </row>
    <row r="977" spans="3:3" ht="12.5">
      <c r="C977" s="123"/>
    </row>
    <row r="978" spans="3:3" ht="12.5">
      <c r="C978" s="123"/>
    </row>
    <row r="979" spans="3:3" ht="12.5">
      <c r="C979" s="123"/>
    </row>
    <row r="980" spans="3:3" ht="12.5">
      <c r="C980" s="123"/>
    </row>
    <row r="981" spans="3:3" ht="12.5">
      <c r="C981" s="123"/>
    </row>
    <row r="982" spans="3:3" ht="12.5">
      <c r="C982" s="123"/>
    </row>
    <row r="983" spans="3:3" ht="12.5">
      <c r="C983" s="123"/>
    </row>
    <row r="984" spans="3:3" ht="12.5">
      <c r="C984" s="123"/>
    </row>
    <row r="985" spans="3:3" ht="12.5">
      <c r="C985" s="123"/>
    </row>
    <row r="986" spans="3:3" ht="12.5">
      <c r="C986" s="123"/>
    </row>
    <row r="987" spans="3:3" ht="12.5">
      <c r="C987" s="123"/>
    </row>
    <row r="988" spans="3:3" ht="12.5">
      <c r="C988" s="123"/>
    </row>
    <row r="989" spans="3:3" ht="12.5">
      <c r="C989" s="123"/>
    </row>
    <row r="990" spans="3:3" ht="12.5">
      <c r="C990" s="123"/>
    </row>
    <row r="991" spans="3:3" ht="12.5">
      <c r="C991" s="123"/>
    </row>
    <row r="992" spans="3:3" ht="12.5">
      <c r="C992" s="123"/>
    </row>
    <row r="993" spans="3:3" ht="12.5">
      <c r="C993" s="123"/>
    </row>
    <row r="994" spans="3:3" ht="12.5">
      <c r="C994" s="123"/>
    </row>
    <row r="995" spans="3:3" ht="12.5">
      <c r="C995" s="123"/>
    </row>
    <row r="996" spans="3:3" ht="12.5">
      <c r="C996" s="123"/>
    </row>
    <row r="997" spans="3:3" ht="12.5">
      <c r="C997" s="123"/>
    </row>
    <row r="998" spans="3:3" ht="12.5">
      <c r="C998" s="123"/>
    </row>
    <row r="999" spans="3:3" ht="12.5">
      <c r="C999" s="123"/>
    </row>
    <row r="1000" spans="3:3" ht="12.5">
      <c r="C1000" s="123"/>
    </row>
  </sheetData>
  <mergeCells count="3">
    <mergeCell ref="A1:E1"/>
    <mergeCell ref="C4:J4"/>
    <mergeCell ref="H95:J9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A1:Z1000"/>
  <sheetViews>
    <sheetView workbookViewId="0"/>
  </sheetViews>
  <sheetFormatPr defaultColWidth="12.6328125" defaultRowHeight="15" customHeight="1"/>
  <cols>
    <col min="4" max="4" width="18.08984375" customWidth="1"/>
    <col min="5" max="5" width="33" customWidth="1"/>
    <col min="7" max="16" width="12.6328125" hidden="1"/>
    <col min="19" max="19" width="38.90625" customWidth="1"/>
  </cols>
  <sheetData>
    <row r="1" spans="1:26" ht="13">
      <c r="A1" s="126"/>
      <c r="B1" s="125"/>
      <c r="C1" s="125"/>
      <c r="D1" s="193" t="s">
        <v>3352</v>
      </c>
      <c r="E1" s="124"/>
      <c r="F1" s="124"/>
      <c r="G1" s="125"/>
      <c r="H1" s="126"/>
      <c r="I1" s="126"/>
      <c r="J1" s="125"/>
      <c r="K1" s="125"/>
      <c r="L1" s="125"/>
      <c r="M1" s="125"/>
      <c r="N1" s="125"/>
      <c r="O1" s="125"/>
      <c r="P1" s="125"/>
      <c r="Q1" s="126"/>
      <c r="R1" s="126"/>
      <c r="S1" s="124"/>
      <c r="T1" s="125"/>
      <c r="U1" s="128"/>
      <c r="V1" s="128"/>
      <c r="W1" s="128"/>
      <c r="X1" s="128"/>
      <c r="Y1" s="128"/>
      <c r="Z1" s="128"/>
    </row>
    <row r="2" spans="1:26" ht="13">
      <c r="A2" s="126"/>
      <c r="B2" s="125"/>
      <c r="C2" s="125"/>
      <c r="D2" s="193" t="s">
        <v>3353</v>
      </c>
      <c r="E2" s="124"/>
      <c r="F2" s="124"/>
      <c r="G2" s="125"/>
      <c r="H2" s="126"/>
      <c r="I2" s="126"/>
      <c r="J2" s="125"/>
      <c r="K2" s="125"/>
      <c r="L2" s="125"/>
      <c r="M2" s="125"/>
      <c r="N2" s="125"/>
      <c r="O2" s="125"/>
      <c r="P2" s="125"/>
      <c r="Q2" s="126"/>
      <c r="R2" s="126"/>
      <c r="S2" s="124"/>
      <c r="T2" s="125"/>
      <c r="U2" s="128"/>
      <c r="V2" s="128"/>
      <c r="W2" s="128"/>
      <c r="X2" s="128"/>
      <c r="Y2" s="128"/>
      <c r="Z2" s="128"/>
    </row>
    <row r="3" spans="1:26" ht="12.5">
      <c r="A3" s="126"/>
      <c r="B3" s="125"/>
      <c r="C3" s="125"/>
      <c r="D3" s="130"/>
      <c r="E3" s="124"/>
      <c r="F3" s="125"/>
      <c r="G3" s="125"/>
      <c r="H3" s="126"/>
      <c r="I3" s="126"/>
      <c r="J3" s="125"/>
      <c r="K3" s="125"/>
      <c r="L3" s="125"/>
      <c r="M3" s="125"/>
      <c r="N3" s="125"/>
      <c r="O3" s="125"/>
      <c r="P3" s="125"/>
      <c r="Q3" s="126"/>
      <c r="R3" s="126"/>
      <c r="S3" s="124"/>
      <c r="T3" s="125"/>
      <c r="U3" s="128"/>
      <c r="V3" s="128"/>
      <c r="W3" s="128"/>
      <c r="X3" s="128"/>
      <c r="Y3" s="128"/>
      <c r="Z3" s="128"/>
    </row>
    <row r="4" spans="1:26" ht="18">
      <c r="A4" s="125"/>
      <c r="B4" s="125"/>
      <c r="C4" s="125"/>
      <c r="D4" s="130"/>
      <c r="E4" s="409" t="s">
        <v>3354</v>
      </c>
      <c r="F4" s="406"/>
      <c r="G4" s="125"/>
      <c r="H4" s="126"/>
      <c r="I4" s="126"/>
      <c r="J4" s="125"/>
      <c r="K4" s="125"/>
      <c r="L4" s="125"/>
      <c r="M4" s="125"/>
      <c r="N4" s="125"/>
      <c r="O4" s="125"/>
      <c r="P4" s="125"/>
      <c r="Q4" s="126"/>
      <c r="R4" s="126"/>
      <c r="S4" s="124"/>
      <c r="T4" s="125"/>
      <c r="U4" s="128"/>
      <c r="V4" s="128"/>
      <c r="W4" s="128"/>
      <c r="X4" s="128"/>
      <c r="Y4" s="128"/>
      <c r="Z4" s="128"/>
    </row>
    <row r="5" spans="1:26" ht="15.5">
      <c r="A5" s="126"/>
      <c r="B5" s="125"/>
      <c r="C5" s="125"/>
      <c r="D5" s="130"/>
      <c r="E5" s="194" t="s">
        <v>3355</v>
      </c>
      <c r="F5" s="410" t="s">
        <v>3356</v>
      </c>
      <c r="G5" s="406"/>
      <c r="H5" s="406"/>
      <c r="I5" s="406"/>
      <c r="J5" s="406"/>
      <c r="K5" s="406"/>
      <c r="L5" s="406"/>
      <c r="M5" s="406"/>
      <c r="N5" s="406"/>
      <c r="O5" s="406"/>
      <c r="P5" s="406"/>
      <c r="Q5" s="126"/>
      <c r="R5" s="126"/>
      <c r="S5" s="124"/>
      <c r="T5" s="125"/>
      <c r="U5" s="128"/>
      <c r="V5" s="128"/>
      <c r="W5" s="128"/>
      <c r="X5" s="128"/>
      <c r="Y5" s="128"/>
      <c r="Z5" s="128"/>
    </row>
    <row r="6" spans="1:26" ht="12.5">
      <c r="A6" s="126"/>
      <c r="B6" s="125"/>
      <c r="C6" s="125"/>
      <c r="D6" s="130"/>
      <c r="E6" s="124"/>
      <c r="F6" s="124"/>
      <c r="G6" s="125"/>
      <c r="H6" s="126"/>
      <c r="I6" s="126"/>
      <c r="J6" s="125"/>
      <c r="K6" s="125"/>
      <c r="L6" s="125"/>
      <c r="M6" s="125"/>
      <c r="N6" s="125"/>
      <c r="O6" s="125"/>
      <c r="P6" s="125"/>
      <c r="Q6" s="126"/>
      <c r="R6" s="126"/>
      <c r="S6" s="124"/>
      <c r="T6" s="125"/>
      <c r="U6" s="128"/>
      <c r="V6" s="128"/>
      <c r="W6" s="128"/>
      <c r="X6" s="128"/>
      <c r="Y6" s="128"/>
      <c r="Z6" s="128"/>
    </row>
    <row r="7" spans="1:26" ht="12.5">
      <c r="A7" s="166" t="s">
        <v>3</v>
      </c>
      <c r="B7" s="145" t="s">
        <v>4</v>
      </c>
      <c r="C7" s="145" t="s">
        <v>5</v>
      </c>
      <c r="D7" s="195" t="s">
        <v>3357</v>
      </c>
      <c r="E7" s="145" t="s">
        <v>3358</v>
      </c>
      <c r="F7" s="145" t="s">
        <v>3359</v>
      </c>
      <c r="G7" s="145" t="s">
        <v>9</v>
      </c>
      <c r="H7" s="166" t="s">
        <v>10</v>
      </c>
      <c r="I7" s="166" t="s">
        <v>11</v>
      </c>
      <c r="J7" s="145" t="s">
        <v>3360</v>
      </c>
      <c r="K7" s="145" t="s">
        <v>3361</v>
      </c>
      <c r="L7" s="145" t="s">
        <v>3362</v>
      </c>
      <c r="M7" s="145" t="s">
        <v>3363</v>
      </c>
      <c r="N7" s="145" t="s">
        <v>3364</v>
      </c>
      <c r="O7" s="145" t="s">
        <v>3365</v>
      </c>
      <c r="P7" s="145" t="s">
        <v>3366</v>
      </c>
      <c r="Q7" s="166" t="s">
        <v>13</v>
      </c>
      <c r="R7" s="166" t="s">
        <v>3277</v>
      </c>
      <c r="S7" s="145" t="s">
        <v>3367</v>
      </c>
      <c r="T7" s="196"/>
      <c r="U7" s="197" t="s">
        <v>3368</v>
      </c>
      <c r="V7" s="197" t="s">
        <v>3369</v>
      </c>
      <c r="W7" s="198" t="s">
        <v>3370</v>
      </c>
      <c r="X7" s="128"/>
      <c r="Y7" s="128"/>
      <c r="Z7" s="128"/>
    </row>
    <row r="8" spans="1:26" ht="13" hidden="1">
      <c r="A8" s="138">
        <v>1</v>
      </c>
      <c r="B8" s="199">
        <v>40817</v>
      </c>
      <c r="C8" s="139">
        <v>40640</v>
      </c>
      <c r="D8" s="173">
        <v>3010102337034</v>
      </c>
      <c r="E8" s="145" t="s">
        <v>3371</v>
      </c>
      <c r="F8" s="145" t="s">
        <v>3372</v>
      </c>
      <c r="G8" s="173" t="s">
        <v>1435</v>
      </c>
      <c r="H8" s="138" t="s">
        <v>19</v>
      </c>
      <c r="I8" s="138">
        <v>1</v>
      </c>
      <c r="J8" s="144">
        <v>15582606</v>
      </c>
      <c r="K8" s="144">
        <v>8830146</v>
      </c>
      <c r="L8" s="143">
        <v>0</v>
      </c>
      <c r="M8" s="143">
        <v>0</v>
      </c>
      <c r="N8" s="143">
        <v>0</v>
      </c>
      <c r="O8" s="143">
        <v>0</v>
      </c>
      <c r="P8" s="148"/>
      <c r="Q8" s="138" t="s">
        <v>36</v>
      </c>
      <c r="R8" s="138" t="s">
        <v>56</v>
      </c>
      <c r="S8" s="200" t="s">
        <v>3373</v>
      </c>
      <c r="T8" s="201"/>
      <c r="U8" s="202">
        <v>1</v>
      </c>
      <c r="V8" s="203" t="b">
        <v>1</v>
      </c>
      <c r="W8" s="204" t="s">
        <v>3285</v>
      </c>
      <c r="X8" s="128"/>
      <c r="Y8" s="128"/>
      <c r="Z8" s="128"/>
    </row>
    <row r="9" spans="1:26" ht="13" hidden="1">
      <c r="A9" s="138">
        <v>2</v>
      </c>
      <c r="B9" s="205">
        <v>41275</v>
      </c>
      <c r="C9" s="139">
        <v>41326</v>
      </c>
      <c r="D9" s="173">
        <v>3010102361034</v>
      </c>
      <c r="E9" s="145" t="s">
        <v>3371</v>
      </c>
      <c r="F9" s="145" t="s">
        <v>3374</v>
      </c>
      <c r="G9" s="206" t="s">
        <v>1435</v>
      </c>
      <c r="H9" s="138" t="s">
        <v>19</v>
      </c>
      <c r="I9" s="138">
        <v>1</v>
      </c>
      <c r="J9" s="207">
        <v>21510000</v>
      </c>
      <c r="K9" s="207">
        <v>20076000</v>
      </c>
      <c r="L9" s="208">
        <v>0</v>
      </c>
      <c r="M9" s="208">
        <v>0</v>
      </c>
      <c r="N9" s="208">
        <v>0</v>
      </c>
      <c r="O9" s="208">
        <v>0</v>
      </c>
      <c r="P9" s="148"/>
      <c r="Q9" s="138" t="s">
        <v>20</v>
      </c>
      <c r="R9" s="138" t="s">
        <v>3375</v>
      </c>
      <c r="S9" s="200" t="s">
        <v>3376</v>
      </c>
      <c r="T9" s="148"/>
      <c r="U9" s="202">
        <v>2</v>
      </c>
      <c r="V9" s="203" t="b">
        <v>1</v>
      </c>
      <c r="W9" s="204" t="s">
        <v>3285</v>
      </c>
      <c r="X9" s="128"/>
      <c r="Y9" s="128"/>
      <c r="Z9" s="128"/>
    </row>
    <row r="10" spans="1:26" ht="13" hidden="1">
      <c r="A10" s="138">
        <v>3</v>
      </c>
      <c r="B10" s="209">
        <v>41275</v>
      </c>
      <c r="C10" s="139">
        <v>41326</v>
      </c>
      <c r="D10" s="173">
        <v>3010102361035</v>
      </c>
      <c r="E10" s="145" t="s">
        <v>3371</v>
      </c>
      <c r="F10" s="145" t="s">
        <v>3377</v>
      </c>
      <c r="G10" s="173" t="s">
        <v>1435</v>
      </c>
      <c r="H10" s="138" t="s">
        <v>19</v>
      </c>
      <c r="I10" s="138">
        <v>1</v>
      </c>
      <c r="J10" s="144">
        <v>21510000</v>
      </c>
      <c r="K10" s="144">
        <v>20076000</v>
      </c>
      <c r="L10" s="143">
        <v>0</v>
      </c>
      <c r="M10" s="143">
        <v>0</v>
      </c>
      <c r="N10" s="143">
        <v>0</v>
      </c>
      <c r="O10" s="143">
        <v>0</v>
      </c>
      <c r="P10" s="148"/>
      <c r="Q10" s="138" t="s">
        <v>36</v>
      </c>
      <c r="R10" s="138" t="s">
        <v>56</v>
      </c>
      <c r="S10" s="200" t="s">
        <v>3378</v>
      </c>
      <c r="T10" s="201"/>
      <c r="U10" s="202">
        <v>3</v>
      </c>
      <c r="V10" s="203" t="b">
        <v>1</v>
      </c>
      <c r="W10" s="204" t="s">
        <v>3285</v>
      </c>
      <c r="X10" s="128"/>
      <c r="Y10" s="128"/>
      <c r="Z10" s="128"/>
    </row>
    <row r="11" spans="1:26" ht="12.5" hidden="1">
      <c r="A11" s="138">
        <v>4</v>
      </c>
      <c r="B11" s="209">
        <v>41275</v>
      </c>
      <c r="C11" s="139">
        <v>41326</v>
      </c>
      <c r="D11" s="173">
        <v>3010102361036</v>
      </c>
      <c r="E11" s="145" t="s">
        <v>3371</v>
      </c>
      <c r="F11" s="145" t="s">
        <v>3379</v>
      </c>
      <c r="G11" s="173" t="s">
        <v>1435</v>
      </c>
      <c r="H11" s="138" t="s">
        <v>19</v>
      </c>
      <c r="I11" s="138">
        <v>1</v>
      </c>
      <c r="J11" s="144">
        <v>21510000</v>
      </c>
      <c r="K11" s="144">
        <v>20076000</v>
      </c>
      <c r="L11" s="143">
        <v>0</v>
      </c>
      <c r="M11" s="143">
        <v>0</v>
      </c>
      <c r="N11" s="143">
        <v>0</v>
      </c>
      <c r="O11" s="143">
        <v>0</v>
      </c>
      <c r="P11" s="148"/>
      <c r="Q11" s="138" t="s">
        <v>206</v>
      </c>
      <c r="R11" s="138" t="s">
        <v>207</v>
      </c>
      <c r="S11" s="145" t="s">
        <v>3380</v>
      </c>
      <c r="T11" s="148"/>
      <c r="U11" s="202">
        <v>4</v>
      </c>
      <c r="V11" s="203" t="b">
        <v>1</v>
      </c>
      <c r="W11" s="204" t="s">
        <v>3285</v>
      </c>
      <c r="X11" s="128"/>
      <c r="Y11" s="128"/>
      <c r="Z11" s="128"/>
    </row>
    <row r="12" spans="1:26" ht="12.5" hidden="1">
      <c r="A12" s="138">
        <v>5</v>
      </c>
      <c r="B12" s="209">
        <v>41275</v>
      </c>
      <c r="C12" s="139">
        <v>41326</v>
      </c>
      <c r="D12" s="173">
        <v>3010102361037</v>
      </c>
      <c r="E12" s="145" t="s">
        <v>3371</v>
      </c>
      <c r="F12" s="145" t="s">
        <v>3381</v>
      </c>
      <c r="G12" s="173" t="s">
        <v>1435</v>
      </c>
      <c r="H12" s="138" t="s">
        <v>19</v>
      </c>
      <c r="I12" s="138">
        <v>1</v>
      </c>
      <c r="J12" s="144">
        <v>21510000</v>
      </c>
      <c r="K12" s="144">
        <v>20076000</v>
      </c>
      <c r="L12" s="143">
        <v>0</v>
      </c>
      <c r="M12" s="143">
        <v>0</v>
      </c>
      <c r="N12" s="143">
        <v>0</v>
      </c>
      <c r="O12" s="143">
        <v>0</v>
      </c>
      <c r="P12" s="148"/>
      <c r="Q12" s="138" t="s">
        <v>206</v>
      </c>
      <c r="R12" s="138" t="s">
        <v>207</v>
      </c>
      <c r="S12" s="145" t="s">
        <v>3382</v>
      </c>
      <c r="T12" s="148"/>
      <c r="U12" s="202">
        <v>5</v>
      </c>
      <c r="V12" s="203" t="b">
        <v>1</v>
      </c>
      <c r="W12" s="204" t="s">
        <v>3285</v>
      </c>
      <c r="X12" s="128"/>
      <c r="Y12" s="128"/>
      <c r="Z12" s="128"/>
    </row>
    <row r="13" spans="1:26" ht="12.5" hidden="1">
      <c r="A13" s="138">
        <v>6</v>
      </c>
      <c r="B13" s="209">
        <v>41275</v>
      </c>
      <c r="C13" s="139">
        <v>41326</v>
      </c>
      <c r="D13" s="173">
        <v>3010102361038</v>
      </c>
      <c r="E13" s="145" t="s">
        <v>3371</v>
      </c>
      <c r="F13" s="145" t="s">
        <v>3383</v>
      </c>
      <c r="G13" s="173" t="s">
        <v>1435</v>
      </c>
      <c r="H13" s="138" t="s">
        <v>19</v>
      </c>
      <c r="I13" s="138">
        <v>1</v>
      </c>
      <c r="J13" s="144">
        <v>21510000</v>
      </c>
      <c r="K13" s="144">
        <v>20076000</v>
      </c>
      <c r="L13" s="143">
        <v>0</v>
      </c>
      <c r="M13" s="143">
        <v>0</v>
      </c>
      <c r="N13" s="143">
        <v>0</v>
      </c>
      <c r="O13" s="143">
        <v>0</v>
      </c>
      <c r="P13" s="148"/>
      <c r="Q13" s="138" t="s">
        <v>20</v>
      </c>
      <c r="R13" s="138" t="s">
        <v>423</v>
      </c>
      <c r="S13" s="145" t="s">
        <v>3384</v>
      </c>
      <c r="T13" s="148"/>
      <c r="U13" s="202">
        <v>6</v>
      </c>
      <c r="V13" s="203" t="b">
        <v>1</v>
      </c>
      <c r="W13" s="204" t="s">
        <v>3285</v>
      </c>
      <c r="X13" s="128"/>
      <c r="Y13" s="128"/>
      <c r="Z13" s="128"/>
    </row>
    <row r="14" spans="1:26" ht="12.5" hidden="1">
      <c r="A14" s="138">
        <v>7</v>
      </c>
      <c r="B14" s="209">
        <v>41275</v>
      </c>
      <c r="C14" s="139">
        <v>41326</v>
      </c>
      <c r="D14" s="173">
        <v>3010102361039</v>
      </c>
      <c r="E14" s="145" t="s">
        <v>3371</v>
      </c>
      <c r="F14" s="145" t="s">
        <v>3385</v>
      </c>
      <c r="G14" s="173" t="s">
        <v>1435</v>
      </c>
      <c r="H14" s="138" t="s">
        <v>19</v>
      </c>
      <c r="I14" s="138">
        <v>1</v>
      </c>
      <c r="J14" s="144">
        <v>21510000</v>
      </c>
      <c r="K14" s="144">
        <v>20076000</v>
      </c>
      <c r="L14" s="143">
        <v>0</v>
      </c>
      <c r="M14" s="143">
        <v>0</v>
      </c>
      <c r="N14" s="143">
        <v>0</v>
      </c>
      <c r="O14" s="143">
        <v>0</v>
      </c>
      <c r="P14" s="148"/>
      <c r="Q14" s="138" t="s">
        <v>206</v>
      </c>
      <c r="R14" s="138" t="s">
        <v>207</v>
      </c>
      <c r="S14" s="145" t="s">
        <v>3386</v>
      </c>
      <c r="T14" s="148"/>
      <c r="U14" s="202">
        <v>7</v>
      </c>
      <c r="V14" s="203" t="b">
        <v>1</v>
      </c>
      <c r="W14" s="204" t="s">
        <v>3285</v>
      </c>
      <c r="X14" s="128"/>
      <c r="Y14" s="128"/>
      <c r="Z14" s="128"/>
    </row>
    <row r="15" spans="1:26" ht="12.5" hidden="1">
      <c r="A15" s="138">
        <v>8</v>
      </c>
      <c r="B15" s="173" t="s">
        <v>3387</v>
      </c>
      <c r="C15" s="139">
        <v>40743</v>
      </c>
      <c r="D15" s="173">
        <v>3010103057001</v>
      </c>
      <c r="E15" s="145" t="s">
        <v>3388</v>
      </c>
      <c r="F15" s="145">
        <v>275329777000158</v>
      </c>
      <c r="G15" s="173" t="s">
        <v>248</v>
      </c>
      <c r="H15" s="138" t="s">
        <v>249</v>
      </c>
      <c r="I15" s="138">
        <v>1</v>
      </c>
      <c r="J15" s="144">
        <v>29545455</v>
      </c>
      <c r="K15" s="144">
        <v>18219703</v>
      </c>
      <c r="L15" s="143">
        <v>0</v>
      </c>
      <c r="M15" s="143">
        <v>0</v>
      </c>
      <c r="N15" s="143">
        <v>0</v>
      </c>
      <c r="O15" s="143">
        <v>0</v>
      </c>
      <c r="P15" s="148"/>
      <c r="Q15" s="138" t="s">
        <v>1195</v>
      </c>
      <c r="R15" s="138" t="s">
        <v>3389</v>
      </c>
      <c r="S15" s="145" t="s">
        <v>3390</v>
      </c>
      <c r="T15" s="148"/>
      <c r="U15" s="202">
        <v>8</v>
      </c>
      <c r="V15" s="203" t="b">
        <v>1</v>
      </c>
      <c r="W15" s="204" t="s">
        <v>3285</v>
      </c>
      <c r="X15" s="128"/>
      <c r="Y15" s="128"/>
      <c r="Z15" s="128"/>
    </row>
    <row r="16" spans="1:26" ht="12.5">
      <c r="A16" s="138">
        <v>9</v>
      </c>
      <c r="B16" s="173" t="s">
        <v>3391</v>
      </c>
      <c r="C16" s="139">
        <v>36892</v>
      </c>
      <c r="D16" s="210" t="s">
        <v>3392</v>
      </c>
      <c r="E16" s="145" t="s">
        <v>3393</v>
      </c>
      <c r="F16" s="145">
        <v>2003009</v>
      </c>
      <c r="G16" s="148"/>
      <c r="H16" s="138" t="s">
        <v>249</v>
      </c>
      <c r="I16" s="138">
        <v>1</v>
      </c>
      <c r="J16" s="144">
        <v>14614587</v>
      </c>
      <c r="K16" s="143">
        <v>0</v>
      </c>
      <c r="L16" s="143">
        <v>0</v>
      </c>
      <c r="M16" s="143">
        <v>0</v>
      </c>
      <c r="N16" s="143">
        <v>0</v>
      </c>
      <c r="O16" s="143">
        <v>0</v>
      </c>
      <c r="P16" s="148"/>
      <c r="Q16" s="138" t="s">
        <v>20</v>
      </c>
      <c r="R16" s="138" t="s">
        <v>229</v>
      </c>
      <c r="S16" s="145" t="s">
        <v>1234</v>
      </c>
      <c r="T16" s="148"/>
      <c r="U16" s="202">
        <v>9</v>
      </c>
      <c r="V16" s="203" t="b">
        <v>1</v>
      </c>
      <c r="W16" s="204" t="s">
        <v>3285</v>
      </c>
      <c r="X16" s="128"/>
      <c r="Y16" s="128"/>
      <c r="Z16" s="128"/>
    </row>
    <row r="17" spans="1:26" ht="12.5" hidden="1">
      <c r="A17" s="211">
        <v>10</v>
      </c>
      <c r="B17" s="173" t="s">
        <v>2681</v>
      </c>
      <c r="C17" s="212">
        <v>36161</v>
      </c>
      <c r="D17" s="213">
        <v>3010104072005</v>
      </c>
      <c r="E17" s="214" t="s">
        <v>3394</v>
      </c>
      <c r="F17" s="214" t="s">
        <v>3395</v>
      </c>
      <c r="G17" s="148"/>
      <c r="H17" s="215"/>
      <c r="I17" s="211">
        <v>1</v>
      </c>
      <c r="J17" s="144">
        <v>19480338</v>
      </c>
      <c r="K17" s="143">
        <v>0</v>
      </c>
      <c r="L17" s="143">
        <v>0</v>
      </c>
      <c r="M17" s="143">
        <v>0</v>
      </c>
      <c r="N17" s="143">
        <v>0</v>
      </c>
      <c r="O17" s="143">
        <v>0</v>
      </c>
      <c r="P17" s="201"/>
      <c r="Q17" s="211" t="s">
        <v>20</v>
      </c>
      <c r="R17" s="211" t="s">
        <v>21</v>
      </c>
      <c r="S17" s="214" t="s">
        <v>22</v>
      </c>
      <c r="T17" s="213" t="s">
        <v>3396</v>
      </c>
      <c r="U17" s="202">
        <v>10</v>
      </c>
      <c r="V17" s="203" t="b">
        <v>1</v>
      </c>
      <c r="W17" s="405" t="s">
        <v>3397</v>
      </c>
      <c r="X17" s="406"/>
      <c r="Y17" s="128"/>
      <c r="Z17" s="128"/>
    </row>
    <row r="18" spans="1:26" ht="12.5" hidden="1">
      <c r="A18" s="138">
        <v>11</v>
      </c>
      <c r="B18" s="173" t="s">
        <v>3398</v>
      </c>
      <c r="C18" s="139">
        <v>37987</v>
      </c>
      <c r="D18" s="173">
        <v>3010104093009</v>
      </c>
      <c r="E18" s="145" t="s">
        <v>3399</v>
      </c>
      <c r="F18" s="145">
        <v>517952</v>
      </c>
      <c r="G18" s="148"/>
      <c r="H18" s="216"/>
      <c r="I18" s="138">
        <v>1</v>
      </c>
      <c r="J18" s="144">
        <v>3705220</v>
      </c>
      <c r="K18" s="143">
        <v>0</v>
      </c>
      <c r="L18" s="143">
        <v>0</v>
      </c>
      <c r="M18" s="143">
        <v>0</v>
      </c>
      <c r="N18" s="143">
        <v>0</v>
      </c>
      <c r="O18" s="143">
        <v>0</v>
      </c>
      <c r="P18" s="173" t="s">
        <v>3400</v>
      </c>
      <c r="Q18" s="138" t="s">
        <v>206</v>
      </c>
      <c r="R18" s="138" t="s">
        <v>207</v>
      </c>
      <c r="S18" s="145" t="s">
        <v>3401</v>
      </c>
      <c r="T18" s="148"/>
      <c r="U18" s="202">
        <v>11</v>
      </c>
      <c r="V18" s="203" t="b">
        <v>1</v>
      </c>
      <c r="W18" s="204" t="s">
        <v>3285</v>
      </c>
      <c r="X18" s="128"/>
      <c r="Y18" s="128"/>
      <c r="Z18" s="128"/>
    </row>
    <row r="19" spans="1:26" ht="12.5" hidden="1">
      <c r="A19" s="138">
        <v>12</v>
      </c>
      <c r="B19" s="173" t="s">
        <v>1421</v>
      </c>
      <c r="C19" s="139">
        <v>38717</v>
      </c>
      <c r="D19" s="173">
        <v>3010104107002</v>
      </c>
      <c r="E19" s="145" t="s">
        <v>3402</v>
      </c>
      <c r="F19" s="145" t="s">
        <v>3403</v>
      </c>
      <c r="G19" s="148"/>
      <c r="H19" s="216"/>
      <c r="I19" s="138">
        <v>1</v>
      </c>
      <c r="J19" s="144">
        <v>7042513</v>
      </c>
      <c r="K19" s="143">
        <v>0</v>
      </c>
      <c r="L19" s="143">
        <v>0</v>
      </c>
      <c r="M19" s="143">
        <v>0</v>
      </c>
      <c r="N19" s="143">
        <v>0</v>
      </c>
      <c r="O19" s="143">
        <v>0</v>
      </c>
      <c r="P19" s="148"/>
      <c r="Q19" s="138" t="s">
        <v>206</v>
      </c>
      <c r="R19" s="138" t="s">
        <v>3404</v>
      </c>
      <c r="S19" s="145" t="s">
        <v>206</v>
      </c>
      <c r="T19" s="148"/>
      <c r="U19" s="202">
        <v>12</v>
      </c>
      <c r="V19" s="203" t="b">
        <v>1</v>
      </c>
      <c r="W19" s="204" t="s">
        <v>3285</v>
      </c>
      <c r="X19" s="128"/>
      <c r="Y19" s="128"/>
      <c r="Z19" s="128"/>
    </row>
    <row r="20" spans="1:26" ht="12.5" hidden="1">
      <c r="A20" s="211">
        <v>13</v>
      </c>
      <c r="B20" s="217">
        <v>169</v>
      </c>
      <c r="C20" s="212">
        <v>38625</v>
      </c>
      <c r="D20" s="213">
        <v>3010104113001</v>
      </c>
      <c r="E20" s="214" t="s">
        <v>3405</v>
      </c>
      <c r="F20" s="214">
        <v>2006440</v>
      </c>
      <c r="G20" s="218"/>
      <c r="H20" s="215"/>
      <c r="I20" s="211">
        <v>1</v>
      </c>
      <c r="J20" s="219">
        <v>21712829</v>
      </c>
      <c r="K20" s="220">
        <v>0</v>
      </c>
      <c r="L20" s="220">
        <v>0</v>
      </c>
      <c r="M20" s="220">
        <v>0</v>
      </c>
      <c r="N20" s="220">
        <v>0</v>
      </c>
      <c r="O20" s="220">
        <v>0</v>
      </c>
      <c r="P20" s="213" t="s">
        <v>3400</v>
      </c>
      <c r="Q20" s="211" t="s">
        <v>206</v>
      </c>
      <c r="R20" s="211" t="s">
        <v>207</v>
      </c>
      <c r="S20" s="214" t="s">
        <v>3406</v>
      </c>
      <c r="T20" s="201"/>
      <c r="U20" s="202">
        <v>13</v>
      </c>
      <c r="V20" s="203" t="b">
        <v>1</v>
      </c>
      <c r="W20" s="405" t="s">
        <v>3397</v>
      </c>
      <c r="X20" s="406"/>
      <c r="Y20" s="128"/>
      <c r="Z20" s="128"/>
    </row>
    <row r="21" spans="1:26" ht="12.5" hidden="1">
      <c r="A21" s="138">
        <v>14</v>
      </c>
      <c r="B21" s="173">
        <v>210</v>
      </c>
      <c r="C21" s="139">
        <v>39080</v>
      </c>
      <c r="D21" s="173">
        <v>3010104154002</v>
      </c>
      <c r="E21" s="145" t="s">
        <v>3407</v>
      </c>
      <c r="F21" s="145" t="s">
        <v>3408</v>
      </c>
      <c r="G21" s="148"/>
      <c r="H21" s="216"/>
      <c r="I21" s="138">
        <v>1</v>
      </c>
      <c r="J21" s="144">
        <v>5060000</v>
      </c>
      <c r="K21" s="143">
        <v>0</v>
      </c>
      <c r="L21" s="143">
        <v>0</v>
      </c>
      <c r="M21" s="143">
        <v>0</v>
      </c>
      <c r="N21" s="143">
        <v>0</v>
      </c>
      <c r="O21" s="143">
        <v>0</v>
      </c>
      <c r="P21" s="148"/>
      <c r="Q21" s="138" t="s">
        <v>36</v>
      </c>
      <c r="R21" s="138" t="s">
        <v>56</v>
      </c>
      <c r="S21" s="145" t="s">
        <v>2023</v>
      </c>
      <c r="T21" s="148"/>
      <c r="U21" s="202">
        <v>14</v>
      </c>
      <c r="V21" s="203" t="b">
        <v>1</v>
      </c>
      <c r="W21" s="204" t="s">
        <v>3285</v>
      </c>
      <c r="X21" s="128"/>
      <c r="Y21" s="128"/>
      <c r="Z21" s="128"/>
    </row>
    <row r="22" spans="1:26" ht="12.5" hidden="1">
      <c r="A22" s="138">
        <v>15</v>
      </c>
      <c r="B22" s="173">
        <v>211</v>
      </c>
      <c r="C22" s="139">
        <v>39080</v>
      </c>
      <c r="D22" s="173">
        <v>3010104154003</v>
      </c>
      <c r="E22" s="145" t="s">
        <v>3407</v>
      </c>
      <c r="F22" s="145" t="s">
        <v>3409</v>
      </c>
      <c r="G22" s="148"/>
      <c r="H22" s="216"/>
      <c r="I22" s="138">
        <v>1</v>
      </c>
      <c r="J22" s="144">
        <v>5060000</v>
      </c>
      <c r="K22" s="143">
        <v>0</v>
      </c>
      <c r="L22" s="143">
        <v>0</v>
      </c>
      <c r="M22" s="143">
        <v>0</v>
      </c>
      <c r="N22" s="143">
        <v>0</v>
      </c>
      <c r="O22" s="143">
        <v>0</v>
      </c>
      <c r="P22" s="148"/>
      <c r="Q22" s="138" t="s">
        <v>36</v>
      </c>
      <c r="R22" s="138" t="s">
        <v>56</v>
      </c>
      <c r="S22" s="145" t="s">
        <v>2023</v>
      </c>
      <c r="T22" s="148"/>
      <c r="U22" s="202">
        <v>15</v>
      </c>
      <c r="V22" s="203" t="b">
        <v>1</v>
      </c>
      <c r="W22" s="204" t="s">
        <v>3285</v>
      </c>
      <c r="X22" s="128"/>
      <c r="Y22" s="128"/>
      <c r="Z22" s="128"/>
    </row>
    <row r="23" spans="1:26" ht="12.5" hidden="1">
      <c r="A23" s="138">
        <v>16</v>
      </c>
      <c r="B23" s="173">
        <v>174</v>
      </c>
      <c r="C23" s="139">
        <v>39080</v>
      </c>
      <c r="D23" s="173">
        <v>3010104157001</v>
      </c>
      <c r="E23" s="145" t="s">
        <v>3410</v>
      </c>
      <c r="F23" s="145" t="s">
        <v>3411</v>
      </c>
      <c r="G23" s="148"/>
      <c r="H23" s="216"/>
      <c r="I23" s="138">
        <v>1</v>
      </c>
      <c r="J23" s="144">
        <v>4914054</v>
      </c>
      <c r="K23" s="143">
        <v>0</v>
      </c>
      <c r="L23" s="143">
        <v>0</v>
      </c>
      <c r="M23" s="143">
        <v>0</v>
      </c>
      <c r="N23" s="143">
        <v>0</v>
      </c>
      <c r="O23" s="143">
        <v>0</v>
      </c>
      <c r="P23" s="148"/>
      <c r="Q23" s="138" t="s">
        <v>36</v>
      </c>
      <c r="R23" s="138" t="s">
        <v>56</v>
      </c>
      <c r="S23" s="145" t="s">
        <v>2023</v>
      </c>
      <c r="T23" s="148"/>
      <c r="U23" s="202">
        <v>16</v>
      </c>
      <c r="V23" s="203" t="b">
        <v>1</v>
      </c>
      <c r="W23" s="204" t="s">
        <v>3285</v>
      </c>
      <c r="X23" s="128"/>
      <c r="Y23" s="128"/>
      <c r="Z23" s="128"/>
    </row>
    <row r="24" spans="1:26" ht="12.5" hidden="1">
      <c r="A24" s="211">
        <v>17</v>
      </c>
      <c r="B24" s="173">
        <v>38</v>
      </c>
      <c r="C24" s="212">
        <v>39283</v>
      </c>
      <c r="D24" s="213">
        <v>3010104166001</v>
      </c>
      <c r="E24" s="214" t="s">
        <v>3412</v>
      </c>
      <c r="F24" s="214" t="s">
        <v>3413</v>
      </c>
      <c r="G24" s="148"/>
      <c r="H24" s="211" t="s">
        <v>249</v>
      </c>
      <c r="I24" s="211">
        <v>1</v>
      </c>
      <c r="J24" s="144">
        <v>15600000</v>
      </c>
      <c r="K24" s="143">
        <v>0</v>
      </c>
      <c r="L24" s="143">
        <v>0</v>
      </c>
      <c r="M24" s="143">
        <v>0</v>
      </c>
      <c r="N24" s="143">
        <v>0</v>
      </c>
      <c r="O24" s="143">
        <v>0</v>
      </c>
      <c r="P24" s="213" t="s">
        <v>3414</v>
      </c>
      <c r="Q24" s="211" t="s">
        <v>20</v>
      </c>
      <c r="R24" s="211" t="s">
        <v>21</v>
      </c>
      <c r="S24" s="214" t="s">
        <v>22</v>
      </c>
      <c r="T24" s="213" t="s">
        <v>3415</v>
      </c>
      <c r="U24" s="202">
        <v>17</v>
      </c>
      <c r="V24" s="203" t="b">
        <v>1</v>
      </c>
      <c r="W24" s="405" t="s">
        <v>3397</v>
      </c>
      <c r="X24" s="406"/>
      <c r="Y24" s="128"/>
      <c r="Z24" s="128"/>
    </row>
    <row r="25" spans="1:26" ht="12.5" hidden="1">
      <c r="A25" s="211">
        <v>18</v>
      </c>
      <c r="B25" s="173" t="s">
        <v>1421</v>
      </c>
      <c r="C25" s="212">
        <v>38717</v>
      </c>
      <c r="D25" s="213">
        <v>3010104167005</v>
      </c>
      <c r="E25" s="214" t="s">
        <v>3416</v>
      </c>
      <c r="F25" s="214">
        <v>16905810</v>
      </c>
      <c r="G25" s="173" t="s">
        <v>1754</v>
      </c>
      <c r="H25" s="211" t="s">
        <v>249</v>
      </c>
      <c r="I25" s="211">
        <v>1</v>
      </c>
      <c r="J25" s="144">
        <v>13266876</v>
      </c>
      <c r="K25" s="143">
        <v>0</v>
      </c>
      <c r="L25" s="143">
        <v>0</v>
      </c>
      <c r="M25" s="143">
        <v>0</v>
      </c>
      <c r="N25" s="143">
        <v>0</v>
      </c>
      <c r="O25" s="143">
        <v>0</v>
      </c>
      <c r="P25" s="201"/>
      <c r="Q25" s="211" t="s">
        <v>20</v>
      </c>
      <c r="R25" s="211" t="s">
        <v>21</v>
      </c>
      <c r="S25" s="214" t="s">
        <v>22</v>
      </c>
      <c r="T25" s="213" t="s">
        <v>3396</v>
      </c>
      <c r="U25" s="202">
        <v>18</v>
      </c>
      <c r="V25" s="203" t="b">
        <v>1</v>
      </c>
      <c r="W25" s="405" t="s">
        <v>3397</v>
      </c>
      <c r="X25" s="406"/>
      <c r="Y25" s="128"/>
      <c r="Z25" s="128"/>
    </row>
    <row r="26" spans="1:26" ht="12.5" hidden="1">
      <c r="A26" s="138">
        <v>19</v>
      </c>
      <c r="B26" s="173" t="s">
        <v>1421</v>
      </c>
      <c r="C26" s="139">
        <v>38717</v>
      </c>
      <c r="D26" s="173">
        <v>3010104168001</v>
      </c>
      <c r="E26" s="145" t="s">
        <v>3417</v>
      </c>
      <c r="F26" s="145" t="s">
        <v>3418</v>
      </c>
      <c r="G26" s="173" t="s">
        <v>248</v>
      </c>
      <c r="H26" s="138" t="s">
        <v>249</v>
      </c>
      <c r="I26" s="138">
        <v>1</v>
      </c>
      <c r="J26" s="144">
        <v>2069440</v>
      </c>
      <c r="K26" s="143">
        <v>0</v>
      </c>
      <c r="L26" s="143">
        <v>0</v>
      </c>
      <c r="M26" s="143">
        <v>0</v>
      </c>
      <c r="N26" s="143">
        <v>0</v>
      </c>
      <c r="O26" s="143">
        <v>0</v>
      </c>
      <c r="P26" s="148"/>
      <c r="Q26" s="138" t="s">
        <v>36</v>
      </c>
      <c r="R26" s="138" t="s">
        <v>56</v>
      </c>
      <c r="S26" s="145" t="s">
        <v>3419</v>
      </c>
      <c r="T26" s="148"/>
      <c r="U26" s="202">
        <v>19</v>
      </c>
      <c r="V26" s="203" t="b">
        <v>1</v>
      </c>
      <c r="W26" s="204" t="s">
        <v>3285</v>
      </c>
      <c r="X26" s="128"/>
      <c r="Y26" s="128"/>
      <c r="Z26" s="128"/>
    </row>
    <row r="27" spans="1:26" ht="12.5" hidden="1">
      <c r="A27" s="138">
        <v>20</v>
      </c>
      <c r="B27" s="173" t="s">
        <v>1421</v>
      </c>
      <c r="C27" s="139">
        <v>38717</v>
      </c>
      <c r="D27" s="173">
        <v>3010104168002</v>
      </c>
      <c r="E27" s="145" t="s">
        <v>3417</v>
      </c>
      <c r="F27" s="145" t="s">
        <v>3420</v>
      </c>
      <c r="G27" s="173" t="s">
        <v>248</v>
      </c>
      <c r="H27" s="138" t="s">
        <v>249</v>
      </c>
      <c r="I27" s="138">
        <v>1</v>
      </c>
      <c r="J27" s="144">
        <v>2069440</v>
      </c>
      <c r="K27" s="143">
        <v>0</v>
      </c>
      <c r="L27" s="143">
        <v>0</v>
      </c>
      <c r="M27" s="143">
        <v>0</v>
      </c>
      <c r="N27" s="143">
        <v>0</v>
      </c>
      <c r="O27" s="143">
        <v>0</v>
      </c>
      <c r="P27" s="148"/>
      <c r="Q27" s="138" t="s">
        <v>36</v>
      </c>
      <c r="R27" s="138" t="s">
        <v>56</v>
      </c>
      <c r="S27" s="145" t="s">
        <v>2023</v>
      </c>
      <c r="T27" s="148"/>
      <c r="U27" s="202">
        <v>20</v>
      </c>
      <c r="V27" s="203" t="b">
        <v>1</v>
      </c>
      <c r="W27" s="204" t="s">
        <v>3285</v>
      </c>
      <c r="X27" s="128"/>
      <c r="Y27" s="128"/>
      <c r="Z27" s="128"/>
    </row>
    <row r="28" spans="1:26" ht="12.5" hidden="1">
      <c r="A28" s="138">
        <v>21</v>
      </c>
      <c r="B28" s="173" t="s">
        <v>1421</v>
      </c>
      <c r="C28" s="139">
        <v>38717</v>
      </c>
      <c r="D28" s="173">
        <v>3010104168003</v>
      </c>
      <c r="E28" s="145" t="s">
        <v>3417</v>
      </c>
      <c r="F28" s="145" t="s">
        <v>3421</v>
      </c>
      <c r="G28" s="173" t="s">
        <v>248</v>
      </c>
      <c r="H28" s="138" t="s">
        <v>249</v>
      </c>
      <c r="I28" s="138">
        <v>1</v>
      </c>
      <c r="J28" s="144">
        <v>2069440</v>
      </c>
      <c r="K28" s="143">
        <v>0</v>
      </c>
      <c r="L28" s="143">
        <v>0</v>
      </c>
      <c r="M28" s="143">
        <v>0</v>
      </c>
      <c r="N28" s="143">
        <v>0</v>
      </c>
      <c r="O28" s="143">
        <v>0</v>
      </c>
      <c r="P28" s="148"/>
      <c r="Q28" s="138" t="s">
        <v>36</v>
      </c>
      <c r="R28" s="138" t="s">
        <v>56</v>
      </c>
      <c r="S28" s="145" t="s">
        <v>2023</v>
      </c>
      <c r="T28" s="148"/>
      <c r="U28" s="202">
        <v>21</v>
      </c>
      <c r="V28" s="203" t="b">
        <v>1</v>
      </c>
      <c r="W28" s="204" t="s">
        <v>3285</v>
      </c>
      <c r="X28" s="128"/>
      <c r="Y28" s="128"/>
      <c r="Z28" s="128"/>
    </row>
    <row r="29" spans="1:26" ht="12.5" hidden="1">
      <c r="A29" s="138">
        <v>22</v>
      </c>
      <c r="B29" s="173" t="s">
        <v>1421</v>
      </c>
      <c r="C29" s="139">
        <v>38717</v>
      </c>
      <c r="D29" s="173">
        <v>3010104168004</v>
      </c>
      <c r="E29" s="145" t="s">
        <v>3417</v>
      </c>
      <c r="F29" s="145" t="s">
        <v>3422</v>
      </c>
      <c r="G29" s="173" t="s">
        <v>248</v>
      </c>
      <c r="H29" s="138" t="s">
        <v>249</v>
      </c>
      <c r="I29" s="138">
        <v>1</v>
      </c>
      <c r="J29" s="144">
        <v>2069440</v>
      </c>
      <c r="K29" s="143">
        <v>0</v>
      </c>
      <c r="L29" s="143">
        <v>0</v>
      </c>
      <c r="M29" s="143">
        <v>0</v>
      </c>
      <c r="N29" s="143">
        <v>0</v>
      </c>
      <c r="O29" s="143">
        <v>0</v>
      </c>
      <c r="P29" s="148"/>
      <c r="Q29" s="138" t="s">
        <v>36</v>
      </c>
      <c r="R29" s="138" t="s">
        <v>56</v>
      </c>
      <c r="S29" s="145" t="s">
        <v>2023</v>
      </c>
      <c r="T29" s="148"/>
      <c r="U29" s="202">
        <v>22</v>
      </c>
      <c r="V29" s="203" t="b">
        <v>1</v>
      </c>
      <c r="W29" s="204" t="s">
        <v>3285</v>
      </c>
      <c r="X29" s="128"/>
      <c r="Y29" s="128"/>
      <c r="Z29" s="128"/>
    </row>
    <row r="30" spans="1:26" ht="12.5" hidden="1">
      <c r="A30" s="211">
        <v>23</v>
      </c>
      <c r="B30" s="217">
        <v>235</v>
      </c>
      <c r="C30" s="212">
        <v>38681</v>
      </c>
      <c r="D30" s="213">
        <v>3010104170002</v>
      </c>
      <c r="E30" s="214" t="s">
        <v>3394</v>
      </c>
      <c r="F30" s="214">
        <v>2112348</v>
      </c>
      <c r="G30" s="218"/>
      <c r="H30" s="215"/>
      <c r="I30" s="211">
        <v>1</v>
      </c>
      <c r="J30" s="219">
        <v>20820034</v>
      </c>
      <c r="K30" s="220">
        <v>0</v>
      </c>
      <c r="L30" s="220">
        <v>0</v>
      </c>
      <c r="M30" s="220">
        <v>0</v>
      </c>
      <c r="N30" s="220">
        <v>0</v>
      </c>
      <c r="O30" s="220">
        <v>0</v>
      </c>
      <c r="P30" s="201"/>
      <c r="Q30" s="211" t="s">
        <v>206</v>
      </c>
      <c r="R30" s="211" t="s">
        <v>207</v>
      </c>
      <c r="S30" s="214" t="s">
        <v>3423</v>
      </c>
      <c r="T30" s="201"/>
      <c r="U30" s="202">
        <v>23</v>
      </c>
      <c r="V30" s="203" t="b">
        <v>1</v>
      </c>
      <c r="W30" s="405" t="s">
        <v>3397</v>
      </c>
      <c r="X30" s="406"/>
      <c r="Y30" s="128"/>
      <c r="Z30" s="128"/>
    </row>
    <row r="31" spans="1:26" ht="12.5" hidden="1">
      <c r="A31" s="211">
        <v>24</v>
      </c>
      <c r="B31" s="217" t="s">
        <v>3391</v>
      </c>
      <c r="C31" s="212">
        <v>36892</v>
      </c>
      <c r="D31" s="213">
        <v>3010104181001</v>
      </c>
      <c r="E31" s="214" t="s">
        <v>3424</v>
      </c>
      <c r="F31" s="214">
        <v>6013072</v>
      </c>
      <c r="G31" s="218"/>
      <c r="H31" s="215"/>
      <c r="I31" s="211">
        <v>1</v>
      </c>
      <c r="J31" s="219">
        <v>7004677</v>
      </c>
      <c r="K31" s="220">
        <v>0</v>
      </c>
      <c r="L31" s="220">
        <v>0</v>
      </c>
      <c r="M31" s="220">
        <v>0</v>
      </c>
      <c r="N31" s="220">
        <v>0</v>
      </c>
      <c r="O31" s="220">
        <v>0</v>
      </c>
      <c r="P31" s="213" t="s">
        <v>3400</v>
      </c>
      <c r="Q31" s="211" t="s">
        <v>206</v>
      </c>
      <c r="R31" s="211" t="s">
        <v>207</v>
      </c>
      <c r="S31" s="214" t="s">
        <v>3425</v>
      </c>
      <c r="T31" s="201"/>
      <c r="U31" s="202">
        <v>24</v>
      </c>
      <c r="V31" s="203" t="b">
        <v>1</v>
      </c>
      <c r="W31" s="405" t="s">
        <v>3397</v>
      </c>
      <c r="X31" s="406"/>
      <c r="Y31" s="128"/>
      <c r="Z31" s="128"/>
    </row>
    <row r="32" spans="1:26" ht="12.5" hidden="1">
      <c r="A32" s="211">
        <v>25</v>
      </c>
      <c r="B32" s="217" t="s">
        <v>3391</v>
      </c>
      <c r="C32" s="212">
        <v>36892</v>
      </c>
      <c r="D32" s="213">
        <v>3010104181003</v>
      </c>
      <c r="E32" s="214" t="s">
        <v>3424</v>
      </c>
      <c r="F32" s="214">
        <v>6013078</v>
      </c>
      <c r="G32" s="218"/>
      <c r="H32" s="215"/>
      <c r="I32" s="211">
        <v>1</v>
      </c>
      <c r="J32" s="219">
        <v>7004677</v>
      </c>
      <c r="K32" s="220">
        <v>0</v>
      </c>
      <c r="L32" s="220">
        <v>0</v>
      </c>
      <c r="M32" s="220">
        <v>0</v>
      </c>
      <c r="N32" s="220">
        <v>0</v>
      </c>
      <c r="O32" s="220">
        <v>0</v>
      </c>
      <c r="P32" s="213" t="s">
        <v>3400</v>
      </c>
      <c r="Q32" s="211" t="s">
        <v>206</v>
      </c>
      <c r="R32" s="211" t="s">
        <v>207</v>
      </c>
      <c r="S32" s="214" t="s">
        <v>3423</v>
      </c>
      <c r="T32" s="201"/>
      <c r="U32" s="202">
        <v>25</v>
      </c>
      <c r="V32" s="203" t="b">
        <v>1</v>
      </c>
      <c r="W32" s="405" t="s">
        <v>3397</v>
      </c>
      <c r="X32" s="406"/>
      <c r="Y32" s="128"/>
      <c r="Z32" s="128"/>
    </row>
    <row r="33" spans="1:26" ht="12.5" hidden="1">
      <c r="A33" s="138">
        <v>26</v>
      </c>
      <c r="B33" s="173" t="s">
        <v>3426</v>
      </c>
      <c r="C33" s="139">
        <v>40072</v>
      </c>
      <c r="D33" s="173">
        <v>3010104187001</v>
      </c>
      <c r="E33" s="145" t="s">
        <v>3427</v>
      </c>
      <c r="F33" s="145" t="s">
        <v>3428</v>
      </c>
      <c r="G33" s="173" t="s">
        <v>35</v>
      </c>
      <c r="H33" s="138" t="s">
        <v>249</v>
      </c>
      <c r="I33" s="138">
        <v>1</v>
      </c>
      <c r="J33" s="144">
        <v>2427000</v>
      </c>
      <c r="K33" s="144">
        <v>606750</v>
      </c>
      <c r="L33" s="143">
        <v>0</v>
      </c>
      <c r="M33" s="143">
        <v>0</v>
      </c>
      <c r="N33" s="143">
        <v>0</v>
      </c>
      <c r="O33" s="143">
        <v>0</v>
      </c>
      <c r="P33" s="148"/>
      <c r="Q33" s="138" t="s">
        <v>36</v>
      </c>
      <c r="R33" s="138" t="s">
        <v>56</v>
      </c>
      <c r="S33" s="145" t="s">
        <v>2023</v>
      </c>
      <c r="T33" s="148"/>
      <c r="U33" s="202">
        <v>26</v>
      </c>
      <c r="V33" s="203" t="b">
        <v>1</v>
      </c>
      <c r="W33" s="204" t="s">
        <v>3285</v>
      </c>
      <c r="X33" s="128"/>
      <c r="Y33" s="128"/>
      <c r="Z33" s="128"/>
    </row>
    <row r="34" spans="1:26" ht="12.5" hidden="1">
      <c r="A34" s="138">
        <v>27</v>
      </c>
      <c r="B34" s="173" t="s">
        <v>42</v>
      </c>
      <c r="C34" s="139">
        <v>40702</v>
      </c>
      <c r="D34" s="173">
        <v>3010104195001</v>
      </c>
      <c r="E34" s="145" t="s">
        <v>3429</v>
      </c>
      <c r="F34" s="145" t="s">
        <v>3430</v>
      </c>
      <c r="G34" s="173" t="s">
        <v>35</v>
      </c>
      <c r="H34" s="138" t="s">
        <v>249</v>
      </c>
      <c r="I34" s="138">
        <v>1</v>
      </c>
      <c r="J34" s="144">
        <v>3928717</v>
      </c>
      <c r="K34" s="144">
        <v>2357221</v>
      </c>
      <c r="L34" s="143">
        <v>0</v>
      </c>
      <c r="M34" s="143">
        <v>0</v>
      </c>
      <c r="N34" s="143">
        <v>0</v>
      </c>
      <c r="O34" s="143">
        <v>0</v>
      </c>
      <c r="P34" s="148"/>
      <c r="Q34" s="138" t="s">
        <v>20</v>
      </c>
      <c r="R34" s="138" t="s">
        <v>295</v>
      </c>
      <c r="S34" s="145" t="s">
        <v>3431</v>
      </c>
      <c r="T34" s="148"/>
      <c r="U34" s="202">
        <v>27</v>
      </c>
      <c r="V34" s="203" t="b">
        <v>1</v>
      </c>
      <c r="W34" s="204" t="s">
        <v>3285</v>
      </c>
      <c r="X34" s="128"/>
      <c r="Y34" s="128"/>
      <c r="Z34" s="128"/>
    </row>
    <row r="35" spans="1:26" ht="12.5" hidden="1">
      <c r="A35" s="138">
        <v>28</v>
      </c>
      <c r="B35" s="173" t="s">
        <v>42</v>
      </c>
      <c r="C35" s="139">
        <v>40702</v>
      </c>
      <c r="D35" s="173">
        <v>3010104195002</v>
      </c>
      <c r="E35" s="145" t="s">
        <v>3429</v>
      </c>
      <c r="F35" s="145" t="s">
        <v>3432</v>
      </c>
      <c r="G35" s="173" t="s">
        <v>35</v>
      </c>
      <c r="H35" s="138" t="s">
        <v>249</v>
      </c>
      <c r="I35" s="138">
        <v>1</v>
      </c>
      <c r="J35" s="144">
        <v>3928717</v>
      </c>
      <c r="K35" s="144">
        <v>2357221</v>
      </c>
      <c r="L35" s="143">
        <v>0</v>
      </c>
      <c r="M35" s="143">
        <v>0</v>
      </c>
      <c r="N35" s="143">
        <v>0</v>
      </c>
      <c r="O35" s="143">
        <v>0</v>
      </c>
      <c r="P35" s="148"/>
      <c r="Q35" s="138" t="s">
        <v>206</v>
      </c>
      <c r="R35" s="138" t="s">
        <v>207</v>
      </c>
      <c r="S35" s="145" t="s">
        <v>206</v>
      </c>
      <c r="T35" s="148"/>
      <c r="U35" s="202">
        <v>28</v>
      </c>
      <c r="V35" s="203" t="b">
        <v>1</v>
      </c>
      <c r="W35" s="204" t="s">
        <v>3285</v>
      </c>
      <c r="X35" s="128"/>
      <c r="Y35" s="128"/>
      <c r="Z35" s="128"/>
    </row>
    <row r="36" spans="1:26" ht="12.5" hidden="1">
      <c r="A36" s="211">
        <v>29</v>
      </c>
      <c r="B36" s="173" t="s">
        <v>42</v>
      </c>
      <c r="C36" s="212">
        <v>40702</v>
      </c>
      <c r="D36" s="213">
        <v>3010104195003</v>
      </c>
      <c r="E36" s="214" t="s">
        <v>3429</v>
      </c>
      <c r="F36" s="214" t="s">
        <v>3433</v>
      </c>
      <c r="G36" s="173" t="s">
        <v>35</v>
      </c>
      <c r="H36" s="211" t="s">
        <v>249</v>
      </c>
      <c r="I36" s="211">
        <v>1</v>
      </c>
      <c r="J36" s="144">
        <v>3928717</v>
      </c>
      <c r="K36" s="144">
        <v>2357221</v>
      </c>
      <c r="L36" s="143">
        <v>0</v>
      </c>
      <c r="M36" s="143">
        <v>0</v>
      </c>
      <c r="N36" s="143">
        <v>0</v>
      </c>
      <c r="O36" s="143">
        <v>0</v>
      </c>
      <c r="P36" s="201"/>
      <c r="Q36" s="211" t="s">
        <v>20</v>
      </c>
      <c r="R36" s="211" t="s">
        <v>21</v>
      </c>
      <c r="S36" s="214" t="s">
        <v>22</v>
      </c>
      <c r="T36" s="213" t="s">
        <v>3434</v>
      </c>
      <c r="U36" s="202">
        <v>29</v>
      </c>
      <c r="V36" s="203" t="b">
        <v>1</v>
      </c>
      <c r="W36" s="405" t="s">
        <v>3397</v>
      </c>
      <c r="X36" s="406"/>
      <c r="Y36" s="128"/>
      <c r="Z36" s="128"/>
    </row>
    <row r="37" spans="1:26" ht="12.5" hidden="1">
      <c r="A37" s="138">
        <v>30</v>
      </c>
      <c r="B37" s="173" t="s">
        <v>42</v>
      </c>
      <c r="C37" s="139">
        <v>40702</v>
      </c>
      <c r="D37" s="173">
        <v>3010104195004</v>
      </c>
      <c r="E37" s="145" t="s">
        <v>3429</v>
      </c>
      <c r="F37" s="145" t="s">
        <v>3435</v>
      </c>
      <c r="G37" s="173" t="s">
        <v>35</v>
      </c>
      <c r="H37" s="138" t="s">
        <v>249</v>
      </c>
      <c r="I37" s="138">
        <v>1</v>
      </c>
      <c r="J37" s="144">
        <v>3928717</v>
      </c>
      <c r="K37" s="144">
        <v>2357221</v>
      </c>
      <c r="L37" s="143">
        <v>0</v>
      </c>
      <c r="M37" s="143">
        <v>0</v>
      </c>
      <c r="N37" s="143">
        <v>0</v>
      </c>
      <c r="O37" s="143">
        <v>0</v>
      </c>
      <c r="P37" s="148"/>
      <c r="Q37" s="138" t="s">
        <v>36</v>
      </c>
      <c r="R37" s="138" t="s">
        <v>56</v>
      </c>
      <c r="S37" s="145" t="s">
        <v>2023</v>
      </c>
      <c r="T37" s="148"/>
      <c r="U37" s="202">
        <v>30</v>
      </c>
      <c r="V37" s="203" t="b">
        <v>1</v>
      </c>
      <c r="W37" s="204" t="s">
        <v>3285</v>
      </c>
      <c r="X37" s="128"/>
      <c r="Y37" s="128"/>
      <c r="Z37" s="128"/>
    </row>
    <row r="38" spans="1:26" ht="12.5" hidden="1">
      <c r="A38" s="211">
        <v>31</v>
      </c>
      <c r="B38" s="173" t="s">
        <v>42</v>
      </c>
      <c r="C38" s="212">
        <v>40702</v>
      </c>
      <c r="D38" s="213">
        <v>3010104195005</v>
      </c>
      <c r="E38" s="214" t="s">
        <v>3429</v>
      </c>
      <c r="F38" s="214" t="s">
        <v>3436</v>
      </c>
      <c r="G38" s="173" t="s">
        <v>35</v>
      </c>
      <c r="H38" s="211" t="s">
        <v>249</v>
      </c>
      <c r="I38" s="211">
        <v>1</v>
      </c>
      <c r="J38" s="144">
        <v>3928717</v>
      </c>
      <c r="K38" s="144">
        <v>2357221</v>
      </c>
      <c r="L38" s="143">
        <v>0</v>
      </c>
      <c r="M38" s="143">
        <v>0</v>
      </c>
      <c r="N38" s="143">
        <v>0</v>
      </c>
      <c r="O38" s="143">
        <v>0</v>
      </c>
      <c r="P38" s="201"/>
      <c r="Q38" s="211" t="s">
        <v>20</v>
      </c>
      <c r="R38" s="211" t="s">
        <v>21</v>
      </c>
      <c r="S38" s="214" t="s">
        <v>22</v>
      </c>
      <c r="T38" s="213" t="s">
        <v>3434</v>
      </c>
      <c r="U38" s="202">
        <v>31</v>
      </c>
      <c r="V38" s="203" t="b">
        <v>1</v>
      </c>
      <c r="W38" s="405" t="s">
        <v>3397</v>
      </c>
      <c r="X38" s="406"/>
      <c r="Y38" s="128"/>
      <c r="Z38" s="128"/>
    </row>
    <row r="39" spans="1:26" ht="12.5" hidden="1">
      <c r="A39" s="211">
        <v>32</v>
      </c>
      <c r="B39" s="173" t="s">
        <v>42</v>
      </c>
      <c r="C39" s="212">
        <v>40702</v>
      </c>
      <c r="D39" s="213">
        <v>3010104195006</v>
      </c>
      <c r="E39" s="214" t="s">
        <v>3429</v>
      </c>
      <c r="F39" s="214" t="s">
        <v>3437</v>
      </c>
      <c r="G39" s="173" t="s">
        <v>35</v>
      </c>
      <c r="H39" s="211" t="s">
        <v>249</v>
      </c>
      <c r="I39" s="211">
        <v>1</v>
      </c>
      <c r="J39" s="144">
        <v>3928717</v>
      </c>
      <c r="K39" s="144">
        <v>2357221</v>
      </c>
      <c r="L39" s="143">
        <v>0</v>
      </c>
      <c r="M39" s="143">
        <v>0</v>
      </c>
      <c r="N39" s="143">
        <v>0</v>
      </c>
      <c r="O39" s="143">
        <v>0</v>
      </c>
      <c r="P39" s="201"/>
      <c r="Q39" s="211" t="s">
        <v>20</v>
      </c>
      <c r="R39" s="211" t="s">
        <v>21</v>
      </c>
      <c r="S39" s="214" t="s">
        <v>22</v>
      </c>
      <c r="T39" s="213" t="s">
        <v>3434</v>
      </c>
      <c r="U39" s="202">
        <v>32</v>
      </c>
      <c r="V39" s="203" t="b">
        <v>1</v>
      </c>
      <c r="W39" s="405" t="s">
        <v>3397</v>
      </c>
      <c r="X39" s="406"/>
      <c r="Y39" s="128"/>
      <c r="Z39" s="128"/>
    </row>
    <row r="40" spans="1:26" ht="12.5" hidden="1">
      <c r="A40" s="138">
        <v>33</v>
      </c>
      <c r="B40" s="173" t="s">
        <v>42</v>
      </c>
      <c r="C40" s="139">
        <v>40702</v>
      </c>
      <c r="D40" s="173">
        <v>3010104195007</v>
      </c>
      <c r="E40" s="145" t="s">
        <v>3429</v>
      </c>
      <c r="F40" s="145" t="s">
        <v>3438</v>
      </c>
      <c r="G40" s="173" t="s">
        <v>35</v>
      </c>
      <c r="H40" s="138" t="s">
        <v>249</v>
      </c>
      <c r="I40" s="138">
        <v>1</v>
      </c>
      <c r="J40" s="144">
        <v>3928717</v>
      </c>
      <c r="K40" s="144">
        <v>2357221</v>
      </c>
      <c r="L40" s="143">
        <v>0</v>
      </c>
      <c r="M40" s="143">
        <v>0</v>
      </c>
      <c r="N40" s="143">
        <v>0</v>
      </c>
      <c r="O40" s="143">
        <v>0</v>
      </c>
      <c r="P40" s="148"/>
      <c r="Q40" s="138" t="s">
        <v>20</v>
      </c>
      <c r="R40" s="138" t="s">
        <v>295</v>
      </c>
      <c r="S40" s="145" t="s">
        <v>3439</v>
      </c>
      <c r="T40" s="148"/>
      <c r="U40" s="202">
        <v>33</v>
      </c>
      <c r="V40" s="203" t="b">
        <v>1</v>
      </c>
      <c r="W40" s="204" t="s">
        <v>3285</v>
      </c>
      <c r="X40" s="128"/>
      <c r="Y40" s="128"/>
      <c r="Z40" s="128"/>
    </row>
    <row r="41" spans="1:26" ht="12.5" hidden="1">
      <c r="A41" s="138">
        <v>34</v>
      </c>
      <c r="B41" s="209">
        <v>41518</v>
      </c>
      <c r="C41" s="139">
        <v>41386</v>
      </c>
      <c r="D41" s="173">
        <v>3010104201001</v>
      </c>
      <c r="E41" s="145" t="s">
        <v>3440</v>
      </c>
      <c r="F41" s="145" t="s">
        <v>3441</v>
      </c>
      <c r="G41" s="173" t="s">
        <v>248</v>
      </c>
      <c r="H41" s="138" t="s">
        <v>249</v>
      </c>
      <c r="I41" s="138">
        <v>1</v>
      </c>
      <c r="J41" s="144">
        <v>5390909</v>
      </c>
      <c r="K41" s="144">
        <v>5211213</v>
      </c>
      <c r="L41" s="143">
        <v>0</v>
      </c>
      <c r="M41" s="143">
        <v>0</v>
      </c>
      <c r="N41" s="143">
        <v>0</v>
      </c>
      <c r="O41" s="143">
        <v>0</v>
      </c>
      <c r="P41" s="148"/>
      <c r="Q41" s="138" t="s">
        <v>20</v>
      </c>
      <c r="R41" s="138" t="s">
        <v>295</v>
      </c>
      <c r="S41" s="145" t="s">
        <v>3442</v>
      </c>
      <c r="T41" s="148"/>
      <c r="U41" s="202">
        <v>34</v>
      </c>
      <c r="V41" s="203" t="b">
        <v>1</v>
      </c>
      <c r="W41" s="204" t="s">
        <v>3285</v>
      </c>
      <c r="X41" s="128"/>
      <c r="Y41" s="128"/>
      <c r="Z41" s="128"/>
    </row>
    <row r="42" spans="1:26" ht="12.5" hidden="1">
      <c r="A42" s="138">
        <v>35</v>
      </c>
      <c r="B42" s="173" t="s">
        <v>3443</v>
      </c>
      <c r="C42" s="139">
        <v>42731</v>
      </c>
      <c r="D42" s="173">
        <v>30101050122027</v>
      </c>
      <c r="E42" s="145" t="s">
        <v>3444</v>
      </c>
      <c r="F42" s="145" t="s">
        <v>3445</v>
      </c>
      <c r="G42" s="148"/>
      <c r="H42" s="138" t="s">
        <v>19</v>
      </c>
      <c r="I42" s="138">
        <v>1</v>
      </c>
      <c r="J42" s="144">
        <v>7074438</v>
      </c>
      <c r="K42" s="144">
        <v>7074438</v>
      </c>
      <c r="L42" s="143">
        <v>0</v>
      </c>
      <c r="M42" s="143">
        <v>0</v>
      </c>
      <c r="N42" s="143">
        <v>0</v>
      </c>
      <c r="O42" s="143">
        <v>0</v>
      </c>
      <c r="P42" s="148"/>
      <c r="Q42" s="138" t="s">
        <v>36</v>
      </c>
      <c r="R42" s="138" t="s">
        <v>37</v>
      </c>
      <c r="S42" s="145" t="s">
        <v>3446</v>
      </c>
      <c r="T42" s="148"/>
      <c r="U42" s="202">
        <v>35</v>
      </c>
      <c r="V42" s="203" t="b">
        <v>1</v>
      </c>
      <c r="W42" s="204" t="s">
        <v>3285</v>
      </c>
      <c r="X42" s="128"/>
      <c r="Y42" s="128"/>
      <c r="Z42" s="128"/>
    </row>
    <row r="43" spans="1:26" ht="12.5" hidden="1">
      <c r="A43" s="138">
        <v>36</v>
      </c>
      <c r="B43" s="173" t="s">
        <v>3443</v>
      </c>
      <c r="C43" s="139">
        <v>42731</v>
      </c>
      <c r="D43" s="173">
        <v>30101050122028</v>
      </c>
      <c r="E43" s="145" t="s">
        <v>3444</v>
      </c>
      <c r="F43" s="145" t="s">
        <v>3447</v>
      </c>
      <c r="G43" s="148"/>
      <c r="H43" s="138" t="s">
        <v>19</v>
      </c>
      <c r="I43" s="138">
        <v>1</v>
      </c>
      <c r="J43" s="144">
        <v>7074438</v>
      </c>
      <c r="K43" s="144">
        <v>7074438</v>
      </c>
      <c r="L43" s="143">
        <v>0</v>
      </c>
      <c r="M43" s="143">
        <v>0</v>
      </c>
      <c r="N43" s="143">
        <v>0</v>
      </c>
      <c r="O43" s="143">
        <v>0</v>
      </c>
      <c r="P43" s="148"/>
      <c r="Q43" s="138" t="s">
        <v>36</v>
      </c>
      <c r="R43" s="138" t="s">
        <v>37</v>
      </c>
      <c r="S43" s="145" t="s">
        <v>3446</v>
      </c>
      <c r="T43" s="148"/>
      <c r="U43" s="202">
        <v>36</v>
      </c>
      <c r="V43" s="203" t="b">
        <v>1</v>
      </c>
      <c r="W43" s="204" t="s">
        <v>3285</v>
      </c>
      <c r="X43" s="128"/>
      <c r="Y43" s="128"/>
      <c r="Z43" s="128"/>
    </row>
    <row r="44" spans="1:26" ht="12.5" hidden="1">
      <c r="A44" s="138">
        <v>37</v>
      </c>
      <c r="B44" s="173" t="s">
        <v>3443</v>
      </c>
      <c r="C44" s="139">
        <v>42731</v>
      </c>
      <c r="D44" s="173">
        <v>30101050122029</v>
      </c>
      <c r="E44" s="145" t="s">
        <v>3444</v>
      </c>
      <c r="F44" s="145" t="s">
        <v>3448</v>
      </c>
      <c r="G44" s="148"/>
      <c r="H44" s="138" t="s">
        <v>19</v>
      </c>
      <c r="I44" s="138">
        <v>1</v>
      </c>
      <c r="J44" s="144">
        <v>7074438</v>
      </c>
      <c r="K44" s="144">
        <v>7074438</v>
      </c>
      <c r="L44" s="143">
        <v>0</v>
      </c>
      <c r="M44" s="143">
        <v>0</v>
      </c>
      <c r="N44" s="143">
        <v>0</v>
      </c>
      <c r="O44" s="143">
        <v>0</v>
      </c>
      <c r="P44" s="148"/>
      <c r="Q44" s="138" t="s">
        <v>36</v>
      </c>
      <c r="R44" s="138" t="s">
        <v>37</v>
      </c>
      <c r="S44" s="145" t="s">
        <v>3446</v>
      </c>
      <c r="T44" s="148"/>
      <c r="U44" s="202">
        <v>37</v>
      </c>
      <c r="V44" s="203" t="b">
        <v>1</v>
      </c>
      <c r="W44" s="204" t="s">
        <v>3285</v>
      </c>
      <c r="X44" s="128"/>
      <c r="Y44" s="128"/>
      <c r="Z44" s="128"/>
    </row>
    <row r="45" spans="1:26" ht="12.5" hidden="1">
      <c r="A45" s="138">
        <v>38</v>
      </c>
      <c r="B45" s="173" t="s">
        <v>3443</v>
      </c>
      <c r="C45" s="139">
        <v>42731</v>
      </c>
      <c r="D45" s="173">
        <v>30101050122030</v>
      </c>
      <c r="E45" s="145" t="s">
        <v>3444</v>
      </c>
      <c r="F45" s="145" t="s">
        <v>3449</v>
      </c>
      <c r="G45" s="148"/>
      <c r="H45" s="138" t="s">
        <v>19</v>
      </c>
      <c r="I45" s="138">
        <v>1</v>
      </c>
      <c r="J45" s="144">
        <v>7074438</v>
      </c>
      <c r="K45" s="144">
        <v>7074438</v>
      </c>
      <c r="L45" s="143">
        <v>0</v>
      </c>
      <c r="M45" s="143">
        <v>0</v>
      </c>
      <c r="N45" s="143">
        <v>0</v>
      </c>
      <c r="O45" s="143">
        <v>0</v>
      </c>
      <c r="P45" s="148"/>
      <c r="Q45" s="138" t="s">
        <v>36</v>
      </c>
      <c r="R45" s="138" t="s">
        <v>37</v>
      </c>
      <c r="S45" s="145" t="s">
        <v>3446</v>
      </c>
      <c r="T45" s="148"/>
      <c r="U45" s="202">
        <v>38</v>
      </c>
      <c r="V45" s="203" t="b">
        <v>1</v>
      </c>
      <c r="W45" s="204" t="s">
        <v>3285</v>
      </c>
      <c r="X45" s="128"/>
      <c r="Y45" s="128"/>
      <c r="Z45" s="128"/>
    </row>
    <row r="46" spans="1:26" ht="12.5" hidden="1">
      <c r="A46" s="138">
        <v>39</v>
      </c>
      <c r="B46" s="173" t="s">
        <v>3443</v>
      </c>
      <c r="C46" s="139">
        <v>42731</v>
      </c>
      <c r="D46" s="173">
        <v>30101050122031</v>
      </c>
      <c r="E46" s="145" t="s">
        <v>3444</v>
      </c>
      <c r="F46" s="145" t="s">
        <v>3450</v>
      </c>
      <c r="G46" s="148"/>
      <c r="H46" s="138" t="s">
        <v>19</v>
      </c>
      <c r="I46" s="138">
        <v>1</v>
      </c>
      <c r="J46" s="144">
        <v>7074438</v>
      </c>
      <c r="K46" s="144">
        <v>7074438</v>
      </c>
      <c r="L46" s="143">
        <v>0</v>
      </c>
      <c r="M46" s="143">
        <v>0</v>
      </c>
      <c r="N46" s="143">
        <v>0</v>
      </c>
      <c r="O46" s="143">
        <v>0</v>
      </c>
      <c r="P46" s="148"/>
      <c r="Q46" s="138" t="s">
        <v>36</v>
      </c>
      <c r="R46" s="138" t="s">
        <v>37</v>
      </c>
      <c r="S46" s="145" t="s">
        <v>3446</v>
      </c>
      <c r="T46" s="148"/>
      <c r="U46" s="202">
        <v>39</v>
      </c>
      <c r="V46" s="203" t="b">
        <v>1</v>
      </c>
      <c r="W46" s="204" t="s">
        <v>3285</v>
      </c>
      <c r="X46" s="128"/>
      <c r="Y46" s="128"/>
      <c r="Z46" s="128"/>
    </row>
    <row r="47" spans="1:26" ht="12.5" hidden="1">
      <c r="A47" s="138">
        <v>40</v>
      </c>
      <c r="B47" s="173" t="s">
        <v>3443</v>
      </c>
      <c r="C47" s="139">
        <v>42731</v>
      </c>
      <c r="D47" s="173">
        <v>30101050122032</v>
      </c>
      <c r="E47" s="145" t="s">
        <v>3444</v>
      </c>
      <c r="F47" s="145" t="s">
        <v>3451</v>
      </c>
      <c r="G47" s="148"/>
      <c r="H47" s="138" t="s">
        <v>19</v>
      </c>
      <c r="I47" s="138">
        <v>1</v>
      </c>
      <c r="J47" s="144">
        <v>7074438</v>
      </c>
      <c r="K47" s="144">
        <v>7074438</v>
      </c>
      <c r="L47" s="143">
        <v>0</v>
      </c>
      <c r="M47" s="143">
        <v>0</v>
      </c>
      <c r="N47" s="143">
        <v>0</v>
      </c>
      <c r="O47" s="143">
        <v>0</v>
      </c>
      <c r="P47" s="148"/>
      <c r="Q47" s="138" t="s">
        <v>36</v>
      </c>
      <c r="R47" s="138" t="s">
        <v>37</v>
      </c>
      <c r="S47" s="145" t="s">
        <v>3446</v>
      </c>
      <c r="T47" s="148"/>
      <c r="U47" s="202">
        <v>40</v>
      </c>
      <c r="V47" s="203" t="b">
        <v>1</v>
      </c>
      <c r="W47" s="204" t="s">
        <v>3285</v>
      </c>
      <c r="X47" s="128"/>
      <c r="Y47" s="128"/>
      <c r="Z47" s="128"/>
    </row>
    <row r="48" spans="1:26" ht="12.5" hidden="1">
      <c r="A48" s="138">
        <v>41</v>
      </c>
      <c r="B48" s="173" t="s">
        <v>3443</v>
      </c>
      <c r="C48" s="139">
        <v>42731</v>
      </c>
      <c r="D48" s="173">
        <v>30101050122033</v>
      </c>
      <c r="E48" s="145" t="s">
        <v>3444</v>
      </c>
      <c r="F48" s="145" t="s">
        <v>3452</v>
      </c>
      <c r="G48" s="148"/>
      <c r="H48" s="138" t="s">
        <v>19</v>
      </c>
      <c r="I48" s="138">
        <v>1</v>
      </c>
      <c r="J48" s="144">
        <v>7074438</v>
      </c>
      <c r="K48" s="144">
        <v>7074438</v>
      </c>
      <c r="L48" s="143">
        <v>0</v>
      </c>
      <c r="M48" s="143">
        <v>0</v>
      </c>
      <c r="N48" s="143">
        <v>0</v>
      </c>
      <c r="O48" s="143">
        <v>0</v>
      </c>
      <c r="P48" s="148"/>
      <c r="Q48" s="138" t="s">
        <v>36</v>
      </c>
      <c r="R48" s="138" t="s">
        <v>37</v>
      </c>
      <c r="S48" s="145" t="s">
        <v>3446</v>
      </c>
      <c r="T48" s="148"/>
      <c r="U48" s="202">
        <v>41</v>
      </c>
      <c r="V48" s="203" t="b">
        <v>1</v>
      </c>
      <c r="W48" s="204" t="s">
        <v>3285</v>
      </c>
      <c r="X48" s="128"/>
      <c r="Y48" s="128"/>
      <c r="Z48" s="128"/>
    </row>
    <row r="49" spans="1:26" ht="12.5" hidden="1">
      <c r="A49" s="138">
        <v>42</v>
      </c>
      <c r="B49" s="173" t="s">
        <v>3443</v>
      </c>
      <c r="C49" s="139">
        <v>42731</v>
      </c>
      <c r="D49" s="173">
        <v>30101050122034</v>
      </c>
      <c r="E49" s="145" t="s">
        <v>3444</v>
      </c>
      <c r="F49" s="145" t="s">
        <v>3453</v>
      </c>
      <c r="G49" s="148"/>
      <c r="H49" s="138" t="s">
        <v>19</v>
      </c>
      <c r="I49" s="138">
        <v>1</v>
      </c>
      <c r="J49" s="144">
        <v>7074438</v>
      </c>
      <c r="K49" s="144">
        <v>7074438</v>
      </c>
      <c r="L49" s="143">
        <v>0</v>
      </c>
      <c r="M49" s="143">
        <v>0</v>
      </c>
      <c r="N49" s="143">
        <v>0</v>
      </c>
      <c r="O49" s="143">
        <v>0</v>
      </c>
      <c r="P49" s="148"/>
      <c r="Q49" s="138" t="s">
        <v>36</v>
      </c>
      <c r="R49" s="138" t="s">
        <v>37</v>
      </c>
      <c r="S49" s="145" t="s">
        <v>3446</v>
      </c>
      <c r="T49" s="148"/>
      <c r="U49" s="202">
        <v>42</v>
      </c>
      <c r="V49" s="203" t="b">
        <v>1</v>
      </c>
      <c r="W49" s="204" t="s">
        <v>3285</v>
      </c>
      <c r="X49" s="128"/>
      <c r="Y49" s="128"/>
      <c r="Z49" s="128"/>
    </row>
    <row r="50" spans="1:26" ht="12.5" hidden="1">
      <c r="A50" s="138">
        <v>43</v>
      </c>
      <c r="B50" s="173" t="s">
        <v>3443</v>
      </c>
      <c r="C50" s="139">
        <v>42731</v>
      </c>
      <c r="D50" s="173">
        <v>30101050122035</v>
      </c>
      <c r="E50" s="145" t="s">
        <v>3444</v>
      </c>
      <c r="F50" s="145" t="s">
        <v>3454</v>
      </c>
      <c r="G50" s="148"/>
      <c r="H50" s="138" t="s">
        <v>19</v>
      </c>
      <c r="I50" s="138">
        <v>1</v>
      </c>
      <c r="J50" s="144">
        <v>7074438</v>
      </c>
      <c r="K50" s="144">
        <v>7074438</v>
      </c>
      <c r="L50" s="143">
        <v>0</v>
      </c>
      <c r="M50" s="143">
        <v>0</v>
      </c>
      <c r="N50" s="143">
        <v>0</v>
      </c>
      <c r="O50" s="143">
        <v>0</v>
      </c>
      <c r="P50" s="148"/>
      <c r="Q50" s="138" t="s">
        <v>36</v>
      </c>
      <c r="R50" s="138" t="s">
        <v>37</v>
      </c>
      <c r="S50" s="145" t="s">
        <v>3446</v>
      </c>
      <c r="T50" s="148"/>
      <c r="U50" s="202">
        <v>43</v>
      </c>
      <c r="V50" s="203" t="b">
        <v>1</v>
      </c>
      <c r="W50" s="204" t="s">
        <v>3285</v>
      </c>
      <c r="X50" s="128"/>
      <c r="Y50" s="128"/>
      <c r="Z50" s="128"/>
    </row>
    <row r="51" spans="1:26" ht="12.5" hidden="1">
      <c r="A51" s="138">
        <v>44</v>
      </c>
      <c r="B51" s="173" t="s">
        <v>3443</v>
      </c>
      <c r="C51" s="139">
        <v>42731</v>
      </c>
      <c r="D51" s="173">
        <v>30101050122036</v>
      </c>
      <c r="E51" s="145" t="s">
        <v>3444</v>
      </c>
      <c r="F51" s="145" t="s">
        <v>3455</v>
      </c>
      <c r="G51" s="148"/>
      <c r="H51" s="138" t="s">
        <v>19</v>
      </c>
      <c r="I51" s="138">
        <v>1</v>
      </c>
      <c r="J51" s="144">
        <v>7074438</v>
      </c>
      <c r="K51" s="144">
        <v>7074438</v>
      </c>
      <c r="L51" s="143">
        <v>0</v>
      </c>
      <c r="M51" s="143">
        <v>0</v>
      </c>
      <c r="N51" s="143">
        <v>0</v>
      </c>
      <c r="O51" s="143">
        <v>0</v>
      </c>
      <c r="P51" s="148"/>
      <c r="Q51" s="138" t="s">
        <v>36</v>
      </c>
      <c r="R51" s="138" t="s">
        <v>37</v>
      </c>
      <c r="S51" s="145" t="s">
        <v>3446</v>
      </c>
      <c r="T51" s="148"/>
      <c r="U51" s="202">
        <v>44</v>
      </c>
      <c r="V51" s="203" t="b">
        <v>1</v>
      </c>
      <c r="W51" s="204" t="s">
        <v>3285</v>
      </c>
      <c r="X51" s="128"/>
      <c r="Y51" s="128"/>
      <c r="Z51" s="128"/>
    </row>
    <row r="52" spans="1:26" ht="12.5" hidden="1">
      <c r="A52" s="138">
        <v>45</v>
      </c>
      <c r="B52" s="173" t="s">
        <v>3456</v>
      </c>
      <c r="C52" s="139">
        <v>42731</v>
      </c>
      <c r="D52" s="173">
        <v>30101050122037</v>
      </c>
      <c r="E52" s="145" t="s">
        <v>3457</v>
      </c>
      <c r="F52" s="145" t="s">
        <v>3458</v>
      </c>
      <c r="G52" s="148"/>
      <c r="H52" s="138" t="s">
        <v>19</v>
      </c>
      <c r="I52" s="138">
        <v>1</v>
      </c>
      <c r="J52" s="144">
        <v>10000000</v>
      </c>
      <c r="K52" s="144">
        <v>10000000</v>
      </c>
      <c r="L52" s="143">
        <v>0</v>
      </c>
      <c r="M52" s="143">
        <v>0</v>
      </c>
      <c r="N52" s="143">
        <v>0</v>
      </c>
      <c r="O52" s="143">
        <v>0</v>
      </c>
      <c r="P52" s="148"/>
      <c r="Q52" s="138" t="s">
        <v>206</v>
      </c>
      <c r="R52" s="138" t="s">
        <v>207</v>
      </c>
      <c r="S52" s="145" t="s">
        <v>3459</v>
      </c>
      <c r="T52" s="148"/>
      <c r="U52" s="202">
        <v>45</v>
      </c>
      <c r="V52" s="203" t="b">
        <v>1</v>
      </c>
      <c r="W52" s="204" t="s">
        <v>3285</v>
      </c>
      <c r="X52" s="128"/>
      <c r="Y52" s="128"/>
      <c r="Z52" s="128"/>
    </row>
    <row r="53" spans="1:26" ht="12.5" hidden="1">
      <c r="A53" s="138">
        <v>46</v>
      </c>
      <c r="B53" s="173" t="s">
        <v>3456</v>
      </c>
      <c r="C53" s="139">
        <v>42731</v>
      </c>
      <c r="D53" s="173">
        <v>30101050122038</v>
      </c>
      <c r="E53" s="145" t="s">
        <v>3457</v>
      </c>
      <c r="F53" s="145" t="s">
        <v>3460</v>
      </c>
      <c r="G53" s="148"/>
      <c r="H53" s="138" t="s">
        <v>19</v>
      </c>
      <c r="I53" s="138">
        <v>1</v>
      </c>
      <c r="J53" s="144">
        <v>10000000</v>
      </c>
      <c r="K53" s="144">
        <v>10000000</v>
      </c>
      <c r="L53" s="143">
        <v>0</v>
      </c>
      <c r="M53" s="143">
        <v>0</v>
      </c>
      <c r="N53" s="143">
        <v>0</v>
      </c>
      <c r="O53" s="143">
        <v>0</v>
      </c>
      <c r="P53" s="148"/>
      <c r="Q53" s="138" t="s">
        <v>206</v>
      </c>
      <c r="R53" s="138" t="s">
        <v>207</v>
      </c>
      <c r="S53" s="145" t="s">
        <v>3461</v>
      </c>
      <c r="T53" s="148"/>
      <c r="U53" s="202">
        <v>46</v>
      </c>
      <c r="V53" s="203" t="b">
        <v>1</v>
      </c>
      <c r="W53" s="204" t="s">
        <v>3285</v>
      </c>
      <c r="X53" s="128"/>
      <c r="Y53" s="128"/>
      <c r="Z53" s="128"/>
    </row>
    <row r="54" spans="1:26" ht="12.5" hidden="1">
      <c r="A54" s="138">
        <v>47</v>
      </c>
      <c r="B54" s="173" t="s">
        <v>3456</v>
      </c>
      <c r="C54" s="139">
        <v>42731</v>
      </c>
      <c r="D54" s="173">
        <v>30101050122039</v>
      </c>
      <c r="E54" s="145" t="s">
        <v>3457</v>
      </c>
      <c r="F54" s="145" t="s">
        <v>3462</v>
      </c>
      <c r="G54" s="148"/>
      <c r="H54" s="138" t="s">
        <v>19</v>
      </c>
      <c r="I54" s="138">
        <v>1</v>
      </c>
      <c r="J54" s="144">
        <v>10000000</v>
      </c>
      <c r="K54" s="144">
        <v>10000000</v>
      </c>
      <c r="L54" s="143">
        <v>0</v>
      </c>
      <c r="M54" s="143">
        <v>0</v>
      </c>
      <c r="N54" s="143">
        <v>0</v>
      </c>
      <c r="O54" s="143">
        <v>0</v>
      </c>
      <c r="P54" s="148"/>
      <c r="Q54" s="138" t="s">
        <v>206</v>
      </c>
      <c r="R54" s="138" t="s">
        <v>207</v>
      </c>
      <c r="S54" s="145" t="s">
        <v>3463</v>
      </c>
      <c r="T54" s="148"/>
      <c r="U54" s="202">
        <v>47</v>
      </c>
      <c r="V54" s="203" t="b">
        <v>1</v>
      </c>
      <c r="W54" s="204" t="s">
        <v>3285</v>
      </c>
      <c r="X54" s="128"/>
      <c r="Y54" s="128"/>
      <c r="Z54" s="128"/>
    </row>
    <row r="55" spans="1:26" ht="12.5" hidden="1">
      <c r="A55" s="138">
        <v>48</v>
      </c>
      <c r="B55" s="173" t="s">
        <v>3456</v>
      </c>
      <c r="C55" s="139">
        <v>42731</v>
      </c>
      <c r="D55" s="173">
        <v>30101050122040</v>
      </c>
      <c r="E55" s="145" t="s">
        <v>3457</v>
      </c>
      <c r="F55" s="145" t="s">
        <v>3464</v>
      </c>
      <c r="G55" s="148"/>
      <c r="H55" s="138" t="s">
        <v>19</v>
      </c>
      <c r="I55" s="138">
        <v>1</v>
      </c>
      <c r="J55" s="144">
        <v>10000000</v>
      </c>
      <c r="K55" s="144">
        <v>10000000</v>
      </c>
      <c r="L55" s="143">
        <v>0</v>
      </c>
      <c r="M55" s="143">
        <v>0</v>
      </c>
      <c r="N55" s="143">
        <v>0</v>
      </c>
      <c r="O55" s="143">
        <v>0</v>
      </c>
      <c r="P55" s="148"/>
      <c r="Q55" s="138" t="s">
        <v>206</v>
      </c>
      <c r="R55" s="138" t="s">
        <v>207</v>
      </c>
      <c r="S55" s="145" t="s">
        <v>3465</v>
      </c>
      <c r="T55" s="148"/>
      <c r="U55" s="202">
        <v>48</v>
      </c>
      <c r="V55" s="203" t="b">
        <v>1</v>
      </c>
      <c r="W55" s="204" t="s">
        <v>3285</v>
      </c>
      <c r="X55" s="128"/>
      <c r="Y55" s="128"/>
      <c r="Z55" s="128"/>
    </row>
    <row r="56" spans="1:26" ht="12.5" hidden="1">
      <c r="A56" s="138">
        <v>49</v>
      </c>
      <c r="B56" s="173" t="s">
        <v>3456</v>
      </c>
      <c r="C56" s="139">
        <v>42731</v>
      </c>
      <c r="D56" s="173">
        <v>30101050122041</v>
      </c>
      <c r="E56" s="145" t="s">
        <v>3457</v>
      </c>
      <c r="F56" s="145" t="s">
        <v>3466</v>
      </c>
      <c r="G56" s="148"/>
      <c r="H56" s="138" t="s">
        <v>19</v>
      </c>
      <c r="I56" s="138">
        <v>1</v>
      </c>
      <c r="J56" s="144">
        <v>10000000</v>
      </c>
      <c r="K56" s="144">
        <v>10000000</v>
      </c>
      <c r="L56" s="143">
        <v>0</v>
      </c>
      <c r="M56" s="143">
        <v>0</v>
      </c>
      <c r="N56" s="143">
        <v>0</v>
      </c>
      <c r="O56" s="143">
        <v>0</v>
      </c>
      <c r="P56" s="148"/>
      <c r="Q56" s="138" t="s">
        <v>206</v>
      </c>
      <c r="R56" s="138" t="s">
        <v>207</v>
      </c>
      <c r="S56" s="145" t="s">
        <v>3467</v>
      </c>
      <c r="T56" s="148"/>
      <c r="U56" s="202">
        <v>49</v>
      </c>
      <c r="V56" s="203" t="b">
        <v>1</v>
      </c>
      <c r="W56" s="204" t="s">
        <v>3285</v>
      </c>
      <c r="X56" s="128"/>
      <c r="Y56" s="128"/>
      <c r="Z56" s="128"/>
    </row>
    <row r="57" spans="1:26" ht="12.5" hidden="1">
      <c r="A57" s="138">
        <v>50</v>
      </c>
      <c r="B57" s="173" t="s">
        <v>3456</v>
      </c>
      <c r="C57" s="139">
        <v>42731</v>
      </c>
      <c r="D57" s="173">
        <v>30101050122042</v>
      </c>
      <c r="E57" s="145" t="s">
        <v>3457</v>
      </c>
      <c r="F57" s="145" t="s">
        <v>3468</v>
      </c>
      <c r="G57" s="148"/>
      <c r="H57" s="138" t="s">
        <v>19</v>
      </c>
      <c r="I57" s="138">
        <v>1</v>
      </c>
      <c r="J57" s="144">
        <v>10000000</v>
      </c>
      <c r="K57" s="144">
        <v>10000000</v>
      </c>
      <c r="L57" s="143">
        <v>0</v>
      </c>
      <c r="M57" s="143">
        <v>0</v>
      </c>
      <c r="N57" s="143">
        <v>0</v>
      </c>
      <c r="O57" s="143">
        <v>0</v>
      </c>
      <c r="P57" s="148"/>
      <c r="Q57" s="138" t="s">
        <v>206</v>
      </c>
      <c r="R57" s="138" t="s">
        <v>207</v>
      </c>
      <c r="S57" s="145" t="s">
        <v>3469</v>
      </c>
      <c r="T57" s="148"/>
      <c r="U57" s="202">
        <v>50</v>
      </c>
      <c r="V57" s="203" t="b">
        <v>1</v>
      </c>
      <c r="W57" s="204" t="s">
        <v>3285</v>
      </c>
      <c r="X57" s="128"/>
      <c r="Y57" s="128"/>
      <c r="Z57" s="128"/>
    </row>
    <row r="58" spans="1:26" ht="12.5" hidden="1">
      <c r="A58" s="138">
        <v>51</v>
      </c>
      <c r="B58" s="173" t="s">
        <v>3456</v>
      </c>
      <c r="C58" s="139">
        <v>42731</v>
      </c>
      <c r="D58" s="173">
        <v>30101050122043</v>
      </c>
      <c r="E58" s="145" t="s">
        <v>3457</v>
      </c>
      <c r="F58" s="145" t="s">
        <v>3470</v>
      </c>
      <c r="G58" s="148"/>
      <c r="H58" s="138" t="s">
        <v>19</v>
      </c>
      <c r="I58" s="138">
        <v>1</v>
      </c>
      <c r="J58" s="144">
        <v>10000000</v>
      </c>
      <c r="K58" s="144">
        <v>10000000</v>
      </c>
      <c r="L58" s="143">
        <v>0</v>
      </c>
      <c r="M58" s="143">
        <v>0</v>
      </c>
      <c r="N58" s="143">
        <v>0</v>
      </c>
      <c r="O58" s="143">
        <v>0</v>
      </c>
      <c r="P58" s="148"/>
      <c r="Q58" s="138" t="s">
        <v>206</v>
      </c>
      <c r="R58" s="138" t="s">
        <v>207</v>
      </c>
      <c r="S58" s="145" t="s">
        <v>3471</v>
      </c>
      <c r="T58" s="148"/>
      <c r="U58" s="202">
        <v>51</v>
      </c>
      <c r="V58" s="203" t="b">
        <v>1</v>
      </c>
      <c r="W58" s="204" t="s">
        <v>3285</v>
      </c>
      <c r="X58" s="128"/>
      <c r="Y58" s="128"/>
      <c r="Z58" s="128"/>
    </row>
    <row r="59" spans="1:26" ht="12.5" hidden="1">
      <c r="A59" s="138">
        <v>52</v>
      </c>
      <c r="B59" s="173" t="s">
        <v>3456</v>
      </c>
      <c r="C59" s="139">
        <v>42731</v>
      </c>
      <c r="D59" s="173">
        <v>30101050122044</v>
      </c>
      <c r="E59" s="145" t="s">
        <v>3457</v>
      </c>
      <c r="F59" s="145" t="s">
        <v>3472</v>
      </c>
      <c r="G59" s="148"/>
      <c r="H59" s="138" t="s">
        <v>19</v>
      </c>
      <c r="I59" s="138">
        <v>1</v>
      </c>
      <c r="J59" s="144">
        <v>10000000</v>
      </c>
      <c r="K59" s="144">
        <v>10000000</v>
      </c>
      <c r="L59" s="143">
        <v>0</v>
      </c>
      <c r="M59" s="143">
        <v>0</v>
      </c>
      <c r="N59" s="143">
        <v>0</v>
      </c>
      <c r="O59" s="143">
        <v>0</v>
      </c>
      <c r="P59" s="148"/>
      <c r="Q59" s="138" t="s">
        <v>206</v>
      </c>
      <c r="R59" s="138" t="s">
        <v>207</v>
      </c>
      <c r="S59" s="145" t="s">
        <v>3473</v>
      </c>
      <c r="T59" s="148"/>
      <c r="U59" s="202">
        <v>52</v>
      </c>
      <c r="V59" s="203" t="b">
        <v>1</v>
      </c>
      <c r="W59" s="204" t="s">
        <v>3285</v>
      </c>
      <c r="X59" s="128"/>
      <c r="Y59" s="128"/>
      <c r="Z59" s="128"/>
    </row>
    <row r="60" spans="1:26" ht="12.5" hidden="1">
      <c r="A60" s="138">
        <v>53</v>
      </c>
      <c r="B60" s="173" t="s">
        <v>3456</v>
      </c>
      <c r="C60" s="139">
        <v>42731</v>
      </c>
      <c r="D60" s="173">
        <v>30101050122045</v>
      </c>
      <c r="E60" s="145" t="s">
        <v>3457</v>
      </c>
      <c r="F60" s="145" t="s">
        <v>3474</v>
      </c>
      <c r="G60" s="148"/>
      <c r="H60" s="138" t="s">
        <v>19</v>
      </c>
      <c r="I60" s="138">
        <v>1</v>
      </c>
      <c r="J60" s="144">
        <v>10000000</v>
      </c>
      <c r="K60" s="144">
        <v>10000000</v>
      </c>
      <c r="L60" s="143">
        <v>0</v>
      </c>
      <c r="M60" s="143">
        <v>0</v>
      </c>
      <c r="N60" s="143">
        <v>0</v>
      </c>
      <c r="O60" s="143">
        <v>0</v>
      </c>
      <c r="P60" s="148"/>
      <c r="Q60" s="138" t="s">
        <v>206</v>
      </c>
      <c r="R60" s="138" t="s">
        <v>207</v>
      </c>
      <c r="S60" s="145" t="s">
        <v>3475</v>
      </c>
      <c r="T60" s="148"/>
      <c r="U60" s="202">
        <v>53</v>
      </c>
      <c r="V60" s="203" t="b">
        <v>1</v>
      </c>
      <c r="W60" s="204" t="s">
        <v>3285</v>
      </c>
      <c r="X60" s="128"/>
      <c r="Y60" s="128"/>
      <c r="Z60" s="128"/>
    </row>
    <row r="61" spans="1:26" ht="12.5" hidden="1">
      <c r="A61" s="138">
        <v>54</v>
      </c>
      <c r="B61" s="173" t="s">
        <v>3456</v>
      </c>
      <c r="C61" s="139">
        <v>42731</v>
      </c>
      <c r="D61" s="173">
        <v>30101050122046</v>
      </c>
      <c r="E61" s="145" t="s">
        <v>3457</v>
      </c>
      <c r="F61" s="145" t="s">
        <v>3476</v>
      </c>
      <c r="G61" s="148"/>
      <c r="H61" s="138" t="s">
        <v>19</v>
      </c>
      <c r="I61" s="138">
        <v>1</v>
      </c>
      <c r="J61" s="144">
        <v>10000000</v>
      </c>
      <c r="K61" s="144">
        <v>10000000</v>
      </c>
      <c r="L61" s="143">
        <v>0</v>
      </c>
      <c r="M61" s="143">
        <v>0</v>
      </c>
      <c r="N61" s="143">
        <v>0</v>
      </c>
      <c r="O61" s="143">
        <v>0</v>
      </c>
      <c r="P61" s="148"/>
      <c r="Q61" s="138" t="s">
        <v>206</v>
      </c>
      <c r="R61" s="138" t="s">
        <v>207</v>
      </c>
      <c r="S61" s="145" t="s">
        <v>3477</v>
      </c>
      <c r="T61" s="148"/>
      <c r="U61" s="202">
        <v>54</v>
      </c>
      <c r="V61" s="203" t="b">
        <v>1</v>
      </c>
      <c r="W61" s="204" t="s">
        <v>3285</v>
      </c>
      <c r="X61" s="128"/>
      <c r="Y61" s="128"/>
      <c r="Z61" s="128"/>
    </row>
    <row r="62" spans="1:26" ht="12.5" hidden="1">
      <c r="A62" s="211">
        <v>55</v>
      </c>
      <c r="B62" s="217" t="s">
        <v>3478</v>
      </c>
      <c r="C62" s="212">
        <v>40074</v>
      </c>
      <c r="D62" s="213">
        <v>3010106005001</v>
      </c>
      <c r="E62" s="214" t="s">
        <v>3479</v>
      </c>
      <c r="F62" s="221"/>
      <c r="G62" s="218"/>
      <c r="H62" s="211" t="s">
        <v>249</v>
      </c>
      <c r="I62" s="211">
        <v>1</v>
      </c>
      <c r="J62" s="219">
        <v>16764900</v>
      </c>
      <c r="K62" s="219">
        <v>4750055</v>
      </c>
      <c r="L62" s="220">
        <v>0</v>
      </c>
      <c r="M62" s="220">
        <v>0</v>
      </c>
      <c r="N62" s="220">
        <v>0</v>
      </c>
      <c r="O62" s="220">
        <v>0</v>
      </c>
      <c r="P62" s="213" t="s">
        <v>3480</v>
      </c>
      <c r="Q62" s="211" t="s">
        <v>206</v>
      </c>
      <c r="R62" s="211" t="s">
        <v>841</v>
      </c>
      <c r="S62" s="214" t="s">
        <v>2023</v>
      </c>
      <c r="T62" s="201"/>
      <c r="U62" s="202">
        <v>55</v>
      </c>
      <c r="V62" s="203" t="b">
        <v>1</v>
      </c>
      <c r="W62" s="405" t="s">
        <v>3397</v>
      </c>
      <c r="X62" s="406"/>
      <c r="Y62" s="128"/>
      <c r="Z62" s="128"/>
    </row>
    <row r="63" spans="1:26" ht="12.5" hidden="1">
      <c r="A63" s="211">
        <v>56</v>
      </c>
      <c r="B63" s="217" t="s">
        <v>3478</v>
      </c>
      <c r="C63" s="212">
        <v>40074</v>
      </c>
      <c r="D63" s="213">
        <v>3010106005002</v>
      </c>
      <c r="E63" s="214" t="s">
        <v>3479</v>
      </c>
      <c r="F63" s="221"/>
      <c r="G63" s="218"/>
      <c r="H63" s="211" t="s">
        <v>249</v>
      </c>
      <c r="I63" s="211">
        <v>1</v>
      </c>
      <c r="J63" s="219">
        <v>16764900</v>
      </c>
      <c r="K63" s="219">
        <v>4750055</v>
      </c>
      <c r="L63" s="220">
        <v>0</v>
      </c>
      <c r="M63" s="220">
        <v>0</v>
      </c>
      <c r="N63" s="220">
        <v>0</v>
      </c>
      <c r="O63" s="220">
        <v>0</v>
      </c>
      <c r="P63" s="213" t="s">
        <v>3480</v>
      </c>
      <c r="Q63" s="211" t="s">
        <v>206</v>
      </c>
      <c r="R63" s="211" t="s">
        <v>841</v>
      </c>
      <c r="S63" s="214" t="s">
        <v>2023</v>
      </c>
      <c r="T63" s="201"/>
      <c r="U63" s="202">
        <v>56</v>
      </c>
      <c r="V63" s="203" t="b">
        <v>1</v>
      </c>
      <c r="W63" s="405" t="s">
        <v>3397</v>
      </c>
      <c r="X63" s="406"/>
      <c r="Y63" s="128"/>
      <c r="Z63" s="128"/>
    </row>
    <row r="64" spans="1:26" ht="12.5" hidden="1">
      <c r="A64" s="211">
        <v>57</v>
      </c>
      <c r="B64" s="217" t="s">
        <v>3478</v>
      </c>
      <c r="C64" s="212">
        <v>40074</v>
      </c>
      <c r="D64" s="213">
        <v>3010106005003</v>
      </c>
      <c r="E64" s="214" t="s">
        <v>3479</v>
      </c>
      <c r="F64" s="221"/>
      <c r="G64" s="218"/>
      <c r="H64" s="211" t="s">
        <v>249</v>
      </c>
      <c r="I64" s="211">
        <v>1</v>
      </c>
      <c r="J64" s="219">
        <v>16764900</v>
      </c>
      <c r="K64" s="219">
        <v>4750055</v>
      </c>
      <c r="L64" s="220">
        <v>0</v>
      </c>
      <c r="M64" s="220">
        <v>0</v>
      </c>
      <c r="N64" s="220">
        <v>0</v>
      </c>
      <c r="O64" s="220">
        <v>0</v>
      </c>
      <c r="P64" s="213" t="s">
        <v>3480</v>
      </c>
      <c r="Q64" s="211" t="s">
        <v>206</v>
      </c>
      <c r="R64" s="211" t="s">
        <v>841</v>
      </c>
      <c r="S64" s="214" t="s">
        <v>3481</v>
      </c>
      <c r="T64" s="201"/>
      <c r="U64" s="202">
        <v>57</v>
      </c>
      <c r="V64" s="203" t="b">
        <v>1</v>
      </c>
      <c r="W64" s="405" t="s">
        <v>3397</v>
      </c>
      <c r="X64" s="406"/>
      <c r="Y64" s="128"/>
      <c r="Z64" s="128"/>
    </row>
    <row r="65" spans="1:26" ht="12.5" hidden="1">
      <c r="A65" s="211">
        <v>58</v>
      </c>
      <c r="B65" s="217" t="s">
        <v>3478</v>
      </c>
      <c r="C65" s="212">
        <v>40074</v>
      </c>
      <c r="D65" s="213">
        <v>3010106005004</v>
      </c>
      <c r="E65" s="214" t="s">
        <v>3479</v>
      </c>
      <c r="F65" s="221"/>
      <c r="G65" s="218"/>
      <c r="H65" s="211" t="s">
        <v>249</v>
      </c>
      <c r="I65" s="211">
        <v>1</v>
      </c>
      <c r="J65" s="219">
        <v>16764900</v>
      </c>
      <c r="K65" s="219">
        <v>4750055</v>
      </c>
      <c r="L65" s="220">
        <v>0</v>
      </c>
      <c r="M65" s="220">
        <v>0</v>
      </c>
      <c r="N65" s="220">
        <v>0</v>
      </c>
      <c r="O65" s="220">
        <v>0</v>
      </c>
      <c r="P65" s="213" t="s">
        <v>3480</v>
      </c>
      <c r="Q65" s="211" t="s">
        <v>206</v>
      </c>
      <c r="R65" s="211" t="s">
        <v>841</v>
      </c>
      <c r="S65" s="214" t="s">
        <v>3482</v>
      </c>
      <c r="T65" s="201"/>
      <c r="U65" s="202">
        <v>58</v>
      </c>
      <c r="V65" s="203" t="b">
        <v>1</v>
      </c>
      <c r="W65" s="405" t="s">
        <v>3397</v>
      </c>
      <c r="X65" s="406"/>
      <c r="Y65" s="128"/>
      <c r="Z65" s="128"/>
    </row>
    <row r="66" spans="1:26" ht="12.5" hidden="1">
      <c r="A66" s="138">
        <v>59</v>
      </c>
      <c r="B66" s="209">
        <v>41518</v>
      </c>
      <c r="C66" s="139">
        <v>41386</v>
      </c>
      <c r="D66" s="173">
        <v>3010106013001</v>
      </c>
      <c r="E66" s="145" t="s">
        <v>3483</v>
      </c>
      <c r="F66" s="196"/>
      <c r="G66" s="148"/>
      <c r="H66" s="138" t="s">
        <v>249</v>
      </c>
      <c r="I66" s="138">
        <v>1</v>
      </c>
      <c r="J66" s="144">
        <v>19536363</v>
      </c>
      <c r="K66" s="144">
        <v>18885151</v>
      </c>
      <c r="L66" s="143">
        <v>0</v>
      </c>
      <c r="M66" s="143">
        <v>0</v>
      </c>
      <c r="N66" s="143">
        <v>0</v>
      </c>
      <c r="O66" s="143">
        <v>0</v>
      </c>
      <c r="P66" s="148"/>
      <c r="Q66" s="138" t="s">
        <v>206</v>
      </c>
      <c r="R66" s="138" t="s">
        <v>841</v>
      </c>
      <c r="S66" s="145" t="s">
        <v>3484</v>
      </c>
      <c r="T66" s="148"/>
      <c r="U66" s="202">
        <v>59</v>
      </c>
      <c r="V66" s="203" t="b">
        <v>1</v>
      </c>
      <c r="W66" s="204" t="s">
        <v>3285</v>
      </c>
      <c r="X66" s="128"/>
      <c r="Y66" s="128"/>
      <c r="Z66" s="128"/>
    </row>
    <row r="67" spans="1:26" ht="13">
      <c r="A67" s="138">
        <v>60</v>
      </c>
      <c r="B67" s="209">
        <v>41518</v>
      </c>
      <c r="C67" s="139">
        <v>41386</v>
      </c>
      <c r="D67" s="210" t="s">
        <v>3485</v>
      </c>
      <c r="E67" s="145" t="s">
        <v>3483</v>
      </c>
      <c r="F67" s="196"/>
      <c r="G67" s="148"/>
      <c r="H67" s="138" t="s">
        <v>249</v>
      </c>
      <c r="I67" s="138">
        <v>1</v>
      </c>
      <c r="J67" s="144">
        <v>24777270</v>
      </c>
      <c r="K67" s="144">
        <v>23951360</v>
      </c>
      <c r="L67" s="143">
        <v>0</v>
      </c>
      <c r="M67" s="143">
        <v>0</v>
      </c>
      <c r="N67" s="143">
        <v>0</v>
      </c>
      <c r="O67" s="143">
        <v>0</v>
      </c>
      <c r="P67" s="148"/>
      <c r="Q67" s="138" t="s">
        <v>20</v>
      </c>
      <c r="R67" s="138" t="s">
        <v>229</v>
      </c>
      <c r="S67" s="161" t="s">
        <v>3304</v>
      </c>
      <c r="T67" s="148"/>
      <c r="U67" s="202">
        <v>60</v>
      </c>
      <c r="V67" s="203" t="b">
        <v>1</v>
      </c>
      <c r="W67" s="204" t="s">
        <v>3285</v>
      </c>
      <c r="X67" s="128"/>
      <c r="Y67" s="128"/>
      <c r="Z67" s="128"/>
    </row>
    <row r="68" spans="1:26" ht="12.5" hidden="1">
      <c r="A68" s="138">
        <v>61</v>
      </c>
      <c r="B68" s="173" t="s">
        <v>1482</v>
      </c>
      <c r="C68" s="139">
        <v>39952</v>
      </c>
      <c r="D68" s="173">
        <v>3010202004002</v>
      </c>
      <c r="E68" s="145" t="s">
        <v>3486</v>
      </c>
      <c r="F68" s="145" t="s">
        <v>3487</v>
      </c>
      <c r="G68" s="173" t="s">
        <v>248</v>
      </c>
      <c r="H68" s="138" t="s">
        <v>249</v>
      </c>
      <c r="I68" s="138">
        <v>1</v>
      </c>
      <c r="J68" s="144">
        <v>11955457</v>
      </c>
      <c r="K68" s="144">
        <v>2391080</v>
      </c>
      <c r="L68" s="143">
        <v>0</v>
      </c>
      <c r="M68" s="143">
        <v>0</v>
      </c>
      <c r="N68" s="143">
        <v>0</v>
      </c>
      <c r="O68" s="143">
        <v>0</v>
      </c>
      <c r="P68" s="173" t="s">
        <v>3400</v>
      </c>
      <c r="Q68" s="138" t="s">
        <v>206</v>
      </c>
      <c r="R68" s="138" t="s">
        <v>841</v>
      </c>
      <c r="S68" s="145" t="s">
        <v>3484</v>
      </c>
      <c r="T68" s="148"/>
      <c r="U68" s="202">
        <v>61</v>
      </c>
      <c r="V68" s="203" t="b">
        <v>1</v>
      </c>
      <c r="W68" s="204" t="s">
        <v>3285</v>
      </c>
      <c r="X68" s="128"/>
      <c r="Y68" s="128"/>
      <c r="Z68" s="128"/>
    </row>
    <row r="69" spans="1:26" ht="12.5">
      <c r="A69" s="138">
        <v>62</v>
      </c>
      <c r="B69" s="173" t="s">
        <v>1332</v>
      </c>
      <c r="C69" s="139">
        <v>41274</v>
      </c>
      <c r="D69" s="210" t="s">
        <v>3488</v>
      </c>
      <c r="E69" s="145" t="s">
        <v>3489</v>
      </c>
      <c r="F69" s="145" t="s">
        <v>3490</v>
      </c>
      <c r="G69" s="173" t="s">
        <v>248</v>
      </c>
      <c r="H69" s="138" t="s">
        <v>19</v>
      </c>
      <c r="I69" s="138">
        <v>1</v>
      </c>
      <c r="J69" s="144">
        <v>5500000</v>
      </c>
      <c r="K69" s="144">
        <v>4949998</v>
      </c>
      <c r="L69" s="143">
        <v>0</v>
      </c>
      <c r="M69" s="143">
        <v>0</v>
      </c>
      <c r="N69" s="143">
        <v>0</v>
      </c>
      <c r="O69" s="143">
        <v>0</v>
      </c>
      <c r="P69" s="148"/>
      <c r="Q69" s="138" t="s">
        <v>20</v>
      </c>
      <c r="R69" s="138" t="s">
        <v>229</v>
      </c>
      <c r="S69" s="145" t="s">
        <v>3491</v>
      </c>
      <c r="T69" s="148"/>
      <c r="U69" s="202">
        <v>62</v>
      </c>
      <c r="V69" s="203" t="b">
        <v>1</v>
      </c>
      <c r="W69" s="204" t="s">
        <v>3285</v>
      </c>
      <c r="X69" s="128"/>
      <c r="Y69" s="128"/>
      <c r="Z69" s="128"/>
    </row>
    <row r="70" spans="1:26" ht="12.5">
      <c r="A70" s="138">
        <v>63</v>
      </c>
      <c r="B70" s="173" t="s">
        <v>1332</v>
      </c>
      <c r="C70" s="139">
        <v>41274</v>
      </c>
      <c r="D70" s="210" t="s">
        <v>3492</v>
      </c>
      <c r="E70" s="145" t="s">
        <v>3493</v>
      </c>
      <c r="F70" s="145" t="s">
        <v>3494</v>
      </c>
      <c r="G70" s="173" t="s">
        <v>248</v>
      </c>
      <c r="H70" s="138" t="s">
        <v>19</v>
      </c>
      <c r="I70" s="138">
        <v>1</v>
      </c>
      <c r="J70" s="144">
        <v>4000000</v>
      </c>
      <c r="K70" s="144">
        <v>3599998</v>
      </c>
      <c r="L70" s="143">
        <v>0</v>
      </c>
      <c r="M70" s="143">
        <v>0</v>
      </c>
      <c r="N70" s="143">
        <v>0</v>
      </c>
      <c r="O70" s="143">
        <v>0</v>
      </c>
      <c r="P70" s="148"/>
      <c r="Q70" s="138" t="s">
        <v>20</v>
      </c>
      <c r="R70" s="138" t="s">
        <v>229</v>
      </c>
      <c r="S70" s="145" t="s">
        <v>3495</v>
      </c>
      <c r="T70" s="148"/>
      <c r="U70" s="202">
        <v>63</v>
      </c>
      <c r="V70" s="203" t="b">
        <v>1</v>
      </c>
      <c r="W70" s="204" t="s">
        <v>3285</v>
      </c>
      <c r="X70" s="128"/>
      <c r="Y70" s="128"/>
      <c r="Z70" s="128"/>
    </row>
    <row r="71" spans="1:26" ht="12.5">
      <c r="A71" s="138">
        <v>64</v>
      </c>
      <c r="B71" s="173" t="s">
        <v>1332</v>
      </c>
      <c r="C71" s="139">
        <v>41274</v>
      </c>
      <c r="D71" s="210" t="s">
        <v>3496</v>
      </c>
      <c r="E71" s="145" t="s">
        <v>3493</v>
      </c>
      <c r="F71" s="145" t="s">
        <v>3497</v>
      </c>
      <c r="G71" s="173" t="s">
        <v>248</v>
      </c>
      <c r="H71" s="138" t="s">
        <v>19</v>
      </c>
      <c r="I71" s="138">
        <v>1</v>
      </c>
      <c r="J71" s="144">
        <v>4000000</v>
      </c>
      <c r="K71" s="144">
        <v>3599998</v>
      </c>
      <c r="L71" s="143">
        <v>0</v>
      </c>
      <c r="M71" s="143">
        <v>0</v>
      </c>
      <c r="N71" s="143">
        <v>0</v>
      </c>
      <c r="O71" s="143">
        <v>0</v>
      </c>
      <c r="P71" s="148"/>
      <c r="Q71" s="138" t="s">
        <v>20</v>
      </c>
      <c r="R71" s="138" t="s">
        <v>229</v>
      </c>
      <c r="S71" s="145" t="s">
        <v>3498</v>
      </c>
      <c r="T71" s="148"/>
      <c r="U71" s="202">
        <v>64</v>
      </c>
      <c r="V71" s="203" t="b">
        <v>1</v>
      </c>
      <c r="W71" s="204" t="s">
        <v>3285</v>
      </c>
      <c r="X71" s="128"/>
      <c r="Y71" s="128"/>
      <c r="Z71" s="128"/>
    </row>
    <row r="72" spans="1:26" ht="12.5" hidden="1">
      <c r="A72" s="211">
        <v>65</v>
      </c>
      <c r="B72" s="217" t="s">
        <v>815</v>
      </c>
      <c r="C72" s="212">
        <v>39793</v>
      </c>
      <c r="D72" s="213">
        <v>3010208007001</v>
      </c>
      <c r="E72" s="214" t="s">
        <v>3499</v>
      </c>
      <c r="F72" s="214" t="s">
        <v>3500</v>
      </c>
      <c r="G72" s="217" t="s">
        <v>338</v>
      </c>
      <c r="H72" s="211" t="s">
        <v>249</v>
      </c>
      <c r="I72" s="211">
        <v>1</v>
      </c>
      <c r="J72" s="219">
        <v>21249822</v>
      </c>
      <c r="K72" s="219">
        <v>2124974</v>
      </c>
      <c r="L72" s="220">
        <v>0</v>
      </c>
      <c r="M72" s="220">
        <v>0</v>
      </c>
      <c r="N72" s="220">
        <v>0</v>
      </c>
      <c r="O72" s="220">
        <v>0</v>
      </c>
      <c r="P72" s="213" t="s">
        <v>3480</v>
      </c>
      <c r="Q72" s="211" t="s">
        <v>206</v>
      </c>
      <c r="R72" s="211" t="s">
        <v>841</v>
      </c>
      <c r="S72" s="214" t="s">
        <v>3501</v>
      </c>
      <c r="T72" s="213" t="s">
        <v>3502</v>
      </c>
      <c r="U72" s="202">
        <v>65</v>
      </c>
      <c r="V72" s="203" t="b">
        <v>1</v>
      </c>
      <c r="W72" s="405" t="s">
        <v>3397</v>
      </c>
      <c r="X72" s="406"/>
      <c r="Y72" s="128"/>
      <c r="Z72" s="128"/>
    </row>
    <row r="73" spans="1:26" ht="12.5" hidden="1">
      <c r="A73" s="211">
        <v>66</v>
      </c>
      <c r="B73" s="217" t="s">
        <v>815</v>
      </c>
      <c r="C73" s="212">
        <v>39793</v>
      </c>
      <c r="D73" s="213">
        <v>3010208007002</v>
      </c>
      <c r="E73" s="214" t="s">
        <v>3499</v>
      </c>
      <c r="F73" s="214" t="s">
        <v>3503</v>
      </c>
      <c r="G73" s="217" t="s">
        <v>338</v>
      </c>
      <c r="H73" s="211" t="s">
        <v>249</v>
      </c>
      <c r="I73" s="211">
        <v>1</v>
      </c>
      <c r="J73" s="219">
        <v>21249822</v>
      </c>
      <c r="K73" s="219">
        <v>2124974</v>
      </c>
      <c r="L73" s="220">
        <v>0</v>
      </c>
      <c r="M73" s="220">
        <v>0</v>
      </c>
      <c r="N73" s="220">
        <v>0</v>
      </c>
      <c r="O73" s="220">
        <v>0</v>
      </c>
      <c r="P73" s="213" t="s">
        <v>3480</v>
      </c>
      <c r="Q73" s="211" t="s">
        <v>206</v>
      </c>
      <c r="R73" s="211" t="s">
        <v>841</v>
      </c>
      <c r="S73" s="214" t="s">
        <v>3501</v>
      </c>
      <c r="T73" s="201"/>
      <c r="U73" s="202">
        <v>66</v>
      </c>
      <c r="V73" s="203" t="b">
        <v>1</v>
      </c>
      <c r="W73" s="405" t="s">
        <v>3397</v>
      </c>
      <c r="X73" s="406"/>
      <c r="Y73" s="128"/>
      <c r="Z73" s="128"/>
    </row>
    <row r="74" spans="1:26" ht="12.5" hidden="1">
      <c r="A74" s="211">
        <v>67</v>
      </c>
      <c r="B74" s="217" t="s">
        <v>815</v>
      </c>
      <c r="C74" s="212">
        <v>39793</v>
      </c>
      <c r="D74" s="213">
        <v>3010208007003</v>
      </c>
      <c r="E74" s="214" t="s">
        <v>3499</v>
      </c>
      <c r="F74" s="214" t="s">
        <v>3504</v>
      </c>
      <c r="G74" s="217" t="s">
        <v>338</v>
      </c>
      <c r="H74" s="211" t="s">
        <v>249</v>
      </c>
      <c r="I74" s="211">
        <v>1</v>
      </c>
      <c r="J74" s="219">
        <v>21249822</v>
      </c>
      <c r="K74" s="219">
        <v>2124974</v>
      </c>
      <c r="L74" s="220">
        <v>0</v>
      </c>
      <c r="M74" s="220">
        <v>0</v>
      </c>
      <c r="N74" s="220">
        <v>0</v>
      </c>
      <c r="O74" s="220">
        <v>0</v>
      </c>
      <c r="P74" s="213" t="s">
        <v>3480</v>
      </c>
      <c r="Q74" s="211" t="s">
        <v>206</v>
      </c>
      <c r="R74" s="211" t="s">
        <v>841</v>
      </c>
      <c r="S74" s="214" t="s">
        <v>3501</v>
      </c>
      <c r="T74" s="201"/>
      <c r="U74" s="202">
        <v>67</v>
      </c>
      <c r="V74" s="203" t="b">
        <v>1</v>
      </c>
      <c r="W74" s="405" t="s">
        <v>3397</v>
      </c>
      <c r="X74" s="406"/>
      <c r="Y74" s="128"/>
      <c r="Z74" s="128"/>
    </row>
    <row r="75" spans="1:26" ht="12.5" hidden="1">
      <c r="A75" s="211">
        <v>68</v>
      </c>
      <c r="B75" s="217" t="s">
        <v>815</v>
      </c>
      <c r="C75" s="212">
        <v>39793</v>
      </c>
      <c r="D75" s="213">
        <v>3010208007004</v>
      </c>
      <c r="E75" s="214" t="s">
        <v>3499</v>
      </c>
      <c r="F75" s="214" t="s">
        <v>3505</v>
      </c>
      <c r="G75" s="217" t="s">
        <v>338</v>
      </c>
      <c r="H75" s="211" t="s">
        <v>249</v>
      </c>
      <c r="I75" s="211">
        <v>1</v>
      </c>
      <c r="J75" s="219">
        <v>21249822</v>
      </c>
      <c r="K75" s="219">
        <v>2124974</v>
      </c>
      <c r="L75" s="220">
        <v>0</v>
      </c>
      <c r="M75" s="220">
        <v>0</v>
      </c>
      <c r="N75" s="220">
        <v>0</v>
      </c>
      <c r="O75" s="220">
        <v>0</v>
      </c>
      <c r="P75" s="213" t="s">
        <v>3480</v>
      </c>
      <c r="Q75" s="211" t="s">
        <v>206</v>
      </c>
      <c r="R75" s="211" t="s">
        <v>841</v>
      </c>
      <c r="S75" s="214" t="s">
        <v>3501</v>
      </c>
      <c r="T75" s="201"/>
      <c r="U75" s="202">
        <v>68</v>
      </c>
      <c r="V75" s="203" t="b">
        <v>1</v>
      </c>
      <c r="W75" s="405" t="s">
        <v>3397</v>
      </c>
      <c r="X75" s="406"/>
      <c r="Y75" s="128"/>
      <c r="Z75" s="128"/>
    </row>
    <row r="76" spans="1:26" ht="12.5" hidden="1">
      <c r="A76" s="222">
        <v>69</v>
      </c>
      <c r="B76" s="223">
        <v>220</v>
      </c>
      <c r="C76" s="224">
        <v>37958</v>
      </c>
      <c r="D76" s="223">
        <v>3010401008002</v>
      </c>
      <c r="E76" s="225" t="s">
        <v>3506</v>
      </c>
      <c r="F76" s="225" t="s">
        <v>3507</v>
      </c>
      <c r="G76" s="226"/>
      <c r="H76" s="227"/>
      <c r="I76" s="222">
        <v>1</v>
      </c>
      <c r="J76" s="228">
        <v>8714236</v>
      </c>
      <c r="K76" s="229">
        <v>0</v>
      </c>
      <c r="L76" s="229">
        <v>0</v>
      </c>
      <c r="M76" s="229">
        <v>0</v>
      </c>
      <c r="N76" s="229">
        <v>0</v>
      </c>
      <c r="O76" s="229">
        <v>0</v>
      </c>
      <c r="P76" s="226"/>
      <c r="Q76" s="222" t="s">
        <v>36</v>
      </c>
      <c r="R76" s="222" t="s">
        <v>56</v>
      </c>
      <c r="S76" s="225" t="s">
        <v>102</v>
      </c>
      <c r="T76" s="201"/>
      <c r="U76" s="202">
        <v>69</v>
      </c>
      <c r="V76" s="203" t="b">
        <v>1</v>
      </c>
      <c r="W76" s="405" t="s">
        <v>3397</v>
      </c>
      <c r="X76" s="406"/>
      <c r="Y76" s="128"/>
      <c r="Z76" s="128"/>
    </row>
    <row r="77" spans="1:26" ht="12.5" hidden="1">
      <c r="A77" s="222">
        <v>70</v>
      </c>
      <c r="B77" s="217">
        <v>72</v>
      </c>
      <c r="C77" s="224">
        <v>38118</v>
      </c>
      <c r="D77" s="223">
        <v>3010401017011</v>
      </c>
      <c r="E77" s="225" t="s">
        <v>3508</v>
      </c>
      <c r="F77" s="225" t="s">
        <v>3509</v>
      </c>
      <c r="G77" s="218"/>
      <c r="H77" s="227"/>
      <c r="I77" s="222">
        <v>1</v>
      </c>
      <c r="J77" s="219">
        <v>5500000</v>
      </c>
      <c r="K77" s="220">
        <v>0</v>
      </c>
      <c r="L77" s="220">
        <v>0</v>
      </c>
      <c r="M77" s="220">
        <v>0</v>
      </c>
      <c r="N77" s="220">
        <v>0</v>
      </c>
      <c r="O77" s="220">
        <v>0</v>
      </c>
      <c r="P77" s="226"/>
      <c r="Q77" s="222" t="s">
        <v>20</v>
      </c>
      <c r="R77" s="211" t="s">
        <v>21</v>
      </c>
      <c r="S77" s="214" t="s">
        <v>22</v>
      </c>
      <c r="T77" s="213" t="s">
        <v>3434</v>
      </c>
      <c r="U77" s="202">
        <v>70</v>
      </c>
      <c r="V77" s="203" t="b">
        <v>1</v>
      </c>
      <c r="W77" s="405" t="s">
        <v>3397</v>
      </c>
      <c r="X77" s="406"/>
      <c r="Y77" s="128"/>
      <c r="Z77" s="128"/>
    </row>
    <row r="78" spans="1:26" ht="12.5" hidden="1">
      <c r="A78" s="230">
        <v>71</v>
      </c>
      <c r="B78" s="231">
        <v>39569</v>
      </c>
      <c r="C78" s="232">
        <v>39507</v>
      </c>
      <c r="D78" s="217">
        <v>3010401037004</v>
      </c>
      <c r="E78" s="233" t="s">
        <v>3510</v>
      </c>
      <c r="F78" s="233" t="s">
        <v>3511</v>
      </c>
      <c r="G78" s="217" t="s">
        <v>248</v>
      </c>
      <c r="H78" s="230" t="s">
        <v>249</v>
      </c>
      <c r="I78" s="230">
        <v>1</v>
      </c>
      <c r="J78" s="219">
        <v>2360000</v>
      </c>
      <c r="K78" s="219">
        <v>39343</v>
      </c>
      <c r="L78" s="220">
        <v>0</v>
      </c>
      <c r="M78" s="220">
        <v>0</v>
      </c>
      <c r="N78" s="220">
        <v>0</v>
      </c>
      <c r="O78" s="220">
        <v>0</v>
      </c>
      <c r="P78" s="218"/>
      <c r="Q78" s="230" t="s">
        <v>36</v>
      </c>
      <c r="R78" s="234" t="s">
        <v>3512</v>
      </c>
      <c r="S78" s="217" t="s">
        <v>3513</v>
      </c>
      <c r="T78" s="148"/>
      <c r="U78" s="202">
        <v>71</v>
      </c>
      <c r="V78" s="203" t="b">
        <v>1</v>
      </c>
      <c r="W78" s="204" t="s">
        <v>3285</v>
      </c>
      <c r="X78" s="128"/>
      <c r="Y78" s="128"/>
      <c r="Z78" s="128"/>
    </row>
    <row r="79" spans="1:26" ht="12.5" hidden="1">
      <c r="A79" s="230">
        <v>72</v>
      </c>
      <c r="B79" s="231">
        <v>40756</v>
      </c>
      <c r="C79" s="232">
        <v>40638</v>
      </c>
      <c r="D79" s="217">
        <v>3010401052005</v>
      </c>
      <c r="E79" s="233" t="s">
        <v>3506</v>
      </c>
      <c r="F79" s="233" t="s">
        <v>3514</v>
      </c>
      <c r="G79" s="217" t="s">
        <v>248</v>
      </c>
      <c r="H79" s="230" t="s">
        <v>249</v>
      </c>
      <c r="I79" s="230">
        <v>1</v>
      </c>
      <c r="J79" s="219">
        <v>7870000</v>
      </c>
      <c r="K79" s="219">
        <v>4459658</v>
      </c>
      <c r="L79" s="220">
        <v>0</v>
      </c>
      <c r="M79" s="220">
        <v>0</v>
      </c>
      <c r="N79" s="220">
        <v>0</v>
      </c>
      <c r="O79" s="220">
        <v>0</v>
      </c>
      <c r="P79" s="218"/>
      <c r="Q79" s="230" t="s">
        <v>294</v>
      </c>
      <c r="R79" s="230" t="s">
        <v>1003</v>
      </c>
      <c r="S79" s="233" t="s">
        <v>3515</v>
      </c>
      <c r="T79" s="148"/>
      <c r="U79" s="202">
        <v>72</v>
      </c>
      <c r="V79" s="203" t="b">
        <v>1</v>
      </c>
      <c r="W79" s="204" t="s">
        <v>3285</v>
      </c>
      <c r="X79" s="128"/>
      <c r="Y79" s="128"/>
      <c r="Z79" s="128"/>
    </row>
    <row r="80" spans="1:26" ht="12.5" hidden="1">
      <c r="A80" s="230">
        <v>73</v>
      </c>
      <c r="B80" s="231">
        <v>40756</v>
      </c>
      <c r="C80" s="232">
        <v>40638</v>
      </c>
      <c r="D80" s="217">
        <v>3010401052006</v>
      </c>
      <c r="E80" s="233" t="s">
        <v>3506</v>
      </c>
      <c r="F80" s="233" t="s">
        <v>3516</v>
      </c>
      <c r="G80" s="217" t="s">
        <v>248</v>
      </c>
      <c r="H80" s="230" t="s">
        <v>249</v>
      </c>
      <c r="I80" s="230">
        <v>1</v>
      </c>
      <c r="J80" s="219">
        <v>7870000</v>
      </c>
      <c r="K80" s="219">
        <v>4459658</v>
      </c>
      <c r="L80" s="220">
        <v>0</v>
      </c>
      <c r="M80" s="220">
        <v>0</v>
      </c>
      <c r="N80" s="220">
        <v>0</v>
      </c>
      <c r="O80" s="220">
        <v>0</v>
      </c>
      <c r="P80" s="218"/>
      <c r="Q80" s="230" t="s">
        <v>206</v>
      </c>
      <c r="R80" s="230" t="s">
        <v>841</v>
      </c>
      <c r="S80" s="233" t="s">
        <v>3517</v>
      </c>
      <c r="T80" s="148"/>
      <c r="U80" s="202">
        <v>73</v>
      </c>
      <c r="V80" s="203" t="b">
        <v>1</v>
      </c>
      <c r="W80" s="204" t="s">
        <v>3285</v>
      </c>
      <c r="X80" s="128"/>
      <c r="Y80" s="128"/>
      <c r="Z80" s="128"/>
    </row>
    <row r="81" spans="1:26" ht="12.5">
      <c r="A81" s="138">
        <v>74</v>
      </c>
      <c r="B81" s="173" t="s">
        <v>3518</v>
      </c>
      <c r="C81" s="139">
        <v>41509</v>
      </c>
      <c r="D81" s="210" t="s">
        <v>3519</v>
      </c>
      <c r="E81" s="145" t="s">
        <v>3520</v>
      </c>
      <c r="F81" s="145" t="s">
        <v>3521</v>
      </c>
      <c r="G81" s="173" t="s">
        <v>35</v>
      </c>
      <c r="H81" s="138" t="s">
        <v>249</v>
      </c>
      <c r="I81" s="138">
        <v>1</v>
      </c>
      <c r="J81" s="144">
        <v>8920000</v>
      </c>
      <c r="K81" s="144">
        <v>8920000</v>
      </c>
      <c r="L81" s="143">
        <v>0</v>
      </c>
      <c r="M81" s="143">
        <v>0</v>
      </c>
      <c r="N81" s="143">
        <v>0</v>
      </c>
      <c r="O81" s="143">
        <v>0</v>
      </c>
      <c r="P81" s="148"/>
      <c r="Q81" s="138" t="s">
        <v>20</v>
      </c>
      <c r="R81" s="138" t="s">
        <v>229</v>
      </c>
      <c r="S81" s="145" t="s">
        <v>3522</v>
      </c>
      <c r="T81" s="148"/>
      <c r="U81" s="202">
        <v>74</v>
      </c>
      <c r="V81" s="203" t="b">
        <v>1</v>
      </c>
      <c r="W81" s="204" t="s">
        <v>3285</v>
      </c>
      <c r="X81" s="128"/>
      <c r="Y81" s="128"/>
      <c r="Z81" s="128"/>
    </row>
    <row r="82" spans="1:26" ht="12.5" hidden="1">
      <c r="A82" s="138">
        <v>75</v>
      </c>
      <c r="B82" s="173" t="s">
        <v>3518</v>
      </c>
      <c r="C82" s="139">
        <v>41509</v>
      </c>
      <c r="D82" s="173">
        <v>3010401054015</v>
      </c>
      <c r="E82" s="145" t="s">
        <v>3520</v>
      </c>
      <c r="F82" s="145" t="s">
        <v>3523</v>
      </c>
      <c r="G82" s="173" t="s">
        <v>35</v>
      </c>
      <c r="H82" s="138" t="s">
        <v>249</v>
      </c>
      <c r="I82" s="138">
        <v>1</v>
      </c>
      <c r="J82" s="144">
        <v>8920000</v>
      </c>
      <c r="K82" s="144">
        <v>8920000</v>
      </c>
      <c r="L82" s="143">
        <v>0</v>
      </c>
      <c r="M82" s="143">
        <v>0</v>
      </c>
      <c r="N82" s="143">
        <v>0</v>
      </c>
      <c r="O82" s="143">
        <v>0</v>
      </c>
      <c r="P82" s="148"/>
      <c r="Q82" s="138" t="s">
        <v>887</v>
      </c>
      <c r="R82" s="138" t="s">
        <v>888</v>
      </c>
      <c r="S82" s="145" t="s">
        <v>888</v>
      </c>
      <c r="T82" s="148"/>
      <c r="U82" s="202">
        <v>75</v>
      </c>
      <c r="V82" s="203" t="b">
        <v>1</v>
      </c>
      <c r="W82" s="204" t="s">
        <v>3285</v>
      </c>
      <c r="X82" s="128"/>
      <c r="Y82" s="128"/>
      <c r="Z82" s="128"/>
    </row>
    <row r="83" spans="1:26" ht="12.5" hidden="1">
      <c r="A83" s="138">
        <v>76</v>
      </c>
      <c r="B83" s="209">
        <v>40756</v>
      </c>
      <c r="C83" s="139">
        <v>40638</v>
      </c>
      <c r="D83" s="173">
        <v>3010501016002</v>
      </c>
      <c r="E83" s="145" t="s">
        <v>3524</v>
      </c>
      <c r="F83" s="145" t="s">
        <v>3525</v>
      </c>
      <c r="G83" s="173" t="s">
        <v>1435</v>
      </c>
      <c r="H83" s="138" t="s">
        <v>249</v>
      </c>
      <c r="I83" s="138">
        <v>1</v>
      </c>
      <c r="J83" s="144">
        <v>8970000</v>
      </c>
      <c r="K83" s="144">
        <v>5083000</v>
      </c>
      <c r="L83" s="143">
        <v>0</v>
      </c>
      <c r="M83" s="143">
        <v>0</v>
      </c>
      <c r="N83" s="143">
        <v>0</v>
      </c>
      <c r="O83" s="143">
        <v>0</v>
      </c>
      <c r="P83" s="148"/>
      <c r="Q83" s="138" t="s">
        <v>1195</v>
      </c>
      <c r="R83" s="138" t="s">
        <v>3389</v>
      </c>
      <c r="S83" s="145" t="s">
        <v>3526</v>
      </c>
      <c r="T83" s="148"/>
      <c r="U83" s="202">
        <v>76</v>
      </c>
      <c r="V83" s="203" t="b">
        <v>1</v>
      </c>
      <c r="W83" s="204" t="s">
        <v>3285</v>
      </c>
      <c r="X83" s="128"/>
      <c r="Y83" s="128"/>
      <c r="Z83" s="128"/>
    </row>
    <row r="84" spans="1:26" ht="12.5" hidden="1">
      <c r="A84" s="138">
        <v>77</v>
      </c>
      <c r="B84" s="173" t="s">
        <v>52</v>
      </c>
      <c r="C84" s="139">
        <v>40724</v>
      </c>
      <c r="D84" s="173">
        <v>3010502060001</v>
      </c>
      <c r="E84" s="145" t="s">
        <v>3527</v>
      </c>
      <c r="F84" s="196"/>
      <c r="G84" s="173" t="s">
        <v>35</v>
      </c>
      <c r="H84" s="138" t="s">
        <v>19</v>
      </c>
      <c r="I84" s="138">
        <v>1</v>
      </c>
      <c r="J84" s="144">
        <v>15992119</v>
      </c>
      <c r="K84" s="144">
        <v>7996066</v>
      </c>
      <c r="L84" s="143">
        <v>0</v>
      </c>
      <c r="M84" s="143">
        <v>0</v>
      </c>
      <c r="N84" s="143">
        <v>0</v>
      </c>
      <c r="O84" s="143">
        <v>0</v>
      </c>
      <c r="P84" s="148"/>
      <c r="Q84" s="138" t="s">
        <v>36</v>
      </c>
      <c r="R84" s="138" t="s">
        <v>3512</v>
      </c>
      <c r="S84" s="145" t="s">
        <v>3528</v>
      </c>
      <c r="T84" s="148"/>
      <c r="U84" s="202">
        <v>77</v>
      </c>
      <c r="V84" s="203" t="b">
        <v>1</v>
      </c>
      <c r="W84" s="204" t="s">
        <v>3285</v>
      </c>
      <c r="X84" s="128"/>
      <c r="Y84" s="128"/>
      <c r="Z84" s="128"/>
    </row>
    <row r="85" spans="1:26" ht="12.5" hidden="1">
      <c r="A85" s="138">
        <v>78</v>
      </c>
      <c r="B85" s="173" t="s">
        <v>52</v>
      </c>
      <c r="C85" s="139">
        <v>40724</v>
      </c>
      <c r="D85" s="173">
        <v>3010502060002</v>
      </c>
      <c r="E85" s="145" t="s">
        <v>3527</v>
      </c>
      <c r="F85" s="196"/>
      <c r="G85" s="173" t="s">
        <v>35</v>
      </c>
      <c r="H85" s="138" t="s">
        <v>19</v>
      </c>
      <c r="I85" s="138">
        <v>1</v>
      </c>
      <c r="J85" s="144">
        <v>15992119</v>
      </c>
      <c r="K85" s="144">
        <v>7996066</v>
      </c>
      <c r="L85" s="143">
        <v>0</v>
      </c>
      <c r="M85" s="143">
        <v>0</v>
      </c>
      <c r="N85" s="143">
        <v>0</v>
      </c>
      <c r="O85" s="143">
        <v>0</v>
      </c>
      <c r="P85" s="148"/>
      <c r="Q85" s="138" t="s">
        <v>36</v>
      </c>
      <c r="R85" s="138" t="s">
        <v>3512</v>
      </c>
      <c r="S85" s="145" t="s">
        <v>3528</v>
      </c>
      <c r="T85" s="148"/>
      <c r="U85" s="202">
        <v>78</v>
      </c>
      <c r="V85" s="203" t="b">
        <v>1</v>
      </c>
      <c r="W85" s="204" t="s">
        <v>3285</v>
      </c>
      <c r="X85" s="128"/>
      <c r="Y85" s="128"/>
      <c r="Z85" s="128"/>
    </row>
    <row r="86" spans="1:26" ht="12.5" hidden="1">
      <c r="A86" s="138">
        <v>79</v>
      </c>
      <c r="B86" s="173" t="s">
        <v>52</v>
      </c>
      <c r="C86" s="139">
        <v>40724</v>
      </c>
      <c r="D86" s="173">
        <v>3010502060003</v>
      </c>
      <c r="E86" s="145" t="s">
        <v>3527</v>
      </c>
      <c r="F86" s="196"/>
      <c r="G86" s="173" t="s">
        <v>35</v>
      </c>
      <c r="H86" s="138" t="s">
        <v>19</v>
      </c>
      <c r="I86" s="138">
        <v>1</v>
      </c>
      <c r="J86" s="144">
        <v>15992119</v>
      </c>
      <c r="K86" s="144">
        <v>7996066</v>
      </c>
      <c r="L86" s="143">
        <v>0</v>
      </c>
      <c r="M86" s="143">
        <v>0</v>
      </c>
      <c r="N86" s="143">
        <v>0</v>
      </c>
      <c r="O86" s="143">
        <v>0</v>
      </c>
      <c r="P86" s="148"/>
      <c r="Q86" s="138" t="s">
        <v>36</v>
      </c>
      <c r="R86" s="138" t="s">
        <v>3512</v>
      </c>
      <c r="S86" s="145" t="s">
        <v>3528</v>
      </c>
      <c r="T86" s="148"/>
      <c r="U86" s="202">
        <v>79</v>
      </c>
      <c r="V86" s="203" t="b">
        <v>1</v>
      </c>
      <c r="W86" s="204" t="s">
        <v>3285</v>
      </c>
      <c r="X86" s="128"/>
      <c r="Y86" s="128"/>
      <c r="Z86" s="128"/>
    </row>
    <row r="87" spans="1:26" ht="12.5" hidden="1">
      <c r="A87" s="138">
        <v>80</v>
      </c>
      <c r="B87" s="173" t="s">
        <v>52</v>
      </c>
      <c r="C87" s="139">
        <v>40724</v>
      </c>
      <c r="D87" s="173">
        <v>3010502060004</v>
      </c>
      <c r="E87" s="145" t="s">
        <v>3527</v>
      </c>
      <c r="F87" s="196"/>
      <c r="G87" s="173" t="s">
        <v>35</v>
      </c>
      <c r="H87" s="138" t="s">
        <v>19</v>
      </c>
      <c r="I87" s="138">
        <v>1</v>
      </c>
      <c r="J87" s="144">
        <v>15992119</v>
      </c>
      <c r="K87" s="144">
        <v>7996066</v>
      </c>
      <c r="L87" s="143">
        <v>0</v>
      </c>
      <c r="M87" s="143">
        <v>0</v>
      </c>
      <c r="N87" s="143">
        <v>0</v>
      </c>
      <c r="O87" s="143">
        <v>0</v>
      </c>
      <c r="P87" s="148"/>
      <c r="Q87" s="138" t="s">
        <v>36</v>
      </c>
      <c r="R87" s="138" t="s">
        <v>3512</v>
      </c>
      <c r="S87" s="145" t="s">
        <v>3528</v>
      </c>
      <c r="T87" s="148"/>
      <c r="U87" s="202">
        <v>80</v>
      </c>
      <c r="V87" s="203" t="b">
        <v>1</v>
      </c>
      <c r="W87" s="204" t="s">
        <v>3285</v>
      </c>
      <c r="X87" s="128"/>
      <c r="Y87" s="128"/>
      <c r="Z87" s="128"/>
    </row>
    <row r="88" spans="1:26" ht="12.5" hidden="1">
      <c r="A88" s="138">
        <v>81</v>
      </c>
      <c r="B88" s="173" t="s">
        <v>52</v>
      </c>
      <c r="C88" s="139">
        <v>40724</v>
      </c>
      <c r="D88" s="173">
        <v>3010502060005</v>
      </c>
      <c r="E88" s="145" t="s">
        <v>3527</v>
      </c>
      <c r="F88" s="196"/>
      <c r="G88" s="173" t="s">
        <v>35</v>
      </c>
      <c r="H88" s="138" t="s">
        <v>19</v>
      </c>
      <c r="I88" s="138">
        <v>1</v>
      </c>
      <c r="J88" s="144">
        <v>15992119</v>
      </c>
      <c r="K88" s="144">
        <v>7996066</v>
      </c>
      <c r="L88" s="143">
        <v>0</v>
      </c>
      <c r="M88" s="143">
        <v>0</v>
      </c>
      <c r="N88" s="143">
        <v>0</v>
      </c>
      <c r="O88" s="143">
        <v>0</v>
      </c>
      <c r="P88" s="148"/>
      <c r="Q88" s="138" t="s">
        <v>36</v>
      </c>
      <c r="R88" s="138" t="s">
        <v>3512</v>
      </c>
      <c r="S88" s="145" t="s">
        <v>3528</v>
      </c>
      <c r="T88" s="148"/>
      <c r="U88" s="202">
        <v>81</v>
      </c>
      <c r="V88" s="203" t="b">
        <v>1</v>
      </c>
      <c r="W88" s="204" t="s">
        <v>3285</v>
      </c>
      <c r="X88" s="128"/>
      <c r="Y88" s="128"/>
      <c r="Z88" s="128"/>
    </row>
    <row r="89" spans="1:26" ht="12.5" hidden="1">
      <c r="A89" s="138">
        <v>82</v>
      </c>
      <c r="B89" s="173" t="s">
        <v>52</v>
      </c>
      <c r="C89" s="139">
        <v>40724</v>
      </c>
      <c r="D89" s="173">
        <v>3010502060006</v>
      </c>
      <c r="E89" s="145" t="s">
        <v>3527</v>
      </c>
      <c r="F89" s="196"/>
      <c r="G89" s="173" t="s">
        <v>35</v>
      </c>
      <c r="H89" s="138" t="s">
        <v>19</v>
      </c>
      <c r="I89" s="138">
        <v>1</v>
      </c>
      <c r="J89" s="144">
        <v>15992119</v>
      </c>
      <c r="K89" s="144">
        <v>7996066</v>
      </c>
      <c r="L89" s="143">
        <v>0</v>
      </c>
      <c r="M89" s="143">
        <v>0</v>
      </c>
      <c r="N89" s="143">
        <v>0</v>
      </c>
      <c r="O89" s="143">
        <v>0</v>
      </c>
      <c r="P89" s="148"/>
      <c r="Q89" s="138" t="s">
        <v>36</v>
      </c>
      <c r="R89" s="138" t="s">
        <v>3512</v>
      </c>
      <c r="S89" s="145" t="s">
        <v>3528</v>
      </c>
      <c r="T89" s="148"/>
      <c r="U89" s="202">
        <v>82</v>
      </c>
      <c r="V89" s="203" t="b">
        <v>1</v>
      </c>
      <c r="W89" s="204" t="s">
        <v>3285</v>
      </c>
      <c r="X89" s="128"/>
      <c r="Y89" s="128"/>
      <c r="Z89" s="128"/>
    </row>
    <row r="90" spans="1:26" ht="12.5" hidden="1">
      <c r="A90" s="138">
        <v>83</v>
      </c>
      <c r="B90" s="173" t="s">
        <v>52</v>
      </c>
      <c r="C90" s="139">
        <v>40724</v>
      </c>
      <c r="D90" s="173">
        <v>3010502060007</v>
      </c>
      <c r="E90" s="145" t="s">
        <v>3527</v>
      </c>
      <c r="F90" s="196"/>
      <c r="G90" s="173" t="s">
        <v>35</v>
      </c>
      <c r="H90" s="138" t="s">
        <v>19</v>
      </c>
      <c r="I90" s="138">
        <v>1</v>
      </c>
      <c r="J90" s="144">
        <v>15992119</v>
      </c>
      <c r="K90" s="144">
        <v>7996066</v>
      </c>
      <c r="L90" s="143">
        <v>0</v>
      </c>
      <c r="M90" s="143">
        <v>0</v>
      </c>
      <c r="N90" s="143">
        <v>0</v>
      </c>
      <c r="O90" s="143">
        <v>0</v>
      </c>
      <c r="P90" s="148"/>
      <c r="Q90" s="138" t="s">
        <v>36</v>
      </c>
      <c r="R90" s="138" t="s">
        <v>3512</v>
      </c>
      <c r="S90" s="145" t="s">
        <v>3528</v>
      </c>
      <c r="T90" s="148"/>
      <c r="U90" s="202">
        <v>83</v>
      </c>
      <c r="V90" s="203" t="b">
        <v>1</v>
      </c>
      <c r="W90" s="204" t="s">
        <v>3285</v>
      </c>
      <c r="X90" s="128"/>
      <c r="Y90" s="128"/>
      <c r="Z90" s="128"/>
    </row>
    <row r="91" spans="1:26" ht="12.5" hidden="1">
      <c r="A91" s="138">
        <v>84</v>
      </c>
      <c r="B91" s="173" t="s">
        <v>52</v>
      </c>
      <c r="C91" s="139">
        <v>40724</v>
      </c>
      <c r="D91" s="173">
        <v>3010502060008</v>
      </c>
      <c r="E91" s="145" t="s">
        <v>3527</v>
      </c>
      <c r="F91" s="196"/>
      <c r="G91" s="173" t="s">
        <v>35</v>
      </c>
      <c r="H91" s="138" t="s">
        <v>19</v>
      </c>
      <c r="I91" s="138">
        <v>1</v>
      </c>
      <c r="J91" s="144">
        <v>15992119</v>
      </c>
      <c r="K91" s="144">
        <v>7996066</v>
      </c>
      <c r="L91" s="143">
        <v>0</v>
      </c>
      <c r="M91" s="143">
        <v>0</v>
      </c>
      <c r="N91" s="143">
        <v>0</v>
      </c>
      <c r="O91" s="143">
        <v>0</v>
      </c>
      <c r="P91" s="148"/>
      <c r="Q91" s="138" t="s">
        <v>36</v>
      </c>
      <c r="R91" s="138" t="s">
        <v>3512</v>
      </c>
      <c r="S91" s="145" t="s">
        <v>3528</v>
      </c>
      <c r="T91" s="148"/>
      <c r="U91" s="202">
        <v>84</v>
      </c>
      <c r="V91" s="203" t="b">
        <v>1</v>
      </c>
      <c r="W91" s="204" t="s">
        <v>3285</v>
      </c>
      <c r="X91" s="128"/>
      <c r="Y91" s="128"/>
      <c r="Z91" s="128"/>
    </row>
    <row r="92" spans="1:26" ht="13">
      <c r="A92" s="235">
        <v>85</v>
      </c>
      <c r="B92" s="173" t="s">
        <v>1332</v>
      </c>
      <c r="C92" s="236">
        <v>41274</v>
      </c>
      <c r="D92" s="237" t="s">
        <v>3529</v>
      </c>
      <c r="E92" s="238" t="s">
        <v>3530</v>
      </c>
      <c r="F92" s="238" t="s">
        <v>3531</v>
      </c>
      <c r="G92" s="173" t="s">
        <v>1076</v>
      </c>
      <c r="H92" s="235" t="s">
        <v>19</v>
      </c>
      <c r="I92" s="235">
        <v>1</v>
      </c>
      <c r="J92" s="144">
        <v>9802223</v>
      </c>
      <c r="K92" s="144">
        <v>8822003</v>
      </c>
      <c r="L92" s="143">
        <v>0</v>
      </c>
      <c r="M92" s="143">
        <v>0</v>
      </c>
      <c r="N92" s="143">
        <v>0</v>
      </c>
      <c r="O92" s="143">
        <v>0</v>
      </c>
      <c r="P92" s="239"/>
      <c r="Q92" s="235" t="s">
        <v>20</v>
      </c>
      <c r="R92" s="138" t="s">
        <v>229</v>
      </c>
      <c r="S92" s="238" t="s">
        <v>3532</v>
      </c>
      <c r="T92" s="240" t="s">
        <v>3299</v>
      </c>
      <c r="U92" s="241">
        <v>85</v>
      </c>
      <c r="V92" s="242" t="b">
        <v>1</v>
      </c>
      <c r="W92" s="243" t="s">
        <v>3285</v>
      </c>
      <c r="X92" s="244"/>
      <c r="Y92" s="244"/>
      <c r="Z92" s="244"/>
    </row>
    <row r="93" spans="1:26" ht="13">
      <c r="A93" s="235">
        <v>86</v>
      </c>
      <c r="B93" s="173" t="s">
        <v>1332</v>
      </c>
      <c r="C93" s="236">
        <v>41274</v>
      </c>
      <c r="D93" s="237" t="s">
        <v>3533</v>
      </c>
      <c r="E93" s="238" t="s">
        <v>3530</v>
      </c>
      <c r="F93" s="238" t="s">
        <v>3534</v>
      </c>
      <c r="G93" s="173" t="s">
        <v>1076</v>
      </c>
      <c r="H93" s="235" t="s">
        <v>19</v>
      </c>
      <c r="I93" s="235">
        <v>1</v>
      </c>
      <c r="J93" s="144">
        <v>9802223</v>
      </c>
      <c r="K93" s="144">
        <v>8822003</v>
      </c>
      <c r="L93" s="143">
        <v>0</v>
      </c>
      <c r="M93" s="143">
        <v>0</v>
      </c>
      <c r="N93" s="143">
        <v>0</v>
      </c>
      <c r="O93" s="143">
        <v>0</v>
      </c>
      <c r="P93" s="239"/>
      <c r="Q93" s="235" t="s">
        <v>20</v>
      </c>
      <c r="R93" s="138" t="s">
        <v>229</v>
      </c>
      <c r="S93" s="238" t="s">
        <v>3299</v>
      </c>
      <c r="T93" s="240" t="s">
        <v>3532</v>
      </c>
      <c r="U93" s="241">
        <v>86</v>
      </c>
      <c r="V93" s="242" t="b">
        <v>1</v>
      </c>
      <c r="W93" s="243" t="s">
        <v>3285</v>
      </c>
      <c r="X93" s="244"/>
      <c r="Y93" s="244"/>
      <c r="Z93" s="244"/>
    </row>
    <row r="94" spans="1:26" ht="12.5" hidden="1">
      <c r="A94" s="211">
        <v>87</v>
      </c>
      <c r="B94" s="173" t="s">
        <v>1332</v>
      </c>
      <c r="C94" s="212">
        <v>41274</v>
      </c>
      <c r="D94" s="213">
        <v>3020303016001</v>
      </c>
      <c r="E94" s="214" t="s">
        <v>3535</v>
      </c>
      <c r="F94" s="214" t="s">
        <v>3536</v>
      </c>
      <c r="G94" s="173" t="s">
        <v>1076</v>
      </c>
      <c r="H94" s="211" t="s">
        <v>19</v>
      </c>
      <c r="I94" s="211">
        <v>1</v>
      </c>
      <c r="J94" s="144">
        <v>17356320</v>
      </c>
      <c r="K94" s="144">
        <v>15620688</v>
      </c>
      <c r="L94" s="143">
        <v>0</v>
      </c>
      <c r="M94" s="143">
        <v>0</v>
      </c>
      <c r="N94" s="143">
        <v>0</v>
      </c>
      <c r="O94" s="143">
        <v>0</v>
      </c>
      <c r="P94" s="201"/>
      <c r="Q94" s="211" t="s">
        <v>20</v>
      </c>
      <c r="R94" s="211" t="s">
        <v>21</v>
      </c>
      <c r="S94" s="214" t="s">
        <v>22</v>
      </c>
      <c r="T94" s="201"/>
      <c r="U94" s="202">
        <v>87</v>
      </c>
      <c r="V94" s="203" t="b">
        <v>1</v>
      </c>
      <c r="W94" s="405" t="s">
        <v>3397</v>
      </c>
      <c r="X94" s="406"/>
      <c r="Y94" s="128"/>
      <c r="Z94" s="128"/>
    </row>
    <row r="95" spans="1:26" ht="13">
      <c r="A95" s="235">
        <v>88</v>
      </c>
      <c r="B95" s="173" t="s">
        <v>1332</v>
      </c>
      <c r="C95" s="236">
        <v>41274</v>
      </c>
      <c r="D95" s="237" t="s">
        <v>3537</v>
      </c>
      <c r="E95" s="238" t="s">
        <v>3535</v>
      </c>
      <c r="F95" s="238" t="s">
        <v>3538</v>
      </c>
      <c r="G95" s="173" t="s">
        <v>1076</v>
      </c>
      <c r="H95" s="235" t="s">
        <v>19</v>
      </c>
      <c r="I95" s="235">
        <v>1</v>
      </c>
      <c r="J95" s="144">
        <v>17356320</v>
      </c>
      <c r="K95" s="144">
        <v>15620688</v>
      </c>
      <c r="L95" s="143">
        <v>0</v>
      </c>
      <c r="M95" s="143">
        <v>0</v>
      </c>
      <c r="N95" s="143">
        <v>0</v>
      </c>
      <c r="O95" s="143">
        <v>0</v>
      </c>
      <c r="P95" s="239"/>
      <c r="Q95" s="235" t="s">
        <v>20</v>
      </c>
      <c r="R95" s="138" t="s">
        <v>229</v>
      </c>
      <c r="S95" s="238" t="s">
        <v>3302</v>
      </c>
      <c r="T95" s="240" t="s">
        <v>3539</v>
      </c>
      <c r="U95" s="241">
        <v>88</v>
      </c>
      <c r="V95" s="242" t="b">
        <v>1</v>
      </c>
      <c r="W95" s="243" t="s">
        <v>3285</v>
      </c>
      <c r="X95" s="244"/>
      <c r="Y95" s="244"/>
      <c r="Z95" s="244"/>
    </row>
    <row r="96" spans="1:26" ht="13">
      <c r="A96" s="235">
        <v>89</v>
      </c>
      <c r="B96" s="173" t="s">
        <v>1332</v>
      </c>
      <c r="C96" s="236">
        <v>41274</v>
      </c>
      <c r="D96" s="237" t="s">
        <v>3540</v>
      </c>
      <c r="E96" s="238" t="s">
        <v>3535</v>
      </c>
      <c r="F96" s="238" t="s">
        <v>3541</v>
      </c>
      <c r="G96" s="173" t="s">
        <v>1076</v>
      </c>
      <c r="H96" s="235" t="s">
        <v>19</v>
      </c>
      <c r="I96" s="235">
        <v>1</v>
      </c>
      <c r="J96" s="144">
        <v>17356320</v>
      </c>
      <c r="K96" s="144">
        <v>15620688</v>
      </c>
      <c r="L96" s="143">
        <v>0</v>
      </c>
      <c r="M96" s="143">
        <v>0</v>
      </c>
      <c r="N96" s="143">
        <v>0</v>
      </c>
      <c r="O96" s="143">
        <v>0</v>
      </c>
      <c r="P96" s="239"/>
      <c r="Q96" s="235" t="s">
        <v>20</v>
      </c>
      <c r="R96" s="138" t="s">
        <v>229</v>
      </c>
      <c r="S96" s="238" t="s">
        <v>3542</v>
      </c>
      <c r="T96" s="240" t="s">
        <v>3543</v>
      </c>
      <c r="U96" s="241">
        <v>89</v>
      </c>
      <c r="V96" s="242" t="b">
        <v>1</v>
      </c>
      <c r="W96" s="243" t="s">
        <v>3285</v>
      </c>
      <c r="X96" s="244"/>
      <c r="Y96" s="244"/>
      <c r="Z96" s="244"/>
    </row>
    <row r="97" spans="1:26" ht="12.5" hidden="1">
      <c r="A97" s="211">
        <v>90</v>
      </c>
      <c r="B97" s="173" t="s">
        <v>1332</v>
      </c>
      <c r="C97" s="212">
        <v>41274</v>
      </c>
      <c r="D97" s="213">
        <v>3020303016004</v>
      </c>
      <c r="E97" s="214" t="s">
        <v>3535</v>
      </c>
      <c r="F97" s="214" t="s">
        <v>3544</v>
      </c>
      <c r="G97" s="173" t="s">
        <v>1076</v>
      </c>
      <c r="H97" s="211" t="s">
        <v>19</v>
      </c>
      <c r="I97" s="211">
        <v>1</v>
      </c>
      <c r="J97" s="144">
        <v>17356320</v>
      </c>
      <c r="K97" s="144">
        <v>15620688</v>
      </c>
      <c r="L97" s="143">
        <v>0</v>
      </c>
      <c r="M97" s="143">
        <v>0</v>
      </c>
      <c r="N97" s="143">
        <v>0</v>
      </c>
      <c r="O97" s="143">
        <v>0</v>
      </c>
      <c r="P97" s="201"/>
      <c r="Q97" s="211" t="s">
        <v>20</v>
      </c>
      <c r="R97" s="211" t="s">
        <v>21</v>
      </c>
      <c r="S97" s="214" t="s">
        <v>22</v>
      </c>
      <c r="T97" s="201"/>
      <c r="U97" s="202">
        <v>90</v>
      </c>
      <c r="V97" s="203" t="b">
        <v>1</v>
      </c>
      <c r="W97" s="405" t="s">
        <v>3397</v>
      </c>
      <c r="X97" s="406"/>
      <c r="Y97" s="128"/>
      <c r="Z97" s="128"/>
    </row>
    <row r="98" spans="1:26" ht="13">
      <c r="A98" s="235">
        <v>91</v>
      </c>
      <c r="B98" s="173" t="s">
        <v>1332</v>
      </c>
      <c r="C98" s="236">
        <v>41274</v>
      </c>
      <c r="D98" s="237" t="s">
        <v>3545</v>
      </c>
      <c r="E98" s="238" t="s">
        <v>3546</v>
      </c>
      <c r="F98" s="238" t="s">
        <v>3547</v>
      </c>
      <c r="G98" s="173" t="s">
        <v>1076</v>
      </c>
      <c r="H98" s="235" t="s">
        <v>19</v>
      </c>
      <c r="I98" s="235">
        <v>1</v>
      </c>
      <c r="J98" s="144">
        <v>12753042</v>
      </c>
      <c r="K98" s="144">
        <v>11477736</v>
      </c>
      <c r="L98" s="143">
        <v>0</v>
      </c>
      <c r="M98" s="143">
        <v>0</v>
      </c>
      <c r="N98" s="143">
        <v>0</v>
      </c>
      <c r="O98" s="143">
        <v>0</v>
      </c>
      <c r="P98" s="239"/>
      <c r="Q98" s="235" t="s">
        <v>20</v>
      </c>
      <c r="R98" s="138" t="s">
        <v>229</v>
      </c>
      <c r="S98" s="238" t="s">
        <v>3548</v>
      </c>
      <c r="T98" s="245"/>
      <c r="U98" s="241">
        <v>91</v>
      </c>
      <c r="V98" s="242" t="b">
        <v>1</v>
      </c>
      <c r="W98" s="243" t="s">
        <v>3285</v>
      </c>
      <c r="X98" s="244"/>
      <c r="Y98" s="244"/>
      <c r="Z98" s="244"/>
    </row>
    <row r="99" spans="1:26" ht="13">
      <c r="A99" s="235">
        <v>92</v>
      </c>
      <c r="B99" s="173" t="s">
        <v>1332</v>
      </c>
      <c r="C99" s="236">
        <v>41274</v>
      </c>
      <c r="D99" s="237" t="s">
        <v>3549</v>
      </c>
      <c r="E99" s="238" t="s">
        <v>3546</v>
      </c>
      <c r="F99" s="238" t="s">
        <v>3550</v>
      </c>
      <c r="G99" s="173" t="s">
        <v>1076</v>
      </c>
      <c r="H99" s="235" t="s">
        <v>19</v>
      </c>
      <c r="I99" s="235">
        <v>1</v>
      </c>
      <c r="J99" s="144">
        <v>12753042</v>
      </c>
      <c r="K99" s="144">
        <v>11477736</v>
      </c>
      <c r="L99" s="143">
        <v>0</v>
      </c>
      <c r="M99" s="143">
        <v>0</v>
      </c>
      <c r="N99" s="143">
        <v>0</v>
      </c>
      <c r="O99" s="143">
        <v>0</v>
      </c>
      <c r="P99" s="239"/>
      <c r="Q99" s="235" t="s">
        <v>20</v>
      </c>
      <c r="R99" s="138" t="s">
        <v>229</v>
      </c>
      <c r="S99" s="238" t="s">
        <v>3532</v>
      </c>
      <c r="T99" s="245"/>
      <c r="U99" s="241">
        <v>92</v>
      </c>
      <c r="V99" s="242" t="b">
        <v>1</v>
      </c>
      <c r="W99" s="243" t="s">
        <v>3285</v>
      </c>
      <c r="X99" s="244"/>
      <c r="Y99" s="244"/>
      <c r="Z99" s="244"/>
    </row>
    <row r="100" spans="1:26" ht="13">
      <c r="A100" s="235">
        <v>93</v>
      </c>
      <c r="B100" s="173" t="s">
        <v>1332</v>
      </c>
      <c r="C100" s="236">
        <v>41274</v>
      </c>
      <c r="D100" s="237" t="s">
        <v>3551</v>
      </c>
      <c r="E100" s="238" t="s">
        <v>3546</v>
      </c>
      <c r="F100" s="238" t="s">
        <v>3552</v>
      </c>
      <c r="G100" s="173" t="s">
        <v>1076</v>
      </c>
      <c r="H100" s="235" t="s">
        <v>19</v>
      </c>
      <c r="I100" s="235">
        <v>1</v>
      </c>
      <c r="J100" s="144">
        <v>12753042</v>
      </c>
      <c r="K100" s="144">
        <v>11477736</v>
      </c>
      <c r="L100" s="143">
        <v>0</v>
      </c>
      <c r="M100" s="143">
        <v>0</v>
      </c>
      <c r="N100" s="143">
        <v>0</v>
      </c>
      <c r="O100" s="143">
        <v>0</v>
      </c>
      <c r="P100" s="239"/>
      <c r="Q100" s="235" t="s">
        <v>20</v>
      </c>
      <c r="R100" s="138" t="s">
        <v>229</v>
      </c>
      <c r="S100" s="238" t="s">
        <v>3302</v>
      </c>
      <c r="T100" s="240" t="s">
        <v>3542</v>
      </c>
      <c r="U100" s="241">
        <v>93</v>
      </c>
      <c r="V100" s="242" t="b">
        <v>1</v>
      </c>
      <c r="W100" s="243" t="s">
        <v>3285</v>
      </c>
      <c r="X100" s="244"/>
      <c r="Y100" s="244"/>
      <c r="Z100" s="244"/>
    </row>
    <row r="101" spans="1:26" ht="12.5" hidden="1">
      <c r="A101" s="138">
        <v>94</v>
      </c>
      <c r="B101" s="173" t="s">
        <v>1005</v>
      </c>
      <c r="C101" s="139">
        <v>39813</v>
      </c>
      <c r="D101" s="173">
        <v>302030502007006</v>
      </c>
      <c r="E101" s="145" t="s">
        <v>3553</v>
      </c>
      <c r="F101" s="145" t="s">
        <v>3554</v>
      </c>
      <c r="G101" s="173" t="s">
        <v>338</v>
      </c>
      <c r="H101" s="138" t="s">
        <v>19</v>
      </c>
      <c r="I101" s="138">
        <v>1</v>
      </c>
      <c r="J101" s="144">
        <v>26441274</v>
      </c>
      <c r="K101" s="144">
        <v>2644124</v>
      </c>
      <c r="L101" s="143">
        <v>0</v>
      </c>
      <c r="M101" s="143">
        <v>0</v>
      </c>
      <c r="N101" s="143">
        <v>0</v>
      </c>
      <c r="O101" s="143">
        <v>0</v>
      </c>
      <c r="P101" s="173" t="s">
        <v>3480</v>
      </c>
      <c r="Q101" s="138" t="s">
        <v>206</v>
      </c>
      <c r="R101" s="138" t="s">
        <v>841</v>
      </c>
      <c r="S101" s="145" t="s">
        <v>3501</v>
      </c>
      <c r="T101" s="148"/>
      <c r="U101" s="202">
        <v>94</v>
      </c>
      <c r="V101" s="203" t="b">
        <v>1</v>
      </c>
      <c r="W101" s="204" t="s">
        <v>3285</v>
      </c>
      <c r="X101" s="128"/>
      <c r="Y101" s="128"/>
      <c r="Z101" s="128"/>
    </row>
    <row r="102" spans="1:26" ht="12.5" hidden="1">
      <c r="A102" s="138">
        <v>95</v>
      </c>
      <c r="B102" s="173" t="s">
        <v>52</v>
      </c>
      <c r="C102" s="139">
        <v>40816</v>
      </c>
      <c r="D102" s="173">
        <v>30206001001</v>
      </c>
      <c r="E102" s="145" t="s">
        <v>3555</v>
      </c>
      <c r="F102" s="145" t="s">
        <v>3556</v>
      </c>
      <c r="G102" s="173" t="s">
        <v>55</v>
      </c>
      <c r="H102" s="138" t="s">
        <v>569</v>
      </c>
      <c r="I102" s="138">
        <v>1</v>
      </c>
      <c r="J102" s="144">
        <v>24326427</v>
      </c>
      <c r="K102" s="144">
        <v>12163222</v>
      </c>
      <c r="L102" s="143">
        <v>0</v>
      </c>
      <c r="M102" s="143">
        <v>0</v>
      </c>
      <c r="N102" s="143">
        <v>0</v>
      </c>
      <c r="O102" s="143">
        <v>0</v>
      </c>
      <c r="P102" s="148"/>
      <c r="Q102" s="138" t="s">
        <v>36</v>
      </c>
      <c r="R102" s="138" t="s">
        <v>37</v>
      </c>
      <c r="S102" s="145" t="s">
        <v>161</v>
      </c>
      <c r="T102" s="148"/>
      <c r="U102" s="202">
        <v>95</v>
      </c>
      <c r="V102" s="203" t="b">
        <v>1</v>
      </c>
      <c r="W102" s="204" t="s">
        <v>3285</v>
      </c>
      <c r="X102" s="128"/>
      <c r="Y102" s="128"/>
      <c r="Z102" s="128"/>
    </row>
    <row r="103" spans="1:26" ht="12.5" hidden="1">
      <c r="A103" s="138">
        <v>96</v>
      </c>
      <c r="B103" s="173" t="s">
        <v>52</v>
      </c>
      <c r="C103" s="139">
        <v>40816</v>
      </c>
      <c r="D103" s="173">
        <v>30206001002</v>
      </c>
      <c r="E103" s="145" t="s">
        <v>3555</v>
      </c>
      <c r="F103" s="145" t="s">
        <v>3557</v>
      </c>
      <c r="G103" s="173" t="s">
        <v>55</v>
      </c>
      <c r="H103" s="138" t="s">
        <v>569</v>
      </c>
      <c r="I103" s="138">
        <v>1</v>
      </c>
      <c r="J103" s="144">
        <v>24326427</v>
      </c>
      <c r="K103" s="144">
        <v>12163222</v>
      </c>
      <c r="L103" s="143">
        <v>0</v>
      </c>
      <c r="M103" s="143">
        <v>0</v>
      </c>
      <c r="N103" s="143">
        <v>0</v>
      </c>
      <c r="O103" s="143">
        <v>0</v>
      </c>
      <c r="P103" s="148"/>
      <c r="Q103" s="138" t="s">
        <v>36</v>
      </c>
      <c r="R103" s="138" t="s">
        <v>3512</v>
      </c>
      <c r="S103" s="145" t="s">
        <v>3558</v>
      </c>
      <c r="T103" s="148"/>
      <c r="U103" s="202">
        <v>96</v>
      </c>
      <c r="V103" s="203" t="b">
        <v>1</v>
      </c>
      <c r="W103" s="204" t="s">
        <v>3285</v>
      </c>
      <c r="X103" s="128"/>
      <c r="Y103" s="128"/>
      <c r="Z103" s="128"/>
    </row>
    <row r="104" spans="1:26" ht="12.5" hidden="1">
      <c r="A104" s="138">
        <v>97</v>
      </c>
      <c r="B104" s="173" t="s">
        <v>1005</v>
      </c>
      <c r="C104" s="139">
        <v>39813</v>
      </c>
      <c r="D104" s="173">
        <v>3020907006001</v>
      </c>
      <c r="E104" s="145" t="s">
        <v>3559</v>
      </c>
      <c r="F104" s="196"/>
      <c r="G104" s="173" t="s">
        <v>35</v>
      </c>
      <c r="H104" s="138" t="s">
        <v>249</v>
      </c>
      <c r="I104" s="138">
        <v>1</v>
      </c>
      <c r="J104" s="144">
        <v>17175636</v>
      </c>
      <c r="K104" s="144">
        <v>1717552</v>
      </c>
      <c r="L104" s="143">
        <v>0</v>
      </c>
      <c r="M104" s="143">
        <v>0</v>
      </c>
      <c r="N104" s="143">
        <v>0</v>
      </c>
      <c r="O104" s="143">
        <v>0</v>
      </c>
      <c r="P104" s="173" t="s">
        <v>3480</v>
      </c>
      <c r="Q104" s="138" t="s">
        <v>206</v>
      </c>
      <c r="R104" s="138" t="s">
        <v>1310</v>
      </c>
      <c r="S104" s="145" t="s">
        <v>3501</v>
      </c>
      <c r="T104" s="148"/>
      <c r="U104" s="202">
        <v>97</v>
      </c>
      <c r="V104" s="203" t="b">
        <v>1</v>
      </c>
      <c r="W104" s="204" t="s">
        <v>3285</v>
      </c>
      <c r="X104" s="128"/>
      <c r="Y104" s="128"/>
      <c r="Z104" s="128"/>
    </row>
    <row r="105" spans="1:26" ht="12.5" hidden="1">
      <c r="A105" s="138">
        <v>98</v>
      </c>
      <c r="B105" s="173" t="s">
        <v>1005</v>
      </c>
      <c r="C105" s="139">
        <v>39813</v>
      </c>
      <c r="D105" s="173">
        <v>3020907006002</v>
      </c>
      <c r="E105" s="145" t="s">
        <v>3559</v>
      </c>
      <c r="F105" s="196"/>
      <c r="G105" s="173" t="s">
        <v>35</v>
      </c>
      <c r="H105" s="138" t="s">
        <v>249</v>
      </c>
      <c r="I105" s="138">
        <v>1</v>
      </c>
      <c r="J105" s="144">
        <v>17175636</v>
      </c>
      <c r="K105" s="144">
        <v>1717552</v>
      </c>
      <c r="L105" s="143">
        <v>0</v>
      </c>
      <c r="M105" s="143">
        <v>0</v>
      </c>
      <c r="N105" s="143">
        <v>0</v>
      </c>
      <c r="O105" s="143">
        <v>0</v>
      </c>
      <c r="P105" s="173" t="s">
        <v>3480</v>
      </c>
      <c r="Q105" s="138" t="s">
        <v>206</v>
      </c>
      <c r="R105" s="138" t="s">
        <v>1310</v>
      </c>
      <c r="S105" s="145" t="s">
        <v>3501</v>
      </c>
      <c r="T105" s="148"/>
      <c r="U105" s="202">
        <v>98</v>
      </c>
      <c r="V105" s="203" t="b">
        <v>1</v>
      </c>
      <c r="W105" s="204" t="s">
        <v>3285</v>
      </c>
      <c r="X105" s="128"/>
      <c r="Y105" s="128"/>
      <c r="Z105" s="128"/>
    </row>
    <row r="106" spans="1:26" ht="12.5" hidden="1">
      <c r="A106" s="138">
        <v>99</v>
      </c>
      <c r="B106" s="173" t="s">
        <v>1005</v>
      </c>
      <c r="C106" s="139">
        <v>39813</v>
      </c>
      <c r="D106" s="173">
        <v>3020907006004</v>
      </c>
      <c r="E106" s="145" t="s">
        <v>3559</v>
      </c>
      <c r="F106" s="196"/>
      <c r="G106" s="173" t="s">
        <v>35</v>
      </c>
      <c r="H106" s="138" t="s">
        <v>249</v>
      </c>
      <c r="I106" s="138">
        <v>1</v>
      </c>
      <c r="J106" s="144">
        <v>17175636</v>
      </c>
      <c r="K106" s="144">
        <v>1717552</v>
      </c>
      <c r="L106" s="143">
        <v>0</v>
      </c>
      <c r="M106" s="143">
        <v>0</v>
      </c>
      <c r="N106" s="143">
        <v>0</v>
      </c>
      <c r="O106" s="143">
        <v>0</v>
      </c>
      <c r="P106" s="173" t="s">
        <v>3480</v>
      </c>
      <c r="Q106" s="138" t="s">
        <v>206</v>
      </c>
      <c r="R106" s="138" t="s">
        <v>1310</v>
      </c>
      <c r="S106" s="145" t="s">
        <v>3501</v>
      </c>
      <c r="T106" s="148"/>
      <c r="U106" s="202">
        <v>99</v>
      </c>
      <c r="V106" s="203" t="b">
        <v>1</v>
      </c>
      <c r="W106" s="204" t="s">
        <v>3285</v>
      </c>
      <c r="X106" s="128"/>
      <c r="Y106" s="128"/>
      <c r="Z106" s="128"/>
    </row>
    <row r="107" spans="1:26" ht="12.5" hidden="1">
      <c r="A107" s="138">
        <v>100</v>
      </c>
      <c r="B107" s="173" t="s">
        <v>1005</v>
      </c>
      <c r="C107" s="139">
        <v>39813</v>
      </c>
      <c r="D107" s="173">
        <v>3020907006005</v>
      </c>
      <c r="E107" s="145" t="s">
        <v>3559</v>
      </c>
      <c r="F107" s="196"/>
      <c r="G107" s="173" t="s">
        <v>35</v>
      </c>
      <c r="H107" s="138" t="s">
        <v>249</v>
      </c>
      <c r="I107" s="138">
        <v>1</v>
      </c>
      <c r="J107" s="144">
        <v>17175636</v>
      </c>
      <c r="K107" s="144">
        <v>1717552</v>
      </c>
      <c r="L107" s="143">
        <v>0</v>
      </c>
      <c r="M107" s="143">
        <v>0</v>
      </c>
      <c r="N107" s="143">
        <v>0</v>
      </c>
      <c r="O107" s="143">
        <v>0</v>
      </c>
      <c r="P107" s="173" t="s">
        <v>3480</v>
      </c>
      <c r="Q107" s="138" t="s">
        <v>206</v>
      </c>
      <c r="R107" s="138" t="s">
        <v>1310</v>
      </c>
      <c r="S107" s="145" t="s">
        <v>3501</v>
      </c>
      <c r="T107" s="148"/>
      <c r="U107" s="202">
        <v>100</v>
      </c>
      <c r="V107" s="203" t="b">
        <v>1</v>
      </c>
      <c r="W107" s="204" t="s">
        <v>3285</v>
      </c>
      <c r="X107" s="128"/>
      <c r="Y107" s="128"/>
      <c r="Z107" s="128"/>
    </row>
    <row r="108" spans="1:26" ht="12.5" hidden="1">
      <c r="A108" s="138">
        <v>101</v>
      </c>
      <c r="B108" s="173" t="s">
        <v>1005</v>
      </c>
      <c r="C108" s="139">
        <v>39813</v>
      </c>
      <c r="D108" s="173">
        <v>3020907006006</v>
      </c>
      <c r="E108" s="145" t="s">
        <v>3559</v>
      </c>
      <c r="F108" s="196"/>
      <c r="G108" s="173" t="s">
        <v>35</v>
      </c>
      <c r="H108" s="138" t="s">
        <v>249</v>
      </c>
      <c r="I108" s="138">
        <v>1</v>
      </c>
      <c r="J108" s="144">
        <v>17175636</v>
      </c>
      <c r="K108" s="144">
        <v>1717552</v>
      </c>
      <c r="L108" s="143">
        <v>0</v>
      </c>
      <c r="M108" s="143">
        <v>0</v>
      </c>
      <c r="N108" s="143">
        <v>0</v>
      </c>
      <c r="O108" s="143">
        <v>0</v>
      </c>
      <c r="P108" s="173" t="s">
        <v>3480</v>
      </c>
      <c r="Q108" s="138" t="s">
        <v>206</v>
      </c>
      <c r="R108" s="138" t="s">
        <v>1310</v>
      </c>
      <c r="S108" s="145" t="s">
        <v>3501</v>
      </c>
      <c r="T108" s="148"/>
      <c r="U108" s="202">
        <v>101</v>
      </c>
      <c r="V108" s="203" t="b">
        <v>1</v>
      </c>
      <c r="W108" s="204" t="s">
        <v>3285</v>
      </c>
      <c r="X108" s="128"/>
      <c r="Y108" s="128"/>
      <c r="Z108" s="128"/>
    </row>
    <row r="109" spans="1:26" ht="12.5" hidden="1">
      <c r="A109" s="138">
        <v>102</v>
      </c>
      <c r="B109" s="173" t="s">
        <v>1005</v>
      </c>
      <c r="C109" s="139">
        <v>39813</v>
      </c>
      <c r="D109" s="173">
        <v>3020907006007</v>
      </c>
      <c r="E109" s="145" t="s">
        <v>3559</v>
      </c>
      <c r="F109" s="196"/>
      <c r="G109" s="173" t="s">
        <v>35</v>
      </c>
      <c r="H109" s="138" t="s">
        <v>249</v>
      </c>
      <c r="I109" s="138">
        <v>1</v>
      </c>
      <c r="J109" s="144">
        <v>17175636</v>
      </c>
      <c r="K109" s="144">
        <v>1717552</v>
      </c>
      <c r="L109" s="143">
        <v>0</v>
      </c>
      <c r="M109" s="143">
        <v>0</v>
      </c>
      <c r="N109" s="143">
        <v>0</v>
      </c>
      <c r="O109" s="143">
        <v>0</v>
      </c>
      <c r="P109" s="173" t="s">
        <v>3480</v>
      </c>
      <c r="Q109" s="138" t="s">
        <v>206</v>
      </c>
      <c r="R109" s="138" t="s">
        <v>1310</v>
      </c>
      <c r="S109" s="145" t="s">
        <v>3501</v>
      </c>
      <c r="T109" s="148"/>
      <c r="U109" s="202">
        <v>102</v>
      </c>
      <c r="V109" s="203" t="b">
        <v>1</v>
      </c>
      <c r="W109" s="204" t="s">
        <v>3285</v>
      </c>
      <c r="X109" s="128"/>
      <c r="Y109" s="128"/>
      <c r="Z109" s="128"/>
    </row>
    <row r="110" spans="1:26" ht="12.5" hidden="1">
      <c r="A110" s="138">
        <v>103</v>
      </c>
      <c r="B110" s="173" t="s">
        <v>1005</v>
      </c>
      <c r="C110" s="139">
        <v>39813</v>
      </c>
      <c r="D110" s="173">
        <v>3020907006008</v>
      </c>
      <c r="E110" s="145" t="s">
        <v>3559</v>
      </c>
      <c r="F110" s="196"/>
      <c r="G110" s="173" t="s">
        <v>35</v>
      </c>
      <c r="H110" s="138" t="s">
        <v>249</v>
      </c>
      <c r="I110" s="138">
        <v>1</v>
      </c>
      <c r="J110" s="144">
        <v>17175636</v>
      </c>
      <c r="K110" s="144">
        <v>1717552</v>
      </c>
      <c r="L110" s="143">
        <v>0</v>
      </c>
      <c r="M110" s="143">
        <v>0</v>
      </c>
      <c r="N110" s="143">
        <v>0</v>
      </c>
      <c r="O110" s="143">
        <v>0</v>
      </c>
      <c r="P110" s="173" t="s">
        <v>3480</v>
      </c>
      <c r="Q110" s="138" t="s">
        <v>206</v>
      </c>
      <c r="R110" s="138" t="s">
        <v>1310</v>
      </c>
      <c r="S110" s="145" t="s">
        <v>3501</v>
      </c>
      <c r="T110" s="148"/>
      <c r="U110" s="202">
        <v>103</v>
      </c>
      <c r="V110" s="203" t="b">
        <v>1</v>
      </c>
      <c r="W110" s="204" t="s">
        <v>3285</v>
      </c>
      <c r="X110" s="128"/>
      <c r="Y110" s="128"/>
      <c r="Z110" s="128"/>
    </row>
    <row r="111" spans="1:26" ht="12.5" hidden="1">
      <c r="A111" s="138">
        <v>104</v>
      </c>
      <c r="B111" s="173" t="s">
        <v>1005</v>
      </c>
      <c r="C111" s="139">
        <v>39813</v>
      </c>
      <c r="D111" s="173">
        <v>3020907006009</v>
      </c>
      <c r="E111" s="145" t="s">
        <v>3559</v>
      </c>
      <c r="F111" s="196"/>
      <c r="G111" s="173" t="s">
        <v>35</v>
      </c>
      <c r="H111" s="138" t="s">
        <v>249</v>
      </c>
      <c r="I111" s="138">
        <v>1</v>
      </c>
      <c r="J111" s="144">
        <v>17175636</v>
      </c>
      <c r="K111" s="144">
        <v>1717552</v>
      </c>
      <c r="L111" s="143">
        <v>0</v>
      </c>
      <c r="M111" s="143">
        <v>0</v>
      </c>
      <c r="N111" s="143">
        <v>0</v>
      </c>
      <c r="O111" s="143">
        <v>0</v>
      </c>
      <c r="P111" s="173" t="s">
        <v>3480</v>
      </c>
      <c r="Q111" s="138" t="s">
        <v>206</v>
      </c>
      <c r="R111" s="138" t="s">
        <v>1310</v>
      </c>
      <c r="S111" s="145" t="s">
        <v>3501</v>
      </c>
      <c r="T111" s="148"/>
      <c r="U111" s="202">
        <v>104</v>
      </c>
      <c r="V111" s="203" t="b">
        <v>1</v>
      </c>
      <c r="W111" s="204" t="s">
        <v>3285</v>
      </c>
      <c r="X111" s="128"/>
      <c r="Y111" s="128"/>
      <c r="Z111" s="128"/>
    </row>
    <row r="112" spans="1:26" ht="12.5">
      <c r="A112" s="138">
        <v>105</v>
      </c>
      <c r="B112" s="173" t="s">
        <v>2681</v>
      </c>
      <c r="C112" s="139">
        <v>36161</v>
      </c>
      <c r="D112" s="210" t="s">
        <v>3560</v>
      </c>
      <c r="E112" s="145" t="s">
        <v>3561</v>
      </c>
      <c r="F112" s="145" t="s">
        <v>3562</v>
      </c>
      <c r="G112" s="148"/>
      <c r="H112" s="138" t="s">
        <v>249</v>
      </c>
      <c r="I112" s="138">
        <v>1</v>
      </c>
      <c r="J112" s="144">
        <v>3901412</v>
      </c>
      <c r="K112" s="143">
        <v>0</v>
      </c>
      <c r="L112" s="143">
        <v>0</v>
      </c>
      <c r="M112" s="143">
        <v>0</v>
      </c>
      <c r="N112" s="143">
        <v>0</v>
      </c>
      <c r="O112" s="143">
        <v>0</v>
      </c>
      <c r="P112" s="148"/>
      <c r="Q112" s="138" t="s">
        <v>20</v>
      </c>
      <c r="R112" s="138" t="s">
        <v>229</v>
      </c>
      <c r="S112" s="145" t="s">
        <v>3563</v>
      </c>
      <c r="T112" s="148"/>
      <c r="U112" s="202">
        <v>105</v>
      </c>
      <c r="V112" s="203" t="b">
        <v>1</v>
      </c>
      <c r="W112" s="204" t="s">
        <v>3285</v>
      </c>
      <c r="X112" s="128"/>
      <c r="Y112" s="128"/>
      <c r="Z112" s="128"/>
    </row>
    <row r="113" spans="1:26" ht="12.5" hidden="1">
      <c r="A113" s="138">
        <v>106</v>
      </c>
      <c r="B113" s="173" t="s">
        <v>2480</v>
      </c>
      <c r="C113" s="139">
        <v>37257</v>
      </c>
      <c r="D113" s="173">
        <v>302099901071001</v>
      </c>
      <c r="E113" s="145" t="s">
        <v>3564</v>
      </c>
      <c r="F113" s="145" t="s">
        <v>3565</v>
      </c>
      <c r="G113" s="148"/>
      <c r="H113" s="138" t="s">
        <v>19</v>
      </c>
      <c r="I113" s="138">
        <v>1</v>
      </c>
      <c r="J113" s="144">
        <v>17769584</v>
      </c>
      <c r="K113" s="143">
        <v>0</v>
      </c>
      <c r="L113" s="143">
        <v>0</v>
      </c>
      <c r="M113" s="143">
        <v>0</v>
      </c>
      <c r="N113" s="143">
        <v>0</v>
      </c>
      <c r="O113" s="143">
        <v>0</v>
      </c>
      <c r="P113" s="148"/>
      <c r="Q113" s="138" t="s">
        <v>36</v>
      </c>
      <c r="R113" s="138" t="s">
        <v>169</v>
      </c>
      <c r="S113" s="145" t="s">
        <v>3566</v>
      </c>
      <c r="T113" s="148"/>
      <c r="U113" s="202">
        <v>106</v>
      </c>
      <c r="V113" s="203" t="b">
        <v>1</v>
      </c>
      <c r="W113" s="405" t="s">
        <v>3397</v>
      </c>
      <c r="X113" s="406"/>
      <c r="Y113" s="128"/>
      <c r="Z113" s="128"/>
    </row>
    <row r="114" spans="1:26" ht="12.5" hidden="1">
      <c r="A114" s="138">
        <v>107</v>
      </c>
      <c r="B114" s="173" t="s">
        <v>2480</v>
      </c>
      <c r="C114" s="139">
        <v>37257</v>
      </c>
      <c r="D114" s="173">
        <v>302099901071002</v>
      </c>
      <c r="E114" s="145" t="s">
        <v>3564</v>
      </c>
      <c r="F114" s="145" t="s">
        <v>3567</v>
      </c>
      <c r="G114" s="148"/>
      <c r="H114" s="138" t="s">
        <v>19</v>
      </c>
      <c r="I114" s="138">
        <v>1</v>
      </c>
      <c r="J114" s="144">
        <v>17769584</v>
      </c>
      <c r="K114" s="143">
        <v>0</v>
      </c>
      <c r="L114" s="143">
        <v>0</v>
      </c>
      <c r="M114" s="143">
        <v>0</v>
      </c>
      <c r="N114" s="143">
        <v>0</v>
      </c>
      <c r="O114" s="143">
        <v>0</v>
      </c>
      <c r="P114" s="148"/>
      <c r="Q114" s="138" t="s">
        <v>36</v>
      </c>
      <c r="R114" s="138" t="s">
        <v>169</v>
      </c>
      <c r="S114" s="145" t="s">
        <v>3566</v>
      </c>
      <c r="T114" s="148"/>
      <c r="U114" s="202">
        <v>107</v>
      </c>
      <c r="V114" s="203" t="b">
        <v>1</v>
      </c>
      <c r="W114" s="405" t="s">
        <v>3397</v>
      </c>
      <c r="X114" s="406"/>
      <c r="Y114" s="128"/>
      <c r="Z114" s="128"/>
    </row>
    <row r="115" spans="1:26" ht="12.5" hidden="1">
      <c r="A115" s="138">
        <v>108</v>
      </c>
      <c r="B115" s="173" t="s">
        <v>3568</v>
      </c>
      <c r="C115" s="139">
        <v>36892</v>
      </c>
      <c r="D115" s="173">
        <v>302099901074004</v>
      </c>
      <c r="E115" s="145" t="s">
        <v>3569</v>
      </c>
      <c r="F115" s="145">
        <v>10009003</v>
      </c>
      <c r="G115" s="148"/>
      <c r="H115" s="138" t="s">
        <v>249</v>
      </c>
      <c r="I115" s="138">
        <v>1</v>
      </c>
      <c r="J115" s="144">
        <v>5445614</v>
      </c>
      <c r="K115" s="143">
        <v>0</v>
      </c>
      <c r="L115" s="143">
        <v>0</v>
      </c>
      <c r="M115" s="143">
        <v>0</v>
      </c>
      <c r="N115" s="143">
        <v>0</v>
      </c>
      <c r="O115" s="143">
        <v>0</v>
      </c>
      <c r="P115" s="148"/>
      <c r="Q115" s="138" t="s">
        <v>20</v>
      </c>
      <c r="R115" s="138" t="s">
        <v>284</v>
      </c>
      <c r="S115" s="145" t="s">
        <v>3570</v>
      </c>
      <c r="T115" s="148"/>
      <c r="U115" s="202">
        <v>108</v>
      </c>
      <c r="V115" s="203" t="b">
        <v>1</v>
      </c>
      <c r="W115" s="204" t="s">
        <v>3285</v>
      </c>
      <c r="X115" s="128"/>
      <c r="Y115" s="128"/>
      <c r="Z115" s="128"/>
    </row>
    <row r="116" spans="1:26" ht="12.5">
      <c r="A116" s="138">
        <v>109</v>
      </c>
      <c r="B116" s="173" t="s">
        <v>1198</v>
      </c>
      <c r="C116" s="139">
        <v>36161</v>
      </c>
      <c r="D116" s="210" t="s">
        <v>3571</v>
      </c>
      <c r="E116" s="145" t="s">
        <v>3572</v>
      </c>
      <c r="F116" s="196"/>
      <c r="G116" s="148"/>
      <c r="H116" s="138" t="s">
        <v>249</v>
      </c>
      <c r="I116" s="138">
        <v>1</v>
      </c>
      <c r="J116" s="144">
        <v>1753125</v>
      </c>
      <c r="K116" s="143">
        <v>0</v>
      </c>
      <c r="L116" s="143">
        <v>0</v>
      </c>
      <c r="M116" s="143">
        <v>0</v>
      </c>
      <c r="N116" s="143">
        <v>0</v>
      </c>
      <c r="O116" s="143">
        <v>0</v>
      </c>
      <c r="P116" s="148"/>
      <c r="Q116" s="138" t="s">
        <v>20</v>
      </c>
      <c r="R116" s="138" t="s">
        <v>229</v>
      </c>
      <c r="S116" s="145" t="s">
        <v>1234</v>
      </c>
      <c r="T116" s="148"/>
      <c r="U116" s="202">
        <v>109</v>
      </c>
      <c r="V116" s="203" t="b">
        <v>1</v>
      </c>
      <c r="W116" s="204" t="s">
        <v>3285</v>
      </c>
      <c r="X116" s="128"/>
      <c r="Y116" s="128"/>
      <c r="Z116" s="128"/>
    </row>
    <row r="117" spans="1:26" ht="12.5">
      <c r="A117" s="138">
        <v>110</v>
      </c>
      <c r="B117" s="173" t="s">
        <v>1198</v>
      </c>
      <c r="C117" s="139">
        <v>36161</v>
      </c>
      <c r="D117" s="210" t="s">
        <v>3573</v>
      </c>
      <c r="E117" s="145" t="s">
        <v>3572</v>
      </c>
      <c r="F117" s="196"/>
      <c r="G117" s="148"/>
      <c r="H117" s="138" t="s">
        <v>249</v>
      </c>
      <c r="I117" s="138">
        <v>1</v>
      </c>
      <c r="J117" s="144">
        <v>1753125</v>
      </c>
      <c r="K117" s="143">
        <v>0</v>
      </c>
      <c r="L117" s="143">
        <v>0</v>
      </c>
      <c r="M117" s="143">
        <v>0</v>
      </c>
      <c r="N117" s="143">
        <v>0</v>
      </c>
      <c r="O117" s="143">
        <v>0</v>
      </c>
      <c r="P117" s="148"/>
      <c r="Q117" s="138" t="s">
        <v>20</v>
      </c>
      <c r="R117" s="138" t="s">
        <v>229</v>
      </c>
      <c r="S117" s="145" t="s">
        <v>1234</v>
      </c>
      <c r="T117" s="148"/>
      <c r="U117" s="202">
        <v>110</v>
      </c>
      <c r="V117" s="203" t="b">
        <v>1</v>
      </c>
      <c r="W117" s="204" t="s">
        <v>3285</v>
      </c>
      <c r="X117" s="128"/>
      <c r="Y117" s="128"/>
      <c r="Z117" s="128"/>
    </row>
    <row r="118" spans="1:26" ht="12.5" hidden="1">
      <c r="A118" s="138">
        <v>111</v>
      </c>
      <c r="B118" s="173" t="s">
        <v>3574</v>
      </c>
      <c r="C118" s="139">
        <v>35245</v>
      </c>
      <c r="D118" s="173">
        <v>302099901142001</v>
      </c>
      <c r="E118" s="145" t="s">
        <v>3575</v>
      </c>
      <c r="F118" s="145">
        <v>50505063</v>
      </c>
      <c r="G118" s="148"/>
      <c r="H118" s="216"/>
      <c r="I118" s="138">
        <v>1</v>
      </c>
      <c r="J118" s="144">
        <v>4488000</v>
      </c>
      <c r="K118" s="143">
        <v>0</v>
      </c>
      <c r="L118" s="143">
        <v>0</v>
      </c>
      <c r="M118" s="143">
        <v>0</v>
      </c>
      <c r="N118" s="143">
        <v>0</v>
      </c>
      <c r="O118" s="143">
        <v>0</v>
      </c>
      <c r="P118" s="148"/>
      <c r="Q118" s="138" t="s">
        <v>20</v>
      </c>
      <c r="R118" s="138" t="s">
        <v>423</v>
      </c>
      <c r="S118" s="145" t="s">
        <v>3576</v>
      </c>
      <c r="T118" s="148"/>
      <c r="U118" s="202">
        <v>111</v>
      </c>
      <c r="V118" s="203" t="b">
        <v>1</v>
      </c>
      <c r="W118" s="204" t="s">
        <v>3285</v>
      </c>
      <c r="X118" s="128"/>
      <c r="Y118" s="128"/>
      <c r="Z118" s="128"/>
    </row>
    <row r="119" spans="1:26" ht="12.5" hidden="1">
      <c r="A119" s="138">
        <v>112</v>
      </c>
      <c r="B119" s="173" t="s">
        <v>1137</v>
      </c>
      <c r="C119" s="139">
        <v>40441</v>
      </c>
      <c r="D119" s="173">
        <v>30209990170001</v>
      </c>
      <c r="E119" s="145" t="s">
        <v>3577</v>
      </c>
      <c r="F119" s="145">
        <v>20900481</v>
      </c>
      <c r="G119" s="173" t="s">
        <v>1868</v>
      </c>
      <c r="H119" s="138" t="s">
        <v>19</v>
      </c>
      <c r="I119" s="138">
        <v>1</v>
      </c>
      <c r="J119" s="144">
        <v>15549600</v>
      </c>
      <c r="K119" s="144">
        <v>6997320</v>
      </c>
      <c r="L119" s="143">
        <v>0</v>
      </c>
      <c r="M119" s="143">
        <v>0</v>
      </c>
      <c r="N119" s="143">
        <v>0</v>
      </c>
      <c r="O119" s="143">
        <v>0</v>
      </c>
      <c r="P119" s="148"/>
      <c r="Q119" s="138" t="s">
        <v>20</v>
      </c>
      <c r="R119" s="138" t="s">
        <v>423</v>
      </c>
      <c r="S119" s="145" t="s">
        <v>3336</v>
      </c>
      <c r="T119" s="148"/>
      <c r="U119" s="202">
        <v>112</v>
      </c>
      <c r="V119" s="203" t="b">
        <v>1</v>
      </c>
      <c r="W119" s="204" t="s">
        <v>3285</v>
      </c>
      <c r="X119" s="128"/>
      <c r="Y119" s="128"/>
      <c r="Z119" s="128"/>
    </row>
    <row r="120" spans="1:26" ht="12.5">
      <c r="A120" s="138">
        <v>113</v>
      </c>
      <c r="B120" s="173" t="s">
        <v>1137</v>
      </c>
      <c r="C120" s="139">
        <v>40441</v>
      </c>
      <c r="D120" s="210" t="s">
        <v>3578</v>
      </c>
      <c r="E120" s="145" t="s">
        <v>3577</v>
      </c>
      <c r="F120" s="145">
        <v>20938334</v>
      </c>
      <c r="G120" s="173" t="s">
        <v>1868</v>
      </c>
      <c r="H120" s="138" t="s">
        <v>19</v>
      </c>
      <c r="I120" s="138">
        <v>1</v>
      </c>
      <c r="J120" s="144">
        <v>15549600</v>
      </c>
      <c r="K120" s="144">
        <v>6997320</v>
      </c>
      <c r="L120" s="143">
        <v>0</v>
      </c>
      <c r="M120" s="143">
        <v>0</v>
      </c>
      <c r="N120" s="143">
        <v>0</v>
      </c>
      <c r="O120" s="143">
        <v>0</v>
      </c>
      <c r="P120" s="148"/>
      <c r="Q120" s="138" t="s">
        <v>20</v>
      </c>
      <c r="R120" s="138" t="s">
        <v>229</v>
      </c>
      <c r="S120" s="145" t="s">
        <v>3579</v>
      </c>
      <c r="T120" s="148"/>
      <c r="U120" s="202">
        <v>113</v>
      </c>
      <c r="V120" s="203" t="b">
        <v>1</v>
      </c>
      <c r="W120" s="204" t="s">
        <v>3285</v>
      </c>
      <c r="X120" s="128"/>
      <c r="Y120" s="128"/>
      <c r="Z120" s="128"/>
    </row>
    <row r="121" spans="1:26" ht="12.5" hidden="1">
      <c r="A121" s="211">
        <v>114</v>
      </c>
      <c r="B121" s="213" t="s">
        <v>2480</v>
      </c>
      <c r="C121" s="212">
        <v>37257</v>
      </c>
      <c r="D121" s="213">
        <v>302099902209001</v>
      </c>
      <c r="E121" s="214" t="s">
        <v>3580</v>
      </c>
      <c r="F121" s="214" t="s">
        <v>3581</v>
      </c>
      <c r="G121" s="201"/>
      <c r="H121" s="211" t="s">
        <v>19</v>
      </c>
      <c r="I121" s="211">
        <v>1</v>
      </c>
      <c r="J121" s="246">
        <v>13591565</v>
      </c>
      <c r="K121" s="247">
        <v>0</v>
      </c>
      <c r="L121" s="247">
        <v>0</v>
      </c>
      <c r="M121" s="247">
        <v>0</v>
      </c>
      <c r="N121" s="247">
        <v>0</v>
      </c>
      <c r="O121" s="247">
        <v>0</v>
      </c>
      <c r="P121" s="201"/>
      <c r="Q121" s="211" t="s">
        <v>36</v>
      </c>
      <c r="R121" s="211" t="s">
        <v>169</v>
      </c>
      <c r="S121" s="214" t="s">
        <v>3582</v>
      </c>
      <c r="T121" s="201"/>
      <c r="U121" s="202">
        <v>114</v>
      </c>
      <c r="V121" s="203" t="b">
        <v>1</v>
      </c>
      <c r="W121" s="405" t="s">
        <v>3397</v>
      </c>
      <c r="X121" s="406"/>
      <c r="Y121" s="128"/>
      <c r="Z121" s="128"/>
    </row>
    <row r="122" spans="1:26" ht="12.5" hidden="1">
      <c r="A122" s="211">
        <v>115</v>
      </c>
      <c r="B122" s="213" t="s">
        <v>2480</v>
      </c>
      <c r="C122" s="212">
        <v>37257</v>
      </c>
      <c r="D122" s="213">
        <v>302099902209002</v>
      </c>
      <c r="E122" s="214" t="s">
        <v>3580</v>
      </c>
      <c r="F122" s="214" t="s">
        <v>3583</v>
      </c>
      <c r="G122" s="201"/>
      <c r="H122" s="211" t="s">
        <v>19</v>
      </c>
      <c r="I122" s="211">
        <v>1</v>
      </c>
      <c r="J122" s="246">
        <v>13591565</v>
      </c>
      <c r="K122" s="247">
        <v>0</v>
      </c>
      <c r="L122" s="247">
        <v>0</v>
      </c>
      <c r="M122" s="247">
        <v>0</v>
      </c>
      <c r="N122" s="247">
        <v>0</v>
      </c>
      <c r="O122" s="247">
        <v>0</v>
      </c>
      <c r="P122" s="201"/>
      <c r="Q122" s="211" t="s">
        <v>36</v>
      </c>
      <c r="R122" s="211" t="s">
        <v>169</v>
      </c>
      <c r="S122" s="214" t="s">
        <v>3582</v>
      </c>
      <c r="T122" s="201"/>
      <c r="U122" s="202">
        <v>115</v>
      </c>
      <c r="V122" s="203" t="b">
        <v>1</v>
      </c>
      <c r="W122" s="405" t="s">
        <v>3397</v>
      </c>
      <c r="X122" s="406"/>
      <c r="Y122" s="128"/>
      <c r="Z122" s="128"/>
    </row>
    <row r="123" spans="1:26" ht="12.5">
      <c r="A123" s="138">
        <v>116</v>
      </c>
      <c r="B123" s="173" t="s">
        <v>3568</v>
      </c>
      <c r="C123" s="139">
        <v>36892</v>
      </c>
      <c r="D123" s="210" t="s">
        <v>3584</v>
      </c>
      <c r="E123" s="145" t="s">
        <v>3585</v>
      </c>
      <c r="F123" s="145">
        <v>129909017</v>
      </c>
      <c r="G123" s="148"/>
      <c r="H123" s="138" t="s">
        <v>249</v>
      </c>
      <c r="I123" s="138">
        <v>1</v>
      </c>
      <c r="J123" s="144">
        <v>5445614</v>
      </c>
      <c r="K123" s="143">
        <v>0</v>
      </c>
      <c r="L123" s="143">
        <v>0</v>
      </c>
      <c r="M123" s="143">
        <v>0</v>
      </c>
      <c r="N123" s="143">
        <v>0</v>
      </c>
      <c r="O123" s="143">
        <v>0</v>
      </c>
      <c r="P123" s="148"/>
      <c r="Q123" s="138" t="s">
        <v>20</v>
      </c>
      <c r="R123" s="138" t="s">
        <v>229</v>
      </c>
      <c r="S123" s="145" t="s">
        <v>3586</v>
      </c>
      <c r="T123" s="148"/>
      <c r="U123" s="202">
        <v>116</v>
      </c>
      <c r="V123" s="203" t="b">
        <v>1</v>
      </c>
      <c r="W123" s="204" t="s">
        <v>3285</v>
      </c>
      <c r="X123" s="128"/>
      <c r="Y123" s="128"/>
      <c r="Z123" s="128"/>
    </row>
    <row r="124" spans="1:26" ht="12.5" hidden="1">
      <c r="A124" s="211">
        <v>117</v>
      </c>
      <c r="B124" s="217" t="s">
        <v>3587</v>
      </c>
      <c r="C124" s="212">
        <v>36538</v>
      </c>
      <c r="D124" s="213">
        <v>302099902529002</v>
      </c>
      <c r="E124" s="214" t="s">
        <v>3588</v>
      </c>
      <c r="F124" s="221"/>
      <c r="G124" s="218"/>
      <c r="H124" s="215"/>
      <c r="I124" s="211">
        <v>1</v>
      </c>
      <c r="J124" s="219">
        <v>4250000</v>
      </c>
      <c r="K124" s="220">
        <v>0</v>
      </c>
      <c r="L124" s="220">
        <v>0</v>
      </c>
      <c r="M124" s="220">
        <v>0</v>
      </c>
      <c r="N124" s="220">
        <v>0</v>
      </c>
      <c r="O124" s="220">
        <v>0</v>
      </c>
      <c r="P124" s="213" t="s">
        <v>3400</v>
      </c>
      <c r="Q124" s="211" t="s">
        <v>206</v>
      </c>
      <c r="R124" s="211" t="s">
        <v>1310</v>
      </c>
      <c r="S124" s="214" t="s">
        <v>3589</v>
      </c>
      <c r="T124" s="201"/>
      <c r="U124" s="202">
        <v>117</v>
      </c>
      <c r="V124" s="203" t="b">
        <v>1</v>
      </c>
      <c r="W124" s="405" t="s">
        <v>3397</v>
      </c>
      <c r="X124" s="406"/>
      <c r="Y124" s="128"/>
      <c r="Z124" s="128"/>
    </row>
    <row r="125" spans="1:26" ht="12.5" hidden="1">
      <c r="A125" s="138">
        <v>118</v>
      </c>
      <c r="B125" s="173" t="s">
        <v>2476</v>
      </c>
      <c r="C125" s="139">
        <v>36892</v>
      </c>
      <c r="D125" s="173">
        <v>302099902540001</v>
      </c>
      <c r="E125" s="145" t="s">
        <v>3590</v>
      </c>
      <c r="F125" s="196"/>
      <c r="G125" s="148"/>
      <c r="H125" s="216"/>
      <c r="I125" s="138">
        <v>1</v>
      </c>
      <c r="J125" s="144">
        <v>10670052</v>
      </c>
      <c r="K125" s="143">
        <v>0</v>
      </c>
      <c r="L125" s="143">
        <v>0</v>
      </c>
      <c r="M125" s="143">
        <v>0</v>
      </c>
      <c r="N125" s="143">
        <v>0</v>
      </c>
      <c r="O125" s="143">
        <v>0</v>
      </c>
      <c r="P125" s="173" t="s">
        <v>3480</v>
      </c>
      <c r="Q125" s="138" t="s">
        <v>206</v>
      </c>
      <c r="R125" s="138" t="s">
        <v>1310</v>
      </c>
      <c r="S125" s="145" t="s">
        <v>3501</v>
      </c>
      <c r="T125" s="148"/>
      <c r="U125" s="202">
        <v>118</v>
      </c>
      <c r="V125" s="203" t="b">
        <v>1</v>
      </c>
      <c r="W125" s="204" t="s">
        <v>3285</v>
      </c>
      <c r="X125" s="128"/>
      <c r="Y125" s="128"/>
      <c r="Z125" s="128"/>
    </row>
    <row r="126" spans="1:26" ht="12.5" hidden="1">
      <c r="A126" s="138">
        <v>119</v>
      </c>
      <c r="B126" s="173" t="s">
        <v>3591</v>
      </c>
      <c r="C126" s="139">
        <v>39253</v>
      </c>
      <c r="D126" s="173">
        <v>302099902552002</v>
      </c>
      <c r="E126" s="145" t="s">
        <v>3592</v>
      </c>
      <c r="F126" s="145" t="s">
        <v>3593</v>
      </c>
      <c r="G126" s="173" t="s">
        <v>248</v>
      </c>
      <c r="H126" s="138" t="s">
        <v>19</v>
      </c>
      <c r="I126" s="138">
        <v>1</v>
      </c>
      <c r="J126" s="144">
        <v>5412957</v>
      </c>
      <c r="K126" s="144">
        <v>225539</v>
      </c>
      <c r="L126" s="143">
        <v>0</v>
      </c>
      <c r="M126" s="143">
        <v>0</v>
      </c>
      <c r="N126" s="143">
        <v>0</v>
      </c>
      <c r="O126" s="143">
        <v>0</v>
      </c>
      <c r="P126" s="173" t="s">
        <v>3400</v>
      </c>
      <c r="Q126" s="138" t="s">
        <v>206</v>
      </c>
      <c r="R126" s="138" t="s">
        <v>1310</v>
      </c>
      <c r="S126" s="145" t="s">
        <v>3594</v>
      </c>
      <c r="T126" s="148"/>
      <c r="U126" s="202">
        <v>119</v>
      </c>
      <c r="V126" s="203" t="b">
        <v>1</v>
      </c>
      <c r="W126" s="204" t="s">
        <v>3285</v>
      </c>
      <c r="X126" s="128"/>
      <c r="Y126" s="128"/>
      <c r="Z126" s="128"/>
    </row>
    <row r="127" spans="1:26" ht="12.5" hidden="1">
      <c r="A127" s="138">
        <v>120</v>
      </c>
      <c r="B127" s="173" t="s">
        <v>3591</v>
      </c>
      <c r="C127" s="139">
        <v>39253</v>
      </c>
      <c r="D127" s="173">
        <v>302099902552006</v>
      </c>
      <c r="E127" s="145" t="s">
        <v>3592</v>
      </c>
      <c r="F127" s="145" t="s">
        <v>3595</v>
      </c>
      <c r="G127" s="173" t="s">
        <v>248</v>
      </c>
      <c r="H127" s="138" t="s">
        <v>19</v>
      </c>
      <c r="I127" s="138">
        <v>1</v>
      </c>
      <c r="J127" s="144">
        <v>5412958</v>
      </c>
      <c r="K127" s="144">
        <v>225538</v>
      </c>
      <c r="L127" s="143">
        <v>0</v>
      </c>
      <c r="M127" s="143">
        <v>0</v>
      </c>
      <c r="N127" s="143">
        <v>0</v>
      </c>
      <c r="O127" s="143">
        <v>0</v>
      </c>
      <c r="P127" s="173" t="s">
        <v>3400</v>
      </c>
      <c r="Q127" s="138" t="s">
        <v>206</v>
      </c>
      <c r="R127" s="138" t="s">
        <v>1310</v>
      </c>
      <c r="S127" s="145" t="s">
        <v>3594</v>
      </c>
      <c r="T127" s="148"/>
      <c r="U127" s="202">
        <v>120</v>
      </c>
      <c r="V127" s="203" t="b">
        <v>1</v>
      </c>
      <c r="W127" s="204" t="s">
        <v>3285</v>
      </c>
      <c r="X127" s="128"/>
      <c r="Y127" s="128"/>
      <c r="Z127" s="128"/>
    </row>
    <row r="128" spans="1:26" ht="12.5" hidden="1">
      <c r="A128" s="138">
        <v>121</v>
      </c>
      <c r="B128" s="173" t="s">
        <v>3591</v>
      </c>
      <c r="C128" s="139">
        <v>39253</v>
      </c>
      <c r="D128" s="173">
        <v>302099902553002</v>
      </c>
      <c r="E128" s="145" t="s">
        <v>3596</v>
      </c>
      <c r="F128" s="196"/>
      <c r="G128" s="173" t="s">
        <v>55</v>
      </c>
      <c r="H128" s="138" t="s">
        <v>19</v>
      </c>
      <c r="I128" s="138">
        <v>1</v>
      </c>
      <c r="J128" s="144">
        <v>5779545</v>
      </c>
      <c r="K128" s="144">
        <v>240807</v>
      </c>
      <c r="L128" s="143">
        <v>0</v>
      </c>
      <c r="M128" s="143">
        <v>0</v>
      </c>
      <c r="N128" s="143">
        <v>0</v>
      </c>
      <c r="O128" s="143">
        <v>0</v>
      </c>
      <c r="P128" s="148"/>
      <c r="Q128" s="138" t="s">
        <v>20</v>
      </c>
      <c r="R128" s="138" t="s">
        <v>233</v>
      </c>
      <c r="S128" s="145" t="s">
        <v>1847</v>
      </c>
      <c r="T128" s="148"/>
      <c r="U128" s="202">
        <v>121</v>
      </c>
      <c r="V128" s="203" t="b">
        <v>1</v>
      </c>
      <c r="W128" s="204" t="s">
        <v>3285</v>
      </c>
      <c r="X128" s="128"/>
      <c r="Y128" s="128"/>
      <c r="Z128" s="128"/>
    </row>
    <row r="129" spans="1:26" ht="12.5" hidden="1">
      <c r="A129" s="138">
        <v>122</v>
      </c>
      <c r="B129" s="173" t="s">
        <v>3591</v>
      </c>
      <c r="C129" s="139">
        <v>39253</v>
      </c>
      <c r="D129" s="173">
        <v>302099902553005</v>
      </c>
      <c r="E129" s="145" t="s">
        <v>3596</v>
      </c>
      <c r="F129" s="196"/>
      <c r="G129" s="173" t="s">
        <v>55</v>
      </c>
      <c r="H129" s="138" t="s">
        <v>19</v>
      </c>
      <c r="I129" s="138">
        <v>1</v>
      </c>
      <c r="J129" s="144">
        <v>5779545</v>
      </c>
      <c r="K129" s="144">
        <v>240807</v>
      </c>
      <c r="L129" s="143">
        <v>0</v>
      </c>
      <c r="M129" s="143">
        <v>0</v>
      </c>
      <c r="N129" s="143">
        <v>0</v>
      </c>
      <c r="O129" s="143">
        <v>0</v>
      </c>
      <c r="P129" s="148"/>
      <c r="Q129" s="138" t="s">
        <v>20</v>
      </c>
      <c r="R129" s="138" t="s">
        <v>233</v>
      </c>
      <c r="S129" s="145" t="s">
        <v>1847</v>
      </c>
      <c r="T129" s="148"/>
      <c r="U129" s="202">
        <v>122</v>
      </c>
      <c r="V129" s="203" t="b">
        <v>1</v>
      </c>
      <c r="W129" s="204" t="s">
        <v>3285</v>
      </c>
      <c r="X129" s="128"/>
      <c r="Y129" s="128"/>
      <c r="Z129" s="128"/>
    </row>
    <row r="130" spans="1:26" ht="12.5" hidden="1">
      <c r="A130" s="211">
        <v>123</v>
      </c>
      <c r="B130" s="173" t="s">
        <v>1482</v>
      </c>
      <c r="C130" s="212">
        <v>39952</v>
      </c>
      <c r="D130" s="213">
        <v>302099902607001</v>
      </c>
      <c r="E130" s="214" t="s">
        <v>3592</v>
      </c>
      <c r="F130" s="214" t="s">
        <v>3597</v>
      </c>
      <c r="G130" s="173" t="s">
        <v>248</v>
      </c>
      <c r="H130" s="211" t="s">
        <v>249</v>
      </c>
      <c r="I130" s="211">
        <v>1</v>
      </c>
      <c r="J130" s="144">
        <v>21561925</v>
      </c>
      <c r="K130" s="144">
        <v>4312397</v>
      </c>
      <c r="L130" s="143">
        <v>0</v>
      </c>
      <c r="M130" s="143">
        <v>0</v>
      </c>
      <c r="N130" s="143">
        <v>0</v>
      </c>
      <c r="O130" s="143">
        <v>0</v>
      </c>
      <c r="P130" s="213" t="s">
        <v>3400</v>
      </c>
      <c r="Q130" s="211" t="s">
        <v>20</v>
      </c>
      <c r="R130" s="211" t="s">
        <v>21</v>
      </c>
      <c r="S130" s="214" t="s">
        <v>22</v>
      </c>
      <c r="T130" s="213" t="s">
        <v>3434</v>
      </c>
      <c r="U130" s="202">
        <v>123</v>
      </c>
      <c r="V130" s="203" t="b">
        <v>1</v>
      </c>
      <c r="W130" s="405" t="s">
        <v>3397</v>
      </c>
      <c r="X130" s="406"/>
      <c r="Y130" s="128"/>
      <c r="Z130" s="128"/>
    </row>
    <row r="131" spans="1:26" ht="12.5" hidden="1">
      <c r="A131" s="211">
        <v>124</v>
      </c>
      <c r="B131" s="173" t="s">
        <v>1482</v>
      </c>
      <c r="C131" s="212">
        <v>39952</v>
      </c>
      <c r="D131" s="213">
        <v>302099902607002</v>
      </c>
      <c r="E131" s="214" t="s">
        <v>3592</v>
      </c>
      <c r="F131" s="214" t="s">
        <v>3598</v>
      </c>
      <c r="G131" s="173" t="s">
        <v>248</v>
      </c>
      <c r="H131" s="211" t="s">
        <v>249</v>
      </c>
      <c r="I131" s="211">
        <v>1</v>
      </c>
      <c r="J131" s="144">
        <v>21561925</v>
      </c>
      <c r="K131" s="144">
        <v>4312397</v>
      </c>
      <c r="L131" s="143">
        <v>0</v>
      </c>
      <c r="M131" s="143">
        <v>0</v>
      </c>
      <c r="N131" s="143">
        <v>0</v>
      </c>
      <c r="O131" s="143">
        <v>0</v>
      </c>
      <c r="P131" s="213" t="s">
        <v>3400</v>
      </c>
      <c r="Q131" s="211" t="s">
        <v>20</v>
      </c>
      <c r="R131" s="211" t="s">
        <v>21</v>
      </c>
      <c r="S131" s="214" t="s">
        <v>22</v>
      </c>
      <c r="T131" s="201"/>
      <c r="U131" s="202">
        <v>124</v>
      </c>
      <c r="V131" s="203" t="b">
        <v>1</v>
      </c>
      <c r="W131" s="405" t="s">
        <v>3397</v>
      </c>
      <c r="X131" s="406"/>
      <c r="Y131" s="128"/>
      <c r="Z131" s="128"/>
    </row>
    <row r="132" spans="1:26" ht="12.5" hidden="1">
      <c r="A132" s="138">
        <v>125</v>
      </c>
      <c r="B132" s="173" t="s">
        <v>1005</v>
      </c>
      <c r="C132" s="139">
        <v>39813</v>
      </c>
      <c r="D132" s="173">
        <v>302099902620003</v>
      </c>
      <c r="E132" s="145" t="s">
        <v>3599</v>
      </c>
      <c r="F132" s="196"/>
      <c r="G132" s="148"/>
      <c r="H132" s="138" t="s">
        <v>249</v>
      </c>
      <c r="I132" s="138">
        <v>1</v>
      </c>
      <c r="J132" s="144">
        <v>21260329</v>
      </c>
      <c r="K132" s="144">
        <v>2126027</v>
      </c>
      <c r="L132" s="143">
        <v>0</v>
      </c>
      <c r="M132" s="143">
        <v>0</v>
      </c>
      <c r="N132" s="143">
        <v>0</v>
      </c>
      <c r="O132" s="143">
        <v>0</v>
      </c>
      <c r="P132" s="173" t="s">
        <v>3480</v>
      </c>
      <c r="Q132" s="138" t="s">
        <v>206</v>
      </c>
      <c r="R132" s="138" t="s">
        <v>1330</v>
      </c>
      <c r="S132" s="145" t="s">
        <v>3501</v>
      </c>
      <c r="T132" s="148"/>
      <c r="U132" s="202">
        <v>125</v>
      </c>
      <c r="V132" s="203" t="b">
        <v>1</v>
      </c>
      <c r="W132" s="204" t="s">
        <v>3285</v>
      </c>
      <c r="X132" s="128"/>
      <c r="Y132" s="128"/>
      <c r="Z132" s="128"/>
    </row>
    <row r="133" spans="1:26" ht="12.5" hidden="1">
      <c r="A133" s="138">
        <v>126</v>
      </c>
      <c r="B133" s="173" t="s">
        <v>1005</v>
      </c>
      <c r="C133" s="139">
        <v>39813</v>
      </c>
      <c r="D133" s="173">
        <v>302099902620004</v>
      </c>
      <c r="E133" s="145" t="s">
        <v>3599</v>
      </c>
      <c r="F133" s="196"/>
      <c r="G133" s="148"/>
      <c r="H133" s="138" t="s">
        <v>249</v>
      </c>
      <c r="I133" s="138">
        <v>1</v>
      </c>
      <c r="J133" s="144">
        <v>21260329</v>
      </c>
      <c r="K133" s="144">
        <v>2126027</v>
      </c>
      <c r="L133" s="143">
        <v>0</v>
      </c>
      <c r="M133" s="143">
        <v>0</v>
      </c>
      <c r="N133" s="143">
        <v>0</v>
      </c>
      <c r="O133" s="143">
        <v>0</v>
      </c>
      <c r="P133" s="173" t="s">
        <v>3480</v>
      </c>
      <c r="Q133" s="138" t="s">
        <v>206</v>
      </c>
      <c r="R133" s="138" t="s">
        <v>1330</v>
      </c>
      <c r="S133" s="145" t="s">
        <v>3501</v>
      </c>
      <c r="T133" s="148"/>
      <c r="U133" s="202">
        <v>126</v>
      </c>
      <c r="V133" s="203" t="b">
        <v>1</v>
      </c>
      <c r="W133" s="204" t="s">
        <v>3285</v>
      </c>
      <c r="X133" s="128"/>
      <c r="Y133" s="128"/>
      <c r="Z133" s="128"/>
    </row>
    <row r="134" spans="1:26" ht="12.5" hidden="1">
      <c r="A134" s="138">
        <v>127</v>
      </c>
      <c r="B134" s="173" t="s">
        <v>1005</v>
      </c>
      <c r="C134" s="139">
        <v>39813</v>
      </c>
      <c r="D134" s="173">
        <v>302099902620005</v>
      </c>
      <c r="E134" s="145" t="s">
        <v>3599</v>
      </c>
      <c r="F134" s="196"/>
      <c r="G134" s="148"/>
      <c r="H134" s="138" t="s">
        <v>249</v>
      </c>
      <c r="I134" s="138">
        <v>1</v>
      </c>
      <c r="J134" s="144">
        <v>21260329</v>
      </c>
      <c r="K134" s="144">
        <v>2126027</v>
      </c>
      <c r="L134" s="143">
        <v>0</v>
      </c>
      <c r="M134" s="143">
        <v>0</v>
      </c>
      <c r="N134" s="143">
        <v>0</v>
      </c>
      <c r="O134" s="143">
        <v>0</v>
      </c>
      <c r="P134" s="173" t="s">
        <v>3480</v>
      </c>
      <c r="Q134" s="138" t="s">
        <v>206</v>
      </c>
      <c r="R134" s="138" t="s">
        <v>1330</v>
      </c>
      <c r="S134" s="145" t="s">
        <v>3501</v>
      </c>
      <c r="T134" s="148"/>
      <c r="U134" s="202">
        <v>127</v>
      </c>
      <c r="V134" s="203" t="b">
        <v>1</v>
      </c>
      <c r="W134" s="204" t="s">
        <v>3285</v>
      </c>
      <c r="X134" s="128"/>
      <c r="Y134" s="128"/>
      <c r="Z134" s="128"/>
    </row>
    <row r="135" spans="1:26" ht="12.5" hidden="1">
      <c r="A135" s="138">
        <v>128</v>
      </c>
      <c r="B135" s="173" t="s">
        <v>1005</v>
      </c>
      <c r="C135" s="139">
        <v>39813</v>
      </c>
      <c r="D135" s="173">
        <v>302099902620006</v>
      </c>
      <c r="E135" s="145" t="s">
        <v>3599</v>
      </c>
      <c r="F135" s="196"/>
      <c r="G135" s="148"/>
      <c r="H135" s="138" t="s">
        <v>249</v>
      </c>
      <c r="I135" s="138">
        <v>1</v>
      </c>
      <c r="J135" s="144">
        <v>21260329</v>
      </c>
      <c r="K135" s="144">
        <v>2126027</v>
      </c>
      <c r="L135" s="143">
        <v>0</v>
      </c>
      <c r="M135" s="143">
        <v>0</v>
      </c>
      <c r="N135" s="143">
        <v>0</v>
      </c>
      <c r="O135" s="143">
        <v>0</v>
      </c>
      <c r="P135" s="173" t="s">
        <v>3480</v>
      </c>
      <c r="Q135" s="138" t="s">
        <v>206</v>
      </c>
      <c r="R135" s="138" t="s">
        <v>1330</v>
      </c>
      <c r="S135" s="145" t="s">
        <v>3501</v>
      </c>
      <c r="T135" s="148"/>
      <c r="U135" s="202">
        <v>128</v>
      </c>
      <c r="V135" s="203" t="b">
        <v>1</v>
      </c>
      <c r="W135" s="204" t="s">
        <v>3285</v>
      </c>
      <c r="X135" s="128"/>
      <c r="Y135" s="128"/>
      <c r="Z135" s="128"/>
    </row>
    <row r="136" spans="1:26" ht="12.5" hidden="1">
      <c r="A136" s="138">
        <v>129</v>
      </c>
      <c r="B136" s="173" t="s">
        <v>1005</v>
      </c>
      <c r="C136" s="139">
        <v>39813</v>
      </c>
      <c r="D136" s="173">
        <v>302099902620007</v>
      </c>
      <c r="E136" s="145" t="s">
        <v>3599</v>
      </c>
      <c r="F136" s="196"/>
      <c r="G136" s="148"/>
      <c r="H136" s="138" t="s">
        <v>249</v>
      </c>
      <c r="I136" s="138">
        <v>1</v>
      </c>
      <c r="J136" s="144">
        <v>21260329</v>
      </c>
      <c r="K136" s="144">
        <v>2126027</v>
      </c>
      <c r="L136" s="143">
        <v>0</v>
      </c>
      <c r="M136" s="143">
        <v>0</v>
      </c>
      <c r="N136" s="143">
        <v>0</v>
      </c>
      <c r="O136" s="143">
        <v>0</v>
      </c>
      <c r="P136" s="173" t="s">
        <v>3480</v>
      </c>
      <c r="Q136" s="138" t="s">
        <v>206</v>
      </c>
      <c r="R136" s="138" t="s">
        <v>1330</v>
      </c>
      <c r="S136" s="145" t="s">
        <v>3501</v>
      </c>
      <c r="T136" s="148"/>
      <c r="U136" s="202">
        <v>129</v>
      </c>
      <c r="V136" s="203" t="b">
        <v>1</v>
      </c>
      <c r="W136" s="204" t="s">
        <v>3285</v>
      </c>
      <c r="X136" s="128"/>
      <c r="Y136" s="128"/>
      <c r="Z136" s="128"/>
    </row>
    <row r="137" spans="1:26" ht="12.5" hidden="1">
      <c r="A137" s="138">
        <v>130</v>
      </c>
      <c r="B137" s="173" t="s">
        <v>1005</v>
      </c>
      <c r="C137" s="139">
        <v>39813</v>
      </c>
      <c r="D137" s="173">
        <v>302099902620008</v>
      </c>
      <c r="E137" s="145" t="s">
        <v>3599</v>
      </c>
      <c r="F137" s="196"/>
      <c r="G137" s="148"/>
      <c r="H137" s="138" t="s">
        <v>249</v>
      </c>
      <c r="I137" s="138">
        <v>1</v>
      </c>
      <c r="J137" s="144">
        <v>21260329</v>
      </c>
      <c r="K137" s="144">
        <v>2126027</v>
      </c>
      <c r="L137" s="143">
        <v>0</v>
      </c>
      <c r="M137" s="143">
        <v>0</v>
      </c>
      <c r="N137" s="143">
        <v>0</v>
      </c>
      <c r="O137" s="143">
        <v>0</v>
      </c>
      <c r="P137" s="173" t="s">
        <v>3480</v>
      </c>
      <c r="Q137" s="138" t="s">
        <v>206</v>
      </c>
      <c r="R137" s="138" t="s">
        <v>1330</v>
      </c>
      <c r="S137" s="145" t="s">
        <v>3501</v>
      </c>
      <c r="T137" s="148"/>
      <c r="U137" s="202">
        <v>130</v>
      </c>
      <c r="V137" s="203" t="b">
        <v>1</v>
      </c>
      <c r="W137" s="204" t="s">
        <v>3285</v>
      </c>
      <c r="X137" s="128"/>
      <c r="Y137" s="128"/>
      <c r="Z137" s="128"/>
    </row>
    <row r="138" spans="1:26" ht="12.5" hidden="1">
      <c r="A138" s="138">
        <v>131</v>
      </c>
      <c r="B138" s="173" t="s">
        <v>1005</v>
      </c>
      <c r="C138" s="139">
        <v>39813</v>
      </c>
      <c r="D138" s="173">
        <v>302099902620009</v>
      </c>
      <c r="E138" s="145" t="s">
        <v>3599</v>
      </c>
      <c r="F138" s="196"/>
      <c r="G138" s="148"/>
      <c r="H138" s="138" t="s">
        <v>249</v>
      </c>
      <c r="I138" s="138">
        <v>1</v>
      </c>
      <c r="J138" s="144">
        <v>21260329</v>
      </c>
      <c r="K138" s="144">
        <v>2126027</v>
      </c>
      <c r="L138" s="143">
        <v>0</v>
      </c>
      <c r="M138" s="143">
        <v>0</v>
      </c>
      <c r="N138" s="143">
        <v>0</v>
      </c>
      <c r="O138" s="143">
        <v>0</v>
      </c>
      <c r="P138" s="173" t="s">
        <v>3480</v>
      </c>
      <c r="Q138" s="138" t="s">
        <v>206</v>
      </c>
      <c r="R138" s="138" t="s">
        <v>1330</v>
      </c>
      <c r="S138" s="145" t="s">
        <v>3501</v>
      </c>
      <c r="T138" s="148"/>
      <c r="U138" s="202">
        <v>131</v>
      </c>
      <c r="V138" s="203" t="b">
        <v>1</v>
      </c>
      <c r="W138" s="204" t="s">
        <v>3285</v>
      </c>
      <c r="X138" s="128"/>
      <c r="Y138" s="128"/>
      <c r="Z138" s="128"/>
    </row>
    <row r="139" spans="1:26" ht="12.5" hidden="1">
      <c r="A139" s="138">
        <v>132</v>
      </c>
      <c r="B139" s="173" t="s">
        <v>1005</v>
      </c>
      <c r="C139" s="139">
        <v>39813</v>
      </c>
      <c r="D139" s="173">
        <v>302099902620010</v>
      </c>
      <c r="E139" s="145" t="s">
        <v>3599</v>
      </c>
      <c r="F139" s="196"/>
      <c r="G139" s="148"/>
      <c r="H139" s="138" t="s">
        <v>249</v>
      </c>
      <c r="I139" s="138">
        <v>1</v>
      </c>
      <c r="J139" s="144">
        <v>21260329</v>
      </c>
      <c r="K139" s="144">
        <v>2126027</v>
      </c>
      <c r="L139" s="143">
        <v>0</v>
      </c>
      <c r="M139" s="143">
        <v>0</v>
      </c>
      <c r="N139" s="143">
        <v>0</v>
      </c>
      <c r="O139" s="143">
        <v>0</v>
      </c>
      <c r="P139" s="173" t="s">
        <v>3480</v>
      </c>
      <c r="Q139" s="138" t="s">
        <v>206</v>
      </c>
      <c r="R139" s="138" t="s">
        <v>1330</v>
      </c>
      <c r="S139" s="145" t="s">
        <v>3501</v>
      </c>
      <c r="T139" s="148"/>
      <c r="U139" s="202">
        <v>132</v>
      </c>
      <c r="V139" s="203" t="b">
        <v>1</v>
      </c>
      <c r="W139" s="204" t="s">
        <v>3285</v>
      </c>
      <c r="X139" s="128"/>
      <c r="Y139" s="128"/>
      <c r="Z139" s="128"/>
    </row>
    <row r="140" spans="1:26" ht="12.5" hidden="1">
      <c r="A140" s="138">
        <v>133</v>
      </c>
      <c r="B140" s="173" t="s">
        <v>1005</v>
      </c>
      <c r="C140" s="139">
        <v>39813</v>
      </c>
      <c r="D140" s="173">
        <v>302099902620011</v>
      </c>
      <c r="E140" s="145" t="s">
        <v>3599</v>
      </c>
      <c r="F140" s="196"/>
      <c r="G140" s="148"/>
      <c r="H140" s="138" t="s">
        <v>249</v>
      </c>
      <c r="I140" s="138">
        <v>1</v>
      </c>
      <c r="J140" s="144">
        <v>21260329</v>
      </c>
      <c r="K140" s="144">
        <v>2126027</v>
      </c>
      <c r="L140" s="143">
        <v>0</v>
      </c>
      <c r="M140" s="143">
        <v>0</v>
      </c>
      <c r="N140" s="143">
        <v>0</v>
      </c>
      <c r="O140" s="143">
        <v>0</v>
      </c>
      <c r="P140" s="173" t="s">
        <v>3480</v>
      </c>
      <c r="Q140" s="138" t="s">
        <v>206</v>
      </c>
      <c r="R140" s="138" t="s">
        <v>1330</v>
      </c>
      <c r="S140" s="145" t="s">
        <v>3501</v>
      </c>
      <c r="T140" s="148"/>
      <c r="U140" s="202">
        <v>133</v>
      </c>
      <c r="V140" s="203" t="b">
        <v>1</v>
      </c>
      <c r="W140" s="204" t="s">
        <v>3285</v>
      </c>
      <c r="X140" s="128"/>
      <c r="Y140" s="128"/>
      <c r="Z140" s="128"/>
    </row>
    <row r="141" spans="1:26" ht="12.5" hidden="1">
      <c r="A141" s="138">
        <v>134</v>
      </c>
      <c r="B141" s="173" t="s">
        <v>1005</v>
      </c>
      <c r="C141" s="139">
        <v>39813</v>
      </c>
      <c r="D141" s="173">
        <v>302099902620012</v>
      </c>
      <c r="E141" s="145" t="s">
        <v>3599</v>
      </c>
      <c r="F141" s="196"/>
      <c r="G141" s="148"/>
      <c r="H141" s="138" t="s">
        <v>249</v>
      </c>
      <c r="I141" s="138">
        <v>1</v>
      </c>
      <c r="J141" s="144">
        <v>21260329</v>
      </c>
      <c r="K141" s="144">
        <v>2126027</v>
      </c>
      <c r="L141" s="143">
        <v>0</v>
      </c>
      <c r="M141" s="143">
        <v>0</v>
      </c>
      <c r="N141" s="143">
        <v>0</v>
      </c>
      <c r="O141" s="143">
        <v>0</v>
      </c>
      <c r="P141" s="173" t="s">
        <v>3480</v>
      </c>
      <c r="Q141" s="138" t="s">
        <v>206</v>
      </c>
      <c r="R141" s="138" t="s">
        <v>1330</v>
      </c>
      <c r="S141" s="145" t="s">
        <v>3501</v>
      </c>
      <c r="T141" s="148"/>
      <c r="U141" s="202">
        <v>134</v>
      </c>
      <c r="V141" s="203" t="b">
        <v>1</v>
      </c>
      <c r="W141" s="204" t="s">
        <v>3285</v>
      </c>
      <c r="X141" s="128"/>
      <c r="Y141" s="128"/>
      <c r="Z141" s="128"/>
    </row>
    <row r="142" spans="1:26" ht="12.5" hidden="1">
      <c r="A142" s="138">
        <v>135</v>
      </c>
      <c r="B142" s="173" t="s">
        <v>1005</v>
      </c>
      <c r="C142" s="139">
        <v>39813</v>
      </c>
      <c r="D142" s="173">
        <v>302099902620013</v>
      </c>
      <c r="E142" s="145" t="s">
        <v>3599</v>
      </c>
      <c r="F142" s="196"/>
      <c r="G142" s="148"/>
      <c r="H142" s="138" t="s">
        <v>249</v>
      </c>
      <c r="I142" s="138">
        <v>1</v>
      </c>
      <c r="J142" s="144">
        <v>21260329</v>
      </c>
      <c r="K142" s="144">
        <v>2126027</v>
      </c>
      <c r="L142" s="143">
        <v>0</v>
      </c>
      <c r="M142" s="143">
        <v>0</v>
      </c>
      <c r="N142" s="143">
        <v>0</v>
      </c>
      <c r="O142" s="143">
        <v>0</v>
      </c>
      <c r="P142" s="173" t="s">
        <v>3480</v>
      </c>
      <c r="Q142" s="138" t="s">
        <v>206</v>
      </c>
      <c r="R142" s="138" t="s">
        <v>1330</v>
      </c>
      <c r="S142" s="145" t="s">
        <v>3501</v>
      </c>
      <c r="T142" s="148"/>
      <c r="U142" s="202">
        <v>135</v>
      </c>
      <c r="V142" s="203" t="b">
        <v>1</v>
      </c>
      <c r="W142" s="204" t="s">
        <v>3285</v>
      </c>
      <c r="X142" s="128"/>
      <c r="Y142" s="128"/>
      <c r="Z142" s="128"/>
    </row>
    <row r="143" spans="1:26" ht="12.5" hidden="1">
      <c r="A143" s="138">
        <v>136</v>
      </c>
      <c r="B143" s="173" t="s">
        <v>1005</v>
      </c>
      <c r="C143" s="139">
        <v>39813</v>
      </c>
      <c r="D143" s="173">
        <v>302099902620014</v>
      </c>
      <c r="E143" s="145" t="s">
        <v>3599</v>
      </c>
      <c r="F143" s="196"/>
      <c r="G143" s="148"/>
      <c r="H143" s="138" t="s">
        <v>249</v>
      </c>
      <c r="I143" s="138">
        <v>1</v>
      </c>
      <c r="J143" s="144">
        <v>21260329</v>
      </c>
      <c r="K143" s="144">
        <v>2126027</v>
      </c>
      <c r="L143" s="143">
        <v>0</v>
      </c>
      <c r="M143" s="143">
        <v>0</v>
      </c>
      <c r="N143" s="143">
        <v>0</v>
      </c>
      <c r="O143" s="143">
        <v>0</v>
      </c>
      <c r="P143" s="173" t="s">
        <v>3480</v>
      </c>
      <c r="Q143" s="138" t="s">
        <v>206</v>
      </c>
      <c r="R143" s="138" t="s">
        <v>1330</v>
      </c>
      <c r="S143" s="145" t="s">
        <v>3501</v>
      </c>
      <c r="T143" s="148"/>
      <c r="U143" s="202">
        <v>136</v>
      </c>
      <c r="V143" s="203" t="b">
        <v>1</v>
      </c>
      <c r="W143" s="204" t="s">
        <v>3285</v>
      </c>
      <c r="X143" s="128"/>
      <c r="Y143" s="128"/>
      <c r="Z143" s="128"/>
    </row>
    <row r="144" spans="1:26" ht="12.5" hidden="1">
      <c r="A144" s="138">
        <v>137</v>
      </c>
      <c r="B144" s="173" t="s">
        <v>1005</v>
      </c>
      <c r="C144" s="139">
        <v>39813</v>
      </c>
      <c r="D144" s="173">
        <v>302099902620015</v>
      </c>
      <c r="E144" s="145" t="s">
        <v>3599</v>
      </c>
      <c r="F144" s="196"/>
      <c r="G144" s="148"/>
      <c r="H144" s="138" t="s">
        <v>249</v>
      </c>
      <c r="I144" s="138">
        <v>1</v>
      </c>
      <c r="J144" s="144">
        <v>21260329</v>
      </c>
      <c r="K144" s="144">
        <v>2126027</v>
      </c>
      <c r="L144" s="143">
        <v>0</v>
      </c>
      <c r="M144" s="143">
        <v>0</v>
      </c>
      <c r="N144" s="143">
        <v>0</v>
      </c>
      <c r="O144" s="143">
        <v>0</v>
      </c>
      <c r="P144" s="173" t="s">
        <v>3480</v>
      </c>
      <c r="Q144" s="138" t="s">
        <v>206</v>
      </c>
      <c r="R144" s="138" t="s">
        <v>1330</v>
      </c>
      <c r="S144" s="145" t="s">
        <v>3501</v>
      </c>
      <c r="T144" s="148"/>
      <c r="U144" s="202">
        <v>137</v>
      </c>
      <c r="V144" s="203" t="b">
        <v>1</v>
      </c>
      <c r="W144" s="204" t="s">
        <v>3285</v>
      </c>
      <c r="X144" s="128"/>
      <c r="Y144" s="128"/>
      <c r="Z144" s="128"/>
    </row>
    <row r="145" spans="1:26" ht="12.5" hidden="1">
      <c r="A145" s="138">
        <v>138</v>
      </c>
      <c r="B145" s="173" t="s">
        <v>1005</v>
      </c>
      <c r="C145" s="139">
        <v>39813</v>
      </c>
      <c r="D145" s="173">
        <v>302099902620016</v>
      </c>
      <c r="E145" s="145" t="s">
        <v>3599</v>
      </c>
      <c r="F145" s="196"/>
      <c r="G145" s="148"/>
      <c r="H145" s="138" t="s">
        <v>249</v>
      </c>
      <c r="I145" s="138">
        <v>1</v>
      </c>
      <c r="J145" s="144">
        <v>21260329</v>
      </c>
      <c r="K145" s="144">
        <v>2126027</v>
      </c>
      <c r="L145" s="143">
        <v>0</v>
      </c>
      <c r="M145" s="143">
        <v>0</v>
      </c>
      <c r="N145" s="143">
        <v>0</v>
      </c>
      <c r="O145" s="143">
        <v>0</v>
      </c>
      <c r="P145" s="173" t="s">
        <v>3480</v>
      </c>
      <c r="Q145" s="138" t="s">
        <v>206</v>
      </c>
      <c r="R145" s="138" t="s">
        <v>1330</v>
      </c>
      <c r="S145" s="145" t="s">
        <v>3501</v>
      </c>
      <c r="T145" s="148"/>
      <c r="U145" s="202">
        <v>138</v>
      </c>
      <c r="V145" s="203" t="b">
        <v>1</v>
      </c>
      <c r="W145" s="204" t="s">
        <v>3285</v>
      </c>
      <c r="X145" s="128"/>
      <c r="Y145" s="128"/>
      <c r="Z145" s="128"/>
    </row>
    <row r="146" spans="1:26" ht="12.5" hidden="1">
      <c r="A146" s="138">
        <v>139</v>
      </c>
      <c r="B146" s="173" t="s">
        <v>1005</v>
      </c>
      <c r="C146" s="139">
        <v>39813</v>
      </c>
      <c r="D146" s="173">
        <v>302099902620017</v>
      </c>
      <c r="E146" s="145" t="s">
        <v>3599</v>
      </c>
      <c r="F146" s="196"/>
      <c r="G146" s="148"/>
      <c r="H146" s="138" t="s">
        <v>249</v>
      </c>
      <c r="I146" s="138">
        <v>1</v>
      </c>
      <c r="J146" s="144">
        <v>21260329</v>
      </c>
      <c r="K146" s="144">
        <v>2126027</v>
      </c>
      <c r="L146" s="143">
        <v>0</v>
      </c>
      <c r="M146" s="143">
        <v>0</v>
      </c>
      <c r="N146" s="143">
        <v>0</v>
      </c>
      <c r="O146" s="143">
        <v>0</v>
      </c>
      <c r="P146" s="173" t="s">
        <v>3480</v>
      </c>
      <c r="Q146" s="138" t="s">
        <v>206</v>
      </c>
      <c r="R146" s="138" t="s">
        <v>1330</v>
      </c>
      <c r="S146" s="145" t="s">
        <v>3501</v>
      </c>
      <c r="T146" s="148"/>
      <c r="U146" s="202">
        <v>139</v>
      </c>
      <c r="V146" s="203" t="b">
        <v>1</v>
      </c>
      <c r="W146" s="204" t="s">
        <v>3285</v>
      </c>
      <c r="X146" s="128"/>
      <c r="Y146" s="128"/>
      <c r="Z146" s="128"/>
    </row>
    <row r="147" spans="1:26" ht="12.5" hidden="1">
      <c r="A147" s="138">
        <v>140</v>
      </c>
      <c r="B147" s="173" t="s">
        <v>1005</v>
      </c>
      <c r="C147" s="139">
        <v>39813</v>
      </c>
      <c r="D147" s="173">
        <v>302099902620018</v>
      </c>
      <c r="E147" s="145" t="s">
        <v>3599</v>
      </c>
      <c r="F147" s="196"/>
      <c r="G147" s="148"/>
      <c r="H147" s="138" t="s">
        <v>249</v>
      </c>
      <c r="I147" s="138">
        <v>1</v>
      </c>
      <c r="J147" s="144">
        <v>21260329</v>
      </c>
      <c r="K147" s="144">
        <v>2126027</v>
      </c>
      <c r="L147" s="143">
        <v>0</v>
      </c>
      <c r="M147" s="143">
        <v>0</v>
      </c>
      <c r="N147" s="143">
        <v>0</v>
      </c>
      <c r="O147" s="143">
        <v>0</v>
      </c>
      <c r="P147" s="173" t="s">
        <v>3480</v>
      </c>
      <c r="Q147" s="138" t="s">
        <v>206</v>
      </c>
      <c r="R147" s="138" t="s">
        <v>1330</v>
      </c>
      <c r="S147" s="145" t="s">
        <v>3501</v>
      </c>
      <c r="T147" s="148"/>
      <c r="U147" s="202">
        <v>140</v>
      </c>
      <c r="V147" s="203" t="b">
        <v>1</v>
      </c>
      <c r="W147" s="204" t="s">
        <v>3285</v>
      </c>
      <c r="X147" s="128"/>
      <c r="Y147" s="128"/>
      <c r="Z147" s="128"/>
    </row>
    <row r="148" spans="1:26" ht="12.5" hidden="1">
      <c r="A148" s="138">
        <v>141</v>
      </c>
      <c r="B148" s="173" t="s">
        <v>1005</v>
      </c>
      <c r="C148" s="139">
        <v>39813</v>
      </c>
      <c r="D148" s="173">
        <v>302099902620019</v>
      </c>
      <c r="E148" s="145" t="s">
        <v>3599</v>
      </c>
      <c r="F148" s="196"/>
      <c r="G148" s="148"/>
      <c r="H148" s="138" t="s">
        <v>249</v>
      </c>
      <c r="I148" s="138">
        <v>1</v>
      </c>
      <c r="J148" s="144">
        <v>21260329</v>
      </c>
      <c r="K148" s="144">
        <v>2126027</v>
      </c>
      <c r="L148" s="143">
        <v>0</v>
      </c>
      <c r="M148" s="143">
        <v>0</v>
      </c>
      <c r="N148" s="143">
        <v>0</v>
      </c>
      <c r="O148" s="143">
        <v>0</v>
      </c>
      <c r="P148" s="173" t="s">
        <v>3480</v>
      </c>
      <c r="Q148" s="138" t="s">
        <v>206</v>
      </c>
      <c r="R148" s="138" t="s">
        <v>1330</v>
      </c>
      <c r="S148" s="145" t="s">
        <v>3501</v>
      </c>
      <c r="T148" s="148"/>
      <c r="U148" s="202">
        <v>141</v>
      </c>
      <c r="V148" s="203" t="b">
        <v>1</v>
      </c>
      <c r="W148" s="204" t="s">
        <v>3285</v>
      </c>
      <c r="X148" s="128"/>
      <c r="Y148" s="128"/>
      <c r="Z148" s="128"/>
    </row>
    <row r="149" spans="1:26" ht="12.5" hidden="1">
      <c r="A149" s="138">
        <v>142</v>
      </c>
      <c r="B149" s="173" t="s">
        <v>1005</v>
      </c>
      <c r="C149" s="139">
        <v>39813</v>
      </c>
      <c r="D149" s="173">
        <v>302099902620020</v>
      </c>
      <c r="E149" s="145" t="s">
        <v>3599</v>
      </c>
      <c r="F149" s="196"/>
      <c r="G149" s="148"/>
      <c r="H149" s="138" t="s">
        <v>249</v>
      </c>
      <c r="I149" s="138">
        <v>1</v>
      </c>
      <c r="J149" s="144">
        <v>21260334</v>
      </c>
      <c r="K149" s="144">
        <v>2126030</v>
      </c>
      <c r="L149" s="143">
        <v>0</v>
      </c>
      <c r="M149" s="143">
        <v>0</v>
      </c>
      <c r="N149" s="143">
        <v>0</v>
      </c>
      <c r="O149" s="143">
        <v>0</v>
      </c>
      <c r="P149" s="173" t="s">
        <v>3480</v>
      </c>
      <c r="Q149" s="138" t="s">
        <v>206</v>
      </c>
      <c r="R149" s="138" t="s">
        <v>1330</v>
      </c>
      <c r="S149" s="145" t="s">
        <v>3501</v>
      </c>
      <c r="T149" s="148"/>
      <c r="U149" s="202">
        <v>142</v>
      </c>
      <c r="V149" s="203" t="b">
        <v>1</v>
      </c>
      <c r="W149" s="204" t="s">
        <v>3285</v>
      </c>
      <c r="X149" s="128"/>
      <c r="Y149" s="128"/>
      <c r="Z149" s="128"/>
    </row>
    <row r="150" spans="1:26" ht="12.5" hidden="1">
      <c r="A150" s="138">
        <v>143</v>
      </c>
      <c r="B150" s="173" t="s">
        <v>1511</v>
      </c>
      <c r="C150" s="139">
        <v>40170</v>
      </c>
      <c r="D150" s="173">
        <v>302099902648001</v>
      </c>
      <c r="E150" s="145" t="s">
        <v>3600</v>
      </c>
      <c r="F150" s="145">
        <v>334524</v>
      </c>
      <c r="G150" s="148"/>
      <c r="H150" s="138" t="s">
        <v>249</v>
      </c>
      <c r="I150" s="138">
        <v>1</v>
      </c>
      <c r="J150" s="144">
        <v>19694917</v>
      </c>
      <c r="K150" s="144">
        <v>5908464</v>
      </c>
      <c r="L150" s="143">
        <v>0</v>
      </c>
      <c r="M150" s="143">
        <v>0</v>
      </c>
      <c r="N150" s="143">
        <v>0</v>
      </c>
      <c r="O150" s="143">
        <v>0</v>
      </c>
      <c r="P150" s="173" t="s">
        <v>3480</v>
      </c>
      <c r="Q150" s="138" t="s">
        <v>20</v>
      </c>
      <c r="R150" s="138" t="s">
        <v>423</v>
      </c>
      <c r="S150" s="145" t="s">
        <v>3601</v>
      </c>
      <c r="T150" s="148"/>
      <c r="U150" s="202">
        <v>143</v>
      </c>
      <c r="V150" s="203" t="b">
        <v>1</v>
      </c>
      <c r="W150" s="204" t="s">
        <v>3285</v>
      </c>
      <c r="X150" s="128"/>
      <c r="Y150" s="128"/>
      <c r="Z150" s="128"/>
    </row>
    <row r="151" spans="1:26" ht="12.5">
      <c r="A151" s="138">
        <v>144</v>
      </c>
      <c r="B151" s="173" t="s">
        <v>1511</v>
      </c>
      <c r="C151" s="139">
        <v>40170</v>
      </c>
      <c r="D151" s="210" t="s">
        <v>3602</v>
      </c>
      <c r="E151" s="145" t="s">
        <v>3600</v>
      </c>
      <c r="F151" s="145">
        <v>332052</v>
      </c>
      <c r="G151" s="148"/>
      <c r="H151" s="138" t="s">
        <v>249</v>
      </c>
      <c r="I151" s="138">
        <v>1</v>
      </c>
      <c r="J151" s="144">
        <v>19694917</v>
      </c>
      <c r="K151" s="144">
        <v>5908464</v>
      </c>
      <c r="L151" s="143">
        <v>0</v>
      </c>
      <c r="M151" s="143">
        <v>0</v>
      </c>
      <c r="N151" s="143">
        <v>0</v>
      </c>
      <c r="O151" s="143">
        <v>0</v>
      </c>
      <c r="P151" s="173" t="s">
        <v>3480</v>
      </c>
      <c r="Q151" s="138" t="s">
        <v>20</v>
      </c>
      <c r="R151" s="138" t="s">
        <v>229</v>
      </c>
      <c r="S151" s="145" t="s">
        <v>3603</v>
      </c>
      <c r="T151" s="148"/>
      <c r="U151" s="202">
        <v>144</v>
      </c>
      <c r="V151" s="203" t="b">
        <v>1</v>
      </c>
      <c r="W151" s="204" t="s">
        <v>3285</v>
      </c>
      <c r="X151" s="128"/>
      <c r="Y151" s="128"/>
      <c r="Z151" s="128"/>
    </row>
    <row r="152" spans="1:26" ht="12.5" hidden="1">
      <c r="A152" s="138">
        <v>145</v>
      </c>
      <c r="B152" s="173" t="s">
        <v>1511</v>
      </c>
      <c r="C152" s="139">
        <v>40170</v>
      </c>
      <c r="D152" s="173">
        <v>302099902648010</v>
      </c>
      <c r="E152" s="145" t="s">
        <v>3600</v>
      </c>
      <c r="F152" s="145">
        <v>316048</v>
      </c>
      <c r="G152" s="148"/>
      <c r="H152" s="138" t="s">
        <v>249</v>
      </c>
      <c r="I152" s="138">
        <v>1</v>
      </c>
      <c r="J152" s="144">
        <v>19694917</v>
      </c>
      <c r="K152" s="144">
        <v>5908464</v>
      </c>
      <c r="L152" s="143">
        <v>0</v>
      </c>
      <c r="M152" s="143">
        <v>0</v>
      </c>
      <c r="N152" s="143">
        <v>0</v>
      </c>
      <c r="O152" s="143">
        <v>0</v>
      </c>
      <c r="P152" s="173" t="s">
        <v>3480</v>
      </c>
      <c r="Q152" s="138" t="s">
        <v>20</v>
      </c>
      <c r="R152" s="138" t="s">
        <v>423</v>
      </c>
      <c r="S152" s="145" t="s">
        <v>1639</v>
      </c>
      <c r="T152" s="148"/>
      <c r="U152" s="202">
        <v>145</v>
      </c>
      <c r="V152" s="203" t="b">
        <v>1</v>
      </c>
      <c r="W152" s="204" t="s">
        <v>3285</v>
      </c>
      <c r="X152" s="128"/>
      <c r="Y152" s="128"/>
      <c r="Z152" s="128"/>
    </row>
    <row r="153" spans="1:26" ht="12.5" hidden="1">
      <c r="A153" s="138">
        <v>146</v>
      </c>
      <c r="B153" s="173" t="s">
        <v>1511</v>
      </c>
      <c r="C153" s="139">
        <v>40170</v>
      </c>
      <c r="D153" s="173">
        <v>302099902648011</v>
      </c>
      <c r="E153" s="145" t="s">
        <v>3600</v>
      </c>
      <c r="F153" s="145">
        <v>328058</v>
      </c>
      <c r="G153" s="148"/>
      <c r="H153" s="138" t="s">
        <v>249</v>
      </c>
      <c r="I153" s="138">
        <v>1</v>
      </c>
      <c r="J153" s="144">
        <v>19694917</v>
      </c>
      <c r="K153" s="144">
        <v>5908464</v>
      </c>
      <c r="L153" s="143">
        <v>0</v>
      </c>
      <c r="M153" s="143">
        <v>0</v>
      </c>
      <c r="N153" s="143">
        <v>0</v>
      </c>
      <c r="O153" s="143">
        <v>0</v>
      </c>
      <c r="P153" s="173" t="s">
        <v>3480</v>
      </c>
      <c r="Q153" s="138" t="s">
        <v>20</v>
      </c>
      <c r="R153" s="138" t="s">
        <v>423</v>
      </c>
      <c r="S153" s="145" t="s">
        <v>3604</v>
      </c>
      <c r="T153" s="148"/>
      <c r="U153" s="202">
        <v>146</v>
      </c>
      <c r="V153" s="203" t="b">
        <v>1</v>
      </c>
      <c r="W153" s="204" t="s">
        <v>3285</v>
      </c>
      <c r="X153" s="128"/>
      <c r="Y153" s="128"/>
      <c r="Z153" s="128"/>
    </row>
    <row r="154" spans="1:26" ht="12.5" hidden="1">
      <c r="A154" s="138">
        <v>147</v>
      </c>
      <c r="B154" s="173" t="s">
        <v>1511</v>
      </c>
      <c r="C154" s="139">
        <v>40170</v>
      </c>
      <c r="D154" s="173">
        <v>302099902649005</v>
      </c>
      <c r="E154" s="145" t="s">
        <v>3605</v>
      </c>
      <c r="F154" s="145">
        <v>334926</v>
      </c>
      <c r="G154" s="148"/>
      <c r="H154" s="138" t="s">
        <v>249</v>
      </c>
      <c r="I154" s="138">
        <v>1</v>
      </c>
      <c r="J154" s="144">
        <v>19694917</v>
      </c>
      <c r="K154" s="144">
        <v>5908464</v>
      </c>
      <c r="L154" s="143">
        <v>0</v>
      </c>
      <c r="M154" s="143">
        <v>0</v>
      </c>
      <c r="N154" s="143">
        <v>0</v>
      </c>
      <c r="O154" s="143">
        <v>0</v>
      </c>
      <c r="P154" s="173" t="s">
        <v>3480</v>
      </c>
      <c r="Q154" s="138" t="s">
        <v>206</v>
      </c>
      <c r="R154" s="138" t="s">
        <v>1514</v>
      </c>
      <c r="S154" s="145" t="s">
        <v>3606</v>
      </c>
      <c r="T154" s="148"/>
      <c r="U154" s="202">
        <v>147</v>
      </c>
      <c r="V154" s="203" t="b">
        <v>1</v>
      </c>
      <c r="W154" s="204" t="s">
        <v>3285</v>
      </c>
      <c r="X154" s="128"/>
      <c r="Y154" s="128"/>
      <c r="Z154" s="128"/>
    </row>
    <row r="155" spans="1:26" ht="12.5" hidden="1">
      <c r="A155" s="138">
        <v>148</v>
      </c>
      <c r="B155" s="173" t="s">
        <v>1137</v>
      </c>
      <c r="C155" s="139">
        <v>40441</v>
      </c>
      <c r="D155" s="173">
        <v>302099902671001</v>
      </c>
      <c r="E155" s="145" t="s">
        <v>3607</v>
      </c>
      <c r="F155" s="196"/>
      <c r="G155" s="148"/>
      <c r="H155" s="138" t="s">
        <v>569</v>
      </c>
      <c r="I155" s="138">
        <v>1</v>
      </c>
      <c r="J155" s="144">
        <v>26719500</v>
      </c>
      <c r="K155" s="144">
        <v>12023775</v>
      </c>
      <c r="L155" s="143">
        <v>0</v>
      </c>
      <c r="M155" s="143">
        <v>0</v>
      </c>
      <c r="N155" s="143">
        <v>0</v>
      </c>
      <c r="O155" s="143">
        <v>0</v>
      </c>
      <c r="P155" s="148"/>
      <c r="Q155" s="138" t="s">
        <v>20</v>
      </c>
      <c r="R155" s="138" t="s">
        <v>423</v>
      </c>
      <c r="S155" s="145" t="s">
        <v>3608</v>
      </c>
      <c r="T155" s="148"/>
      <c r="U155" s="202">
        <v>148</v>
      </c>
      <c r="V155" s="203" t="b">
        <v>1</v>
      </c>
      <c r="W155" s="204" t="s">
        <v>3285</v>
      </c>
      <c r="X155" s="128"/>
      <c r="Y155" s="128"/>
      <c r="Z155" s="128"/>
    </row>
    <row r="156" spans="1:26" ht="12.5" hidden="1">
      <c r="A156" s="138">
        <v>149</v>
      </c>
      <c r="B156" s="173" t="s">
        <v>1137</v>
      </c>
      <c r="C156" s="139">
        <v>40441</v>
      </c>
      <c r="D156" s="173">
        <v>302099902671002</v>
      </c>
      <c r="E156" s="145" t="s">
        <v>3607</v>
      </c>
      <c r="F156" s="196"/>
      <c r="G156" s="148"/>
      <c r="H156" s="138" t="s">
        <v>569</v>
      </c>
      <c r="I156" s="138">
        <v>1</v>
      </c>
      <c r="J156" s="144">
        <v>26719500</v>
      </c>
      <c r="K156" s="144">
        <v>12023775</v>
      </c>
      <c r="L156" s="143">
        <v>0</v>
      </c>
      <c r="M156" s="143">
        <v>0</v>
      </c>
      <c r="N156" s="143">
        <v>0</v>
      </c>
      <c r="O156" s="143">
        <v>0</v>
      </c>
      <c r="P156" s="148"/>
      <c r="Q156" s="138" t="s">
        <v>20</v>
      </c>
      <c r="R156" s="138" t="s">
        <v>295</v>
      </c>
      <c r="S156" s="145" t="s">
        <v>2077</v>
      </c>
      <c r="T156" s="148"/>
      <c r="U156" s="202">
        <v>149</v>
      </c>
      <c r="V156" s="203" t="b">
        <v>1</v>
      </c>
      <c r="W156" s="204" t="s">
        <v>3285</v>
      </c>
      <c r="X156" s="128"/>
      <c r="Y156" s="128"/>
      <c r="Z156" s="128"/>
    </row>
    <row r="157" spans="1:26" ht="12.5" hidden="1">
      <c r="A157" s="211">
        <v>150</v>
      </c>
      <c r="B157" s="173" t="s">
        <v>893</v>
      </c>
      <c r="C157" s="212">
        <v>40715</v>
      </c>
      <c r="D157" s="213">
        <v>302099902682001</v>
      </c>
      <c r="E157" s="214" t="s">
        <v>3609</v>
      </c>
      <c r="F157" s="214" t="s">
        <v>3610</v>
      </c>
      <c r="G157" s="173" t="s">
        <v>248</v>
      </c>
      <c r="H157" s="211" t="s">
        <v>19</v>
      </c>
      <c r="I157" s="211">
        <v>1</v>
      </c>
      <c r="J157" s="144">
        <v>12570000</v>
      </c>
      <c r="K157" s="144">
        <v>7542000</v>
      </c>
      <c r="L157" s="143">
        <v>0</v>
      </c>
      <c r="M157" s="143">
        <v>0</v>
      </c>
      <c r="N157" s="143">
        <v>0</v>
      </c>
      <c r="O157" s="143">
        <v>0</v>
      </c>
      <c r="P157" s="213" t="s">
        <v>3480</v>
      </c>
      <c r="Q157" s="211" t="s">
        <v>20</v>
      </c>
      <c r="R157" s="211" t="s">
        <v>21</v>
      </c>
      <c r="S157" s="214" t="s">
        <v>22</v>
      </c>
      <c r="T157" s="201"/>
      <c r="U157" s="202">
        <v>150</v>
      </c>
      <c r="V157" s="203" t="b">
        <v>1</v>
      </c>
      <c r="W157" s="405" t="s">
        <v>3397</v>
      </c>
      <c r="X157" s="406"/>
      <c r="Y157" s="128"/>
      <c r="Z157" s="128"/>
    </row>
    <row r="158" spans="1:26" ht="12.5" hidden="1">
      <c r="A158" s="211">
        <v>151</v>
      </c>
      <c r="B158" s="173" t="s">
        <v>3611</v>
      </c>
      <c r="C158" s="212">
        <v>40793</v>
      </c>
      <c r="D158" s="213">
        <v>302099902691001</v>
      </c>
      <c r="E158" s="214" t="s">
        <v>3612</v>
      </c>
      <c r="F158" s="214">
        <v>30208594</v>
      </c>
      <c r="G158" s="173" t="s">
        <v>248</v>
      </c>
      <c r="H158" s="211" t="s">
        <v>249</v>
      </c>
      <c r="I158" s="211">
        <v>1</v>
      </c>
      <c r="J158" s="144">
        <v>20121889</v>
      </c>
      <c r="K158" s="144">
        <v>13079224</v>
      </c>
      <c r="L158" s="143">
        <v>0</v>
      </c>
      <c r="M158" s="143">
        <v>0</v>
      </c>
      <c r="N158" s="143">
        <v>0</v>
      </c>
      <c r="O158" s="143">
        <v>0</v>
      </c>
      <c r="P158" s="213" t="s">
        <v>3480</v>
      </c>
      <c r="Q158" s="211" t="s">
        <v>20</v>
      </c>
      <c r="R158" s="211" t="s">
        <v>21</v>
      </c>
      <c r="S158" s="214" t="s">
        <v>22</v>
      </c>
      <c r="T158" s="201"/>
      <c r="U158" s="202">
        <v>151</v>
      </c>
      <c r="V158" s="203" t="b">
        <v>1</v>
      </c>
      <c r="W158" s="405" t="s">
        <v>3397</v>
      </c>
      <c r="X158" s="406"/>
      <c r="Y158" s="128"/>
      <c r="Z158" s="128"/>
    </row>
    <row r="159" spans="1:26" ht="12.5">
      <c r="A159" s="138">
        <v>152</v>
      </c>
      <c r="B159" s="173" t="s">
        <v>2340</v>
      </c>
      <c r="C159" s="139">
        <v>37987</v>
      </c>
      <c r="D159" s="210" t="s">
        <v>3613</v>
      </c>
      <c r="E159" s="145" t="s">
        <v>3614</v>
      </c>
      <c r="F159" s="196"/>
      <c r="G159" s="148"/>
      <c r="H159" s="138" t="s">
        <v>249</v>
      </c>
      <c r="I159" s="138">
        <v>1</v>
      </c>
      <c r="J159" s="144">
        <v>5747588</v>
      </c>
      <c r="K159" s="143">
        <v>0</v>
      </c>
      <c r="L159" s="143">
        <v>0</v>
      </c>
      <c r="M159" s="143">
        <v>0</v>
      </c>
      <c r="N159" s="143">
        <v>0</v>
      </c>
      <c r="O159" s="143">
        <v>0</v>
      </c>
      <c r="P159" s="173" t="s">
        <v>3400</v>
      </c>
      <c r="Q159" s="138" t="s">
        <v>20</v>
      </c>
      <c r="R159" s="138" t="s">
        <v>229</v>
      </c>
      <c r="S159" s="145" t="s">
        <v>3615</v>
      </c>
      <c r="T159" s="148"/>
      <c r="U159" s="202">
        <v>152</v>
      </c>
      <c r="V159" s="203" t="b">
        <v>1</v>
      </c>
      <c r="W159" s="204" t="s">
        <v>3285</v>
      </c>
      <c r="X159" s="128"/>
      <c r="Y159" s="128"/>
      <c r="Z159" s="128"/>
    </row>
    <row r="160" spans="1:26" ht="12.5" hidden="1">
      <c r="A160" s="211">
        <v>153</v>
      </c>
      <c r="B160" s="173" t="s">
        <v>2340</v>
      </c>
      <c r="C160" s="212">
        <v>37987</v>
      </c>
      <c r="D160" s="213">
        <v>302099903026002</v>
      </c>
      <c r="E160" s="214" t="s">
        <v>3614</v>
      </c>
      <c r="F160" s="221"/>
      <c r="G160" s="148"/>
      <c r="H160" s="211" t="s">
        <v>249</v>
      </c>
      <c r="I160" s="211">
        <v>1</v>
      </c>
      <c r="J160" s="144">
        <v>5747588</v>
      </c>
      <c r="K160" s="143">
        <v>0</v>
      </c>
      <c r="L160" s="143">
        <v>0</v>
      </c>
      <c r="M160" s="143">
        <v>0</v>
      </c>
      <c r="N160" s="143">
        <v>0</v>
      </c>
      <c r="O160" s="143">
        <v>0</v>
      </c>
      <c r="P160" s="213" t="s">
        <v>3400</v>
      </c>
      <c r="Q160" s="211" t="s">
        <v>20</v>
      </c>
      <c r="R160" s="211" t="s">
        <v>21</v>
      </c>
      <c r="S160" s="214" t="s">
        <v>22</v>
      </c>
      <c r="T160" s="201"/>
      <c r="U160" s="202">
        <v>153</v>
      </c>
      <c r="V160" s="203" t="b">
        <v>1</v>
      </c>
      <c r="W160" s="405" t="s">
        <v>3397</v>
      </c>
      <c r="X160" s="406"/>
      <c r="Y160" s="128"/>
      <c r="Z160" s="128"/>
    </row>
    <row r="161" spans="1:26" ht="12.5" hidden="1">
      <c r="A161" s="138">
        <v>154</v>
      </c>
      <c r="B161" s="173" t="s">
        <v>2340</v>
      </c>
      <c r="C161" s="139">
        <v>37987</v>
      </c>
      <c r="D161" s="173">
        <v>302099903030002</v>
      </c>
      <c r="E161" s="145" t="s">
        <v>3616</v>
      </c>
      <c r="F161" s="196"/>
      <c r="G161" s="148"/>
      <c r="H161" s="138" t="s">
        <v>249</v>
      </c>
      <c r="I161" s="138">
        <v>1</v>
      </c>
      <c r="J161" s="144">
        <v>8236419</v>
      </c>
      <c r="K161" s="143">
        <v>0</v>
      </c>
      <c r="L161" s="143">
        <v>0</v>
      </c>
      <c r="M161" s="143">
        <v>0</v>
      </c>
      <c r="N161" s="143">
        <v>0</v>
      </c>
      <c r="O161" s="143">
        <v>0</v>
      </c>
      <c r="P161" s="173" t="s">
        <v>3400</v>
      </c>
      <c r="Q161" s="138" t="s">
        <v>206</v>
      </c>
      <c r="R161" s="138" t="s">
        <v>1514</v>
      </c>
      <c r="S161" s="145" t="s">
        <v>3617</v>
      </c>
      <c r="T161" s="148"/>
      <c r="U161" s="202">
        <v>154</v>
      </c>
      <c r="V161" s="203" t="b">
        <v>1</v>
      </c>
      <c r="W161" s="204" t="s">
        <v>3285</v>
      </c>
      <c r="X161" s="128"/>
      <c r="Y161" s="128"/>
      <c r="Z161" s="128"/>
    </row>
    <row r="162" spans="1:26" ht="12.5" hidden="1">
      <c r="A162" s="138">
        <v>155</v>
      </c>
      <c r="B162" s="173" t="s">
        <v>1386</v>
      </c>
      <c r="C162" s="139">
        <v>36526</v>
      </c>
      <c r="D162" s="173">
        <v>302099903054003</v>
      </c>
      <c r="E162" s="145" t="s">
        <v>3618</v>
      </c>
      <c r="F162" s="145" t="s">
        <v>3619</v>
      </c>
      <c r="G162" s="148"/>
      <c r="H162" s="138" t="s">
        <v>3620</v>
      </c>
      <c r="I162" s="138">
        <v>1</v>
      </c>
      <c r="J162" s="144">
        <v>18921389</v>
      </c>
      <c r="K162" s="143">
        <v>0</v>
      </c>
      <c r="L162" s="143">
        <v>0</v>
      </c>
      <c r="M162" s="143">
        <v>0</v>
      </c>
      <c r="N162" s="143">
        <v>0</v>
      </c>
      <c r="O162" s="143">
        <v>0</v>
      </c>
      <c r="P162" s="148"/>
      <c r="Q162" s="138" t="s">
        <v>20</v>
      </c>
      <c r="R162" s="138" t="s">
        <v>284</v>
      </c>
      <c r="S162" s="145" t="s">
        <v>3621</v>
      </c>
      <c r="T162" s="148"/>
      <c r="U162" s="202">
        <v>155</v>
      </c>
      <c r="V162" s="203" t="b">
        <v>1</v>
      </c>
      <c r="W162" s="204" t="s">
        <v>3285</v>
      </c>
      <c r="X162" s="128"/>
      <c r="Y162" s="128"/>
      <c r="Z162" s="128"/>
    </row>
    <row r="163" spans="1:26" ht="12.5">
      <c r="A163" s="138">
        <v>156</v>
      </c>
      <c r="B163" s="173" t="s">
        <v>1386</v>
      </c>
      <c r="C163" s="139">
        <v>36526</v>
      </c>
      <c r="D163" s="210" t="s">
        <v>3622</v>
      </c>
      <c r="E163" s="145" t="s">
        <v>3618</v>
      </c>
      <c r="F163" s="145" t="s">
        <v>3623</v>
      </c>
      <c r="G163" s="148"/>
      <c r="H163" s="138" t="s">
        <v>3620</v>
      </c>
      <c r="I163" s="138">
        <v>1</v>
      </c>
      <c r="J163" s="144">
        <v>18921389</v>
      </c>
      <c r="K163" s="143">
        <v>0</v>
      </c>
      <c r="L163" s="143">
        <v>0</v>
      </c>
      <c r="M163" s="143">
        <v>0</v>
      </c>
      <c r="N163" s="143">
        <v>0</v>
      </c>
      <c r="O163" s="143">
        <v>0</v>
      </c>
      <c r="P163" s="148"/>
      <c r="Q163" s="138" t="s">
        <v>20</v>
      </c>
      <c r="R163" s="138" t="s">
        <v>229</v>
      </c>
      <c r="S163" s="145" t="s">
        <v>3624</v>
      </c>
      <c r="T163" s="148"/>
      <c r="U163" s="202">
        <v>156</v>
      </c>
      <c r="V163" s="203" t="b">
        <v>1</v>
      </c>
      <c r="W163" s="204" t="s">
        <v>3285</v>
      </c>
      <c r="X163" s="128"/>
      <c r="Y163" s="128"/>
      <c r="Z163" s="128"/>
    </row>
    <row r="164" spans="1:26" ht="12.5" hidden="1">
      <c r="A164" s="211">
        <v>157</v>
      </c>
      <c r="B164" s="173" t="s">
        <v>1482</v>
      </c>
      <c r="C164" s="212">
        <v>39952</v>
      </c>
      <c r="D164" s="213">
        <v>302099903085003</v>
      </c>
      <c r="E164" s="214" t="s">
        <v>3625</v>
      </c>
      <c r="F164" s="214">
        <v>23693</v>
      </c>
      <c r="G164" s="173" t="s">
        <v>3626</v>
      </c>
      <c r="H164" s="215"/>
      <c r="I164" s="211">
        <v>1</v>
      </c>
      <c r="J164" s="144">
        <v>17367936</v>
      </c>
      <c r="K164" s="144">
        <v>3473575</v>
      </c>
      <c r="L164" s="143">
        <v>0</v>
      </c>
      <c r="M164" s="143">
        <v>0</v>
      </c>
      <c r="N164" s="143">
        <v>0</v>
      </c>
      <c r="O164" s="143">
        <v>0</v>
      </c>
      <c r="P164" s="201"/>
      <c r="Q164" s="211" t="s">
        <v>20</v>
      </c>
      <c r="R164" s="211" t="s">
        <v>21</v>
      </c>
      <c r="S164" s="214" t="s">
        <v>22</v>
      </c>
      <c r="T164" s="201"/>
      <c r="U164" s="202">
        <v>157</v>
      </c>
      <c r="V164" s="203" t="b">
        <v>1</v>
      </c>
      <c r="W164" s="405" t="s">
        <v>3397</v>
      </c>
      <c r="X164" s="406"/>
      <c r="Y164" s="128"/>
      <c r="Z164" s="128"/>
    </row>
    <row r="165" spans="1:26" ht="12.5">
      <c r="A165" s="138">
        <v>158</v>
      </c>
      <c r="B165" s="173" t="s">
        <v>1482</v>
      </c>
      <c r="C165" s="139">
        <v>39952</v>
      </c>
      <c r="D165" s="210" t="s">
        <v>3627</v>
      </c>
      <c r="E165" s="145" t="s">
        <v>3625</v>
      </c>
      <c r="F165" s="145">
        <v>23707</v>
      </c>
      <c r="G165" s="173" t="s">
        <v>3626</v>
      </c>
      <c r="H165" s="216"/>
      <c r="I165" s="138">
        <v>1</v>
      </c>
      <c r="J165" s="144">
        <v>17367936</v>
      </c>
      <c r="K165" s="144">
        <v>3473575</v>
      </c>
      <c r="L165" s="143">
        <v>0</v>
      </c>
      <c r="M165" s="143">
        <v>0</v>
      </c>
      <c r="N165" s="143">
        <v>0</v>
      </c>
      <c r="O165" s="143">
        <v>0</v>
      </c>
      <c r="P165" s="148"/>
      <c r="Q165" s="138" t="s">
        <v>20</v>
      </c>
      <c r="R165" s="138" t="s">
        <v>229</v>
      </c>
      <c r="S165" s="145" t="s">
        <v>3628</v>
      </c>
      <c r="T165" s="148"/>
      <c r="U165" s="202">
        <v>158</v>
      </c>
      <c r="V165" s="203" t="b">
        <v>1</v>
      </c>
      <c r="W165" s="204" t="s">
        <v>3285</v>
      </c>
      <c r="X165" s="128"/>
      <c r="Y165" s="128"/>
      <c r="Z165" s="128"/>
    </row>
    <row r="166" spans="1:26" ht="12.5" hidden="1">
      <c r="A166" s="138">
        <v>159</v>
      </c>
      <c r="B166" s="173" t="s">
        <v>1516</v>
      </c>
      <c r="C166" s="139">
        <v>40144</v>
      </c>
      <c r="D166" s="173">
        <v>302099903174002</v>
      </c>
      <c r="E166" s="145" t="s">
        <v>3629</v>
      </c>
      <c r="F166" s="145" t="s">
        <v>3630</v>
      </c>
      <c r="G166" s="173" t="s">
        <v>248</v>
      </c>
      <c r="H166" s="138" t="s">
        <v>19</v>
      </c>
      <c r="I166" s="138">
        <v>1</v>
      </c>
      <c r="J166" s="144">
        <v>23049633</v>
      </c>
      <c r="K166" s="144">
        <v>9219840</v>
      </c>
      <c r="L166" s="143">
        <v>0</v>
      </c>
      <c r="M166" s="143">
        <v>0</v>
      </c>
      <c r="N166" s="143">
        <v>0</v>
      </c>
      <c r="O166" s="143">
        <v>0</v>
      </c>
      <c r="P166" s="173" t="s">
        <v>3480</v>
      </c>
      <c r="Q166" s="138" t="s">
        <v>20</v>
      </c>
      <c r="R166" s="138" t="s">
        <v>233</v>
      </c>
      <c r="S166" s="145" t="s">
        <v>3631</v>
      </c>
      <c r="T166" s="148"/>
      <c r="U166" s="202">
        <v>159</v>
      </c>
      <c r="V166" s="203" t="b">
        <v>1</v>
      </c>
      <c r="W166" s="204" t="s">
        <v>3285</v>
      </c>
      <c r="X166" s="128"/>
      <c r="Y166" s="128"/>
      <c r="Z166" s="128"/>
    </row>
    <row r="167" spans="1:26" ht="12.5">
      <c r="A167" s="138">
        <v>160</v>
      </c>
      <c r="B167" s="173">
        <v>124</v>
      </c>
      <c r="C167" s="139">
        <v>39021</v>
      </c>
      <c r="D167" s="210" t="s">
        <v>3632</v>
      </c>
      <c r="E167" s="145" t="s">
        <v>3633</v>
      </c>
      <c r="F167" s="145">
        <v>20489</v>
      </c>
      <c r="G167" s="148"/>
      <c r="H167" s="216"/>
      <c r="I167" s="138">
        <v>1</v>
      </c>
      <c r="J167" s="144">
        <v>12648557</v>
      </c>
      <c r="K167" s="143">
        <v>0</v>
      </c>
      <c r="L167" s="143">
        <v>0</v>
      </c>
      <c r="M167" s="143">
        <v>0</v>
      </c>
      <c r="N167" s="143">
        <v>0</v>
      </c>
      <c r="O167" s="143">
        <v>0</v>
      </c>
      <c r="P167" s="148"/>
      <c r="Q167" s="138" t="s">
        <v>20</v>
      </c>
      <c r="R167" s="138" t="s">
        <v>229</v>
      </c>
      <c r="S167" s="145" t="s">
        <v>3615</v>
      </c>
      <c r="T167" s="148"/>
      <c r="U167" s="202">
        <v>160</v>
      </c>
      <c r="V167" s="203" t="b">
        <v>1</v>
      </c>
      <c r="W167" s="204" t="s">
        <v>3285</v>
      </c>
      <c r="X167" s="128"/>
      <c r="Y167" s="128"/>
      <c r="Z167" s="128"/>
    </row>
    <row r="168" spans="1:26" ht="12.5" hidden="1">
      <c r="A168" s="138">
        <v>161</v>
      </c>
      <c r="B168" s="173" t="s">
        <v>3591</v>
      </c>
      <c r="C168" s="139">
        <v>39253</v>
      </c>
      <c r="D168" s="173">
        <v>302099903194004</v>
      </c>
      <c r="E168" s="145" t="s">
        <v>3634</v>
      </c>
      <c r="F168" s="196"/>
      <c r="G168" s="173" t="s">
        <v>407</v>
      </c>
      <c r="H168" s="138" t="s">
        <v>249</v>
      </c>
      <c r="I168" s="138">
        <v>1</v>
      </c>
      <c r="J168" s="144">
        <v>9174616</v>
      </c>
      <c r="K168" s="144">
        <v>382284</v>
      </c>
      <c r="L168" s="143">
        <v>0</v>
      </c>
      <c r="M168" s="143">
        <v>0</v>
      </c>
      <c r="N168" s="143">
        <v>0</v>
      </c>
      <c r="O168" s="143">
        <v>0</v>
      </c>
      <c r="P168" s="148"/>
      <c r="Q168" s="138" t="s">
        <v>206</v>
      </c>
      <c r="R168" s="138" t="s">
        <v>3635</v>
      </c>
      <c r="S168" s="145" t="s">
        <v>3636</v>
      </c>
      <c r="T168" s="148"/>
      <c r="U168" s="202">
        <v>161</v>
      </c>
      <c r="V168" s="203" t="b">
        <v>1</v>
      </c>
      <c r="W168" s="204" t="s">
        <v>3285</v>
      </c>
      <c r="X168" s="128"/>
      <c r="Y168" s="128"/>
      <c r="Z168" s="128"/>
    </row>
    <row r="169" spans="1:26" ht="12.5" hidden="1">
      <c r="A169" s="138">
        <v>162</v>
      </c>
      <c r="B169" s="173" t="s">
        <v>3591</v>
      </c>
      <c r="C169" s="139">
        <v>39253</v>
      </c>
      <c r="D169" s="173">
        <v>302099903195001</v>
      </c>
      <c r="E169" s="145" t="s">
        <v>3637</v>
      </c>
      <c r="F169" s="196"/>
      <c r="G169" s="173" t="s">
        <v>3626</v>
      </c>
      <c r="H169" s="138" t="s">
        <v>19</v>
      </c>
      <c r="I169" s="138">
        <v>1</v>
      </c>
      <c r="J169" s="144">
        <v>13573675</v>
      </c>
      <c r="K169" s="144">
        <v>565567</v>
      </c>
      <c r="L169" s="143">
        <v>0</v>
      </c>
      <c r="M169" s="143">
        <v>0</v>
      </c>
      <c r="N169" s="143">
        <v>0</v>
      </c>
      <c r="O169" s="143">
        <v>0</v>
      </c>
      <c r="P169" s="148"/>
      <c r="Q169" s="138" t="s">
        <v>20</v>
      </c>
      <c r="R169" s="138" t="s">
        <v>233</v>
      </c>
      <c r="S169" s="145" t="s">
        <v>3638</v>
      </c>
      <c r="T169" s="148"/>
      <c r="U169" s="202">
        <v>162</v>
      </c>
      <c r="V169" s="203" t="b">
        <v>1</v>
      </c>
      <c r="W169" s="204" t="s">
        <v>3285</v>
      </c>
      <c r="X169" s="128"/>
      <c r="Y169" s="128"/>
      <c r="Z169" s="128"/>
    </row>
    <row r="170" spans="1:26" ht="12.5">
      <c r="A170" s="138">
        <v>163</v>
      </c>
      <c r="B170" s="173" t="s">
        <v>3639</v>
      </c>
      <c r="C170" s="139">
        <v>39545</v>
      </c>
      <c r="D170" s="210" t="s">
        <v>3640</v>
      </c>
      <c r="E170" s="145" t="s">
        <v>3641</v>
      </c>
      <c r="F170" s="196"/>
      <c r="G170" s="173" t="s">
        <v>1008</v>
      </c>
      <c r="H170" s="138" t="s">
        <v>249</v>
      </c>
      <c r="I170" s="138">
        <v>1</v>
      </c>
      <c r="J170" s="144">
        <v>4954545</v>
      </c>
      <c r="K170" s="144">
        <v>206432</v>
      </c>
      <c r="L170" s="143">
        <v>0</v>
      </c>
      <c r="M170" s="143">
        <v>0</v>
      </c>
      <c r="N170" s="143">
        <v>0</v>
      </c>
      <c r="O170" s="143">
        <v>0</v>
      </c>
      <c r="P170" s="173" t="s">
        <v>3480</v>
      </c>
      <c r="Q170" s="138" t="s">
        <v>20</v>
      </c>
      <c r="R170" s="138" t="s">
        <v>229</v>
      </c>
      <c r="S170" s="145" t="s">
        <v>3642</v>
      </c>
      <c r="T170" s="148"/>
      <c r="U170" s="202">
        <v>163</v>
      </c>
      <c r="V170" s="203" t="b">
        <v>1</v>
      </c>
      <c r="W170" s="204" t="s">
        <v>3285</v>
      </c>
      <c r="X170" s="128"/>
      <c r="Y170" s="128"/>
      <c r="Z170" s="128"/>
    </row>
    <row r="171" spans="1:26" ht="12.5" hidden="1">
      <c r="A171" s="138">
        <v>164</v>
      </c>
      <c r="B171" s="173" t="s">
        <v>3639</v>
      </c>
      <c r="C171" s="139">
        <v>39545</v>
      </c>
      <c r="D171" s="173">
        <v>302099903197010</v>
      </c>
      <c r="E171" s="145" t="s">
        <v>3641</v>
      </c>
      <c r="F171" s="196"/>
      <c r="G171" s="173" t="s">
        <v>1008</v>
      </c>
      <c r="H171" s="138" t="s">
        <v>249</v>
      </c>
      <c r="I171" s="138">
        <v>1</v>
      </c>
      <c r="J171" s="144">
        <v>4954545</v>
      </c>
      <c r="K171" s="144">
        <v>206432</v>
      </c>
      <c r="L171" s="143">
        <v>0</v>
      </c>
      <c r="M171" s="143">
        <v>0</v>
      </c>
      <c r="N171" s="143">
        <v>0</v>
      </c>
      <c r="O171" s="143">
        <v>0</v>
      </c>
      <c r="P171" s="173" t="s">
        <v>3480</v>
      </c>
      <c r="Q171" s="138" t="s">
        <v>20</v>
      </c>
      <c r="R171" s="138" t="s">
        <v>423</v>
      </c>
      <c r="S171" s="145" t="s">
        <v>3643</v>
      </c>
      <c r="T171" s="148"/>
      <c r="U171" s="202">
        <v>164</v>
      </c>
      <c r="V171" s="203" t="b">
        <v>1</v>
      </c>
      <c r="W171" s="204" t="s">
        <v>3285</v>
      </c>
      <c r="X171" s="128"/>
      <c r="Y171" s="128"/>
      <c r="Z171" s="128"/>
    </row>
    <row r="172" spans="1:26" ht="12.5" hidden="1">
      <c r="A172" s="138">
        <v>165</v>
      </c>
      <c r="B172" s="173" t="s">
        <v>1005</v>
      </c>
      <c r="C172" s="139">
        <v>39813</v>
      </c>
      <c r="D172" s="173">
        <v>302099903220001</v>
      </c>
      <c r="E172" s="145" t="s">
        <v>3644</v>
      </c>
      <c r="F172" s="145">
        <v>20700307</v>
      </c>
      <c r="G172" s="173" t="s">
        <v>55</v>
      </c>
      <c r="H172" s="138" t="s">
        <v>569</v>
      </c>
      <c r="I172" s="138">
        <v>1</v>
      </c>
      <c r="J172" s="144">
        <v>29227166</v>
      </c>
      <c r="K172" s="144">
        <v>2922730</v>
      </c>
      <c r="L172" s="143">
        <v>0</v>
      </c>
      <c r="M172" s="143">
        <v>0</v>
      </c>
      <c r="N172" s="143">
        <v>0</v>
      </c>
      <c r="O172" s="143">
        <v>0</v>
      </c>
      <c r="P172" s="173" t="s">
        <v>3480</v>
      </c>
      <c r="Q172" s="138" t="s">
        <v>206</v>
      </c>
      <c r="R172" s="138" t="s">
        <v>3635</v>
      </c>
      <c r="S172" s="145" t="s">
        <v>3645</v>
      </c>
      <c r="T172" s="148"/>
      <c r="U172" s="202">
        <v>165</v>
      </c>
      <c r="V172" s="203" t="b">
        <v>1</v>
      </c>
      <c r="W172" s="204" t="s">
        <v>3285</v>
      </c>
      <c r="X172" s="128"/>
      <c r="Y172" s="128"/>
      <c r="Z172" s="128"/>
    </row>
    <row r="173" spans="1:26" ht="12.5">
      <c r="A173" s="138">
        <v>166</v>
      </c>
      <c r="B173" s="173" t="s">
        <v>3646</v>
      </c>
      <c r="C173" s="139">
        <v>40543</v>
      </c>
      <c r="D173" s="210" t="s">
        <v>3647</v>
      </c>
      <c r="E173" s="145" t="s">
        <v>3648</v>
      </c>
      <c r="F173" s="145">
        <v>4330010475</v>
      </c>
      <c r="G173" s="173" t="s">
        <v>55</v>
      </c>
      <c r="H173" s="138" t="s">
        <v>19</v>
      </c>
      <c r="I173" s="138">
        <v>1</v>
      </c>
      <c r="J173" s="144">
        <v>20513740</v>
      </c>
      <c r="K173" s="144">
        <v>10256860</v>
      </c>
      <c r="L173" s="143">
        <v>0</v>
      </c>
      <c r="M173" s="143">
        <v>0</v>
      </c>
      <c r="N173" s="143">
        <v>0</v>
      </c>
      <c r="O173" s="143">
        <v>0</v>
      </c>
      <c r="P173" s="148"/>
      <c r="Q173" s="138" t="s">
        <v>20</v>
      </c>
      <c r="R173" s="138" t="s">
        <v>229</v>
      </c>
      <c r="S173" s="145" t="s">
        <v>3649</v>
      </c>
      <c r="T173" s="148"/>
      <c r="U173" s="202">
        <v>166</v>
      </c>
      <c r="V173" s="203" t="b">
        <v>1</v>
      </c>
      <c r="W173" s="204" t="s">
        <v>3285</v>
      </c>
      <c r="X173" s="128"/>
      <c r="Y173" s="128"/>
      <c r="Z173" s="128"/>
    </row>
    <row r="174" spans="1:26" ht="12.5">
      <c r="A174" s="138">
        <v>167</v>
      </c>
      <c r="B174" s="173" t="s">
        <v>2910</v>
      </c>
      <c r="C174" s="139">
        <v>40652</v>
      </c>
      <c r="D174" s="210" t="s">
        <v>3650</v>
      </c>
      <c r="E174" s="145" t="s">
        <v>3651</v>
      </c>
      <c r="F174" s="196"/>
      <c r="G174" s="173" t="s">
        <v>3626</v>
      </c>
      <c r="H174" s="138" t="s">
        <v>249</v>
      </c>
      <c r="I174" s="138">
        <v>1</v>
      </c>
      <c r="J174" s="144">
        <v>10627256</v>
      </c>
      <c r="K174" s="144">
        <v>6022110</v>
      </c>
      <c r="L174" s="143">
        <v>0</v>
      </c>
      <c r="M174" s="143">
        <v>0</v>
      </c>
      <c r="N174" s="143">
        <v>0</v>
      </c>
      <c r="O174" s="143">
        <v>0</v>
      </c>
      <c r="P174" s="148"/>
      <c r="Q174" s="138" t="s">
        <v>20</v>
      </c>
      <c r="R174" s="138" t="s">
        <v>229</v>
      </c>
      <c r="S174" s="145" t="s">
        <v>3652</v>
      </c>
      <c r="T174" s="148"/>
      <c r="U174" s="202">
        <v>167</v>
      </c>
      <c r="V174" s="203" t="b">
        <v>1</v>
      </c>
      <c r="W174" s="204" t="s">
        <v>3285</v>
      </c>
      <c r="X174" s="128"/>
      <c r="Y174" s="128"/>
      <c r="Z174" s="128"/>
    </row>
    <row r="175" spans="1:26" ht="12.5" hidden="1">
      <c r="A175" s="138">
        <v>168</v>
      </c>
      <c r="B175" s="173" t="s">
        <v>2910</v>
      </c>
      <c r="C175" s="139">
        <v>40652</v>
      </c>
      <c r="D175" s="173">
        <v>302099903240002</v>
      </c>
      <c r="E175" s="145" t="s">
        <v>3651</v>
      </c>
      <c r="F175" s="196"/>
      <c r="G175" s="173" t="s">
        <v>3626</v>
      </c>
      <c r="H175" s="138" t="s">
        <v>249</v>
      </c>
      <c r="I175" s="138">
        <v>1</v>
      </c>
      <c r="J175" s="144">
        <v>10627256</v>
      </c>
      <c r="K175" s="144">
        <v>6022110</v>
      </c>
      <c r="L175" s="143">
        <v>0</v>
      </c>
      <c r="M175" s="143">
        <v>0</v>
      </c>
      <c r="N175" s="143">
        <v>0</v>
      </c>
      <c r="O175" s="143">
        <v>0</v>
      </c>
      <c r="P175" s="148"/>
      <c r="Q175" s="138" t="s">
        <v>20</v>
      </c>
      <c r="R175" s="138" t="s">
        <v>423</v>
      </c>
      <c r="S175" s="145" t="s">
        <v>3653</v>
      </c>
      <c r="T175" s="148"/>
      <c r="U175" s="202">
        <v>168</v>
      </c>
      <c r="V175" s="203" t="b">
        <v>1</v>
      </c>
      <c r="W175" s="204" t="s">
        <v>3285</v>
      </c>
      <c r="X175" s="128"/>
      <c r="Y175" s="128"/>
      <c r="Z175" s="128"/>
    </row>
    <row r="176" spans="1:26" ht="12.5">
      <c r="A176" s="138">
        <v>169</v>
      </c>
      <c r="B176" s="173" t="s">
        <v>2910</v>
      </c>
      <c r="C176" s="139">
        <v>40652</v>
      </c>
      <c r="D176" s="210" t="s">
        <v>3654</v>
      </c>
      <c r="E176" s="145" t="s">
        <v>3651</v>
      </c>
      <c r="F176" s="196"/>
      <c r="G176" s="173" t="s">
        <v>3626</v>
      </c>
      <c r="H176" s="138" t="s">
        <v>249</v>
      </c>
      <c r="I176" s="138">
        <v>1</v>
      </c>
      <c r="J176" s="144">
        <v>10627256</v>
      </c>
      <c r="K176" s="144">
        <v>6022110</v>
      </c>
      <c r="L176" s="143">
        <v>0</v>
      </c>
      <c r="M176" s="143">
        <v>0</v>
      </c>
      <c r="N176" s="143">
        <v>0</v>
      </c>
      <c r="O176" s="143">
        <v>0</v>
      </c>
      <c r="P176" s="148"/>
      <c r="Q176" s="138" t="s">
        <v>20</v>
      </c>
      <c r="R176" s="138" t="s">
        <v>229</v>
      </c>
      <c r="S176" s="145" t="s">
        <v>3655</v>
      </c>
      <c r="T176" s="148"/>
      <c r="U176" s="202">
        <v>169</v>
      </c>
      <c r="V176" s="203" t="b">
        <v>1</v>
      </c>
      <c r="W176" s="204" t="s">
        <v>3285</v>
      </c>
      <c r="X176" s="128"/>
      <c r="Y176" s="128"/>
      <c r="Z176" s="128"/>
    </row>
    <row r="177" spans="1:26" ht="12.5" hidden="1">
      <c r="A177" s="138">
        <v>170</v>
      </c>
      <c r="B177" s="173" t="s">
        <v>281</v>
      </c>
      <c r="C177" s="139">
        <v>41044</v>
      </c>
      <c r="D177" s="173">
        <v>302099903255001</v>
      </c>
      <c r="E177" s="145" t="s">
        <v>3656</v>
      </c>
      <c r="F177" s="196"/>
      <c r="G177" s="173" t="s">
        <v>3626</v>
      </c>
      <c r="H177" s="138" t="s">
        <v>19</v>
      </c>
      <c r="I177" s="138">
        <v>1</v>
      </c>
      <c r="J177" s="144">
        <v>11465000</v>
      </c>
      <c r="K177" s="144">
        <v>8980921</v>
      </c>
      <c r="L177" s="143">
        <v>0</v>
      </c>
      <c r="M177" s="143">
        <v>0</v>
      </c>
      <c r="N177" s="143">
        <v>0</v>
      </c>
      <c r="O177" s="143">
        <v>0</v>
      </c>
      <c r="P177" s="148"/>
      <c r="Q177" s="138" t="s">
        <v>20</v>
      </c>
      <c r="R177" s="138" t="s">
        <v>233</v>
      </c>
      <c r="S177" s="145" t="s">
        <v>3657</v>
      </c>
      <c r="T177" s="148"/>
      <c r="U177" s="202">
        <v>170</v>
      </c>
      <c r="V177" s="203" t="b">
        <v>1</v>
      </c>
      <c r="W177" s="204" t="s">
        <v>3285</v>
      </c>
      <c r="X177" s="128"/>
      <c r="Y177" s="128"/>
      <c r="Z177" s="128"/>
    </row>
    <row r="178" spans="1:26" ht="12.5" hidden="1">
      <c r="A178" s="138">
        <v>171</v>
      </c>
      <c r="B178" s="173" t="s">
        <v>281</v>
      </c>
      <c r="C178" s="139">
        <v>41044</v>
      </c>
      <c r="D178" s="173">
        <v>302099903255002</v>
      </c>
      <c r="E178" s="145" t="s">
        <v>3656</v>
      </c>
      <c r="F178" s="196"/>
      <c r="G178" s="173" t="s">
        <v>3626</v>
      </c>
      <c r="H178" s="138" t="s">
        <v>19</v>
      </c>
      <c r="I178" s="138">
        <v>1</v>
      </c>
      <c r="J178" s="144">
        <v>11465000</v>
      </c>
      <c r="K178" s="144">
        <v>8980921</v>
      </c>
      <c r="L178" s="143">
        <v>0</v>
      </c>
      <c r="M178" s="143">
        <v>0</v>
      </c>
      <c r="N178" s="143">
        <v>0</v>
      </c>
      <c r="O178" s="143">
        <v>0</v>
      </c>
      <c r="P178" s="148"/>
      <c r="Q178" s="138" t="s">
        <v>20</v>
      </c>
      <c r="R178" s="138" t="s">
        <v>423</v>
      </c>
      <c r="S178" s="145" t="s">
        <v>3658</v>
      </c>
      <c r="T178" s="148"/>
      <c r="U178" s="202">
        <v>171</v>
      </c>
      <c r="V178" s="203" t="b">
        <v>1</v>
      </c>
      <c r="W178" s="204" t="s">
        <v>3285</v>
      </c>
      <c r="X178" s="128"/>
      <c r="Y178" s="128"/>
      <c r="Z178" s="128"/>
    </row>
    <row r="179" spans="1:26" ht="12.5" hidden="1">
      <c r="A179" s="138">
        <v>172</v>
      </c>
      <c r="B179" s="173" t="s">
        <v>2681</v>
      </c>
      <c r="C179" s="139">
        <v>36161</v>
      </c>
      <c r="D179" s="173">
        <v>302099904006009</v>
      </c>
      <c r="E179" s="145" t="s">
        <v>3659</v>
      </c>
      <c r="F179" s="196"/>
      <c r="G179" s="148"/>
      <c r="H179" s="138" t="s">
        <v>249</v>
      </c>
      <c r="I179" s="138">
        <v>1</v>
      </c>
      <c r="J179" s="144">
        <v>4649628</v>
      </c>
      <c r="K179" s="143">
        <v>0</v>
      </c>
      <c r="L179" s="143">
        <v>0</v>
      </c>
      <c r="M179" s="143">
        <v>0</v>
      </c>
      <c r="N179" s="143">
        <v>0</v>
      </c>
      <c r="O179" s="143">
        <v>0</v>
      </c>
      <c r="P179" s="148"/>
      <c r="Q179" s="138" t="s">
        <v>20</v>
      </c>
      <c r="R179" s="138" t="s">
        <v>284</v>
      </c>
      <c r="S179" s="145" t="s">
        <v>3660</v>
      </c>
      <c r="T179" s="148"/>
      <c r="U179" s="202">
        <v>172</v>
      </c>
      <c r="V179" s="203" t="b">
        <v>1</v>
      </c>
      <c r="W179" s="204" t="s">
        <v>3285</v>
      </c>
      <c r="X179" s="128"/>
      <c r="Y179" s="128"/>
      <c r="Z179" s="128"/>
    </row>
    <row r="180" spans="1:26" ht="12.5" hidden="1">
      <c r="A180" s="138">
        <v>173</v>
      </c>
      <c r="B180" s="173" t="s">
        <v>2681</v>
      </c>
      <c r="C180" s="139">
        <v>36161</v>
      </c>
      <c r="D180" s="173">
        <v>302099904006010</v>
      </c>
      <c r="E180" s="145" t="s">
        <v>3659</v>
      </c>
      <c r="F180" s="196"/>
      <c r="G180" s="148"/>
      <c r="H180" s="138" t="s">
        <v>249</v>
      </c>
      <c r="I180" s="138">
        <v>1</v>
      </c>
      <c r="J180" s="144">
        <v>4649628</v>
      </c>
      <c r="K180" s="143">
        <v>0</v>
      </c>
      <c r="L180" s="143">
        <v>0</v>
      </c>
      <c r="M180" s="143">
        <v>0</v>
      </c>
      <c r="N180" s="143">
        <v>0</v>
      </c>
      <c r="O180" s="143">
        <v>0</v>
      </c>
      <c r="P180" s="148"/>
      <c r="Q180" s="138" t="s">
        <v>20</v>
      </c>
      <c r="R180" s="138" t="s">
        <v>284</v>
      </c>
      <c r="S180" s="145" t="s">
        <v>3660</v>
      </c>
      <c r="T180" s="148"/>
      <c r="U180" s="202">
        <v>173</v>
      </c>
      <c r="V180" s="203" t="b">
        <v>1</v>
      </c>
      <c r="W180" s="204" t="s">
        <v>3285</v>
      </c>
      <c r="X180" s="128"/>
      <c r="Y180" s="128"/>
      <c r="Z180" s="128"/>
    </row>
    <row r="181" spans="1:26" ht="12.5" hidden="1">
      <c r="A181" s="138">
        <v>174</v>
      </c>
      <c r="B181" s="173" t="s">
        <v>1198</v>
      </c>
      <c r="C181" s="139">
        <v>36161</v>
      </c>
      <c r="D181" s="173">
        <v>302099904007001</v>
      </c>
      <c r="E181" s="145" t="s">
        <v>3661</v>
      </c>
      <c r="F181" s="196"/>
      <c r="G181" s="148"/>
      <c r="H181" s="138" t="s">
        <v>157</v>
      </c>
      <c r="I181" s="138">
        <v>1</v>
      </c>
      <c r="J181" s="144">
        <v>5245350</v>
      </c>
      <c r="K181" s="143">
        <v>0</v>
      </c>
      <c r="L181" s="143">
        <v>0</v>
      </c>
      <c r="M181" s="143">
        <v>0</v>
      </c>
      <c r="N181" s="143">
        <v>0</v>
      </c>
      <c r="O181" s="143">
        <v>0</v>
      </c>
      <c r="P181" s="148"/>
      <c r="Q181" s="138" t="s">
        <v>20</v>
      </c>
      <c r="R181" s="138" t="s">
        <v>284</v>
      </c>
      <c r="S181" s="145" t="s">
        <v>1224</v>
      </c>
      <c r="T181" s="148"/>
      <c r="U181" s="202">
        <v>174</v>
      </c>
      <c r="V181" s="203" t="b">
        <v>1</v>
      </c>
      <c r="W181" s="204" t="s">
        <v>3285</v>
      </c>
      <c r="X181" s="128"/>
      <c r="Y181" s="128"/>
      <c r="Z181" s="128"/>
    </row>
    <row r="182" spans="1:26" ht="12.5" hidden="1">
      <c r="A182" s="138">
        <v>175</v>
      </c>
      <c r="B182" s="173" t="s">
        <v>1198</v>
      </c>
      <c r="C182" s="139">
        <v>36161</v>
      </c>
      <c r="D182" s="173">
        <v>302099904007002</v>
      </c>
      <c r="E182" s="145" t="s">
        <v>3661</v>
      </c>
      <c r="F182" s="196"/>
      <c r="G182" s="148"/>
      <c r="H182" s="138" t="s">
        <v>157</v>
      </c>
      <c r="I182" s="138">
        <v>1</v>
      </c>
      <c r="J182" s="144">
        <v>5245350</v>
      </c>
      <c r="K182" s="143">
        <v>0</v>
      </c>
      <c r="L182" s="143">
        <v>0</v>
      </c>
      <c r="M182" s="143">
        <v>0</v>
      </c>
      <c r="N182" s="143">
        <v>0</v>
      </c>
      <c r="O182" s="143">
        <v>0</v>
      </c>
      <c r="P182" s="148"/>
      <c r="Q182" s="138" t="s">
        <v>20</v>
      </c>
      <c r="R182" s="138" t="s">
        <v>284</v>
      </c>
      <c r="S182" s="145" t="s">
        <v>1224</v>
      </c>
      <c r="T182" s="148"/>
      <c r="U182" s="202">
        <v>175</v>
      </c>
      <c r="V182" s="203" t="b">
        <v>1</v>
      </c>
      <c r="W182" s="204" t="s">
        <v>3285</v>
      </c>
      <c r="X182" s="128"/>
      <c r="Y182" s="128"/>
      <c r="Z182" s="128"/>
    </row>
    <row r="183" spans="1:26" ht="12.5" hidden="1">
      <c r="A183" s="138">
        <v>176</v>
      </c>
      <c r="B183" s="173" t="s">
        <v>1198</v>
      </c>
      <c r="C183" s="139">
        <v>36161</v>
      </c>
      <c r="D183" s="173">
        <v>302099904007003</v>
      </c>
      <c r="E183" s="145" t="s">
        <v>3661</v>
      </c>
      <c r="F183" s="196"/>
      <c r="G183" s="148"/>
      <c r="H183" s="138" t="s">
        <v>157</v>
      </c>
      <c r="I183" s="138">
        <v>1</v>
      </c>
      <c r="J183" s="144">
        <v>5245350</v>
      </c>
      <c r="K183" s="143">
        <v>0</v>
      </c>
      <c r="L183" s="143">
        <v>0</v>
      </c>
      <c r="M183" s="143">
        <v>0</v>
      </c>
      <c r="N183" s="143">
        <v>0</v>
      </c>
      <c r="O183" s="143">
        <v>0</v>
      </c>
      <c r="P183" s="148"/>
      <c r="Q183" s="138" t="s">
        <v>20</v>
      </c>
      <c r="R183" s="138" t="s">
        <v>284</v>
      </c>
      <c r="S183" s="145" t="s">
        <v>1224</v>
      </c>
      <c r="T183" s="148"/>
      <c r="U183" s="202">
        <v>176</v>
      </c>
      <c r="V183" s="203" t="b">
        <v>1</v>
      </c>
      <c r="W183" s="204" t="s">
        <v>3285</v>
      </c>
      <c r="X183" s="128"/>
      <c r="Y183" s="128"/>
      <c r="Z183" s="128"/>
    </row>
    <row r="184" spans="1:26" ht="12.5" hidden="1">
      <c r="A184" s="138">
        <v>177</v>
      </c>
      <c r="B184" s="173" t="s">
        <v>1198</v>
      </c>
      <c r="C184" s="139">
        <v>36161</v>
      </c>
      <c r="D184" s="173">
        <v>302099904007004</v>
      </c>
      <c r="E184" s="145" t="s">
        <v>3661</v>
      </c>
      <c r="F184" s="196"/>
      <c r="G184" s="148"/>
      <c r="H184" s="138" t="s">
        <v>157</v>
      </c>
      <c r="I184" s="138">
        <v>1</v>
      </c>
      <c r="J184" s="144">
        <v>5245350</v>
      </c>
      <c r="K184" s="143">
        <v>0</v>
      </c>
      <c r="L184" s="143">
        <v>0</v>
      </c>
      <c r="M184" s="143">
        <v>0</v>
      </c>
      <c r="N184" s="143">
        <v>0</v>
      </c>
      <c r="O184" s="143">
        <v>0</v>
      </c>
      <c r="P184" s="148"/>
      <c r="Q184" s="138" t="s">
        <v>20</v>
      </c>
      <c r="R184" s="138" t="s">
        <v>284</v>
      </c>
      <c r="S184" s="145" t="s">
        <v>3662</v>
      </c>
      <c r="T184" s="148"/>
      <c r="U184" s="202">
        <v>177</v>
      </c>
      <c r="V184" s="203" t="b">
        <v>1</v>
      </c>
      <c r="W184" s="204" t="s">
        <v>3285</v>
      </c>
      <c r="X184" s="128"/>
      <c r="Y184" s="128"/>
      <c r="Z184" s="128"/>
    </row>
    <row r="185" spans="1:26" ht="12.5" hidden="1">
      <c r="A185" s="138">
        <v>178</v>
      </c>
      <c r="B185" s="173" t="s">
        <v>1198</v>
      </c>
      <c r="C185" s="139">
        <v>36161</v>
      </c>
      <c r="D185" s="173">
        <v>302099904007005</v>
      </c>
      <c r="E185" s="145" t="s">
        <v>3661</v>
      </c>
      <c r="F185" s="196"/>
      <c r="G185" s="148"/>
      <c r="H185" s="138" t="s">
        <v>157</v>
      </c>
      <c r="I185" s="138">
        <v>1</v>
      </c>
      <c r="J185" s="144">
        <v>5245350</v>
      </c>
      <c r="K185" s="143">
        <v>0</v>
      </c>
      <c r="L185" s="143">
        <v>0</v>
      </c>
      <c r="M185" s="143">
        <v>0</v>
      </c>
      <c r="N185" s="143">
        <v>0</v>
      </c>
      <c r="O185" s="143">
        <v>0</v>
      </c>
      <c r="P185" s="148"/>
      <c r="Q185" s="138" t="s">
        <v>20</v>
      </c>
      <c r="R185" s="138" t="s">
        <v>284</v>
      </c>
      <c r="S185" s="145" t="s">
        <v>3662</v>
      </c>
      <c r="T185" s="148"/>
      <c r="U185" s="202">
        <v>178</v>
      </c>
      <c r="V185" s="203" t="b">
        <v>1</v>
      </c>
      <c r="W185" s="204" t="s">
        <v>3285</v>
      </c>
      <c r="X185" s="128"/>
      <c r="Y185" s="128"/>
      <c r="Z185" s="128"/>
    </row>
    <row r="186" spans="1:26" ht="12.5" hidden="1">
      <c r="A186" s="211">
        <v>179</v>
      </c>
      <c r="B186" s="173" t="s">
        <v>1198</v>
      </c>
      <c r="C186" s="212">
        <v>36161</v>
      </c>
      <c r="D186" s="213">
        <v>302099904008001</v>
      </c>
      <c r="E186" s="214" t="s">
        <v>3663</v>
      </c>
      <c r="F186" s="221"/>
      <c r="G186" s="148"/>
      <c r="H186" s="211" t="s">
        <v>249</v>
      </c>
      <c r="I186" s="211">
        <v>1</v>
      </c>
      <c r="J186" s="144">
        <v>13758525</v>
      </c>
      <c r="K186" s="143">
        <v>0</v>
      </c>
      <c r="L186" s="143">
        <v>0</v>
      </c>
      <c r="M186" s="143">
        <v>0</v>
      </c>
      <c r="N186" s="143">
        <v>0</v>
      </c>
      <c r="O186" s="143">
        <v>0</v>
      </c>
      <c r="P186" s="201"/>
      <c r="Q186" s="211" t="s">
        <v>20</v>
      </c>
      <c r="R186" s="211" t="s">
        <v>21</v>
      </c>
      <c r="S186" s="214" t="s">
        <v>22</v>
      </c>
      <c r="T186" s="201"/>
      <c r="U186" s="202">
        <v>179</v>
      </c>
      <c r="V186" s="203" t="b">
        <v>1</v>
      </c>
      <c r="W186" s="405" t="s">
        <v>3397</v>
      </c>
      <c r="X186" s="406"/>
      <c r="Y186" s="128"/>
      <c r="Z186" s="128"/>
    </row>
    <row r="187" spans="1:26" ht="12.5" hidden="1">
      <c r="A187" s="138">
        <v>180</v>
      </c>
      <c r="B187" s="173" t="s">
        <v>1198</v>
      </c>
      <c r="C187" s="139">
        <v>36161</v>
      </c>
      <c r="D187" s="173">
        <v>302099904008002</v>
      </c>
      <c r="E187" s="145" t="s">
        <v>3663</v>
      </c>
      <c r="F187" s="196"/>
      <c r="G187" s="148"/>
      <c r="H187" s="138" t="s">
        <v>249</v>
      </c>
      <c r="I187" s="138">
        <v>1</v>
      </c>
      <c r="J187" s="144">
        <v>13758525</v>
      </c>
      <c r="K187" s="143">
        <v>0</v>
      </c>
      <c r="L187" s="143">
        <v>0</v>
      </c>
      <c r="M187" s="143">
        <v>0</v>
      </c>
      <c r="N187" s="143">
        <v>0</v>
      </c>
      <c r="O187" s="143">
        <v>0</v>
      </c>
      <c r="P187" s="148"/>
      <c r="Q187" s="138" t="s">
        <v>20</v>
      </c>
      <c r="R187" s="138" t="s">
        <v>284</v>
      </c>
      <c r="S187" s="145" t="s">
        <v>1224</v>
      </c>
      <c r="T187" s="148"/>
      <c r="U187" s="202">
        <v>180</v>
      </c>
      <c r="V187" s="203" t="b">
        <v>1</v>
      </c>
      <c r="W187" s="204" t="s">
        <v>3285</v>
      </c>
      <c r="X187" s="128"/>
      <c r="Y187" s="128"/>
      <c r="Z187" s="128"/>
    </row>
    <row r="188" spans="1:26" ht="12.5" hidden="1">
      <c r="A188" s="138">
        <v>181</v>
      </c>
      <c r="B188" s="173" t="s">
        <v>1198</v>
      </c>
      <c r="C188" s="139">
        <v>36161</v>
      </c>
      <c r="D188" s="173">
        <v>302099904008003</v>
      </c>
      <c r="E188" s="145" t="s">
        <v>3663</v>
      </c>
      <c r="F188" s="196"/>
      <c r="G188" s="148"/>
      <c r="H188" s="138" t="s">
        <v>249</v>
      </c>
      <c r="I188" s="138">
        <v>1</v>
      </c>
      <c r="J188" s="144">
        <v>13758525</v>
      </c>
      <c r="K188" s="143">
        <v>0</v>
      </c>
      <c r="L188" s="143">
        <v>0</v>
      </c>
      <c r="M188" s="143">
        <v>0</v>
      </c>
      <c r="N188" s="143">
        <v>0</v>
      </c>
      <c r="O188" s="143">
        <v>0</v>
      </c>
      <c r="P188" s="148"/>
      <c r="Q188" s="138" t="s">
        <v>20</v>
      </c>
      <c r="R188" s="138" t="s">
        <v>284</v>
      </c>
      <c r="S188" s="145" t="s">
        <v>1224</v>
      </c>
      <c r="T188" s="148"/>
      <c r="U188" s="202">
        <v>181</v>
      </c>
      <c r="V188" s="203" t="b">
        <v>1</v>
      </c>
      <c r="W188" s="204" t="s">
        <v>3285</v>
      </c>
      <c r="X188" s="128"/>
      <c r="Y188" s="128"/>
      <c r="Z188" s="128"/>
    </row>
    <row r="189" spans="1:26" ht="12.5" hidden="1">
      <c r="A189" s="138">
        <v>182</v>
      </c>
      <c r="B189" s="173" t="s">
        <v>1198</v>
      </c>
      <c r="C189" s="139">
        <v>36161</v>
      </c>
      <c r="D189" s="173">
        <v>302099904008004</v>
      </c>
      <c r="E189" s="145" t="s">
        <v>3663</v>
      </c>
      <c r="F189" s="196"/>
      <c r="G189" s="148"/>
      <c r="H189" s="138" t="s">
        <v>249</v>
      </c>
      <c r="I189" s="138">
        <v>1</v>
      </c>
      <c r="J189" s="144">
        <v>13758525</v>
      </c>
      <c r="K189" s="143">
        <v>0</v>
      </c>
      <c r="L189" s="143">
        <v>0</v>
      </c>
      <c r="M189" s="143">
        <v>0</v>
      </c>
      <c r="N189" s="143">
        <v>0</v>
      </c>
      <c r="O189" s="143">
        <v>0</v>
      </c>
      <c r="P189" s="148"/>
      <c r="Q189" s="138" t="s">
        <v>20</v>
      </c>
      <c r="R189" s="138" t="s">
        <v>284</v>
      </c>
      <c r="S189" s="145" t="s">
        <v>1224</v>
      </c>
      <c r="T189" s="148"/>
      <c r="U189" s="202">
        <v>182</v>
      </c>
      <c r="V189" s="203" t="b">
        <v>1</v>
      </c>
      <c r="W189" s="204" t="s">
        <v>3285</v>
      </c>
      <c r="X189" s="128"/>
      <c r="Y189" s="128"/>
      <c r="Z189" s="128"/>
    </row>
    <row r="190" spans="1:26" ht="12.5" hidden="1">
      <c r="A190" s="211">
        <v>183</v>
      </c>
      <c r="B190" s="173" t="s">
        <v>1198</v>
      </c>
      <c r="C190" s="212">
        <v>36161</v>
      </c>
      <c r="D190" s="213">
        <v>302099904008005</v>
      </c>
      <c r="E190" s="214" t="s">
        <v>3663</v>
      </c>
      <c r="F190" s="221"/>
      <c r="G190" s="148"/>
      <c r="H190" s="211" t="s">
        <v>249</v>
      </c>
      <c r="I190" s="211">
        <v>1</v>
      </c>
      <c r="J190" s="144">
        <v>13758525</v>
      </c>
      <c r="K190" s="143">
        <v>0</v>
      </c>
      <c r="L190" s="143">
        <v>0</v>
      </c>
      <c r="M190" s="143">
        <v>0</v>
      </c>
      <c r="N190" s="143">
        <v>0</v>
      </c>
      <c r="O190" s="143">
        <v>0</v>
      </c>
      <c r="P190" s="201"/>
      <c r="Q190" s="211" t="s">
        <v>20</v>
      </c>
      <c r="R190" s="211" t="s">
        <v>21</v>
      </c>
      <c r="S190" s="214" t="s">
        <v>22</v>
      </c>
      <c r="T190" s="201"/>
      <c r="U190" s="202">
        <v>183</v>
      </c>
      <c r="V190" s="203" t="b">
        <v>1</v>
      </c>
      <c r="W190" s="405" t="s">
        <v>3397</v>
      </c>
      <c r="X190" s="406"/>
      <c r="Y190" s="128"/>
      <c r="Z190" s="128"/>
    </row>
    <row r="191" spans="1:26" ht="12.5" hidden="1">
      <c r="A191" s="138">
        <v>184</v>
      </c>
      <c r="B191" s="173" t="s">
        <v>1198</v>
      </c>
      <c r="C191" s="139">
        <v>36161</v>
      </c>
      <c r="D191" s="173">
        <v>302099904023001</v>
      </c>
      <c r="E191" s="145" t="s">
        <v>3664</v>
      </c>
      <c r="F191" s="196"/>
      <c r="G191" s="148"/>
      <c r="H191" s="138" t="s">
        <v>249</v>
      </c>
      <c r="I191" s="138">
        <v>1</v>
      </c>
      <c r="J191" s="144">
        <v>25974300</v>
      </c>
      <c r="K191" s="143">
        <v>0</v>
      </c>
      <c r="L191" s="143">
        <v>0</v>
      </c>
      <c r="M191" s="143">
        <v>0</v>
      </c>
      <c r="N191" s="143">
        <v>0</v>
      </c>
      <c r="O191" s="143">
        <v>0</v>
      </c>
      <c r="P191" s="148"/>
      <c r="Q191" s="138" t="s">
        <v>20</v>
      </c>
      <c r="R191" s="138" t="s">
        <v>284</v>
      </c>
      <c r="S191" s="145" t="s">
        <v>3665</v>
      </c>
      <c r="T191" s="148"/>
      <c r="U191" s="202">
        <v>184</v>
      </c>
      <c r="V191" s="203" t="b">
        <v>1</v>
      </c>
      <c r="W191" s="204" t="s">
        <v>3285</v>
      </c>
      <c r="X191" s="128"/>
      <c r="Y191" s="128"/>
      <c r="Z191" s="128"/>
    </row>
    <row r="192" spans="1:26" ht="12.5" hidden="1">
      <c r="A192" s="138">
        <v>185</v>
      </c>
      <c r="B192" s="173" t="s">
        <v>1516</v>
      </c>
      <c r="C192" s="139">
        <v>40144</v>
      </c>
      <c r="D192" s="173">
        <v>302099904122001</v>
      </c>
      <c r="E192" s="145" t="s">
        <v>3666</v>
      </c>
      <c r="F192" s="196"/>
      <c r="G192" s="173" t="s">
        <v>573</v>
      </c>
      <c r="H192" s="138" t="s">
        <v>19</v>
      </c>
      <c r="I192" s="138">
        <v>1</v>
      </c>
      <c r="J192" s="144">
        <v>29026540</v>
      </c>
      <c r="K192" s="144">
        <v>11610606</v>
      </c>
      <c r="L192" s="143">
        <v>0</v>
      </c>
      <c r="M192" s="143">
        <v>0</v>
      </c>
      <c r="N192" s="143">
        <v>0</v>
      </c>
      <c r="O192" s="143">
        <v>0</v>
      </c>
      <c r="P192" s="148"/>
      <c r="Q192" s="138" t="s">
        <v>20</v>
      </c>
      <c r="R192" s="138" t="s">
        <v>284</v>
      </c>
      <c r="S192" s="145" t="s">
        <v>3667</v>
      </c>
      <c r="T192" s="173" t="s">
        <v>923</v>
      </c>
      <c r="U192" s="202">
        <v>185</v>
      </c>
      <c r="V192" s="203" t="b">
        <v>1</v>
      </c>
      <c r="W192" s="204" t="s">
        <v>3285</v>
      </c>
      <c r="X192" s="128"/>
      <c r="Y192" s="128"/>
      <c r="Z192" s="128"/>
    </row>
    <row r="193" spans="1:26" ht="12.5" hidden="1">
      <c r="A193" s="138">
        <v>186</v>
      </c>
      <c r="B193" s="173" t="s">
        <v>1516</v>
      </c>
      <c r="C193" s="139">
        <v>40144</v>
      </c>
      <c r="D193" s="173">
        <v>302099904122002</v>
      </c>
      <c r="E193" s="145" t="s">
        <v>3666</v>
      </c>
      <c r="F193" s="196"/>
      <c r="G193" s="173" t="s">
        <v>573</v>
      </c>
      <c r="H193" s="138" t="s">
        <v>19</v>
      </c>
      <c r="I193" s="138">
        <v>1</v>
      </c>
      <c r="J193" s="144">
        <v>29026540</v>
      </c>
      <c r="K193" s="144">
        <v>11610606</v>
      </c>
      <c r="L193" s="143">
        <v>0</v>
      </c>
      <c r="M193" s="143">
        <v>0</v>
      </c>
      <c r="N193" s="143">
        <v>0</v>
      </c>
      <c r="O193" s="143">
        <v>0</v>
      </c>
      <c r="P193" s="148"/>
      <c r="Q193" s="138" t="s">
        <v>20</v>
      </c>
      <c r="R193" s="138" t="s">
        <v>284</v>
      </c>
      <c r="S193" s="145" t="s">
        <v>3668</v>
      </c>
      <c r="T193" s="148"/>
      <c r="U193" s="202">
        <v>186</v>
      </c>
      <c r="V193" s="203" t="b">
        <v>1</v>
      </c>
      <c r="W193" s="204" t="s">
        <v>3285</v>
      </c>
      <c r="X193" s="128"/>
      <c r="Y193" s="128"/>
      <c r="Z193" s="128"/>
    </row>
    <row r="194" spans="1:26" ht="12.5" hidden="1">
      <c r="A194" s="138">
        <v>187</v>
      </c>
      <c r="B194" s="173" t="s">
        <v>1516</v>
      </c>
      <c r="C194" s="139">
        <v>40144</v>
      </c>
      <c r="D194" s="173">
        <v>302099904122003</v>
      </c>
      <c r="E194" s="145" t="s">
        <v>3666</v>
      </c>
      <c r="F194" s="196"/>
      <c r="G194" s="173" t="s">
        <v>573</v>
      </c>
      <c r="H194" s="138" t="s">
        <v>19</v>
      </c>
      <c r="I194" s="138">
        <v>1</v>
      </c>
      <c r="J194" s="144">
        <v>29026540</v>
      </c>
      <c r="K194" s="144">
        <v>11610606</v>
      </c>
      <c r="L194" s="143">
        <v>0</v>
      </c>
      <c r="M194" s="143">
        <v>0</v>
      </c>
      <c r="N194" s="143">
        <v>0</v>
      </c>
      <c r="O194" s="143">
        <v>0</v>
      </c>
      <c r="P194" s="173" t="s">
        <v>3480</v>
      </c>
      <c r="Q194" s="138" t="s">
        <v>20</v>
      </c>
      <c r="R194" s="138" t="s">
        <v>284</v>
      </c>
      <c r="S194" s="145" t="s">
        <v>3660</v>
      </c>
      <c r="T194" s="148"/>
      <c r="U194" s="202">
        <v>187</v>
      </c>
      <c r="V194" s="203" t="b">
        <v>1</v>
      </c>
      <c r="W194" s="204" t="s">
        <v>3285</v>
      </c>
      <c r="X194" s="128"/>
      <c r="Y194" s="128"/>
      <c r="Z194" s="128"/>
    </row>
    <row r="195" spans="1:26" ht="12.5" hidden="1">
      <c r="A195" s="211">
        <v>188</v>
      </c>
      <c r="B195" s="173" t="s">
        <v>1516</v>
      </c>
      <c r="C195" s="212">
        <v>40144</v>
      </c>
      <c r="D195" s="213">
        <v>302099904122004</v>
      </c>
      <c r="E195" s="214" t="s">
        <v>3666</v>
      </c>
      <c r="F195" s="221"/>
      <c r="G195" s="173" t="s">
        <v>573</v>
      </c>
      <c r="H195" s="211" t="s">
        <v>19</v>
      </c>
      <c r="I195" s="211">
        <v>1</v>
      </c>
      <c r="J195" s="144">
        <v>29026540</v>
      </c>
      <c r="K195" s="144">
        <v>11610606</v>
      </c>
      <c r="L195" s="143">
        <v>0</v>
      </c>
      <c r="M195" s="143">
        <v>0</v>
      </c>
      <c r="N195" s="143">
        <v>0</v>
      </c>
      <c r="O195" s="143">
        <v>0</v>
      </c>
      <c r="P195" s="213" t="s">
        <v>3480</v>
      </c>
      <c r="Q195" s="211" t="s">
        <v>20</v>
      </c>
      <c r="R195" s="211" t="s">
        <v>21</v>
      </c>
      <c r="S195" s="214" t="s">
        <v>22</v>
      </c>
      <c r="T195" s="213" t="s">
        <v>3669</v>
      </c>
      <c r="U195" s="202">
        <v>188</v>
      </c>
      <c r="V195" s="203" t="b">
        <v>1</v>
      </c>
      <c r="W195" s="405" t="s">
        <v>3397</v>
      </c>
      <c r="X195" s="406"/>
      <c r="Y195" s="128"/>
      <c r="Z195" s="128"/>
    </row>
    <row r="196" spans="1:26" ht="12.5" hidden="1">
      <c r="A196" s="138">
        <v>189</v>
      </c>
      <c r="B196" s="173" t="s">
        <v>1516</v>
      </c>
      <c r="C196" s="139">
        <v>40144</v>
      </c>
      <c r="D196" s="173">
        <v>302099904122005</v>
      </c>
      <c r="E196" s="145" t="s">
        <v>3666</v>
      </c>
      <c r="F196" s="196"/>
      <c r="G196" s="173" t="s">
        <v>573</v>
      </c>
      <c r="H196" s="138" t="s">
        <v>19</v>
      </c>
      <c r="I196" s="138">
        <v>1</v>
      </c>
      <c r="J196" s="144">
        <v>29026540</v>
      </c>
      <c r="K196" s="144">
        <v>11610606</v>
      </c>
      <c r="L196" s="143">
        <v>0</v>
      </c>
      <c r="M196" s="143">
        <v>0</v>
      </c>
      <c r="N196" s="143">
        <v>0</v>
      </c>
      <c r="O196" s="143">
        <v>0</v>
      </c>
      <c r="P196" s="173" t="s">
        <v>3480</v>
      </c>
      <c r="Q196" s="138" t="s">
        <v>20</v>
      </c>
      <c r="R196" s="138" t="s">
        <v>284</v>
      </c>
      <c r="S196" s="145" t="s">
        <v>3662</v>
      </c>
      <c r="T196" s="148"/>
      <c r="U196" s="202">
        <v>189</v>
      </c>
      <c r="V196" s="203" t="b">
        <v>1</v>
      </c>
      <c r="W196" s="204" t="s">
        <v>3285</v>
      </c>
      <c r="X196" s="128"/>
      <c r="Y196" s="128"/>
      <c r="Z196" s="128"/>
    </row>
    <row r="197" spans="1:26" ht="12.5" hidden="1">
      <c r="A197" s="138">
        <v>190</v>
      </c>
      <c r="B197" s="173" t="s">
        <v>1516</v>
      </c>
      <c r="C197" s="139">
        <v>40144</v>
      </c>
      <c r="D197" s="173">
        <v>302099904122006</v>
      </c>
      <c r="E197" s="145" t="s">
        <v>3666</v>
      </c>
      <c r="F197" s="196"/>
      <c r="G197" s="173" t="s">
        <v>573</v>
      </c>
      <c r="H197" s="138" t="s">
        <v>19</v>
      </c>
      <c r="I197" s="138">
        <v>1</v>
      </c>
      <c r="J197" s="144">
        <v>29026540</v>
      </c>
      <c r="K197" s="144">
        <v>11610606</v>
      </c>
      <c r="L197" s="143">
        <v>0</v>
      </c>
      <c r="M197" s="143">
        <v>0</v>
      </c>
      <c r="N197" s="143">
        <v>0</v>
      </c>
      <c r="O197" s="143">
        <v>0</v>
      </c>
      <c r="P197" s="173" t="s">
        <v>3480</v>
      </c>
      <c r="Q197" s="138" t="s">
        <v>20</v>
      </c>
      <c r="R197" s="138" t="s">
        <v>284</v>
      </c>
      <c r="S197" s="145" t="s">
        <v>3670</v>
      </c>
      <c r="T197" s="148"/>
      <c r="U197" s="202">
        <v>190</v>
      </c>
      <c r="V197" s="203" t="b">
        <v>1</v>
      </c>
      <c r="W197" s="204" t="s">
        <v>3285</v>
      </c>
      <c r="X197" s="128"/>
      <c r="Y197" s="128"/>
      <c r="Z197" s="128"/>
    </row>
    <row r="198" spans="1:26" ht="12.5" hidden="1">
      <c r="A198" s="138">
        <v>191</v>
      </c>
      <c r="B198" s="173" t="s">
        <v>1516</v>
      </c>
      <c r="C198" s="139">
        <v>40144</v>
      </c>
      <c r="D198" s="173">
        <v>302099904122007</v>
      </c>
      <c r="E198" s="145" t="s">
        <v>3666</v>
      </c>
      <c r="F198" s="196"/>
      <c r="G198" s="173" t="s">
        <v>573</v>
      </c>
      <c r="H198" s="138" t="s">
        <v>19</v>
      </c>
      <c r="I198" s="138">
        <v>1</v>
      </c>
      <c r="J198" s="144">
        <v>29026540</v>
      </c>
      <c r="K198" s="144">
        <v>11610606</v>
      </c>
      <c r="L198" s="143">
        <v>0</v>
      </c>
      <c r="M198" s="143">
        <v>0</v>
      </c>
      <c r="N198" s="143">
        <v>0</v>
      </c>
      <c r="O198" s="143">
        <v>0</v>
      </c>
      <c r="P198" s="148"/>
      <c r="Q198" s="138" t="s">
        <v>20</v>
      </c>
      <c r="R198" s="138" t="s">
        <v>284</v>
      </c>
      <c r="S198" s="145" t="s">
        <v>2122</v>
      </c>
      <c r="T198" s="148"/>
      <c r="U198" s="202">
        <v>191</v>
      </c>
      <c r="V198" s="203" t="b">
        <v>1</v>
      </c>
      <c r="W198" s="204" t="s">
        <v>3285</v>
      </c>
      <c r="X198" s="128"/>
      <c r="Y198" s="128"/>
      <c r="Z198" s="128"/>
    </row>
    <row r="199" spans="1:26" ht="12.5" hidden="1">
      <c r="A199" s="138">
        <v>192</v>
      </c>
      <c r="B199" s="173" t="s">
        <v>1516</v>
      </c>
      <c r="C199" s="139">
        <v>40144</v>
      </c>
      <c r="D199" s="173">
        <v>302099904122008</v>
      </c>
      <c r="E199" s="145" t="s">
        <v>3666</v>
      </c>
      <c r="F199" s="196"/>
      <c r="G199" s="173" t="s">
        <v>573</v>
      </c>
      <c r="H199" s="138" t="s">
        <v>19</v>
      </c>
      <c r="I199" s="138">
        <v>1</v>
      </c>
      <c r="J199" s="144">
        <v>29026540</v>
      </c>
      <c r="K199" s="144">
        <v>11610606</v>
      </c>
      <c r="L199" s="143">
        <v>0</v>
      </c>
      <c r="M199" s="143">
        <v>0</v>
      </c>
      <c r="N199" s="143">
        <v>0</v>
      </c>
      <c r="O199" s="143">
        <v>0</v>
      </c>
      <c r="P199" s="173" t="s">
        <v>3480</v>
      </c>
      <c r="Q199" s="138" t="s">
        <v>20</v>
      </c>
      <c r="R199" s="138" t="s">
        <v>284</v>
      </c>
      <c r="S199" s="145" t="s">
        <v>2122</v>
      </c>
      <c r="T199" s="148"/>
      <c r="U199" s="202">
        <v>192</v>
      </c>
      <c r="V199" s="203" t="b">
        <v>1</v>
      </c>
      <c r="W199" s="204" t="s">
        <v>3285</v>
      </c>
      <c r="X199" s="128"/>
      <c r="Y199" s="128"/>
      <c r="Z199" s="128"/>
    </row>
    <row r="200" spans="1:26" ht="12.5" hidden="1">
      <c r="A200" s="138">
        <v>193</v>
      </c>
      <c r="B200" s="173" t="s">
        <v>1516</v>
      </c>
      <c r="C200" s="139">
        <v>40144</v>
      </c>
      <c r="D200" s="173">
        <v>302099904122009</v>
      </c>
      <c r="E200" s="145" t="s">
        <v>3666</v>
      </c>
      <c r="F200" s="196"/>
      <c r="G200" s="173" t="s">
        <v>573</v>
      </c>
      <c r="H200" s="138" t="s">
        <v>19</v>
      </c>
      <c r="I200" s="138">
        <v>1</v>
      </c>
      <c r="J200" s="144">
        <v>29026540</v>
      </c>
      <c r="K200" s="144">
        <v>11610606</v>
      </c>
      <c r="L200" s="143">
        <v>0</v>
      </c>
      <c r="M200" s="143">
        <v>0</v>
      </c>
      <c r="N200" s="143">
        <v>0</v>
      </c>
      <c r="O200" s="143">
        <v>0</v>
      </c>
      <c r="P200" s="173" t="s">
        <v>3480</v>
      </c>
      <c r="Q200" s="138" t="s">
        <v>20</v>
      </c>
      <c r="R200" s="138" t="s">
        <v>284</v>
      </c>
      <c r="S200" s="145" t="s">
        <v>2122</v>
      </c>
      <c r="T200" s="148"/>
      <c r="U200" s="202">
        <v>193</v>
      </c>
      <c r="V200" s="203" t="b">
        <v>1</v>
      </c>
      <c r="W200" s="204" t="s">
        <v>3285</v>
      </c>
      <c r="X200" s="128"/>
      <c r="Y200" s="128"/>
      <c r="Z200" s="128"/>
    </row>
    <row r="201" spans="1:26" ht="12.5" hidden="1">
      <c r="A201" s="138">
        <v>194</v>
      </c>
      <c r="B201" s="173" t="s">
        <v>1516</v>
      </c>
      <c r="C201" s="139">
        <v>40144</v>
      </c>
      <c r="D201" s="173">
        <v>302099904122010</v>
      </c>
      <c r="E201" s="145" t="s">
        <v>3666</v>
      </c>
      <c r="F201" s="196"/>
      <c r="G201" s="173" t="s">
        <v>573</v>
      </c>
      <c r="H201" s="138" t="s">
        <v>19</v>
      </c>
      <c r="I201" s="138">
        <v>1</v>
      </c>
      <c r="J201" s="144">
        <v>29026540</v>
      </c>
      <c r="K201" s="144">
        <v>11610606</v>
      </c>
      <c r="L201" s="143">
        <v>0</v>
      </c>
      <c r="M201" s="143">
        <v>0</v>
      </c>
      <c r="N201" s="143">
        <v>0</v>
      </c>
      <c r="O201" s="143">
        <v>0</v>
      </c>
      <c r="P201" s="173" t="s">
        <v>3480</v>
      </c>
      <c r="Q201" s="138" t="s">
        <v>20</v>
      </c>
      <c r="R201" s="138" t="s">
        <v>284</v>
      </c>
      <c r="S201" s="145" t="s">
        <v>2122</v>
      </c>
      <c r="T201" s="148"/>
      <c r="U201" s="202">
        <v>194</v>
      </c>
      <c r="V201" s="203" t="b">
        <v>1</v>
      </c>
      <c r="W201" s="204" t="s">
        <v>3285</v>
      </c>
      <c r="X201" s="128"/>
      <c r="Y201" s="128"/>
      <c r="Z201" s="128"/>
    </row>
    <row r="202" spans="1:26" ht="12.5" hidden="1">
      <c r="A202" s="138">
        <v>195</v>
      </c>
      <c r="B202" s="173" t="s">
        <v>1516</v>
      </c>
      <c r="C202" s="139">
        <v>40144</v>
      </c>
      <c r="D202" s="173">
        <v>302099904122011</v>
      </c>
      <c r="E202" s="145" t="s">
        <v>3666</v>
      </c>
      <c r="F202" s="196"/>
      <c r="G202" s="173" t="s">
        <v>573</v>
      </c>
      <c r="H202" s="138" t="s">
        <v>19</v>
      </c>
      <c r="I202" s="138">
        <v>1</v>
      </c>
      <c r="J202" s="144">
        <v>29026540</v>
      </c>
      <c r="K202" s="144">
        <v>11610606</v>
      </c>
      <c r="L202" s="143">
        <v>0</v>
      </c>
      <c r="M202" s="143">
        <v>0</v>
      </c>
      <c r="N202" s="143">
        <v>0</v>
      </c>
      <c r="O202" s="143">
        <v>0</v>
      </c>
      <c r="P202" s="173" t="s">
        <v>3480</v>
      </c>
      <c r="Q202" s="138" t="s">
        <v>20</v>
      </c>
      <c r="R202" s="138" t="s">
        <v>284</v>
      </c>
      <c r="S202" s="145" t="s">
        <v>2122</v>
      </c>
      <c r="T202" s="148"/>
      <c r="U202" s="202">
        <v>195</v>
      </c>
      <c r="V202" s="203" t="b">
        <v>1</v>
      </c>
      <c r="W202" s="204" t="s">
        <v>3285</v>
      </c>
      <c r="X202" s="128"/>
      <c r="Y202" s="128"/>
      <c r="Z202" s="128"/>
    </row>
    <row r="203" spans="1:26" ht="12.5" hidden="1">
      <c r="A203" s="138">
        <v>196</v>
      </c>
      <c r="B203" s="173" t="s">
        <v>1516</v>
      </c>
      <c r="C203" s="139">
        <v>40144</v>
      </c>
      <c r="D203" s="173">
        <v>302099904122012</v>
      </c>
      <c r="E203" s="145" t="s">
        <v>3666</v>
      </c>
      <c r="F203" s="196"/>
      <c r="G203" s="173" t="s">
        <v>573</v>
      </c>
      <c r="H203" s="138" t="s">
        <v>19</v>
      </c>
      <c r="I203" s="138">
        <v>1</v>
      </c>
      <c r="J203" s="144">
        <v>29026540</v>
      </c>
      <c r="K203" s="144">
        <v>11610606</v>
      </c>
      <c r="L203" s="143">
        <v>0</v>
      </c>
      <c r="M203" s="143">
        <v>0</v>
      </c>
      <c r="N203" s="143">
        <v>0</v>
      </c>
      <c r="O203" s="143">
        <v>0</v>
      </c>
      <c r="P203" s="173" t="s">
        <v>3480</v>
      </c>
      <c r="Q203" s="138" t="s">
        <v>20</v>
      </c>
      <c r="R203" s="138" t="s">
        <v>284</v>
      </c>
      <c r="S203" s="145" t="s">
        <v>2122</v>
      </c>
      <c r="T203" s="148"/>
      <c r="U203" s="202">
        <v>196</v>
      </c>
      <c r="V203" s="203" t="b">
        <v>1</v>
      </c>
      <c r="W203" s="204" t="s">
        <v>3285</v>
      </c>
      <c r="X203" s="128"/>
      <c r="Y203" s="128"/>
      <c r="Z203" s="128"/>
    </row>
    <row r="204" spans="1:26" ht="12.5" hidden="1">
      <c r="A204" s="138">
        <v>197</v>
      </c>
      <c r="B204" s="173" t="s">
        <v>1516</v>
      </c>
      <c r="C204" s="139">
        <v>40144</v>
      </c>
      <c r="D204" s="173">
        <v>302099904122013</v>
      </c>
      <c r="E204" s="145" t="s">
        <v>3666</v>
      </c>
      <c r="F204" s="196"/>
      <c r="G204" s="173" t="s">
        <v>573</v>
      </c>
      <c r="H204" s="138" t="s">
        <v>19</v>
      </c>
      <c r="I204" s="138">
        <v>1</v>
      </c>
      <c r="J204" s="144">
        <v>29026540</v>
      </c>
      <c r="K204" s="144">
        <v>11610606</v>
      </c>
      <c r="L204" s="143">
        <v>0</v>
      </c>
      <c r="M204" s="143">
        <v>0</v>
      </c>
      <c r="N204" s="143">
        <v>0</v>
      </c>
      <c r="O204" s="143">
        <v>0</v>
      </c>
      <c r="P204" s="173" t="s">
        <v>3480</v>
      </c>
      <c r="Q204" s="138" t="s">
        <v>20</v>
      </c>
      <c r="R204" s="138" t="s">
        <v>284</v>
      </c>
      <c r="S204" s="145" t="s">
        <v>3660</v>
      </c>
      <c r="T204" s="148"/>
      <c r="U204" s="202">
        <v>197</v>
      </c>
      <c r="V204" s="203" t="b">
        <v>1</v>
      </c>
      <c r="W204" s="204" t="s">
        <v>3285</v>
      </c>
      <c r="X204" s="128"/>
      <c r="Y204" s="128"/>
      <c r="Z204" s="128"/>
    </row>
    <row r="205" spans="1:26" ht="12.5" hidden="1">
      <c r="A205" s="138">
        <v>198</v>
      </c>
      <c r="B205" s="173" t="s">
        <v>1516</v>
      </c>
      <c r="C205" s="139">
        <v>40144</v>
      </c>
      <c r="D205" s="173">
        <v>302099904122014</v>
      </c>
      <c r="E205" s="145" t="s">
        <v>3666</v>
      </c>
      <c r="F205" s="196"/>
      <c r="G205" s="173" t="s">
        <v>573</v>
      </c>
      <c r="H205" s="138" t="s">
        <v>19</v>
      </c>
      <c r="I205" s="138">
        <v>1</v>
      </c>
      <c r="J205" s="144">
        <v>29026540</v>
      </c>
      <c r="K205" s="144">
        <v>11610606</v>
      </c>
      <c r="L205" s="143">
        <v>0</v>
      </c>
      <c r="M205" s="143">
        <v>0</v>
      </c>
      <c r="N205" s="143">
        <v>0</v>
      </c>
      <c r="O205" s="143">
        <v>0</v>
      </c>
      <c r="P205" s="173" t="s">
        <v>3480</v>
      </c>
      <c r="Q205" s="138" t="s">
        <v>20</v>
      </c>
      <c r="R205" s="138" t="s">
        <v>284</v>
      </c>
      <c r="S205" s="145" t="s">
        <v>3660</v>
      </c>
      <c r="T205" s="148"/>
      <c r="U205" s="202">
        <v>198</v>
      </c>
      <c r="V205" s="203" t="b">
        <v>1</v>
      </c>
      <c r="W205" s="204" t="s">
        <v>3285</v>
      </c>
      <c r="X205" s="128"/>
      <c r="Y205" s="128"/>
      <c r="Z205" s="128"/>
    </row>
    <row r="206" spans="1:26" ht="12.5" hidden="1">
      <c r="A206" s="138">
        <v>199</v>
      </c>
      <c r="B206" s="173" t="s">
        <v>1516</v>
      </c>
      <c r="C206" s="139">
        <v>40144</v>
      </c>
      <c r="D206" s="173">
        <v>302099904122015</v>
      </c>
      <c r="E206" s="145" t="s">
        <v>3666</v>
      </c>
      <c r="F206" s="196"/>
      <c r="G206" s="173" t="s">
        <v>573</v>
      </c>
      <c r="H206" s="138" t="s">
        <v>19</v>
      </c>
      <c r="I206" s="138">
        <v>1</v>
      </c>
      <c r="J206" s="144">
        <v>29026540</v>
      </c>
      <c r="K206" s="144">
        <v>11610606</v>
      </c>
      <c r="L206" s="143">
        <v>0</v>
      </c>
      <c r="M206" s="143">
        <v>0</v>
      </c>
      <c r="N206" s="143">
        <v>0</v>
      </c>
      <c r="O206" s="143">
        <v>0</v>
      </c>
      <c r="P206" s="173" t="s">
        <v>3480</v>
      </c>
      <c r="Q206" s="138" t="s">
        <v>20</v>
      </c>
      <c r="R206" s="138" t="s">
        <v>284</v>
      </c>
      <c r="S206" s="145" t="s">
        <v>3660</v>
      </c>
      <c r="T206" s="148"/>
      <c r="U206" s="202">
        <v>199</v>
      </c>
      <c r="V206" s="203" t="b">
        <v>1</v>
      </c>
      <c r="W206" s="204" t="s">
        <v>3285</v>
      </c>
      <c r="X206" s="128"/>
      <c r="Y206" s="128"/>
      <c r="Z206" s="128"/>
    </row>
    <row r="207" spans="1:26" ht="12.5" hidden="1">
      <c r="A207" s="138">
        <v>200</v>
      </c>
      <c r="B207" s="173" t="s">
        <v>1516</v>
      </c>
      <c r="C207" s="139">
        <v>40144</v>
      </c>
      <c r="D207" s="173">
        <v>302099904124001</v>
      </c>
      <c r="E207" s="145" t="s">
        <v>3671</v>
      </c>
      <c r="F207" s="145">
        <v>3300040927004</v>
      </c>
      <c r="G207" s="173" t="s">
        <v>248</v>
      </c>
      <c r="H207" s="138" t="s">
        <v>19</v>
      </c>
      <c r="I207" s="138">
        <v>1</v>
      </c>
      <c r="J207" s="144">
        <v>25732748</v>
      </c>
      <c r="K207" s="144">
        <v>10293103</v>
      </c>
      <c r="L207" s="143">
        <v>0</v>
      </c>
      <c r="M207" s="143">
        <v>0</v>
      </c>
      <c r="N207" s="143">
        <v>0</v>
      </c>
      <c r="O207" s="143">
        <v>0</v>
      </c>
      <c r="P207" s="173" t="s">
        <v>3480</v>
      </c>
      <c r="Q207" s="138" t="s">
        <v>20</v>
      </c>
      <c r="R207" s="138" t="s">
        <v>284</v>
      </c>
      <c r="S207" s="145" t="s">
        <v>3672</v>
      </c>
      <c r="T207" s="148"/>
      <c r="U207" s="202">
        <v>200</v>
      </c>
      <c r="V207" s="203" t="b">
        <v>1</v>
      </c>
      <c r="W207" s="204" t="s">
        <v>3285</v>
      </c>
      <c r="X207" s="128"/>
      <c r="Y207" s="128"/>
      <c r="Z207" s="128"/>
    </row>
    <row r="208" spans="1:26" ht="12.5" hidden="1">
      <c r="A208" s="138">
        <v>201</v>
      </c>
      <c r="B208" s="173" t="s">
        <v>1516</v>
      </c>
      <c r="C208" s="139">
        <v>40144</v>
      </c>
      <c r="D208" s="173">
        <v>302099904124002</v>
      </c>
      <c r="E208" s="145" t="s">
        <v>3671</v>
      </c>
      <c r="F208" s="145">
        <v>33000409270041</v>
      </c>
      <c r="G208" s="173" t="s">
        <v>248</v>
      </c>
      <c r="H208" s="138" t="s">
        <v>19</v>
      </c>
      <c r="I208" s="138">
        <v>1</v>
      </c>
      <c r="J208" s="144">
        <v>25732748</v>
      </c>
      <c r="K208" s="144">
        <v>10293103</v>
      </c>
      <c r="L208" s="143">
        <v>0</v>
      </c>
      <c r="M208" s="143">
        <v>0</v>
      </c>
      <c r="N208" s="143">
        <v>0</v>
      </c>
      <c r="O208" s="143">
        <v>0</v>
      </c>
      <c r="P208" s="173" t="s">
        <v>3480</v>
      </c>
      <c r="Q208" s="138" t="s">
        <v>20</v>
      </c>
      <c r="R208" s="138" t="s">
        <v>284</v>
      </c>
      <c r="S208" s="145" t="s">
        <v>3673</v>
      </c>
      <c r="T208" s="148"/>
      <c r="U208" s="202">
        <v>201</v>
      </c>
      <c r="V208" s="203" t="b">
        <v>1</v>
      </c>
      <c r="W208" s="204" t="s">
        <v>3285</v>
      </c>
      <c r="X208" s="128"/>
      <c r="Y208" s="128"/>
      <c r="Z208" s="128"/>
    </row>
    <row r="209" spans="1:26" ht="12.5" hidden="1">
      <c r="A209" s="138">
        <v>202</v>
      </c>
      <c r="B209" s="173" t="s">
        <v>1516</v>
      </c>
      <c r="C209" s="139">
        <v>40144</v>
      </c>
      <c r="D209" s="173">
        <v>302099904124003</v>
      </c>
      <c r="E209" s="145" t="s">
        <v>3671</v>
      </c>
      <c r="F209" s="145">
        <v>33000409270036</v>
      </c>
      <c r="G209" s="173" t="s">
        <v>248</v>
      </c>
      <c r="H209" s="138" t="s">
        <v>19</v>
      </c>
      <c r="I209" s="138">
        <v>1</v>
      </c>
      <c r="J209" s="144">
        <v>25732748</v>
      </c>
      <c r="K209" s="144">
        <v>10293103</v>
      </c>
      <c r="L209" s="143">
        <v>0</v>
      </c>
      <c r="M209" s="143">
        <v>0</v>
      </c>
      <c r="N209" s="143">
        <v>0</v>
      </c>
      <c r="O209" s="143">
        <v>0</v>
      </c>
      <c r="P209" s="173" t="s">
        <v>3480</v>
      </c>
      <c r="Q209" s="138" t="s">
        <v>20</v>
      </c>
      <c r="R209" s="138" t="s">
        <v>284</v>
      </c>
      <c r="S209" s="145" t="s">
        <v>3674</v>
      </c>
      <c r="T209" s="148"/>
      <c r="U209" s="202">
        <v>202</v>
      </c>
      <c r="V209" s="203" t="b">
        <v>1</v>
      </c>
      <c r="W209" s="204" t="s">
        <v>3285</v>
      </c>
      <c r="X209" s="128"/>
      <c r="Y209" s="128"/>
      <c r="Z209" s="128"/>
    </row>
    <row r="210" spans="1:26" ht="12.5" hidden="1">
      <c r="A210" s="138">
        <v>203</v>
      </c>
      <c r="B210" s="173" t="s">
        <v>1516</v>
      </c>
      <c r="C210" s="139">
        <v>40144</v>
      </c>
      <c r="D210" s="173">
        <v>302099904124004</v>
      </c>
      <c r="E210" s="145" t="s">
        <v>3671</v>
      </c>
      <c r="F210" s="145">
        <v>33000409270035</v>
      </c>
      <c r="G210" s="173" t="s">
        <v>248</v>
      </c>
      <c r="H210" s="138" t="s">
        <v>19</v>
      </c>
      <c r="I210" s="138">
        <v>1</v>
      </c>
      <c r="J210" s="144">
        <v>25732748</v>
      </c>
      <c r="K210" s="144">
        <v>10293103</v>
      </c>
      <c r="L210" s="143">
        <v>0</v>
      </c>
      <c r="M210" s="143">
        <v>0</v>
      </c>
      <c r="N210" s="143">
        <v>0</v>
      </c>
      <c r="O210" s="143">
        <v>0</v>
      </c>
      <c r="P210" s="173" t="s">
        <v>3480</v>
      </c>
      <c r="Q210" s="138" t="s">
        <v>20</v>
      </c>
      <c r="R210" s="138" t="s">
        <v>284</v>
      </c>
      <c r="S210" s="145" t="s">
        <v>3675</v>
      </c>
      <c r="T210" s="148"/>
      <c r="U210" s="202">
        <v>203</v>
      </c>
      <c r="V210" s="203" t="b">
        <v>1</v>
      </c>
      <c r="W210" s="204" t="s">
        <v>3285</v>
      </c>
      <c r="X210" s="128"/>
      <c r="Y210" s="128"/>
      <c r="Z210" s="128"/>
    </row>
    <row r="211" spans="1:26" ht="12.5" hidden="1">
      <c r="A211" s="138">
        <v>204</v>
      </c>
      <c r="B211" s="173" t="s">
        <v>1516</v>
      </c>
      <c r="C211" s="139">
        <v>40144</v>
      </c>
      <c r="D211" s="173">
        <v>302099904124005</v>
      </c>
      <c r="E211" s="145" t="s">
        <v>3671</v>
      </c>
      <c r="F211" s="145">
        <v>33000409270030</v>
      </c>
      <c r="G211" s="173" t="s">
        <v>248</v>
      </c>
      <c r="H211" s="138" t="s">
        <v>19</v>
      </c>
      <c r="I211" s="138">
        <v>1</v>
      </c>
      <c r="J211" s="144">
        <v>25732748</v>
      </c>
      <c r="K211" s="144">
        <v>10293103</v>
      </c>
      <c r="L211" s="143">
        <v>0</v>
      </c>
      <c r="M211" s="143">
        <v>0</v>
      </c>
      <c r="N211" s="143">
        <v>0</v>
      </c>
      <c r="O211" s="143">
        <v>0</v>
      </c>
      <c r="P211" s="148"/>
      <c r="Q211" s="138" t="s">
        <v>20</v>
      </c>
      <c r="R211" s="138" t="s">
        <v>284</v>
      </c>
      <c r="S211" s="145" t="s">
        <v>3676</v>
      </c>
      <c r="T211" s="148"/>
      <c r="U211" s="202">
        <v>204</v>
      </c>
      <c r="V211" s="203" t="b">
        <v>1</v>
      </c>
      <c r="W211" s="204" t="s">
        <v>3285</v>
      </c>
      <c r="X211" s="128"/>
      <c r="Y211" s="128"/>
      <c r="Z211" s="128"/>
    </row>
    <row r="212" spans="1:26" ht="12.5" hidden="1">
      <c r="A212" s="138">
        <v>205</v>
      </c>
      <c r="B212" s="173" t="s">
        <v>1516</v>
      </c>
      <c r="C212" s="139">
        <v>40144</v>
      </c>
      <c r="D212" s="173">
        <v>302099904124006</v>
      </c>
      <c r="E212" s="145" t="s">
        <v>3671</v>
      </c>
      <c r="F212" s="145">
        <v>33000409270029</v>
      </c>
      <c r="G212" s="173" t="s">
        <v>248</v>
      </c>
      <c r="H212" s="138" t="s">
        <v>19</v>
      </c>
      <c r="I212" s="138">
        <v>1</v>
      </c>
      <c r="J212" s="144">
        <v>25732748</v>
      </c>
      <c r="K212" s="144">
        <v>10293103</v>
      </c>
      <c r="L212" s="143">
        <v>0</v>
      </c>
      <c r="M212" s="143">
        <v>0</v>
      </c>
      <c r="N212" s="143">
        <v>0</v>
      </c>
      <c r="O212" s="143">
        <v>0</v>
      </c>
      <c r="P212" s="148"/>
      <c r="Q212" s="138" t="s">
        <v>20</v>
      </c>
      <c r="R212" s="138" t="s">
        <v>284</v>
      </c>
      <c r="S212" s="145" t="s">
        <v>3675</v>
      </c>
      <c r="T212" s="148"/>
      <c r="U212" s="202">
        <v>205</v>
      </c>
      <c r="V212" s="203" t="b">
        <v>1</v>
      </c>
      <c r="W212" s="204" t="s">
        <v>3285</v>
      </c>
      <c r="X212" s="128"/>
      <c r="Y212" s="128"/>
      <c r="Z212" s="128"/>
    </row>
    <row r="213" spans="1:26" ht="12.5" hidden="1">
      <c r="A213" s="138">
        <v>206</v>
      </c>
      <c r="B213" s="173" t="s">
        <v>1516</v>
      </c>
      <c r="C213" s="139">
        <v>40144</v>
      </c>
      <c r="D213" s="173">
        <v>302099904124007</v>
      </c>
      <c r="E213" s="145" t="s">
        <v>3671</v>
      </c>
      <c r="F213" s="145">
        <v>33000409270037</v>
      </c>
      <c r="G213" s="173" t="s">
        <v>248</v>
      </c>
      <c r="H213" s="138" t="s">
        <v>19</v>
      </c>
      <c r="I213" s="138">
        <v>1</v>
      </c>
      <c r="J213" s="144">
        <v>25732748</v>
      </c>
      <c r="K213" s="144">
        <v>10293103</v>
      </c>
      <c r="L213" s="143">
        <v>0</v>
      </c>
      <c r="M213" s="143">
        <v>0</v>
      </c>
      <c r="N213" s="143">
        <v>0</v>
      </c>
      <c r="O213" s="143">
        <v>0</v>
      </c>
      <c r="P213" s="173" t="s">
        <v>3480</v>
      </c>
      <c r="Q213" s="138" t="s">
        <v>20</v>
      </c>
      <c r="R213" s="138" t="s">
        <v>284</v>
      </c>
      <c r="S213" s="145" t="s">
        <v>3677</v>
      </c>
      <c r="T213" s="148"/>
      <c r="U213" s="202">
        <v>206</v>
      </c>
      <c r="V213" s="203" t="b">
        <v>1</v>
      </c>
      <c r="W213" s="204" t="s">
        <v>3285</v>
      </c>
      <c r="X213" s="128"/>
      <c r="Y213" s="128"/>
      <c r="Z213" s="128"/>
    </row>
    <row r="214" spans="1:26" ht="12.5" hidden="1">
      <c r="A214" s="138">
        <v>207</v>
      </c>
      <c r="B214" s="173" t="s">
        <v>1516</v>
      </c>
      <c r="C214" s="139">
        <v>40144</v>
      </c>
      <c r="D214" s="173">
        <v>302099904124008</v>
      </c>
      <c r="E214" s="145" t="s">
        <v>3671</v>
      </c>
      <c r="F214" s="145">
        <v>33000409270038</v>
      </c>
      <c r="G214" s="173" t="s">
        <v>248</v>
      </c>
      <c r="H214" s="138" t="s">
        <v>19</v>
      </c>
      <c r="I214" s="138">
        <v>1</v>
      </c>
      <c r="J214" s="144">
        <v>25732748</v>
      </c>
      <c r="K214" s="144">
        <v>10293103</v>
      </c>
      <c r="L214" s="143">
        <v>0</v>
      </c>
      <c r="M214" s="143">
        <v>0</v>
      </c>
      <c r="N214" s="143">
        <v>0</v>
      </c>
      <c r="O214" s="143">
        <v>0</v>
      </c>
      <c r="P214" s="173" t="s">
        <v>3480</v>
      </c>
      <c r="Q214" s="138" t="s">
        <v>20</v>
      </c>
      <c r="R214" s="138" t="s">
        <v>284</v>
      </c>
      <c r="S214" s="145" t="s">
        <v>3675</v>
      </c>
      <c r="T214" s="148"/>
      <c r="U214" s="202">
        <v>207</v>
      </c>
      <c r="V214" s="203" t="b">
        <v>1</v>
      </c>
      <c r="W214" s="204" t="s">
        <v>3285</v>
      </c>
      <c r="X214" s="128"/>
      <c r="Y214" s="128"/>
      <c r="Z214" s="128"/>
    </row>
    <row r="215" spans="1:26" ht="12.5" hidden="1">
      <c r="A215" s="138">
        <v>208</v>
      </c>
      <c r="B215" s="173" t="s">
        <v>1516</v>
      </c>
      <c r="C215" s="139">
        <v>40144</v>
      </c>
      <c r="D215" s="173">
        <v>302099904124009</v>
      </c>
      <c r="E215" s="145" t="s">
        <v>3671</v>
      </c>
      <c r="F215" s="145">
        <v>33000409270019</v>
      </c>
      <c r="G215" s="173" t="s">
        <v>248</v>
      </c>
      <c r="H215" s="138" t="s">
        <v>19</v>
      </c>
      <c r="I215" s="138">
        <v>1</v>
      </c>
      <c r="J215" s="144">
        <v>25732748</v>
      </c>
      <c r="K215" s="144">
        <v>10293103</v>
      </c>
      <c r="L215" s="143">
        <v>0</v>
      </c>
      <c r="M215" s="143">
        <v>0</v>
      </c>
      <c r="N215" s="143">
        <v>0</v>
      </c>
      <c r="O215" s="143">
        <v>0</v>
      </c>
      <c r="P215" s="148"/>
      <c r="Q215" s="138" t="s">
        <v>20</v>
      </c>
      <c r="R215" s="138" t="s">
        <v>284</v>
      </c>
      <c r="S215" s="145" t="s">
        <v>3678</v>
      </c>
      <c r="T215" s="148"/>
      <c r="U215" s="202">
        <v>208</v>
      </c>
      <c r="V215" s="203" t="b">
        <v>1</v>
      </c>
      <c r="W215" s="204" t="s">
        <v>3285</v>
      </c>
      <c r="X215" s="128"/>
      <c r="Y215" s="128"/>
      <c r="Z215" s="128"/>
    </row>
    <row r="216" spans="1:26" ht="12.5" hidden="1">
      <c r="A216" s="138">
        <v>209</v>
      </c>
      <c r="B216" s="173" t="s">
        <v>2476</v>
      </c>
      <c r="C216" s="139">
        <v>36892</v>
      </c>
      <c r="D216" s="173">
        <v>302099905017001</v>
      </c>
      <c r="E216" s="145" t="s">
        <v>3679</v>
      </c>
      <c r="F216" s="196"/>
      <c r="G216" s="148"/>
      <c r="H216" s="138" t="s">
        <v>19</v>
      </c>
      <c r="I216" s="138">
        <v>1</v>
      </c>
      <c r="J216" s="144">
        <v>10670053</v>
      </c>
      <c r="K216" s="143">
        <v>0</v>
      </c>
      <c r="L216" s="143">
        <v>0</v>
      </c>
      <c r="M216" s="143">
        <v>0</v>
      </c>
      <c r="N216" s="143">
        <v>0</v>
      </c>
      <c r="O216" s="143">
        <v>0</v>
      </c>
      <c r="P216" s="148"/>
      <c r="Q216" s="138" t="s">
        <v>36</v>
      </c>
      <c r="R216" s="138" t="s">
        <v>37</v>
      </c>
      <c r="S216" s="145" t="s">
        <v>3680</v>
      </c>
      <c r="T216" s="148"/>
      <c r="U216" s="202">
        <v>209</v>
      </c>
      <c r="V216" s="203" t="b">
        <v>1</v>
      </c>
      <c r="W216" s="204" t="s">
        <v>3285</v>
      </c>
      <c r="X216" s="128"/>
      <c r="Y216" s="128"/>
      <c r="Z216" s="128"/>
    </row>
    <row r="217" spans="1:26" ht="12.5" hidden="1">
      <c r="A217" s="138">
        <v>210</v>
      </c>
      <c r="B217" s="173" t="s">
        <v>1064</v>
      </c>
      <c r="C217" s="139">
        <v>39871</v>
      </c>
      <c r="D217" s="173">
        <v>30209990552002</v>
      </c>
      <c r="E217" s="145" t="s">
        <v>3681</v>
      </c>
      <c r="F217" s="145" t="s">
        <v>3682</v>
      </c>
      <c r="G217" s="173" t="s">
        <v>35</v>
      </c>
      <c r="H217" s="138" t="s">
        <v>249</v>
      </c>
      <c r="I217" s="138">
        <v>1</v>
      </c>
      <c r="J217" s="144">
        <v>6556539</v>
      </c>
      <c r="K217" s="144">
        <v>765453</v>
      </c>
      <c r="L217" s="143">
        <v>0</v>
      </c>
      <c r="M217" s="143">
        <v>0</v>
      </c>
      <c r="N217" s="143">
        <v>0</v>
      </c>
      <c r="O217" s="143">
        <v>0</v>
      </c>
      <c r="P217" s="173" t="s">
        <v>3400</v>
      </c>
      <c r="Q217" s="138" t="s">
        <v>206</v>
      </c>
      <c r="R217" s="138" t="s">
        <v>3404</v>
      </c>
      <c r="S217" s="145" t="s">
        <v>3683</v>
      </c>
      <c r="T217" s="148"/>
      <c r="U217" s="202">
        <v>210</v>
      </c>
      <c r="V217" s="203" t="b">
        <v>1</v>
      </c>
      <c r="W217" s="204" t="s">
        <v>3285</v>
      </c>
      <c r="X217" s="128"/>
      <c r="Y217" s="128"/>
      <c r="Z217" s="128"/>
    </row>
    <row r="218" spans="1:26" ht="12.5" hidden="1">
      <c r="A218" s="138">
        <v>211</v>
      </c>
      <c r="B218" s="173" t="s">
        <v>2471</v>
      </c>
      <c r="C218" s="139">
        <v>35431</v>
      </c>
      <c r="D218" s="173">
        <v>302099906012001</v>
      </c>
      <c r="E218" s="145" t="s">
        <v>3684</v>
      </c>
      <c r="F218" s="145">
        <v>7</v>
      </c>
      <c r="G218" s="148"/>
      <c r="H218" s="138" t="s">
        <v>19</v>
      </c>
      <c r="I218" s="138">
        <v>1</v>
      </c>
      <c r="J218" s="144">
        <v>22570949</v>
      </c>
      <c r="K218" s="143">
        <v>0</v>
      </c>
      <c r="L218" s="143">
        <v>0</v>
      </c>
      <c r="M218" s="143">
        <v>0</v>
      </c>
      <c r="N218" s="143">
        <v>0</v>
      </c>
      <c r="O218" s="143">
        <v>0</v>
      </c>
      <c r="P218" s="148"/>
      <c r="Q218" s="138" t="s">
        <v>206</v>
      </c>
      <c r="R218" s="138" t="s">
        <v>1514</v>
      </c>
      <c r="S218" s="145" t="s">
        <v>3685</v>
      </c>
      <c r="T218" s="148"/>
      <c r="U218" s="202">
        <v>211</v>
      </c>
      <c r="V218" s="203" t="b">
        <v>1</v>
      </c>
      <c r="W218" s="204" t="s">
        <v>3285</v>
      </c>
      <c r="X218" s="128"/>
      <c r="Y218" s="128"/>
      <c r="Z218" s="128"/>
    </row>
    <row r="219" spans="1:26" ht="12.5" hidden="1">
      <c r="A219" s="138">
        <v>212</v>
      </c>
      <c r="B219" s="173" t="s">
        <v>3686</v>
      </c>
      <c r="C219" s="139">
        <v>37622</v>
      </c>
      <c r="D219" s="173">
        <v>302099906064003</v>
      </c>
      <c r="E219" s="145" t="s">
        <v>3687</v>
      </c>
      <c r="F219" s="145" t="s">
        <v>3688</v>
      </c>
      <c r="G219" s="148"/>
      <c r="H219" s="138" t="s">
        <v>19</v>
      </c>
      <c r="I219" s="138">
        <v>1</v>
      </c>
      <c r="J219" s="144">
        <v>8239485</v>
      </c>
      <c r="K219" s="143">
        <v>0</v>
      </c>
      <c r="L219" s="143">
        <v>0</v>
      </c>
      <c r="M219" s="143">
        <v>0</v>
      </c>
      <c r="N219" s="143">
        <v>0</v>
      </c>
      <c r="O219" s="143">
        <v>0</v>
      </c>
      <c r="P219" s="148"/>
      <c r="Q219" s="138" t="s">
        <v>20</v>
      </c>
      <c r="R219" s="138" t="s">
        <v>423</v>
      </c>
      <c r="S219" s="145" t="s">
        <v>3689</v>
      </c>
      <c r="T219" s="148"/>
      <c r="U219" s="202">
        <v>212</v>
      </c>
      <c r="V219" s="203" t="b">
        <v>1</v>
      </c>
      <c r="W219" s="204" t="s">
        <v>3285</v>
      </c>
      <c r="X219" s="128"/>
      <c r="Y219" s="128"/>
      <c r="Z219" s="128"/>
    </row>
    <row r="220" spans="1:26" ht="12.5" hidden="1">
      <c r="A220" s="211">
        <v>213</v>
      </c>
      <c r="B220" s="173" t="s">
        <v>1377</v>
      </c>
      <c r="C220" s="212">
        <v>37987</v>
      </c>
      <c r="D220" s="213">
        <v>302099906065001</v>
      </c>
      <c r="E220" s="214" t="s">
        <v>3690</v>
      </c>
      <c r="F220" s="214">
        <v>709546</v>
      </c>
      <c r="G220" s="148"/>
      <c r="H220" s="215"/>
      <c r="I220" s="211">
        <v>1</v>
      </c>
      <c r="J220" s="144">
        <v>26051126</v>
      </c>
      <c r="K220" s="143">
        <v>0</v>
      </c>
      <c r="L220" s="143">
        <v>0</v>
      </c>
      <c r="M220" s="143">
        <v>0</v>
      </c>
      <c r="N220" s="143">
        <v>0</v>
      </c>
      <c r="O220" s="143">
        <v>0</v>
      </c>
      <c r="P220" s="213" t="s">
        <v>3400</v>
      </c>
      <c r="Q220" s="211" t="s">
        <v>20</v>
      </c>
      <c r="R220" s="211" t="s">
        <v>21</v>
      </c>
      <c r="S220" s="214" t="s">
        <v>22</v>
      </c>
      <c r="T220" s="201"/>
      <c r="U220" s="202">
        <v>213</v>
      </c>
      <c r="V220" s="203" t="b">
        <v>1</v>
      </c>
      <c r="W220" s="405" t="s">
        <v>3397</v>
      </c>
      <c r="X220" s="406"/>
      <c r="Y220" s="128"/>
      <c r="Z220" s="128"/>
    </row>
    <row r="221" spans="1:26" ht="12.5" hidden="1">
      <c r="A221" s="138">
        <v>214</v>
      </c>
      <c r="B221" s="173" t="s">
        <v>1377</v>
      </c>
      <c r="C221" s="139">
        <v>37987</v>
      </c>
      <c r="D221" s="173">
        <v>302099906080002</v>
      </c>
      <c r="E221" s="145" t="s">
        <v>3691</v>
      </c>
      <c r="F221" s="196"/>
      <c r="G221" s="148"/>
      <c r="H221" s="216"/>
      <c r="I221" s="138">
        <v>1</v>
      </c>
      <c r="J221" s="144">
        <v>26051126</v>
      </c>
      <c r="K221" s="143">
        <v>0</v>
      </c>
      <c r="L221" s="143">
        <v>0</v>
      </c>
      <c r="M221" s="143">
        <v>0</v>
      </c>
      <c r="N221" s="143">
        <v>0</v>
      </c>
      <c r="O221" s="143">
        <v>0</v>
      </c>
      <c r="P221" s="148"/>
      <c r="Q221" s="138" t="s">
        <v>206</v>
      </c>
      <c r="R221" s="138" t="s">
        <v>1514</v>
      </c>
      <c r="S221" s="145" t="s">
        <v>880</v>
      </c>
      <c r="T221" s="148"/>
      <c r="U221" s="202">
        <v>214</v>
      </c>
      <c r="V221" s="203" t="b">
        <v>1</v>
      </c>
      <c r="W221" s="204" t="s">
        <v>3285</v>
      </c>
      <c r="X221" s="128"/>
      <c r="Y221" s="128"/>
      <c r="Z221" s="128"/>
    </row>
    <row r="222" spans="1:26" ht="12.5" hidden="1">
      <c r="A222" s="138">
        <v>215</v>
      </c>
      <c r="B222" s="173" t="s">
        <v>1377</v>
      </c>
      <c r="C222" s="139">
        <v>37987</v>
      </c>
      <c r="D222" s="173">
        <v>302099906080005</v>
      </c>
      <c r="E222" s="145" t="s">
        <v>3691</v>
      </c>
      <c r="F222" s="145">
        <v>709543</v>
      </c>
      <c r="G222" s="148"/>
      <c r="H222" s="216"/>
      <c r="I222" s="138">
        <v>1</v>
      </c>
      <c r="J222" s="144">
        <v>26051126</v>
      </c>
      <c r="K222" s="143">
        <v>0</v>
      </c>
      <c r="L222" s="143">
        <v>0</v>
      </c>
      <c r="M222" s="143">
        <v>0</v>
      </c>
      <c r="N222" s="143">
        <v>0</v>
      </c>
      <c r="O222" s="143">
        <v>0</v>
      </c>
      <c r="P222" s="148"/>
      <c r="Q222" s="138" t="s">
        <v>36</v>
      </c>
      <c r="R222" s="138" t="s">
        <v>169</v>
      </c>
      <c r="S222" s="145" t="s">
        <v>3692</v>
      </c>
      <c r="T222" s="148"/>
      <c r="U222" s="202">
        <v>215</v>
      </c>
      <c r="V222" s="203" t="b">
        <v>1</v>
      </c>
      <c r="W222" s="204" t="s">
        <v>3285</v>
      </c>
      <c r="X222" s="128"/>
      <c r="Y222" s="128"/>
      <c r="Z222" s="128"/>
    </row>
    <row r="223" spans="1:26" ht="12.5" hidden="1">
      <c r="A223" s="138">
        <v>216</v>
      </c>
      <c r="B223" s="173" t="s">
        <v>1377</v>
      </c>
      <c r="C223" s="139">
        <v>37987</v>
      </c>
      <c r="D223" s="173">
        <v>302099906080006</v>
      </c>
      <c r="E223" s="145" t="s">
        <v>3691</v>
      </c>
      <c r="F223" s="145">
        <v>709548</v>
      </c>
      <c r="G223" s="148"/>
      <c r="H223" s="216"/>
      <c r="I223" s="138">
        <v>1</v>
      </c>
      <c r="J223" s="144">
        <v>26051126</v>
      </c>
      <c r="K223" s="143">
        <v>0</v>
      </c>
      <c r="L223" s="143">
        <v>0</v>
      </c>
      <c r="M223" s="143">
        <v>0</v>
      </c>
      <c r="N223" s="143">
        <v>0</v>
      </c>
      <c r="O223" s="143">
        <v>0</v>
      </c>
      <c r="P223" s="148"/>
      <c r="Q223" s="138" t="s">
        <v>36</v>
      </c>
      <c r="R223" s="138" t="s">
        <v>169</v>
      </c>
      <c r="S223" s="145" t="s">
        <v>3692</v>
      </c>
      <c r="T223" s="148"/>
      <c r="U223" s="202">
        <v>216</v>
      </c>
      <c r="V223" s="203" t="b">
        <v>1</v>
      </c>
      <c r="W223" s="204" t="s">
        <v>3285</v>
      </c>
      <c r="X223" s="128"/>
      <c r="Y223" s="128"/>
      <c r="Z223" s="128"/>
    </row>
    <row r="224" spans="1:26" ht="12.5" hidden="1">
      <c r="A224" s="138">
        <v>217</v>
      </c>
      <c r="B224" s="173" t="s">
        <v>3693</v>
      </c>
      <c r="C224" s="139">
        <v>34760</v>
      </c>
      <c r="D224" s="173">
        <v>302099906102001</v>
      </c>
      <c r="E224" s="145" t="s">
        <v>3694</v>
      </c>
      <c r="F224" s="196"/>
      <c r="G224" s="148"/>
      <c r="H224" s="216"/>
      <c r="I224" s="138">
        <v>1</v>
      </c>
      <c r="J224" s="144">
        <v>8470000</v>
      </c>
      <c r="K224" s="143">
        <v>0</v>
      </c>
      <c r="L224" s="143">
        <v>0</v>
      </c>
      <c r="M224" s="143">
        <v>0</v>
      </c>
      <c r="N224" s="143">
        <v>0</v>
      </c>
      <c r="O224" s="143">
        <v>0</v>
      </c>
      <c r="P224" s="148"/>
      <c r="Q224" s="138" t="s">
        <v>206</v>
      </c>
      <c r="R224" s="138" t="s">
        <v>1514</v>
      </c>
      <c r="S224" s="145" t="s">
        <v>3685</v>
      </c>
      <c r="T224" s="148"/>
      <c r="U224" s="202">
        <v>217</v>
      </c>
      <c r="V224" s="203" t="b">
        <v>1</v>
      </c>
      <c r="W224" s="204" t="s">
        <v>3285</v>
      </c>
      <c r="X224" s="128"/>
      <c r="Y224" s="128"/>
      <c r="Z224" s="128"/>
    </row>
    <row r="225" spans="1:26" ht="12.5" hidden="1">
      <c r="A225" s="138">
        <v>218</v>
      </c>
      <c r="B225" s="173" t="s">
        <v>3695</v>
      </c>
      <c r="C225" s="139">
        <v>37096</v>
      </c>
      <c r="D225" s="173">
        <v>302099906105001</v>
      </c>
      <c r="E225" s="145" t="s">
        <v>3696</v>
      </c>
      <c r="F225" s="196"/>
      <c r="G225" s="148"/>
      <c r="H225" s="216"/>
      <c r="I225" s="138">
        <v>1</v>
      </c>
      <c r="J225" s="144">
        <v>17770000</v>
      </c>
      <c r="K225" s="143">
        <v>0</v>
      </c>
      <c r="L225" s="143">
        <v>0</v>
      </c>
      <c r="M225" s="143">
        <v>0</v>
      </c>
      <c r="N225" s="143">
        <v>0</v>
      </c>
      <c r="O225" s="143">
        <v>0</v>
      </c>
      <c r="P225" s="148"/>
      <c r="Q225" s="138" t="s">
        <v>206</v>
      </c>
      <c r="R225" s="138" t="s">
        <v>1514</v>
      </c>
      <c r="S225" s="145" t="s">
        <v>3685</v>
      </c>
      <c r="T225" s="148"/>
      <c r="U225" s="202">
        <v>218</v>
      </c>
      <c r="V225" s="203" t="b">
        <v>1</v>
      </c>
      <c r="W225" s="204" t="s">
        <v>3285</v>
      </c>
      <c r="X225" s="128"/>
      <c r="Y225" s="128"/>
      <c r="Z225" s="128"/>
    </row>
    <row r="226" spans="1:26" ht="12.5" hidden="1">
      <c r="A226" s="138">
        <v>219</v>
      </c>
      <c r="B226" s="173" t="s">
        <v>3697</v>
      </c>
      <c r="C226" s="139">
        <v>37750</v>
      </c>
      <c r="D226" s="173">
        <v>302099906165003</v>
      </c>
      <c r="E226" s="145" t="s">
        <v>3698</v>
      </c>
      <c r="F226" s="196"/>
      <c r="G226" s="148"/>
      <c r="H226" s="216"/>
      <c r="I226" s="138">
        <v>1</v>
      </c>
      <c r="J226" s="144">
        <v>5347500</v>
      </c>
      <c r="K226" s="143">
        <v>0</v>
      </c>
      <c r="L226" s="143">
        <v>0</v>
      </c>
      <c r="M226" s="143">
        <v>0</v>
      </c>
      <c r="N226" s="143">
        <v>0</v>
      </c>
      <c r="O226" s="143">
        <v>0</v>
      </c>
      <c r="P226" s="148"/>
      <c r="Q226" s="138" t="s">
        <v>20</v>
      </c>
      <c r="R226" s="138" t="s">
        <v>233</v>
      </c>
      <c r="S226" s="145" t="s">
        <v>3699</v>
      </c>
      <c r="T226" s="148"/>
      <c r="U226" s="202">
        <v>219</v>
      </c>
      <c r="V226" s="203" t="b">
        <v>1</v>
      </c>
      <c r="W226" s="204" t="s">
        <v>3285</v>
      </c>
      <c r="X226" s="128"/>
      <c r="Y226" s="128"/>
      <c r="Z226" s="128"/>
    </row>
    <row r="227" spans="1:26" ht="12.5" hidden="1">
      <c r="A227" s="138">
        <v>220</v>
      </c>
      <c r="B227" s="173">
        <v>71</v>
      </c>
      <c r="C227" s="139">
        <v>38982</v>
      </c>
      <c r="D227" s="173">
        <v>302099906183001</v>
      </c>
      <c r="E227" s="145" t="s">
        <v>3700</v>
      </c>
      <c r="F227" s="145" t="s">
        <v>3701</v>
      </c>
      <c r="G227" s="148"/>
      <c r="H227" s="216"/>
      <c r="I227" s="138">
        <v>1</v>
      </c>
      <c r="J227" s="144">
        <v>5680000</v>
      </c>
      <c r="K227" s="143">
        <v>0</v>
      </c>
      <c r="L227" s="143">
        <v>0</v>
      </c>
      <c r="M227" s="143">
        <v>0</v>
      </c>
      <c r="N227" s="143">
        <v>0</v>
      </c>
      <c r="O227" s="143">
        <v>0</v>
      </c>
      <c r="P227" s="173" t="s">
        <v>3480</v>
      </c>
      <c r="Q227" s="138" t="s">
        <v>20</v>
      </c>
      <c r="R227" s="138" t="s">
        <v>295</v>
      </c>
      <c r="S227" s="145" t="s">
        <v>3702</v>
      </c>
      <c r="T227" s="173" t="s">
        <v>923</v>
      </c>
      <c r="U227" s="202">
        <v>220</v>
      </c>
      <c r="V227" s="203" t="b">
        <v>1</v>
      </c>
      <c r="W227" s="204" t="s">
        <v>3285</v>
      </c>
      <c r="X227" s="128"/>
      <c r="Y227" s="128"/>
      <c r="Z227" s="128"/>
    </row>
    <row r="228" spans="1:26" ht="12.5" hidden="1">
      <c r="A228" s="138">
        <v>221</v>
      </c>
      <c r="B228" s="173" t="s">
        <v>3703</v>
      </c>
      <c r="C228" s="139">
        <v>34206</v>
      </c>
      <c r="D228" s="173">
        <v>302099906195001</v>
      </c>
      <c r="E228" s="145" t="s">
        <v>3704</v>
      </c>
      <c r="F228" s="196"/>
      <c r="G228" s="148"/>
      <c r="H228" s="216"/>
      <c r="I228" s="138">
        <v>1</v>
      </c>
      <c r="J228" s="144">
        <v>812000</v>
      </c>
      <c r="K228" s="143">
        <v>0</v>
      </c>
      <c r="L228" s="143">
        <v>0</v>
      </c>
      <c r="M228" s="143">
        <v>0</v>
      </c>
      <c r="N228" s="143">
        <v>0</v>
      </c>
      <c r="O228" s="143">
        <v>0</v>
      </c>
      <c r="P228" s="148"/>
      <c r="Q228" s="138" t="s">
        <v>206</v>
      </c>
      <c r="R228" s="138" t="s">
        <v>1514</v>
      </c>
      <c r="S228" s="145" t="s">
        <v>3685</v>
      </c>
      <c r="T228" s="148"/>
      <c r="U228" s="202">
        <v>221</v>
      </c>
      <c r="V228" s="203" t="b">
        <v>1</v>
      </c>
      <c r="W228" s="204" t="s">
        <v>3285</v>
      </c>
      <c r="X228" s="128"/>
      <c r="Y228" s="128"/>
      <c r="Z228" s="128"/>
    </row>
    <row r="229" spans="1:26" ht="12.5" hidden="1">
      <c r="A229" s="138">
        <v>222</v>
      </c>
      <c r="B229" s="173">
        <v>2</v>
      </c>
      <c r="C229" s="139">
        <v>38775</v>
      </c>
      <c r="D229" s="173">
        <v>302099906214001</v>
      </c>
      <c r="E229" s="145" t="s">
        <v>3705</v>
      </c>
      <c r="F229" s="196"/>
      <c r="G229" s="148"/>
      <c r="H229" s="216"/>
      <c r="I229" s="138">
        <v>1</v>
      </c>
      <c r="J229" s="144">
        <v>6179000</v>
      </c>
      <c r="K229" s="143">
        <v>0</v>
      </c>
      <c r="L229" s="143">
        <v>0</v>
      </c>
      <c r="M229" s="143">
        <v>0</v>
      </c>
      <c r="N229" s="143">
        <v>0</v>
      </c>
      <c r="O229" s="143">
        <v>0</v>
      </c>
      <c r="P229" s="148"/>
      <c r="Q229" s="138" t="s">
        <v>206</v>
      </c>
      <c r="R229" s="138" t="s">
        <v>1514</v>
      </c>
      <c r="S229" s="145" t="s">
        <v>3685</v>
      </c>
      <c r="T229" s="148"/>
      <c r="U229" s="202">
        <v>222</v>
      </c>
      <c r="V229" s="203" t="b">
        <v>1</v>
      </c>
      <c r="W229" s="204" t="s">
        <v>3285</v>
      </c>
      <c r="X229" s="128"/>
      <c r="Y229" s="128"/>
      <c r="Z229" s="128"/>
    </row>
    <row r="230" spans="1:26" ht="12.5" hidden="1">
      <c r="A230" s="138">
        <v>223</v>
      </c>
      <c r="B230" s="173" t="s">
        <v>52</v>
      </c>
      <c r="C230" s="139">
        <v>40816</v>
      </c>
      <c r="D230" s="173">
        <v>302099909049001</v>
      </c>
      <c r="E230" s="145" t="s">
        <v>3706</v>
      </c>
      <c r="F230" s="145">
        <v>16294738</v>
      </c>
      <c r="G230" s="173" t="s">
        <v>1754</v>
      </c>
      <c r="H230" s="138" t="s">
        <v>19</v>
      </c>
      <c r="I230" s="138">
        <v>1</v>
      </c>
      <c r="J230" s="144">
        <v>28025838</v>
      </c>
      <c r="K230" s="144">
        <v>14012925</v>
      </c>
      <c r="L230" s="143">
        <v>0</v>
      </c>
      <c r="M230" s="143">
        <v>0</v>
      </c>
      <c r="N230" s="143">
        <v>0</v>
      </c>
      <c r="O230" s="143">
        <v>0</v>
      </c>
      <c r="P230" s="148"/>
      <c r="Q230" s="138" t="s">
        <v>36</v>
      </c>
      <c r="R230" s="138" t="s">
        <v>169</v>
      </c>
      <c r="S230" s="145" t="s">
        <v>3692</v>
      </c>
      <c r="T230" s="148"/>
      <c r="U230" s="202">
        <v>223</v>
      </c>
      <c r="V230" s="203" t="b">
        <v>1</v>
      </c>
      <c r="W230" s="204" t="s">
        <v>3285</v>
      </c>
      <c r="X230" s="128"/>
      <c r="Y230" s="128"/>
      <c r="Z230" s="128"/>
    </row>
    <row r="231" spans="1:26" ht="12.5" hidden="1">
      <c r="A231" s="138">
        <v>224</v>
      </c>
      <c r="B231" s="173" t="s">
        <v>52</v>
      </c>
      <c r="C231" s="139">
        <v>40816</v>
      </c>
      <c r="D231" s="173">
        <v>302099909049002</v>
      </c>
      <c r="E231" s="145" t="s">
        <v>3706</v>
      </c>
      <c r="F231" s="145">
        <v>17295485</v>
      </c>
      <c r="G231" s="173" t="s">
        <v>1754</v>
      </c>
      <c r="H231" s="138" t="s">
        <v>19</v>
      </c>
      <c r="I231" s="138">
        <v>1</v>
      </c>
      <c r="J231" s="144">
        <v>28025838</v>
      </c>
      <c r="K231" s="144">
        <v>14012925</v>
      </c>
      <c r="L231" s="143">
        <v>0</v>
      </c>
      <c r="M231" s="143">
        <v>0</v>
      </c>
      <c r="N231" s="143">
        <v>0</v>
      </c>
      <c r="O231" s="143">
        <v>0</v>
      </c>
      <c r="P231" s="148"/>
      <c r="Q231" s="138" t="s">
        <v>36</v>
      </c>
      <c r="R231" s="138" t="s">
        <v>169</v>
      </c>
      <c r="S231" s="145" t="s">
        <v>3692</v>
      </c>
      <c r="T231" s="148"/>
      <c r="U231" s="202">
        <v>224</v>
      </c>
      <c r="V231" s="203" t="b">
        <v>1</v>
      </c>
      <c r="W231" s="204" t="s">
        <v>3285</v>
      </c>
      <c r="X231" s="128"/>
      <c r="Y231" s="128"/>
      <c r="Z231" s="128"/>
    </row>
    <row r="232" spans="1:26" ht="12.5" hidden="1">
      <c r="A232" s="138">
        <v>225</v>
      </c>
      <c r="B232" s="173" t="s">
        <v>52</v>
      </c>
      <c r="C232" s="139">
        <v>40816</v>
      </c>
      <c r="D232" s="173">
        <v>302099909049003</v>
      </c>
      <c r="E232" s="145" t="s">
        <v>3706</v>
      </c>
      <c r="F232" s="145">
        <v>16294843</v>
      </c>
      <c r="G232" s="173" t="s">
        <v>1754</v>
      </c>
      <c r="H232" s="138" t="s">
        <v>19</v>
      </c>
      <c r="I232" s="138">
        <v>1</v>
      </c>
      <c r="J232" s="144">
        <v>28025838</v>
      </c>
      <c r="K232" s="144">
        <v>14012925</v>
      </c>
      <c r="L232" s="143">
        <v>0</v>
      </c>
      <c r="M232" s="143">
        <v>0</v>
      </c>
      <c r="N232" s="143">
        <v>0</v>
      </c>
      <c r="O232" s="143">
        <v>0</v>
      </c>
      <c r="P232" s="148"/>
      <c r="Q232" s="138" t="s">
        <v>36</v>
      </c>
      <c r="R232" s="138" t="s">
        <v>169</v>
      </c>
      <c r="S232" s="145" t="s">
        <v>3692</v>
      </c>
      <c r="T232" s="148"/>
      <c r="U232" s="202">
        <v>225</v>
      </c>
      <c r="V232" s="203" t="b">
        <v>1</v>
      </c>
      <c r="W232" s="204" t="s">
        <v>3285</v>
      </c>
      <c r="X232" s="128"/>
      <c r="Y232" s="128"/>
      <c r="Z232" s="128"/>
    </row>
    <row r="233" spans="1:26" ht="12.5" hidden="1">
      <c r="A233" s="138">
        <v>226</v>
      </c>
      <c r="B233" s="173" t="s">
        <v>52</v>
      </c>
      <c r="C233" s="139">
        <v>40816</v>
      </c>
      <c r="D233" s="173">
        <v>302099909049004</v>
      </c>
      <c r="E233" s="145" t="s">
        <v>3706</v>
      </c>
      <c r="F233" s="145">
        <v>17295477</v>
      </c>
      <c r="G233" s="173" t="s">
        <v>1754</v>
      </c>
      <c r="H233" s="138" t="s">
        <v>19</v>
      </c>
      <c r="I233" s="138">
        <v>1</v>
      </c>
      <c r="J233" s="144">
        <v>28025839</v>
      </c>
      <c r="K233" s="144">
        <v>14012926</v>
      </c>
      <c r="L233" s="143">
        <v>0</v>
      </c>
      <c r="M233" s="143">
        <v>0</v>
      </c>
      <c r="N233" s="143">
        <v>0</v>
      </c>
      <c r="O233" s="143">
        <v>0</v>
      </c>
      <c r="P233" s="148"/>
      <c r="Q233" s="138" t="s">
        <v>36</v>
      </c>
      <c r="R233" s="138" t="s">
        <v>169</v>
      </c>
      <c r="S233" s="145" t="s">
        <v>3692</v>
      </c>
      <c r="T233" s="148"/>
      <c r="U233" s="202">
        <v>226</v>
      </c>
      <c r="V233" s="203" t="b">
        <v>1</v>
      </c>
      <c r="W233" s="204" t="s">
        <v>3285</v>
      </c>
      <c r="X233" s="128"/>
      <c r="Y233" s="128"/>
      <c r="Z233" s="128"/>
    </row>
    <row r="234" spans="1:26" ht="12.5" hidden="1">
      <c r="A234" s="138">
        <v>227</v>
      </c>
      <c r="B234" s="173">
        <v>236</v>
      </c>
      <c r="C234" s="139">
        <v>38681</v>
      </c>
      <c r="D234" s="173">
        <v>30411012004</v>
      </c>
      <c r="E234" s="145" t="s">
        <v>3707</v>
      </c>
      <c r="F234" s="145" t="s">
        <v>3708</v>
      </c>
      <c r="G234" s="148"/>
      <c r="H234" s="216"/>
      <c r="I234" s="138">
        <v>1</v>
      </c>
      <c r="J234" s="144">
        <v>2592235</v>
      </c>
      <c r="K234" s="143">
        <v>0</v>
      </c>
      <c r="L234" s="143">
        <v>0</v>
      </c>
      <c r="M234" s="143">
        <v>0</v>
      </c>
      <c r="N234" s="143">
        <v>0</v>
      </c>
      <c r="O234" s="143">
        <v>0</v>
      </c>
      <c r="P234" s="173" t="s">
        <v>3400</v>
      </c>
      <c r="Q234" s="138" t="s">
        <v>206</v>
      </c>
      <c r="R234" s="138" t="s">
        <v>1514</v>
      </c>
      <c r="S234" s="145" t="s">
        <v>3709</v>
      </c>
      <c r="T234" s="148"/>
      <c r="U234" s="202">
        <v>227</v>
      </c>
      <c r="V234" s="203" t="b">
        <v>1</v>
      </c>
      <c r="W234" s="204" t="s">
        <v>3285</v>
      </c>
      <c r="X234" s="128"/>
      <c r="Y234" s="128"/>
      <c r="Z234" s="128"/>
    </row>
    <row r="235" spans="1:26" ht="12.5" hidden="1">
      <c r="A235" s="211">
        <v>228</v>
      </c>
      <c r="B235" s="217">
        <v>236</v>
      </c>
      <c r="C235" s="212">
        <v>38681</v>
      </c>
      <c r="D235" s="213">
        <v>30411012005</v>
      </c>
      <c r="E235" s="214" t="s">
        <v>3707</v>
      </c>
      <c r="F235" s="214" t="s">
        <v>3710</v>
      </c>
      <c r="G235" s="218"/>
      <c r="H235" s="215"/>
      <c r="I235" s="211">
        <v>1</v>
      </c>
      <c r="J235" s="219">
        <v>2592235</v>
      </c>
      <c r="K235" s="220">
        <v>0</v>
      </c>
      <c r="L235" s="220">
        <v>0</v>
      </c>
      <c r="M235" s="220">
        <v>0</v>
      </c>
      <c r="N235" s="220">
        <v>0</v>
      </c>
      <c r="O235" s="220">
        <v>0</v>
      </c>
      <c r="P235" s="213" t="s">
        <v>3400</v>
      </c>
      <c r="Q235" s="211" t="s">
        <v>206</v>
      </c>
      <c r="R235" s="211" t="s">
        <v>1514</v>
      </c>
      <c r="S235" s="214" t="s">
        <v>2023</v>
      </c>
      <c r="T235" s="201"/>
      <c r="U235" s="202">
        <v>228</v>
      </c>
      <c r="V235" s="203" t="b">
        <v>1</v>
      </c>
      <c r="W235" s="405" t="s">
        <v>3397</v>
      </c>
      <c r="X235" s="406"/>
      <c r="Y235" s="128"/>
      <c r="Z235" s="128"/>
    </row>
    <row r="236" spans="1:26" ht="12.5" hidden="1">
      <c r="A236" s="211">
        <v>229</v>
      </c>
      <c r="B236" s="213" t="s">
        <v>3711</v>
      </c>
      <c r="C236" s="212">
        <v>39611</v>
      </c>
      <c r="D236" s="213">
        <v>30411150001</v>
      </c>
      <c r="E236" s="214" t="s">
        <v>3712</v>
      </c>
      <c r="F236" s="214" t="s">
        <v>3713</v>
      </c>
      <c r="G236" s="213" t="s">
        <v>35</v>
      </c>
      <c r="H236" s="211" t="s">
        <v>249</v>
      </c>
      <c r="I236" s="211">
        <v>1</v>
      </c>
      <c r="J236" s="246">
        <v>3136000</v>
      </c>
      <c r="K236" s="246">
        <v>209057</v>
      </c>
      <c r="L236" s="247">
        <v>0</v>
      </c>
      <c r="M236" s="247">
        <v>0</v>
      </c>
      <c r="N236" s="247">
        <v>0</v>
      </c>
      <c r="O236" s="247">
        <v>0</v>
      </c>
      <c r="P236" s="201"/>
      <c r="Q236" s="211" t="s">
        <v>36</v>
      </c>
      <c r="R236" s="211" t="s">
        <v>169</v>
      </c>
      <c r="S236" s="213" t="s">
        <v>3714</v>
      </c>
      <c r="T236" s="213" t="s">
        <v>3714</v>
      </c>
      <c r="U236" s="202">
        <v>229</v>
      </c>
      <c r="V236" s="203" t="b">
        <v>1</v>
      </c>
      <c r="W236" s="405" t="s">
        <v>3397</v>
      </c>
      <c r="X236" s="406"/>
      <c r="Y236" s="128"/>
      <c r="Z236" s="128"/>
    </row>
    <row r="237" spans="1:26" ht="12.5" hidden="1">
      <c r="A237" s="138">
        <v>230</v>
      </c>
      <c r="B237" s="173" t="s">
        <v>3715</v>
      </c>
      <c r="C237" s="139">
        <v>40543</v>
      </c>
      <c r="D237" s="173">
        <v>30411176003</v>
      </c>
      <c r="E237" s="145" t="s">
        <v>3716</v>
      </c>
      <c r="F237" s="145" t="s">
        <v>3717</v>
      </c>
      <c r="G237" s="148"/>
      <c r="H237" s="138" t="s">
        <v>249</v>
      </c>
      <c r="I237" s="138">
        <v>1</v>
      </c>
      <c r="J237" s="144">
        <v>13181818</v>
      </c>
      <c r="K237" s="144">
        <v>6590908</v>
      </c>
      <c r="L237" s="143">
        <v>0</v>
      </c>
      <c r="M237" s="143">
        <v>0</v>
      </c>
      <c r="N237" s="143">
        <v>0</v>
      </c>
      <c r="O237" s="143">
        <v>0</v>
      </c>
      <c r="P237" s="148"/>
      <c r="Q237" s="138" t="s">
        <v>36</v>
      </c>
      <c r="R237" s="138" t="s">
        <v>3512</v>
      </c>
      <c r="S237" s="145" t="s">
        <v>3718</v>
      </c>
      <c r="T237" s="148"/>
      <c r="U237" s="202">
        <v>230</v>
      </c>
      <c r="V237" s="203" t="b">
        <v>1</v>
      </c>
      <c r="W237" s="204" t="s">
        <v>3285</v>
      </c>
      <c r="X237" s="128"/>
      <c r="Y237" s="128"/>
      <c r="Z237" s="128"/>
    </row>
    <row r="238" spans="1:26" ht="12.5" hidden="1">
      <c r="A238" s="138">
        <v>231</v>
      </c>
      <c r="B238" s="173" t="s">
        <v>3715</v>
      </c>
      <c r="C238" s="139">
        <v>40543</v>
      </c>
      <c r="D238" s="173">
        <v>30411176004</v>
      </c>
      <c r="E238" s="145" t="s">
        <v>3716</v>
      </c>
      <c r="F238" s="145" t="s">
        <v>3719</v>
      </c>
      <c r="G238" s="148"/>
      <c r="H238" s="138" t="s">
        <v>249</v>
      </c>
      <c r="I238" s="138">
        <v>1</v>
      </c>
      <c r="J238" s="144">
        <v>13181818</v>
      </c>
      <c r="K238" s="144">
        <v>6590908</v>
      </c>
      <c r="L238" s="143">
        <v>0</v>
      </c>
      <c r="M238" s="143">
        <v>0</v>
      </c>
      <c r="N238" s="143">
        <v>0</v>
      </c>
      <c r="O238" s="143">
        <v>0</v>
      </c>
      <c r="P238" s="148"/>
      <c r="Q238" s="138" t="s">
        <v>36</v>
      </c>
      <c r="R238" s="138" t="s">
        <v>169</v>
      </c>
      <c r="S238" s="145" t="s">
        <v>3720</v>
      </c>
      <c r="T238" s="148"/>
      <c r="U238" s="202">
        <v>231</v>
      </c>
      <c r="V238" s="203" t="b">
        <v>1</v>
      </c>
      <c r="W238" s="204" t="s">
        <v>3285</v>
      </c>
      <c r="X238" s="128"/>
      <c r="Y238" s="128"/>
      <c r="Z238" s="128"/>
    </row>
    <row r="239" spans="1:26" ht="12.5" hidden="1">
      <c r="A239" s="138">
        <v>232</v>
      </c>
      <c r="B239" s="209">
        <v>40756</v>
      </c>
      <c r="C239" s="139">
        <v>40638</v>
      </c>
      <c r="D239" s="173">
        <v>30411178001</v>
      </c>
      <c r="E239" s="145" t="s">
        <v>3716</v>
      </c>
      <c r="F239" s="145" t="s">
        <v>3721</v>
      </c>
      <c r="G239" s="173" t="s">
        <v>35</v>
      </c>
      <c r="H239" s="138" t="s">
        <v>249</v>
      </c>
      <c r="I239" s="138">
        <v>1</v>
      </c>
      <c r="J239" s="144">
        <v>8200000</v>
      </c>
      <c r="K239" s="144">
        <v>4646658</v>
      </c>
      <c r="L239" s="143">
        <v>0</v>
      </c>
      <c r="M239" s="143">
        <v>0</v>
      </c>
      <c r="N239" s="143">
        <v>0</v>
      </c>
      <c r="O239" s="143">
        <v>0</v>
      </c>
      <c r="P239" s="148"/>
      <c r="Q239" s="138" t="s">
        <v>206</v>
      </c>
      <c r="R239" s="138" t="s">
        <v>1040</v>
      </c>
      <c r="S239" s="196"/>
      <c r="T239" s="148"/>
      <c r="U239" s="202">
        <v>232</v>
      </c>
      <c r="V239" s="203" t="b">
        <v>1</v>
      </c>
      <c r="W239" s="204" t="s">
        <v>3285</v>
      </c>
      <c r="X239" s="128"/>
      <c r="Y239" s="128"/>
      <c r="Z239" s="128"/>
    </row>
    <row r="240" spans="1:26" ht="12.5">
      <c r="A240" s="138">
        <v>234</v>
      </c>
      <c r="B240" s="209">
        <v>40756</v>
      </c>
      <c r="C240" s="139">
        <v>40638</v>
      </c>
      <c r="D240" s="210" t="s">
        <v>3722</v>
      </c>
      <c r="E240" s="145" t="s">
        <v>3723</v>
      </c>
      <c r="F240" s="145" t="s">
        <v>3724</v>
      </c>
      <c r="G240" s="173" t="s">
        <v>35</v>
      </c>
      <c r="H240" s="138" t="s">
        <v>249</v>
      </c>
      <c r="I240" s="138">
        <v>1</v>
      </c>
      <c r="J240" s="144">
        <v>20050000</v>
      </c>
      <c r="K240" s="144">
        <v>11361658</v>
      </c>
      <c r="L240" s="143">
        <v>0</v>
      </c>
      <c r="M240" s="143">
        <v>0</v>
      </c>
      <c r="N240" s="143">
        <v>0</v>
      </c>
      <c r="O240" s="143">
        <v>0</v>
      </c>
      <c r="P240" s="148"/>
      <c r="Q240" s="138" t="s">
        <v>20</v>
      </c>
      <c r="R240" s="138" t="s">
        <v>229</v>
      </c>
      <c r="S240" s="145" t="s">
        <v>3336</v>
      </c>
      <c r="T240" s="148"/>
      <c r="U240" s="202">
        <v>233</v>
      </c>
      <c r="V240" s="203" t="b">
        <v>1</v>
      </c>
      <c r="W240" s="204" t="s">
        <v>3285</v>
      </c>
      <c r="X240" s="128"/>
      <c r="Y240" s="128"/>
      <c r="Z240" s="128"/>
    </row>
    <row r="241" spans="1:26" ht="12.5" hidden="1">
      <c r="A241" s="138">
        <v>235</v>
      </c>
      <c r="B241" s="173" t="s">
        <v>2723</v>
      </c>
      <c r="C241" s="139">
        <v>41502</v>
      </c>
      <c r="D241" s="173">
        <v>30411192001</v>
      </c>
      <c r="E241" s="145" t="s">
        <v>3725</v>
      </c>
      <c r="F241" s="145">
        <v>2003828</v>
      </c>
      <c r="G241" s="173" t="s">
        <v>1435</v>
      </c>
      <c r="H241" s="138" t="s">
        <v>249</v>
      </c>
      <c r="I241" s="138">
        <v>1</v>
      </c>
      <c r="J241" s="144">
        <v>28900000</v>
      </c>
      <c r="K241" s="144">
        <v>28900000</v>
      </c>
      <c r="L241" s="143">
        <v>0</v>
      </c>
      <c r="M241" s="143">
        <v>0</v>
      </c>
      <c r="N241" s="143">
        <v>0</v>
      </c>
      <c r="O241" s="143">
        <v>0</v>
      </c>
      <c r="P241" s="148"/>
      <c r="Q241" s="138" t="s">
        <v>20</v>
      </c>
      <c r="R241" s="138" t="s">
        <v>423</v>
      </c>
      <c r="S241" s="145" t="s">
        <v>3335</v>
      </c>
      <c r="T241" s="148"/>
      <c r="U241" s="202">
        <v>234</v>
      </c>
      <c r="V241" s="203" t="b">
        <v>1</v>
      </c>
      <c r="W241" s="204" t="s">
        <v>3285</v>
      </c>
      <c r="X241" s="128"/>
      <c r="Y241" s="128"/>
      <c r="Z241" s="128"/>
    </row>
    <row r="242" spans="1:26" ht="12.5">
      <c r="A242" s="138">
        <v>236</v>
      </c>
      <c r="B242" s="173" t="s">
        <v>2723</v>
      </c>
      <c r="C242" s="139">
        <v>41502</v>
      </c>
      <c r="D242" s="210" t="s">
        <v>3726</v>
      </c>
      <c r="E242" s="145" t="s">
        <v>3725</v>
      </c>
      <c r="F242" s="145">
        <v>2003829</v>
      </c>
      <c r="G242" s="173" t="s">
        <v>1435</v>
      </c>
      <c r="H242" s="138" t="s">
        <v>249</v>
      </c>
      <c r="I242" s="138">
        <v>1</v>
      </c>
      <c r="J242" s="144">
        <v>28900000</v>
      </c>
      <c r="K242" s="144">
        <v>28900000</v>
      </c>
      <c r="L242" s="143">
        <v>0</v>
      </c>
      <c r="M242" s="143">
        <v>0</v>
      </c>
      <c r="N242" s="143">
        <v>0</v>
      </c>
      <c r="O242" s="143">
        <v>0</v>
      </c>
      <c r="P242" s="148"/>
      <c r="Q242" s="138" t="s">
        <v>20</v>
      </c>
      <c r="R242" s="138" t="s">
        <v>229</v>
      </c>
      <c r="S242" s="145" t="s">
        <v>3727</v>
      </c>
      <c r="T242" s="148"/>
      <c r="U242" s="202">
        <v>235</v>
      </c>
      <c r="V242" s="203" t="b">
        <v>1</v>
      </c>
      <c r="W242" s="204" t="s">
        <v>3285</v>
      </c>
      <c r="X242" s="128"/>
      <c r="Y242" s="128"/>
      <c r="Z242" s="128"/>
    </row>
    <row r="243" spans="1:26" ht="12.5" hidden="1">
      <c r="A243" s="138">
        <v>237</v>
      </c>
      <c r="B243" s="173" t="s">
        <v>2723</v>
      </c>
      <c r="C243" s="139">
        <v>41502</v>
      </c>
      <c r="D243" s="173">
        <v>30411192006</v>
      </c>
      <c r="E243" s="145" t="s">
        <v>3725</v>
      </c>
      <c r="F243" s="145">
        <v>2003703</v>
      </c>
      <c r="G243" s="173" t="s">
        <v>1435</v>
      </c>
      <c r="H243" s="138" t="s">
        <v>249</v>
      </c>
      <c r="I243" s="138">
        <v>1</v>
      </c>
      <c r="J243" s="144">
        <v>28900000</v>
      </c>
      <c r="K243" s="144">
        <v>28900000</v>
      </c>
      <c r="L243" s="143">
        <v>0</v>
      </c>
      <c r="M243" s="143">
        <v>0</v>
      </c>
      <c r="N243" s="143">
        <v>0</v>
      </c>
      <c r="O243" s="143">
        <v>0</v>
      </c>
      <c r="P243" s="148"/>
      <c r="Q243" s="138" t="s">
        <v>20</v>
      </c>
      <c r="R243" s="138" t="s">
        <v>233</v>
      </c>
      <c r="S243" s="145" t="s">
        <v>3728</v>
      </c>
      <c r="T243" s="148"/>
      <c r="U243" s="202">
        <v>236</v>
      </c>
      <c r="V243" s="203" t="b">
        <v>1</v>
      </c>
      <c r="W243" s="204" t="s">
        <v>3285</v>
      </c>
      <c r="X243" s="128"/>
      <c r="Y243" s="128"/>
      <c r="Z243" s="128"/>
    </row>
    <row r="244" spans="1:26" ht="12.5" hidden="1">
      <c r="A244" s="138">
        <v>238</v>
      </c>
      <c r="B244" s="173" t="s">
        <v>3518</v>
      </c>
      <c r="C244" s="139">
        <v>41509</v>
      </c>
      <c r="D244" s="173">
        <v>40205013001</v>
      </c>
      <c r="E244" s="145" t="s">
        <v>3729</v>
      </c>
      <c r="F244" s="145" t="s">
        <v>3730</v>
      </c>
      <c r="G244" s="173" t="s">
        <v>1435</v>
      </c>
      <c r="H244" s="138" t="s">
        <v>19</v>
      </c>
      <c r="I244" s="138">
        <v>1</v>
      </c>
      <c r="J244" s="144">
        <v>9950000</v>
      </c>
      <c r="K244" s="144">
        <v>9950000</v>
      </c>
      <c r="L244" s="143">
        <v>0</v>
      </c>
      <c r="M244" s="143">
        <v>0</v>
      </c>
      <c r="N244" s="143">
        <v>0</v>
      </c>
      <c r="O244" s="143">
        <v>0</v>
      </c>
      <c r="P244" s="148"/>
      <c r="Q244" s="138" t="s">
        <v>887</v>
      </c>
      <c r="R244" s="138" t="s">
        <v>888</v>
      </c>
      <c r="S244" s="145" t="s">
        <v>888</v>
      </c>
      <c r="T244" s="148"/>
      <c r="U244" s="202">
        <v>237</v>
      </c>
      <c r="V244" s="203" t="b">
        <v>1</v>
      </c>
      <c r="W244" s="204" t="s">
        <v>3285</v>
      </c>
      <c r="X244" s="128"/>
      <c r="Y244" s="128"/>
      <c r="Z244" s="128"/>
    </row>
    <row r="245" spans="1:26" ht="12.5" hidden="1">
      <c r="A245" s="138">
        <v>239</v>
      </c>
      <c r="B245" s="173" t="s">
        <v>3518</v>
      </c>
      <c r="C245" s="139">
        <v>41509</v>
      </c>
      <c r="D245" s="173">
        <v>40205013002</v>
      </c>
      <c r="E245" s="145" t="s">
        <v>3729</v>
      </c>
      <c r="F245" s="145" t="s">
        <v>3731</v>
      </c>
      <c r="G245" s="173" t="s">
        <v>1435</v>
      </c>
      <c r="H245" s="138" t="s">
        <v>19</v>
      </c>
      <c r="I245" s="138">
        <v>1</v>
      </c>
      <c r="J245" s="144">
        <v>9950000</v>
      </c>
      <c r="K245" s="144">
        <v>9950000</v>
      </c>
      <c r="L245" s="143">
        <v>0</v>
      </c>
      <c r="M245" s="143">
        <v>0</v>
      </c>
      <c r="N245" s="143">
        <v>0</v>
      </c>
      <c r="O245" s="143">
        <v>0</v>
      </c>
      <c r="P245" s="148"/>
      <c r="Q245" s="138" t="s">
        <v>206</v>
      </c>
      <c r="R245" s="138" t="s">
        <v>1514</v>
      </c>
      <c r="S245" s="145" t="s">
        <v>3732</v>
      </c>
      <c r="T245" s="148"/>
      <c r="U245" s="202">
        <v>238</v>
      </c>
      <c r="V245" s="203" t="b">
        <v>1</v>
      </c>
      <c r="W245" s="204" t="s">
        <v>3285</v>
      </c>
      <c r="X245" s="128"/>
      <c r="Y245" s="128"/>
      <c r="Z245" s="128"/>
    </row>
    <row r="246" spans="1:26" ht="12.5" hidden="1">
      <c r="A246" s="138">
        <v>240</v>
      </c>
      <c r="B246" s="173" t="s">
        <v>3733</v>
      </c>
      <c r="C246" s="139">
        <v>37750</v>
      </c>
      <c r="D246" s="173">
        <v>40206004005</v>
      </c>
      <c r="E246" s="145" t="s">
        <v>3734</v>
      </c>
      <c r="F246" s="196"/>
      <c r="G246" s="148"/>
      <c r="H246" s="216"/>
      <c r="I246" s="138">
        <v>1</v>
      </c>
      <c r="J246" s="144">
        <v>3766500</v>
      </c>
      <c r="K246" s="143">
        <v>0</v>
      </c>
      <c r="L246" s="143">
        <v>0</v>
      </c>
      <c r="M246" s="143">
        <v>0</v>
      </c>
      <c r="N246" s="143">
        <v>0</v>
      </c>
      <c r="O246" s="143">
        <v>0</v>
      </c>
      <c r="P246" s="148"/>
      <c r="Q246" s="138" t="s">
        <v>206</v>
      </c>
      <c r="R246" s="138" t="s">
        <v>1514</v>
      </c>
      <c r="S246" s="145" t="s">
        <v>3732</v>
      </c>
      <c r="T246" s="148"/>
      <c r="U246" s="202">
        <v>239</v>
      </c>
      <c r="V246" s="203" t="b">
        <v>1</v>
      </c>
      <c r="W246" s="204" t="s">
        <v>3285</v>
      </c>
      <c r="X246" s="128"/>
      <c r="Y246" s="128"/>
      <c r="Z246" s="128"/>
    </row>
    <row r="247" spans="1:26" ht="12.5" hidden="1">
      <c r="A247" s="138">
        <v>241</v>
      </c>
      <c r="B247" s="173" t="s">
        <v>3733</v>
      </c>
      <c r="C247" s="139">
        <v>37750</v>
      </c>
      <c r="D247" s="173">
        <v>40206004006</v>
      </c>
      <c r="E247" s="145" t="s">
        <v>3734</v>
      </c>
      <c r="F247" s="196"/>
      <c r="G247" s="148"/>
      <c r="H247" s="216"/>
      <c r="I247" s="138">
        <v>1</v>
      </c>
      <c r="J247" s="144">
        <v>3766500</v>
      </c>
      <c r="K247" s="143">
        <v>0</v>
      </c>
      <c r="L247" s="143">
        <v>0</v>
      </c>
      <c r="M247" s="143">
        <v>0</v>
      </c>
      <c r="N247" s="143">
        <v>0</v>
      </c>
      <c r="O247" s="143">
        <v>0</v>
      </c>
      <c r="P247" s="148"/>
      <c r="Q247" s="138" t="s">
        <v>206</v>
      </c>
      <c r="R247" s="138" t="s">
        <v>1514</v>
      </c>
      <c r="S247" s="145" t="s">
        <v>3732</v>
      </c>
      <c r="T247" s="148"/>
      <c r="U247" s="202">
        <v>240</v>
      </c>
      <c r="V247" s="203" t="b">
        <v>1</v>
      </c>
      <c r="W247" s="204" t="s">
        <v>3285</v>
      </c>
      <c r="X247" s="128"/>
      <c r="Y247" s="128"/>
      <c r="Z247" s="128"/>
    </row>
    <row r="248" spans="1:26" ht="12.5" hidden="1">
      <c r="A248" s="138">
        <v>242</v>
      </c>
      <c r="B248" s="173" t="s">
        <v>3735</v>
      </c>
      <c r="C248" s="139">
        <v>41107</v>
      </c>
      <c r="D248" s="173">
        <v>507006001</v>
      </c>
      <c r="E248" s="145" t="s">
        <v>3736</v>
      </c>
      <c r="F248" s="196"/>
      <c r="G248" s="148"/>
      <c r="H248" s="138" t="s">
        <v>249</v>
      </c>
      <c r="I248" s="138">
        <v>1</v>
      </c>
      <c r="J248" s="144">
        <v>12700000</v>
      </c>
      <c r="K248" s="144">
        <v>10371663</v>
      </c>
      <c r="L248" s="143">
        <v>0</v>
      </c>
      <c r="M248" s="143">
        <v>0</v>
      </c>
      <c r="N248" s="143">
        <v>0</v>
      </c>
      <c r="O248" s="143">
        <v>0</v>
      </c>
      <c r="P248" s="148"/>
      <c r="Q248" s="216"/>
      <c r="R248" s="138" t="s">
        <v>3737</v>
      </c>
      <c r="S248" s="145" t="s">
        <v>3738</v>
      </c>
      <c r="T248" s="148"/>
      <c r="U248" s="202">
        <v>241</v>
      </c>
      <c r="V248" s="203" t="b">
        <v>1</v>
      </c>
      <c r="W248" s="204" t="s">
        <v>3285</v>
      </c>
      <c r="X248" s="128"/>
      <c r="Y248" s="128"/>
      <c r="Z248" s="128"/>
    </row>
    <row r="249" spans="1:26" ht="12.5" hidden="1">
      <c r="A249" s="211">
        <v>243</v>
      </c>
      <c r="B249" s="231">
        <v>40969</v>
      </c>
      <c r="C249" s="212">
        <v>40948</v>
      </c>
      <c r="D249" s="213">
        <v>509071001</v>
      </c>
      <c r="E249" s="214" t="s">
        <v>3739</v>
      </c>
      <c r="F249" s="221"/>
      <c r="G249" s="218"/>
      <c r="H249" s="211" t="s">
        <v>19</v>
      </c>
      <c r="I249" s="211">
        <v>1</v>
      </c>
      <c r="J249" s="219">
        <v>12565809</v>
      </c>
      <c r="K249" s="219">
        <v>9214929</v>
      </c>
      <c r="L249" s="220">
        <v>0</v>
      </c>
      <c r="M249" s="220">
        <v>0</v>
      </c>
      <c r="N249" s="220">
        <v>0</v>
      </c>
      <c r="O249" s="220">
        <v>0</v>
      </c>
      <c r="P249" s="201"/>
      <c r="Q249" s="211" t="s">
        <v>206</v>
      </c>
      <c r="R249" s="211" t="s">
        <v>1514</v>
      </c>
      <c r="S249" s="214" t="s">
        <v>3740</v>
      </c>
      <c r="T249" s="201"/>
      <c r="U249" s="202">
        <v>242</v>
      </c>
      <c r="V249" s="203" t="b">
        <v>1</v>
      </c>
      <c r="W249" s="405" t="s">
        <v>3397</v>
      </c>
      <c r="X249" s="406"/>
      <c r="Y249" s="128"/>
      <c r="Z249" s="128"/>
    </row>
    <row r="250" spans="1:26" ht="12.5" hidden="1">
      <c r="A250" s="211">
        <v>244</v>
      </c>
      <c r="B250" s="231">
        <v>40969</v>
      </c>
      <c r="C250" s="212">
        <v>40948</v>
      </c>
      <c r="D250" s="213">
        <v>509071002</v>
      </c>
      <c r="E250" s="214" t="s">
        <v>3739</v>
      </c>
      <c r="F250" s="221"/>
      <c r="G250" s="218"/>
      <c r="H250" s="211" t="s">
        <v>19</v>
      </c>
      <c r="I250" s="211">
        <v>1</v>
      </c>
      <c r="J250" s="219">
        <v>12565809</v>
      </c>
      <c r="K250" s="219">
        <v>9214929</v>
      </c>
      <c r="L250" s="220">
        <v>0</v>
      </c>
      <c r="M250" s="220">
        <v>0</v>
      </c>
      <c r="N250" s="220">
        <v>0</v>
      </c>
      <c r="O250" s="220">
        <v>0</v>
      </c>
      <c r="P250" s="201"/>
      <c r="Q250" s="211" t="s">
        <v>206</v>
      </c>
      <c r="R250" s="211" t="s">
        <v>1514</v>
      </c>
      <c r="S250" s="214" t="s">
        <v>3732</v>
      </c>
      <c r="T250" s="201"/>
      <c r="U250" s="202">
        <v>243</v>
      </c>
      <c r="V250" s="203" t="b">
        <v>1</v>
      </c>
      <c r="W250" s="405" t="s">
        <v>3397</v>
      </c>
      <c r="X250" s="406"/>
      <c r="Y250" s="128"/>
      <c r="Z250" s="128"/>
    </row>
    <row r="251" spans="1:26" ht="12.5" hidden="1">
      <c r="A251" s="138">
        <v>245</v>
      </c>
      <c r="B251" s="173">
        <v>103</v>
      </c>
      <c r="C251" s="139">
        <v>38125</v>
      </c>
      <c r="D251" s="173">
        <v>70109023001</v>
      </c>
      <c r="E251" s="145" t="s">
        <v>3741</v>
      </c>
      <c r="F251" s="196"/>
      <c r="G251" s="148"/>
      <c r="H251" s="216"/>
      <c r="I251" s="138">
        <v>1</v>
      </c>
      <c r="J251" s="144">
        <v>12576800</v>
      </c>
      <c r="K251" s="143">
        <v>0</v>
      </c>
      <c r="L251" s="143">
        <v>0</v>
      </c>
      <c r="M251" s="143">
        <v>0</v>
      </c>
      <c r="N251" s="143">
        <v>0</v>
      </c>
      <c r="O251" s="143">
        <v>0</v>
      </c>
      <c r="P251" s="173" t="s">
        <v>3480</v>
      </c>
      <c r="Q251" s="216"/>
      <c r="R251" s="216"/>
      <c r="S251" s="145" t="s">
        <v>3742</v>
      </c>
      <c r="T251" s="148"/>
      <c r="U251" s="202">
        <v>244</v>
      </c>
      <c r="V251" s="203" t="b">
        <v>1</v>
      </c>
      <c r="W251" s="204" t="s">
        <v>3285</v>
      </c>
      <c r="X251" s="128"/>
      <c r="Y251" s="128"/>
      <c r="Z251" s="128"/>
    </row>
    <row r="252" spans="1:26" ht="12.5">
      <c r="A252" s="138">
        <v>246</v>
      </c>
      <c r="B252" s="173" t="s">
        <v>3743</v>
      </c>
      <c r="C252" s="139">
        <v>43398</v>
      </c>
      <c r="D252" s="210" t="s">
        <v>3744</v>
      </c>
      <c r="E252" s="145" t="s">
        <v>3745</v>
      </c>
      <c r="F252" s="145" t="s">
        <v>3746</v>
      </c>
      <c r="G252" s="173" t="s">
        <v>55</v>
      </c>
      <c r="H252" s="138" t="s">
        <v>19</v>
      </c>
      <c r="I252" s="138">
        <v>1</v>
      </c>
      <c r="J252" s="144">
        <v>16800000</v>
      </c>
      <c r="K252" s="144">
        <v>16800000</v>
      </c>
      <c r="L252" s="144">
        <v>11200000</v>
      </c>
      <c r="M252" s="143">
        <v>33</v>
      </c>
      <c r="N252" s="143">
        <v>5600000</v>
      </c>
      <c r="O252" s="143">
        <v>5600000</v>
      </c>
      <c r="P252" s="148"/>
      <c r="Q252" s="138" t="s">
        <v>20</v>
      </c>
      <c r="R252" s="138" t="s">
        <v>229</v>
      </c>
      <c r="S252" s="145" t="s">
        <v>3747</v>
      </c>
      <c r="T252" s="173" t="s">
        <v>923</v>
      </c>
      <c r="U252" s="202">
        <v>245</v>
      </c>
      <c r="V252" s="203" t="b">
        <v>1</v>
      </c>
      <c r="W252" s="204" t="s">
        <v>3285</v>
      </c>
      <c r="X252" s="128"/>
      <c r="Y252" s="128"/>
      <c r="Z252" s="128"/>
    </row>
    <row r="253" spans="1:26" ht="12.5" hidden="1">
      <c r="A253" s="138">
        <v>247</v>
      </c>
      <c r="B253" s="173" t="s">
        <v>3743</v>
      </c>
      <c r="C253" s="139">
        <v>43398</v>
      </c>
      <c r="D253" s="173" t="s">
        <v>3748</v>
      </c>
      <c r="E253" s="145" t="s">
        <v>3745</v>
      </c>
      <c r="F253" s="145" t="s">
        <v>3749</v>
      </c>
      <c r="G253" s="173" t="s">
        <v>55</v>
      </c>
      <c r="H253" s="138" t="s">
        <v>19</v>
      </c>
      <c r="I253" s="138">
        <v>1</v>
      </c>
      <c r="J253" s="144">
        <v>16800000</v>
      </c>
      <c r="K253" s="144">
        <v>16800000</v>
      </c>
      <c r="L253" s="144">
        <v>11200000</v>
      </c>
      <c r="M253" s="143">
        <v>33</v>
      </c>
      <c r="N253" s="143">
        <v>5600000</v>
      </c>
      <c r="O253" s="143">
        <v>5600000</v>
      </c>
      <c r="P253" s="148"/>
      <c r="Q253" s="138" t="s">
        <v>20</v>
      </c>
      <c r="R253" s="138" t="s">
        <v>233</v>
      </c>
      <c r="S253" s="145" t="s">
        <v>3750</v>
      </c>
      <c r="T253" s="148"/>
      <c r="U253" s="202">
        <v>246</v>
      </c>
      <c r="V253" s="203" t="b">
        <v>1</v>
      </c>
      <c r="W253" s="204" t="s">
        <v>3285</v>
      </c>
      <c r="X253" s="128"/>
      <c r="Y253" s="128"/>
      <c r="Z253" s="128"/>
    </row>
    <row r="254" spans="1:26" ht="12.5" hidden="1">
      <c r="A254" s="138">
        <v>248</v>
      </c>
      <c r="B254" s="173" t="s">
        <v>3743</v>
      </c>
      <c r="C254" s="139">
        <v>43398</v>
      </c>
      <c r="D254" s="173" t="s">
        <v>3751</v>
      </c>
      <c r="E254" s="145" t="s">
        <v>3745</v>
      </c>
      <c r="F254" s="145" t="s">
        <v>3752</v>
      </c>
      <c r="G254" s="173" t="s">
        <v>55</v>
      </c>
      <c r="H254" s="138" t="s">
        <v>19</v>
      </c>
      <c r="I254" s="138">
        <v>1</v>
      </c>
      <c r="J254" s="144">
        <v>16800000</v>
      </c>
      <c r="K254" s="144">
        <v>16800000</v>
      </c>
      <c r="L254" s="144">
        <v>11200000</v>
      </c>
      <c r="M254" s="143">
        <v>33</v>
      </c>
      <c r="N254" s="143">
        <v>5600000</v>
      </c>
      <c r="O254" s="143">
        <v>5600000</v>
      </c>
      <c r="P254" s="148"/>
      <c r="Q254" s="138" t="s">
        <v>20</v>
      </c>
      <c r="R254" s="138" t="s">
        <v>423</v>
      </c>
      <c r="S254" s="145" t="s">
        <v>3753</v>
      </c>
      <c r="T254" s="148"/>
      <c r="U254" s="202">
        <v>247</v>
      </c>
      <c r="V254" s="203" t="b">
        <v>1</v>
      </c>
      <c r="W254" s="204" t="s">
        <v>3285</v>
      </c>
      <c r="X254" s="128"/>
      <c r="Y254" s="128"/>
      <c r="Z254" s="128"/>
    </row>
    <row r="255" spans="1:26" ht="12.5" hidden="1">
      <c r="A255" s="138">
        <v>249</v>
      </c>
      <c r="B255" s="173" t="s">
        <v>3743</v>
      </c>
      <c r="C255" s="139">
        <v>43398</v>
      </c>
      <c r="D255" s="173" t="s">
        <v>3754</v>
      </c>
      <c r="E255" s="145" t="s">
        <v>3745</v>
      </c>
      <c r="F255" s="145" t="s">
        <v>3755</v>
      </c>
      <c r="G255" s="173" t="s">
        <v>55</v>
      </c>
      <c r="H255" s="138" t="s">
        <v>19</v>
      </c>
      <c r="I255" s="138">
        <v>1</v>
      </c>
      <c r="J255" s="144">
        <v>16800000</v>
      </c>
      <c r="K255" s="144">
        <v>16800000</v>
      </c>
      <c r="L255" s="144">
        <v>11200000</v>
      </c>
      <c r="M255" s="143">
        <v>33</v>
      </c>
      <c r="N255" s="143">
        <v>5600000</v>
      </c>
      <c r="O255" s="143">
        <v>5600000</v>
      </c>
      <c r="P255" s="148"/>
      <c r="Q255" s="138" t="s">
        <v>20</v>
      </c>
      <c r="R255" s="138" t="s">
        <v>423</v>
      </c>
      <c r="S255" s="145" t="s">
        <v>3756</v>
      </c>
      <c r="T255" s="148"/>
      <c r="U255" s="202">
        <v>248</v>
      </c>
      <c r="V255" s="203" t="b">
        <v>1</v>
      </c>
      <c r="W255" s="204" t="s">
        <v>3285</v>
      </c>
      <c r="X255" s="128"/>
      <c r="Y255" s="128"/>
      <c r="Z255" s="128"/>
    </row>
    <row r="256" spans="1:26" ht="12.5" hidden="1">
      <c r="A256" s="138">
        <v>250</v>
      </c>
      <c r="B256" s="173" t="s">
        <v>3757</v>
      </c>
      <c r="C256" s="139">
        <v>42733</v>
      </c>
      <c r="D256" s="173" t="s">
        <v>3758</v>
      </c>
      <c r="E256" s="145" t="s">
        <v>3759</v>
      </c>
      <c r="F256" s="145">
        <v>8150048400033</v>
      </c>
      <c r="G256" s="173" t="s">
        <v>1868</v>
      </c>
      <c r="H256" s="138" t="s">
        <v>19</v>
      </c>
      <c r="I256" s="138">
        <v>1</v>
      </c>
      <c r="J256" s="144">
        <v>18990000</v>
      </c>
      <c r="K256" s="144">
        <v>18990000</v>
      </c>
      <c r="L256" s="143">
        <v>0</v>
      </c>
      <c r="M256" s="143">
        <v>0</v>
      </c>
      <c r="N256" s="143">
        <v>0</v>
      </c>
      <c r="O256" s="143">
        <v>0</v>
      </c>
      <c r="P256" s="148"/>
      <c r="Q256" s="138" t="s">
        <v>20</v>
      </c>
      <c r="R256" s="138" t="s">
        <v>233</v>
      </c>
      <c r="S256" s="145" t="s">
        <v>3760</v>
      </c>
      <c r="T256" s="148"/>
      <c r="U256" s="202">
        <v>249</v>
      </c>
      <c r="V256" s="203" t="b">
        <v>1</v>
      </c>
      <c r="W256" s="204" t="s">
        <v>3285</v>
      </c>
      <c r="X256" s="128"/>
      <c r="Y256" s="128"/>
      <c r="Z256" s="128"/>
    </row>
    <row r="257" spans="1:26" ht="12.5" hidden="1">
      <c r="A257" s="138">
        <v>251</v>
      </c>
      <c r="B257" s="173" t="s">
        <v>3757</v>
      </c>
      <c r="C257" s="139">
        <v>42733</v>
      </c>
      <c r="D257" s="173" t="s">
        <v>3761</v>
      </c>
      <c r="E257" s="145" t="s">
        <v>3759</v>
      </c>
      <c r="F257" s="145">
        <v>8150048400015</v>
      </c>
      <c r="G257" s="173" t="s">
        <v>1868</v>
      </c>
      <c r="H257" s="138" t="s">
        <v>19</v>
      </c>
      <c r="I257" s="138">
        <v>1</v>
      </c>
      <c r="J257" s="144">
        <v>18990000</v>
      </c>
      <c r="K257" s="144">
        <v>18990000</v>
      </c>
      <c r="L257" s="143">
        <v>0</v>
      </c>
      <c r="M257" s="143">
        <v>0</v>
      </c>
      <c r="N257" s="143">
        <v>0</v>
      </c>
      <c r="O257" s="143">
        <v>0</v>
      </c>
      <c r="P257" s="148"/>
      <c r="Q257" s="138" t="s">
        <v>20</v>
      </c>
      <c r="R257" s="138" t="s">
        <v>295</v>
      </c>
      <c r="S257" s="145" t="s">
        <v>3762</v>
      </c>
      <c r="T257" s="148"/>
      <c r="U257" s="202">
        <v>250</v>
      </c>
      <c r="V257" s="203" t="b">
        <v>1</v>
      </c>
      <c r="W257" s="204" t="s">
        <v>3285</v>
      </c>
      <c r="X257" s="128"/>
      <c r="Y257" s="128"/>
      <c r="Z257" s="128"/>
    </row>
    <row r="258" spans="1:26" ht="12.5" hidden="1">
      <c r="A258" s="138">
        <v>252</v>
      </c>
      <c r="B258" s="173" t="s">
        <v>3763</v>
      </c>
      <c r="C258" s="139">
        <v>42733</v>
      </c>
      <c r="D258" s="173" t="s">
        <v>3764</v>
      </c>
      <c r="E258" s="145" t="s">
        <v>3765</v>
      </c>
      <c r="F258" s="145">
        <v>3150493900007</v>
      </c>
      <c r="G258" s="173" t="s">
        <v>1868</v>
      </c>
      <c r="H258" s="138" t="s">
        <v>19</v>
      </c>
      <c r="I258" s="138">
        <v>1</v>
      </c>
      <c r="J258" s="144">
        <v>4750000</v>
      </c>
      <c r="K258" s="144">
        <v>4750000</v>
      </c>
      <c r="L258" s="143">
        <v>0</v>
      </c>
      <c r="M258" s="143">
        <v>0</v>
      </c>
      <c r="N258" s="143">
        <v>0</v>
      </c>
      <c r="O258" s="143">
        <v>0</v>
      </c>
      <c r="P258" s="148"/>
      <c r="Q258" s="138" t="s">
        <v>20</v>
      </c>
      <c r="R258" s="138" t="s">
        <v>295</v>
      </c>
      <c r="S258" s="145" t="s">
        <v>2077</v>
      </c>
      <c r="T258" s="148"/>
      <c r="U258" s="202">
        <v>251</v>
      </c>
      <c r="V258" s="203" t="b">
        <v>1</v>
      </c>
      <c r="W258" s="204" t="s">
        <v>3285</v>
      </c>
      <c r="X258" s="128"/>
      <c r="Y258" s="128"/>
      <c r="Z258" s="128"/>
    </row>
    <row r="259" spans="1:26" ht="12.5" hidden="1">
      <c r="A259" s="138">
        <v>253</v>
      </c>
      <c r="B259" s="173" t="s">
        <v>3763</v>
      </c>
      <c r="C259" s="139">
        <v>42733</v>
      </c>
      <c r="D259" s="173" t="s">
        <v>3766</v>
      </c>
      <c r="E259" s="145" t="s">
        <v>3765</v>
      </c>
      <c r="F259" s="145">
        <v>3150493900005</v>
      </c>
      <c r="G259" s="173" t="s">
        <v>1868</v>
      </c>
      <c r="H259" s="138" t="s">
        <v>19</v>
      </c>
      <c r="I259" s="138">
        <v>1</v>
      </c>
      <c r="J259" s="144">
        <v>4750000</v>
      </c>
      <c r="K259" s="144">
        <v>4750000</v>
      </c>
      <c r="L259" s="143">
        <v>0</v>
      </c>
      <c r="M259" s="143">
        <v>0</v>
      </c>
      <c r="N259" s="143">
        <v>0</v>
      </c>
      <c r="O259" s="143">
        <v>0</v>
      </c>
      <c r="P259" s="148"/>
      <c r="Q259" s="138" t="s">
        <v>20</v>
      </c>
      <c r="R259" s="138" t="s">
        <v>295</v>
      </c>
      <c r="S259" s="145" t="s">
        <v>2077</v>
      </c>
      <c r="T259" s="148"/>
      <c r="U259" s="202">
        <v>252</v>
      </c>
      <c r="V259" s="203" t="b">
        <v>1</v>
      </c>
      <c r="W259" s="204" t="s">
        <v>3285</v>
      </c>
      <c r="X259" s="128"/>
      <c r="Y259" s="128"/>
      <c r="Z259" s="128"/>
    </row>
    <row r="260" spans="1:26" ht="12.5" hidden="1">
      <c r="A260" s="138">
        <v>254</v>
      </c>
      <c r="B260" s="173" t="s">
        <v>3763</v>
      </c>
      <c r="C260" s="139">
        <v>42733</v>
      </c>
      <c r="D260" s="173" t="s">
        <v>3767</v>
      </c>
      <c r="E260" s="145" t="s">
        <v>3765</v>
      </c>
      <c r="F260" s="145">
        <v>3150493900011</v>
      </c>
      <c r="G260" s="173" t="s">
        <v>1868</v>
      </c>
      <c r="H260" s="138" t="s">
        <v>19</v>
      </c>
      <c r="I260" s="138">
        <v>1</v>
      </c>
      <c r="J260" s="144">
        <v>4750000</v>
      </c>
      <c r="K260" s="144">
        <v>4750000</v>
      </c>
      <c r="L260" s="143">
        <v>0</v>
      </c>
      <c r="M260" s="143">
        <v>0</v>
      </c>
      <c r="N260" s="143">
        <v>0</v>
      </c>
      <c r="O260" s="143">
        <v>0</v>
      </c>
      <c r="P260" s="148"/>
      <c r="Q260" s="138" t="s">
        <v>20</v>
      </c>
      <c r="R260" s="138" t="s">
        <v>295</v>
      </c>
      <c r="S260" s="145" t="s">
        <v>2077</v>
      </c>
      <c r="T260" s="148"/>
      <c r="U260" s="202">
        <v>253</v>
      </c>
      <c r="V260" s="203" t="b">
        <v>1</v>
      </c>
      <c r="W260" s="204" t="s">
        <v>3285</v>
      </c>
      <c r="X260" s="128"/>
      <c r="Y260" s="128"/>
      <c r="Z260" s="128"/>
    </row>
    <row r="261" spans="1:26" ht="12.5" hidden="1">
      <c r="A261" s="138">
        <v>255</v>
      </c>
      <c r="B261" s="173" t="s">
        <v>3757</v>
      </c>
      <c r="C261" s="139">
        <v>42733</v>
      </c>
      <c r="D261" s="173" t="s">
        <v>3768</v>
      </c>
      <c r="E261" s="145" t="s">
        <v>3769</v>
      </c>
      <c r="F261" s="145">
        <v>2643136</v>
      </c>
      <c r="G261" s="173" t="s">
        <v>307</v>
      </c>
      <c r="H261" s="138" t="s">
        <v>19</v>
      </c>
      <c r="I261" s="138">
        <v>1</v>
      </c>
      <c r="J261" s="144">
        <v>13750000</v>
      </c>
      <c r="K261" s="144">
        <v>13750000</v>
      </c>
      <c r="L261" s="143">
        <v>0</v>
      </c>
      <c r="M261" s="143">
        <v>0</v>
      </c>
      <c r="N261" s="143">
        <v>0</v>
      </c>
      <c r="O261" s="143">
        <v>0</v>
      </c>
      <c r="P261" s="148"/>
      <c r="Q261" s="138" t="s">
        <v>206</v>
      </c>
      <c r="R261" s="138" t="s">
        <v>1514</v>
      </c>
      <c r="S261" s="145" t="s">
        <v>3770</v>
      </c>
      <c r="T261" s="148"/>
      <c r="U261" s="202">
        <v>254</v>
      </c>
      <c r="V261" s="203" t="b">
        <v>1</v>
      </c>
      <c r="W261" s="204" t="s">
        <v>3285</v>
      </c>
      <c r="X261" s="128"/>
      <c r="Y261" s="128"/>
      <c r="Z261" s="128"/>
    </row>
    <row r="262" spans="1:26" ht="12.5" hidden="1">
      <c r="A262" s="138">
        <v>256</v>
      </c>
      <c r="B262" s="173" t="s">
        <v>3757</v>
      </c>
      <c r="C262" s="139">
        <v>42733</v>
      </c>
      <c r="D262" s="173" t="s">
        <v>3771</v>
      </c>
      <c r="E262" s="145" t="s">
        <v>3769</v>
      </c>
      <c r="F262" s="145">
        <v>2643198</v>
      </c>
      <c r="G262" s="173" t="s">
        <v>307</v>
      </c>
      <c r="H262" s="138" t="s">
        <v>19</v>
      </c>
      <c r="I262" s="138">
        <v>1</v>
      </c>
      <c r="J262" s="144">
        <v>13750000</v>
      </c>
      <c r="K262" s="144">
        <v>13750000</v>
      </c>
      <c r="L262" s="143">
        <v>0</v>
      </c>
      <c r="M262" s="143">
        <v>0</v>
      </c>
      <c r="N262" s="143">
        <v>0</v>
      </c>
      <c r="O262" s="143">
        <v>0</v>
      </c>
      <c r="P262" s="148"/>
      <c r="Q262" s="138" t="s">
        <v>206</v>
      </c>
      <c r="R262" s="138" t="s">
        <v>1514</v>
      </c>
      <c r="S262" s="145" t="s">
        <v>3770</v>
      </c>
      <c r="T262" s="148"/>
      <c r="U262" s="202">
        <v>255</v>
      </c>
      <c r="V262" s="203" t="b">
        <v>1</v>
      </c>
      <c r="W262" s="204" t="s">
        <v>3285</v>
      </c>
      <c r="X262" s="128"/>
      <c r="Y262" s="128"/>
      <c r="Z262" s="128"/>
    </row>
    <row r="263" spans="1:26" ht="12.5" hidden="1">
      <c r="A263" s="138">
        <v>257</v>
      </c>
      <c r="B263" s="173" t="s">
        <v>3757</v>
      </c>
      <c r="C263" s="139">
        <v>42733</v>
      </c>
      <c r="D263" s="173" t="s">
        <v>3772</v>
      </c>
      <c r="E263" s="145" t="s">
        <v>3769</v>
      </c>
      <c r="F263" s="145">
        <v>2643144</v>
      </c>
      <c r="G263" s="173" t="s">
        <v>307</v>
      </c>
      <c r="H263" s="138" t="s">
        <v>19</v>
      </c>
      <c r="I263" s="138">
        <v>1</v>
      </c>
      <c r="J263" s="144">
        <v>13750000</v>
      </c>
      <c r="K263" s="144">
        <v>13750000</v>
      </c>
      <c r="L263" s="143">
        <v>0</v>
      </c>
      <c r="M263" s="143">
        <v>0</v>
      </c>
      <c r="N263" s="143">
        <v>0</v>
      </c>
      <c r="O263" s="143">
        <v>0</v>
      </c>
      <c r="P263" s="148"/>
      <c r="Q263" s="138" t="s">
        <v>20</v>
      </c>
      <c r="R263" s="138" t="s">
        <v>295</v>
      </c>
      <c r="S263" s="145" t="s">
        <v>2077</v>
      </c>
      <c r="T263" s="148"/>
      <c r="U263" s="202">
        <v>256</v>
      </c>
      <c r="V263" s="203" t="b">
        <v>1</v>
      </c>
      <c r="W263" s="204" t="s">
        <v>3285</v>
      </c>
      <c r="X263" s="128"/>
      <c r="Y263" s="128"/>
      <c r="Z263" s="128"/>
    </row>
    <row r="264" spans="1:26" ht="12.5">
      <c r="A264" s="138">
        <v>258</v>
      </c>
      <c r="B264" s="173" t="s">
        <v>3757</v>
      </c>
      <c r="C264" s="139">
        <v>42733</v>
      </c>
      <c r="D264" s="210" t="s">
        <v>3773</v>
      </c>
      <c r="E264" s="145" t="s">
        <v>3769</v>
      </c>
      <c r="F264" s="145">
        <v>2643070</v>
      </c>
      <c r="G264" s="173" t="s">
        <v>307</v>
      </c>
      <c r="H264" s="138" t="s">
        <v>19</v>
      </c>
      <c r="I264" s="138">
        <v>1</v>
      </c>
      <c r="J264" s="144">
        <v>13750000</v>
      </c>
      <c r="K264" s="144">
        <v>13750000</v>
      </c>
      <c r="L264" s="143">
        <v>0</v>
      </c>
      <c r="M264" s="143">
        <v>0</v>
      </c>
      <c r="N264" s="143">
        <v>0</v>
      </c>
      <c r="O264" s="143">
        <v>0</v>
      </c>
      <c r="P264" s="148"/>
      <c r="Q264" s="138" t="s">
        <v>20</v>
      </c>
      <c r="R264" s="138" t="s">
        <v>229</v>
      </c>
      <c r="S264" s="145" t="s">
        <v>3774</v>
      </c>
      <c r="T264" s="148"/>
      <c r="U264" s="202">
        <v>257</v>
      </c>
      <c r="V264" s="203" t="b">
        <v>1</v>
      </c>
      <c r="W264" s="204" t="s">
        <v>3285</v>
      </c>
      <c r="X264" s="128"/>
      <c r="Y264" s="128"/>
      <c r="Z264" s="128"/>
    </row>
    <row r="265" spans="1:26" ht="12.5" hidden="1">
      <c r="A265" s="138">
        <v>259</v>
      </c>
      <c r="B265" s="173" t="s">
        <v>3763</v>
      </c>
      <c r="C265" s="139">
        <v>42733</v>
      </c>
      <c r="D265" s="173" t="s">
        <v>3775</v>
      </c>
      <c r="E265" s="145" t="s">
        <v>3776</v>
      </c>
      <c r="F265" s="145">
        <v>2557935</v>
      </c>
      <c r="G265" s="173" t="s">
        <v>307</v>
      </c>
      <c r="H265" s="138" t="s">
        <v>19</v>
      </c>
      <c r="I265" s="138">
        <v>1</v>
      </c>
      <c r="J265" s="144">
        <v>8200000</v>
      </c>
      <c r="K265" s="144">
        <v>8200000</v>
      </c>
      <c r="L265" s="143">
        <v>0</v>
      </c>
      <c r="M265" s="143">
        <v>0</v>
      </c>
      <c r="N265" s="143">
        <v>0</v>
      </c>
      <c r="O265" s="143">
        <v>0</v>
      </c>
      <c r="P265" s="148"/>
      <c r="Q265" s="138" t="s">
        <v>20</v>
      </c>
      <c r="R265" s="138" t="s">
        <v>295</v>
      </c>
      <c r="S265" s="145" t="s">
        <v>2077</v>
      </c>
      <c r="T265" s="148"/>
      <c r="U265" s="202">
        <v>258</v>
      </c>
      <c r="V265" s="203" t="b">
        <v>1</v>
      </c>
      <c r="W265" s="204" t="s">
        <v>3285</v>
      </c>
      <c r="X265" s="128"/>
      <c r="Y265" s="128"/>
      <c r="Z265" s="128"/>
    </row>
    <row r="266" spans="1:26" ht="12.5" hidden="1">
      <c r="A266" s="138">
        <v>260</v>
      </c>
      <c r="B266" s="173" t="s">
        <v>3763</v>
      </c>
      <c r="C266" s="139">
        <v>42733</v>
      </c>
      <c r="D266" s="173" t="s">
        <v>3777</v>
      </c>
      <c r="E266" s="145" t="s">
        <v>3776</v>
      </c>
      <c r="F266" s="145">
        <v>2558158</v>
      </c>
      <c r="G266" s="173" t="s">
        <v>307</v>
      </c>
      <c r="H266" s="138" t="s">
        <v>19</v>
      </c>
      <c r="I266" s="138">
        <v>1</v>
      </c>
      <c r="J266" s="144">
        <v>8200000</v>
      </c>
      <c r="K266" s="144">
        <v>8200000</v>
      </c>
      <c r="L266" s="143">
        <v>0</v>
      </c>
      <c r="M266" s="143">
        <v>0</v>
      </c>
      <c r="N266" s="143">
        <v>0</v>
      </c>
      <c r="O266" s="143">
        <v>0</v>
      </c>
      <c r="P266" s="148"/>
      <c r="Q266" s="138" t="s">
        <v>20</v>
      </c>
      <c r="R266" s="138" t="s">
        <v>295</v>
      </c>
      <c r="S266" s="145" t="s">
        <v>2077</v>
      </c>
      <c r="T266" s="148"/>
      <c r="U266" s="202">
        <v>259</v>
      </c>
      <c r="V266" s="203" t="b">
        <v>1</v>
      </c>
      <c r="W266" s="204" t="s">
        <v>3285</v>
      </c>
      <c r="X266" s="128"/>
      <c r="Y266" s="128"/>
      <c r="Z266" s="128"/>
    </row>
    <row r="267" spans="1:26" ht="12.5" hidden="1">
      <c r="A267" s="138">
        <v>261</v>
      </c>
      <c r="B267" s="173" t="s">
        <v>3763</v>
      </c>
      <c r="C267" s="139">
        <v>42733</v>
      </c>
      <c r="D267" s="173" t="s">
        <v>3778</v>
      </c>
      <c r="E267" s="145" t="s">
        <v>3779</v>
      </c>
      <c r="F267" s="145">
        <v>2623411</v>
      </c>
      <c r="G267" s="173" t="s">
        <v>307</v>
      </c>
      <c r="H267" s="138" t="s">
        <v>19</v>
      </c>
      <c r="I267" s="138">
        <v>1</v>
      </c>
      <c r="J267" s="144">
        <v>8200000</v>
      </c>
      <c r="K267" s="144">
        <v>8200000</v>
      </c>
      <c r="L267" s="143">
        <v>0</v>
      </c>
      <c r="M267" s="143">
        <v>0</v>
      </c>
      <c r="N267" s="143">
        <v>0</v>
      </c>
      <c r="O267" s="143">
        <v>0</v>
      </c>
      <c r="P267" s="148"/>
      <c r="Q267" s="138" t="s">
        <v>20</v>
      </c>
      <c r="R267" s="138" t="s">
        <v>423</v>
      </c>
      <c r="S267" s="145" t="s">
        <v>3780</v>
      </c>
      <c r="T267" s="148"/>
      <c r="U267" s="202">
        <v>260</v>
      </c>
      <c r="V267" s="203" t="b">
        <v>1</v>
      </c>
      <c r="W267" s="204" t="s">
        <v>3285</v>
      </c>
      <c r="X267" s="128"/>
      <c r="Y267" s="128"/>
      <c r="Z267" s="128"/>
    </row>
    <row r="268" spans="1:26" ht="12.5" hidden="1">
      <c r="A268" s="138">
        <v>262</v>
      </c>
      <c r="B268" s="173" t="s">
        <v>3763</v>
      </c>
      <c r="C268" s="139">
        <v>42733</v>
      </c>
      <c r="D268" s="173" t="s">
        <v>3781</v>
      </c>
      <c r="E268" s="145" t="s">
        <v>3779</v>
      </c>
      <c r="F268" s="145">
        <v>2623406</v>
      </c>
      <c r="G268" s="173" t="s">
        <v>307</v>
      </c>
      <c r="H268" s="138" t="s">
        <v>19</v>
      </c>
      <c r="I268" s="138">
        <v>1</v>
      </c>
      <c r="J268" s="144">
        <v>8200000</v>
      </c>
      <c r="K268" s="144">
        <v>8200000</v>
      </c>
      <c r="L268" s="143">
        <v>0</v>
      </c>
      <c r="M268" s="143">
        <v>0</v>
      </c>
      <c r="N268" s="143">
        <v>0</v>
      </c>
      <c r="O268" s="143">
        <v>0</v>
      </c>
      <c r="P268" s="148"/>
      <c r="Q268" s="138" t="s">
        <v>20</v>
      </c>
      <c r="R268" s="138" t="s">
        <v>423</v>
      </c>
      <c r="S268" s="145" t="s">
        <v>3782</v>
      </c>
      <c r="T268" s="148"/>
      <c r="U268" s="202">
        <v>261</v>
      </c>
      <c r="V268" s="203" t="b">
        <v>1</v>
      </c>
      <c r="W268" s="204" t="s">
        <v>3285</v>
      </c>
      <c r="X268" s="128"/>
      <c r="Y268" s="128"/>
      <c r="Z268" s="128"/>
    </row>
    <row r="269" spans="1:26" ht="12.5" hidden="1">
      <c r="A269" s="138">
        <v>263</v>
      </c>
      <c r="B269" s="173" t="s">
        <v>3783</v>
      </c>
      <c r="C269" s="139">
        <v>42731</v>
      </c>
      <c r="D269" s="173" t="s">
        <v>3784</v>
      </c>
      <c r="E269" s="145" t="s">
        <v>3785</v>
      </c>
      <c r="F269" s="196"/>
      <c r="G269" s="173" t="s">
        <v>407</v>
      </c>
      <c r="H269" s="138" t="s">
        <v>249</v>
      </c>
      <c r="I269" s="138">
        <v>1</v>
      </c>
      <c r="J269" s="144">
        <v>6500000</v>
      </c>
      <c r="K269" s="144">
        <v>6500000</v>
      </c>
      <c r="L269" s="143">
        <v>0</v>
      </c>
      <c r="M269" s="143">
        <v>0</v>
      </c>
      <c r="N269" s="143">
        <v>0</v>
      </c>
      <c r="O269" s="143">
        <v>0</v>
      </c>
      <c r="P269" s="148"/>
      <c r="Q269" s="138" t="s">
        <v>20</v>
      </c>
      <c r="R269" s="138" t="s">
        <v>233</v>
      </c>
      <c r="S269" s="145" t="s">
        <v>3786</v>
      </c>
      <c r="T269" s="148"/>
      <c r="U269" s="202">
        <v>262</v>
      </c>
      <c r="V269" s="203" t="b">
        <v>1</v>
      </c>
      <c r="W269" s="204" t="s">
        <v>3285</v>
      </c>
      <c r="X269" s="128"/>
      <c r="Y269" s="128"/>
      <c r="Z269" s="128"/>
    </row>
    <row r="270" spans="1:26" ht="12.5" hidden="1">
      <c r="A270" s="138">
        <v>264</v>
      </c>
      <c r="B270" s="173" t="s">
        <v>3783</v>
      </c>
      <c r="C270" s="139">
        <v>42731</v>
      </c>
      <c r="D270" s="173" t="s">
        <v>3787</v>
      </c>
      <c r="E270" s="145" t="s">
        <v>3785</v>
      </c>
      <c r="F270" s="196"/>
      <c r="G270" s="173" t="s">
        <v>407</v>
      </c>
      <c r="H270" s="138" t="s">
        <v>249</v>
      </c>
      <c r="I270" s="138">
        <v>1</v>
      </c>
      <c r="J270" s="144">
        <v>6500000</v>
      </c>
      <c r="K270" s="144">
        <v>6500000</v>
      </c>
      <c r="L270" s="143">
        <v>0</v>
      </c>
      <c r="M270" s="143">
        <v>0</v>
      </c>
      <c r="N270" s="143">
        <v>0</v>
      </c>
      <c r="O270" s="143">
        <v>0</v>
      </c>
      <c r="P270" s="148"/>
      <c r="Q270" s="138" t="s">
        <v>20</v>
      </c>
      <c r="R270" s="138" t="s">
        <v>233</v>
      </c>
      <c r="S270" s="145" t="s">
        <v>3788</v>
      </c>
      <c r="T270" s="148"/>
      <c r="U270" s="202">
        <v>263</v>
      </c>
      <c r="V270" s="203" t="b">
        <v>1</v>
      </c>
      <c r="W270" s="204" t="s">
        <v>3285</v>
      </c>
      <c r="X270" s="128"/>
      <c r="Y270" s="128"/>
      <c r="Z270" s="128"/>
    </row>
    <row r="271" spans="1:26" ht="12.5" hidden="1">
      <c r="A271" s="211">
        <v>265</v>
      </c>
      <c r="B271" s="173" t="s">
        <v>3783</v>
      </c>
      <c r="C271" s="212">
        <v>42731</v>
      </c>
      <c r="D271" s="213" t="s">
        <v>3789</v>
      </c>
      <c r="E271" s="214" t="s">
        <v>3785</v>
      </c>
      <c r="F271" s="221"/>
      <c r="G271" s="173" t="s">
        <v>407</v>
      </c>
      <c r="H271" s="211" t="s">
        <v>249</v>
      </c>
      <c r="I271" s="211">
        <v>1</v>
      </c>
      <c r="J271" s="144">
        <v>6500000</v>
      </c>
      <c r="K271" s="144">
        <v>6500000</v>
      </c>
      <c r="L271" s="143">
        <v>0</v>
      </c>
      <c r="M271" s="143">
        <v>0</v>
      </c>
      <c r="N271" s="143">
        <v>0</v>
      </c>
      <c r="O271" s="143">
        <v>0</v>
      </c>
      <c r="P271" s="201"/>
      <c r="Q271" s="211" t="s">
        <v>20</v>
      </c>
      <c r="R271" s="211" t="s">
        <v>21</v>
      </c>
      <c r="S271" s="214" t="s">
        <v>22</v>
      </c>
      <c r="T271" s="201"/>
      <c r="U271" s="202">
        <v>264</v>
      </c>
      <c r="V271" s="203" t="b">
        <v>1</v>
      </c>
      <c r="W271" s="405" t="s">
        <v>3397</v>
      </c>
      <c r="X271" s="406"/>
      <c r="Y271" s="128"/>
      <c r="Z271" s="128"/>
    </row>
    <row r="272" spans="1:26" ht="12.5" hidden="1">
      <c r="A272" s="211">
        <v>266</v>
      </c>
      <c r="B272" s="173" t="s">
        <v>3790</v>
      </c>
      <c r="C272" s="212">
        <v>43059</v>
      </c>
      <c r="D272" s="213" t="s">
        <v>3791</v>
      </c>
      <c r="E272" s="214" t="s">
        <v>3792</v>
      </c>
      <c r="F272" s="221"/>
      <c r="G272" s="148"/>
      <c r="H272" s="211" t="s">
        <v>249</v>
      </c>
      <c r="I272" s="211">
        <v>1</v>
      </c>
      <c r="J272" s="144">
        <v>3276000</v>
      </c>
      <c r="K272" s="144">
        <v>3276000</v>
      </c>
      <c r="L272" s="143">
        <v>0</v>
      </c>
      <c r="M272" s="143">
        <v>0</v>
      </c>
      <c r="N272" s="143">
        <v>0</v>
      </c>
      <c r="O272" s="143">
        <v>0</v>
      </c>
      <c r="P272" s="201"/>
      <c r="Q272" s="211" t="s">
        <v>20</v>
      </c>
      <c r="R272" s="211" t="s">
        <v>21</v>
      </c>
      <c r="S272" s="214" t="s">
        <v>22</v>
      </c>
      <c r="T272" s="201"/>
      <c r="U272" s="202">
        <v>265</v>
      </c>
      <c r="V272" s="203" t="b">
        <v>1</v>
      </c>
      <c r="W272" s="405" t="s">
        <v>3397</v>
      </c>
      <c r="X272" s="406"/>
      <c r="Y272" s="128"/>
      <c r="Z272" s="128"/>
    </row>
    <row r="273" spans="1:26" ht="12.5" hidden="1">
      <c r="A273" s="211">
        <v>267</v>
      </c>
      <c r="B273" s="173" t="s">
        <v>3790</v>
      </c>
      <c r="C273" s="212">
        <v>43059</v>
      </c>
      <c r="D273" s="213" t="s">
        <v>3793</v>
      </c>
      <c r="E273" s="214" t="s">
        <v>3792</v>
      </c>
      <c r="F273" s="221"/>
      <c r="G273" s="148"/>
      <c r="H273" s="211" t="s">
        <v>249</v>
      </c>
      <c r="I273" s="211">
        <v>1</v>
      </c>
      <c r="J273" s="144">
        <v>3276000</v>
      </c>
      <c r="K273" s="144">
        <v>3276000</v>
      </c>
      <c r="L273" s="143">
        <v>0</v>
      </c>
      <c r="M273" s="143">
        <v>0</v>
      </c>
      <c r="N273" s="143">
        <v>0</v>
      </c>
      <c r="O273" s="143">
        <v>0</v>
      </c>
      <c r="P273" s="201"/>
      <c r="Q273" s="211" t="s">
        <v>20</v>
      </c>
      <c r="R273" s="211" t="s">
        <v>21</v>
      </c>
      <c r="S273" s="214" t="s">
        <v>22</v>
      </c>
      <c r="T273" s="201"/>
      <c r="U273" s="202">
        <v>266</v>
      </c>
      <c r="V273" s="203" t="b">
        <v>1</v>
      </c>
      <c r="W273" s="405" t="s">
        <v>3397</v>
      </c>
      <c r="X273" s="406"/>
      <c r="Y273" s="128"/>
      <c r="Z273" s="128"/>
    </row>
    <row r="274" spans="1:26" ht="12.5" hidden="1">
      <c r="A274" s="211">
        <v>268</v>
      </c>
      <c r="B274" s="173" t="s">
        <v>3794</v>
      </c>
      <c r="C274" s="212">
        <v>43069</v>
      </c>
      <c r="D274" s="213" t="s">
        <v>3795</v>
      </c>
      <c r="E274" s="214" t="s">
        <v>3796</v>
      </c>
      <c r="F274" s="221"/>
      <c r="G274" s="148"/>
      <c r="H274" s="211" t="s">
        <v>249</v>
      </c>
      <c r="I274" s="211">
        <v>1</v>
      </c>
      <c r="J274" s="144">
        <v>3276000</v>
      </c>
      <c r="K274" s="144">
        <v>3276000</v>
      </c>
      <c r="L274" s="143">
        <v>0</v>
      </c>
      <c r="M274" s="143">
        <v>0</v>
      </c>
      <c r="N274" s="143">
        <v>0</v>
      </c>
      <c r="O274" s="143">
        <v>0</v>
      </c>
      <c r="P274" s="201"/>
      <c r="Q274" s="211" t="s">
        <v>20</v>
      </c>
      <c r="R274" s="211" t="s">
        <v>21</v>
      </c>
      <c r="S274" s="214" t="s">
        <v>22</v>
      </c>
      <c r="T274" s="201"/>
      <c r="U274" s="202">
        <v>267</v>
      </c>
      <c r="V274" s="203" t="b">
        <v>1</v>
      </c>
      <c r="W274" s="405" t="s">
        <v>3397</v>
      </c>
      <c r="X274" s="406"/>
      <c r="Y274" s="128"/>
      <c r="Z274" s="128"/>
    </row>
    <row r="275" spans="1:26" ht="12.5" hidden="1">
      <c r="A275" s="211">
        <v>269</v>
      </c>
      <c r="B275" s="173" t="s">
        <v>3794</v>
      </c>
      <c r="C275" s="212">
        <v>43069</v>
      </c>
      <c r="D275" s="213" t="s">
        <v>3797</v>
      </c>
      <c r="E275" s="214" t="s">
        <v>3796</v>
      </c>
      <c r="F275" s="221"/>
      <c r="G275" s="148"/>
      <c r="H275" s="211" t="s">
        <v>249</v>
      </c>
      <c r="I275" s="211">
        <v>1</v>
      </c>
      <c r="J275" s="144">
        <v>3276000</v>
      </c>
      <c r="K275" s="144">
        <v>3276000</v>
      </c>
      <c r="L275" s="143">
        <v>0</v>
      </c>
      <c r="M275" s="143">
        <v>0</v>
      </c>
      <c r="N275" s="143">
        <v>0</v>
      </c>
      <c r="O275" s="143">
        <v>0</v>
      </c>
      <c r="P275" s="201"/>
      <c r="Q275" s="211" t="s">
        <v>20</v>
      </c>
      <c r="R275" s="211" t="s">
        <v>21</v>
      </c>
      <c r="S275" s="214" t="s">
        <v>22</v>
      </c>
      <c r="T275" s="201"/>
      <c r="U275" s="202">
        <v>268</v>
      </c>
      <c r="V275" s="203" t="b">
        <v>1</v>
      </c>
      <c r="W275" s="405" t="s">
        <v>3397</v>
      </c>
      <c r="X275" s="406"/>
      <c r="Y275" s="128"/>
      <c r="Z275" s="128"/>
    </row>
    <row r="276" spans="1:26" ht="12.5" hidden="1">
      <c r="A276" s="149">
        <v>270</v>
      </c>
      <c r="B276" s="173" t="s">
        <v>3798</v>
      </c>
      <c r="C276" s="163">
        <v>42731</v>
      </c>
      <c r="D276" s="248" t="s">
        <v>3799</v>
      </c>
      <c r="E276" s="249" t="s">
        <v>3800</v>
      </c>
      <c r="F276" s="250"/>
      <c r="G276" s="148"/>
      <c r="H276" s="149" t="s">
        <v>249</v>
      </c>
      <c r="I276" s="149">
        <v>1</v>
      </c>
      <c r="J276" s="144">
        <v>10555511</v>
      </c>
      <c r="K276" s="144">
        <v>10555511</v>
      </c>
      <c r="L276" s="143">
        <v>0</v>
      </c>
      <c r="M276" s="143">
        <v>0</v>
      </c>
      <c r="N276" s="143">
        <v>0</v>
      </c>
      <c r="O276" s="143">
        <v>0</v>
      </c>
      <c r="P276" s="148"/>
      <c r="Q276" s="149" t="s">
        <v>36</v>
      </c>
      <c r="R276" s="149" t="s">
        <v>3801</v>
      </c>
      <c r="S276" s="250"/>
      <c r="T276" s="148"/>
      <c r="U276" s="202">
        <v>269</v>
      </c>
      <c r="V276" s="203" t="b">
        <v>1</v>
      </c>
      <c r="W276" s="204" t="s">
        <v>3285</v>
      </c>
      <c r="X276" s="128"/>
      <c r="Y276" s="128"/>
      <c r="Z276" s="128"/>
    </row>
    <row r="277" spans="1:26" ht="12.5" hidden="1">
      <c r="A277" s="149">
        <v>271</v>
      </c>
      <c r="B277" s="173" t="s">
        <v>3798</v>
      </c>
      <c r="C277" s="163">
        <v>42731</v>
      </c>
      <c r="D277" s="248" t="s">
        <v>3802</v>
      </c>
      <c r="E277" s="249" t="s">
        <v>3800</v>
      </c>
      <c r="F277" s="250"/>
      <c r="G277" s="148"/>
      <c r="H277" s="149" t="s">
        <v>249</v>
      </c>
      <c r="I277" s="149">
        <v>1</v>
      </c>
      <c r="J277" s="144">
        <v>10555511</v>
      </c>
      <c r="K277" s="144">
        <v>10555511</v>
      </c>
      <c r="L277" s="143">
        <v>0</v>
      </c>
      <c r="M277" s="143">
        <v>0</v>
      </c>
      <c r="N277" s="143">
        <v>0</v>
      </c>
      <c r="O277" s="143">
        <v>0</v>
      </c>
      <c r="P277" s="148"/>
      <c r="Q277" s="149" t="s">
        <v>36</v>
      </c>
      <c r="R277" s="149" t="s">
        <v>3801</v>
      </c>
      <c r="S277" s="250"/>
      <c r="T277" s="148"/>
      <c r="U277" s="202">
        <v>270</v>
      </c>
      <c r="V277" s="203" t="b">
        <v>1</v>
      </c>
      <c r="W277" s="204" t="s">
        <v>3285</v>
      </c>
      <c r="X277" s="128"/>
      <c r="Y277" s="128"/>
      <c r="Z277" s="128"/>
    </row>
    <row r="278" spans="1:26" ht="12.5" hidden="1">
      <c r="A278" s="149">
        <v>272</v>
      </c>
      <c r="B278" s="173" t="s">
        <v>3798</v>
      </c>
      <c r="C278" s="163">
        <v>42731</v>
      </c>
      <c r="D278" s="248" t="s">
        <v>3803</v>
      </c>
      <c r="E278" s="249" t="s">
        <v>3800</v>
      </c>
      <c r="F278" s="250"/>
      <c r="G278" s="148"/>
      <c r="H278" s="149" t="s">
        <v>249</v>
      </c>
      <c r="I278" s="149">
        <v>1</v>
      </c>
      <c r="J278" s="144">
        <v>10555511</v>
      </c>
      <c r="K278" s="144">
        <v>10555511</v>
      </c>
      <c r="L278" s="143">
        <v>0</v>
      </c>
      <c r="M278" s="143">
        <v>0</v>
      </c>
      <c r="N278" s="143">
        <v>0</v>
      </c>
      <c r="O278" s="143">
        <v>0</v>
      </c>
      <c r="P278" s="148"/>
      <c r="Q278" s="149" t="s">
        <v>36</v>
      </c>
      <c r="R278" s="149" t="s">
        <v>3801</v>
      </c>
      <c r="S278" s="250"/>
      <c r="T278" s="148"/>
      <c r="U278" s="202">
        <v>271</v>
      </c>
      <c r="V278" s="203" t="b">
        <v>1</v>
      </c>
      <c r="W278" s="204" t="s">
        <v>3285</v>
      </c>
      <c r="X278" s="128"/>
      <c r="Y278" s="128"/>
      <c r="Z278" s="128"/>
    </row>
    <row r="279" spans="1:26" ht="12.5" hidden="1">
      <c r="A279" s="149">
        <v>273</v>
      </c>
      <c r="B279" s="173" t="s">
        <v>3798</v>
      </c>
      <c r="C279" s="163">
        <v>42731</v>
      </c>
      <c r="D279" s="248" t="s">
        <v>3804</v>
      </c>
      <c r="E279" s="249" t="s">
        <v>3800</v>
      </c>
      <c r="F279" s="250"/>
      <c r="G279" s="148"/>
      <c r="H279" s="149" t="s">
        <v>249</v>
      </c>
      <c r="I279" s="149">
        <v>1</v>
      </c>
      <c r="J279" s="144">
        <v>10555511</v>
      </c>
      <c r="K279" s="144">
        <v>10555511</v>
      </c>
      <c r="L279" s="143">
        <v>0</v>
      </c>
      <c r="M279" s="143">
        <v>0</v>
      </c>
      <c r="N279" s="143">
        <v>0</v>
      </c>
      <c r="O279" s="143">
        <v>0</v>
      </c>
      <c r="P279" s="148"/>
      <c r="Q279" s="149" t="s">
        <v>36</v>
      </c>
      <c r="R279" s="149" t="s">
        <v>3801</v>
      </c>
      <c r="S279" s="250"/>
      <c r="T279" s="148"/>
      <c r="U279" s="202">
        <v>272</v>
      </c>
      <c r="V279" s="203" t="b">
        <v>1</v>
      </c>
      <c r="W279" s="204" t="s">
        <v>3285</v>
      </c>
      <c r="X279" s="128"/>
      <c r="Y279" s="128"/>
      <c r="Z279" s="128"/>
    </row>
    <row r="280" spans="1:26" ht="12.5" hidden="1">
      <c r="A280" s="138">
        <v>274</v>
      </c>
      <c r="B280" s="173" t="s">
        <v>3805</v>
      </c>
      <c r="C280" s="139">
        <v>42935</v>
      </c>
      <c r="D280" s="173" t="s">
        <v>3806</v>
      </c>
      <c r="E280" s="145" t="s">
        <v>3807</v>
      </c>
      <c r="F280" s="196"/>
      <c r="G280" s="148"/>
      <c r="H280" s="138" t="s">
        <v>249</v>
      </c>
      <c r="I280" s="138">
        <v>1</v>
      </c>
      <c r="J280" s="144">
        <v>1950000</v>
      </c>
      <c r="K280" s="144">
        <v>1950000</v>
      </c>
      <c r="L280" s="143">
        <v>0</v>
      </c>
      <c r="M280" s="143">
        <v>0</v>
      </c>
      <c r="N280" s="143">
        <v>0</v>
      </c>
      <c r="O280" s="143">
        <v>0</v>
      </c>
      <c r="P280" s="148"/>
      <c r="Q280" s="138" t="s">
        <v>36</v>
      </c>
      <c r="R280" s="138" t="s">
        <v>37</v>
      </c>
      <c r="S280" s="145" t="s">
        <v>37</v>
      </c>
      <c r="T280" s="148"/>
      <c r="U280" s="202">
        <v>273</v>
      </c>
      <c r="V280" s="203" t="b">
        <v>1</v>
      </c>
      <c r="W280" s="204" t="s">
        <v>3285</v>
      </c>
      <c r="X280" s="128"/>
      <c r="Y280" s="128"/>
      <c r="Z280" s="128"/>
    </row>
    <row r="281" spans="1:26" ht="12.5" hidden="1">
      <c r="A281" s="138">
        <v>275</v>
      </c>
      <c r="B281" s="173" t="s">
        <v>3805</v>
      </c>
      <c r="C281" s="139">
        <v>42935</v>
      </c>
      <c r="D281" s="173" t="s">
        <v>3808</v>
      </c>
      <c r="E281" s="145" t="s">
        <v>3807</v>
      </c>
      <c r="F281" s="196"/>
      <c r="G281" s="148"/>
      <c r="H281" s="138" t="s">
        <v>249</v>
      </c>
      <c r="I281" s="138">
        <v>1</v>
      </c>
      <c r="J281" s="144">
        <v>1950000</v>
      </c>
      <c r="K281" s="144">
        <v>1950000</v>
      </c>
      <c r="L281" s="143">
        <v>0</v>
      </c>
      <c r="M281" s="143">
        <v>0</v>
      </c>
      <c r="N281" s="143">
        <v>0</v>
      </c>
      <c r="O281" s="143">
        <v>0</v>
      </c>
      <c r="P281" s="148"/>
      <c r="Q281" s="138" t="s">
        <v>206</v>
      </c>
      <c r="R281" s="138" t="s">
        <v>3635</v>
      </c>
      <c r="S281" s="145" t="s">
        <v>3809</v>
      </c>
      <c r="T281" s="148"/>
      <c r="U281" s="202">
        <v>274</v>
      </c>
      <c r="V281" s="203" t="b">
        <v>1</v>
      </c>
      <c r="W281" s="204" t="s">
        <v>3285</v>
      </c>
      <c r="X281" s="128"/>
      <c r="Y281" s="128"/>
      <c r="Z281" s="128"/>
    </row>
    <row r="282" spans="1:26" ht="12.5" hidden="1">
      <c r="A282" s="138">
        <v>276</v>
      </c>
      <c r="B282" s="173" t="s">
        <v>3805</v>
      </c>
      <c r="C282" s="139">
        <v>42935</v>
      </c>
      <c r="D282" s="173" t="s">
        <v>3810</v>
      </c>
      <c r="E282" s="145" t="s">
        <v>3807</v>
      </c>
      <c r="F282" s="196"/>
      <c r="G282" s="148"/>
      <c r="H282" s="138" t="s">
        <v>249</v>
      </c>
      <c r="I282" s="138">
        <v>1</v>
      </c>
      <c r="J282" s="144">
        <v>1950000</v>
      </c>
      <c r="K282" s="144">
        <v>1950000</v>
      </c>
      <c r="L282" s="143">
        <v>0</v>
      </c>
      <c r="M282" s="143">
        <v>0</v>
      </c>
      <c r="N282" s="143">
        <v>0</v>
      </c>
      <c r="O282" s="143">
        <v>0</v>
      </c>
      <c r="P282" s="148"/>
      <c r="Q282" s="138" t="s">
        <v>206</v>
      </c>
      <c r="R282" s="138" t="s">
        <v>3635</v>
      </c>
      <c r="S282" s="145" t="s">
        <v>3811</v>
      </c>
      <c r="T282" s="148"/>
      <c r="U282" s="202">
        <v>275</v>
      </c>
      <c r="V282" s="203" t="b">
        <v>1</v>
      </c>
      <c r="W282" s="204" t="s">
        <v>3285</v>
      </c>
      <c r="X282" s="128"/>
      <c r="Y282" s="128"/>
      <c r="Z282" s="128"/>
    </row>
    <row r="283" spans="1:26" ht="12.5" hidden="1">
      <c r="A283" s="138">
        <v>277</v>
      </c>
      <c r="B283" s="173" t="s">
        <v>3812</v>
      </c>
      <c r="C283" s="139">
        <v>42993</v>
      </c>
      <c r="D283" s="173" t="s">
        <v>3813</v>
      </c>
      <c r="E283" s="145" t="s">
        <v>3800</v>
      </c>
      <c r="F283" s="196"/>
      <c r="G283" s="148"/>
      <c r="H283" s="138" t="s">
        <v>249</v>
      </c>
      <c r="I283" s="138">
        <v>1</v>
      </c>
      <c r="J283" s="144">
        <v>1980000</v>
      </c>
      <c r="K283" s="144">
        <v>1980000</v>
      </c>
      <c r="L283" s="143">
        <v>0</v>
      </c>
      <c r="M283" s="143">
        <v>0</v>
      </c>
      <c r="N283" s="143">
        <v>0</v>
      </c>
      <c r="O283" s="143">
        <v>0</v>
      </c>
      <c r="P283" s="173" t="s">
        <v>3814</v>
      </c>
      <c r="Q283" s="138" t="s">
        <v>20</v>
      </c>
      <c r="R283" s="138" t="s">
        <v>295</v>
      </c>
      <c r="S283" s="145" t="s">
        <v>3815</v>
      </c>
      <c r="T283" s="148"/>
      <c r="U283" s="202">
        <v>276</v>
      </c>
      <c r="V283" s="203" t="b">
        <v>1</v>
      </c>
      <c r="W283" s="204" t="s">
        <v>3285</v>
      </c>
      <c r="X283" s="128"/>
      <c r="Y283" s="128"/>
      <c r="Z283" s="128"/>
    </row>
    <row r="284" spans="1:26" ht="12.5" hidden="1">
      <c r="A284" s="138">
        <v>278</v>
      </c>
      <c r="B284" s="173" t="s">
        <v>3812</v>
      </c>
      <c r="C284" s="139">
        <v>42993</v>
      </c>
      <c r="D284" s="173" t="s">
        <v>3816</v>
      </c>
      <c r="E284" s="145" t="s">
        <v>3800</v>
      </c>
      <c r="F284" s="196"/>
      <c r="G284" s="148"/>
      <c r="H284" s="138" t="s">
        <v>249</v>
      </c>
      <c r="I284" s="138">
        <v>1</v>
      </c>
      <c r="J284" s="144">
        <v>1350000</v>
      </c>
      <c r="K284" s="144">
        <v>1350000</v>
      </c>
      <c r="L284" s="143">
        <v>0</v>
      </c>
      <c r="M284" s="143">
        <v>0</v>
      </c>
      <c r="N284" s="143">
        <v>0</v>
      </c>
      <c r="O284" s="143">
        <v>0</v>
      </c>
      <c r="P284" s="173" t="s">
        <v>3814</v>
      </c>
      <c r="Q284" s="138" t="s">
        <v>20</v>
      </c>
      <c r="R284" s="138" t="s">
        <v>295</v>
      </c>
      <c r="S284" s="145" t="s">
        <v>3815</v>
      </c>
      <c r="T284" s="148"/>
      <c r="U284" s="202">
        <v>277</v>
      </c>
      <c r="V284" s="203" t="b">
        <v>1</v>
      </c>
      <c r="W284" s="204" t="s">
        <v>3285</v>
      </c>
      <c r="X284" s="128"/>
      <c r="Y284" s="128"/>
      <c r="Z284" s="128"/>
    </row>
    <row r="285" spans="1:26" ht="12.5" hidden="1">
      <c r="A285" s="138">
        <v>279</v>
      </c>
      <c r="B285" s="173" t="s">
        <v>3812</v>
      </c>
      <c r="C285" s="139">
        <v>42993</v>
      </c>
      <c r="D285" s="173" t="s">
        <v>3817</v>
      </c>
      <c r="E285" s="145" t="s">
        <v>3800</v>
      </c>
      <c r="F285" s="196"/>
      <c r="G285" s="148"/>
      <c r="H285" s="138" t="s">
        <v>249</v>
      </c>
      <c r="I285" s="138">
        <v>1</v>
      </c>
      <c r="J285" s="144">
        <v>1350000</v>
      </c>
      <c r="K285" s="144">
        <v>1350000</v>
      </c>
      <c r="L285" s="143">
        <v>0</v>
      </c>
      <c r="M285" s="143">
        <v>0</v>
      </c>
      <c r="N285" s="143">
        <v>0</v>
      </c>
      <c r="O285" s="143">
        <v>0</v>
      </c>
      <c r="P285" s="173" t="s">
        <v>3814</v>
      </c>
      <c r="Q285" s="138" t="s">
        <v>20</v>
      </c>
      <c r="R285" s="138" t="s">
        <v>295</v>
      </c>
      <c r="S285" s="145" t="s">
        <v>3815</v>
      </c>
      <c r="T285" s="148"/>
      <c r="U285" s="202">
        <v>278</v>
      </c>
      <c r="V285" s="203" t="b">
        <v>1</v>
      </c>
      <c r="W285" s="204" t="s">
        <v>3285</v>
      </c>
      <c r="X285" s="128"/>
      <c r="Y285" s="128"/>
      <c r="Z285" s="128"/>
    </row>
    <row r="286" spans="1:26" ht="12.5" hidden="1">
      <c r="A286" s="138">
        <v>280</v>
      </c>
      <c r="B286" s="173" t="s">
        <v>3812</v>
      </c>
      <c r="C286" s="139">
        <v>42993</v>
      </c>
      <c r="D286" s="173" t="s">
        <v>3818</v>
      </c>
      <c r="E286" s="145" t="s">
        <v>3800</v>
      </c>
      <c r="F286" s="196"/>
      <c r="G286" s="148"/>
      <c r="H286" s="138" t="s">
        <v>249</v>
      </c>
      <c r="I286" s="138">
        <v>1</v>
      </c>
      <c r="J286" s="144">
        <v>1350000</v>
      </c>
      <c r="K286" s="144">
        <v>1350000</v>
      </c>
      <c r="L286" s="143">
        <v>0</v>
      </c>
      <c r="M286" s="143">
        <v>0</v>
      </c>
      <c r="N286" s="143">
        <v>0</v>
      </c>
      <c r="O286" s="143">
        <v>0</v>
      </c>
      <c r="P286" s="173" t="s">
        <v>3814</v>
      </c>
      <c r="Q286" s="138" t="s">
        <v>20</v>
      </c>
      <c r="R286" s="138" t="s">
        <v>295</v>
      </c>
      <c r="S286" s="145" t="s">
        <v>3815</v>
      </c>
      <c r="T286" s="148"/>
      <c r="U286" s="202">
        <v>279</v>
      </c>
      <c r="V286" s="203" t="b">
        <v>1</v>
      </c>
      <c r="W286" s="204" t="s">
        <v>3285</v>
      </c>
      <c r="X286" s="128"/>
      <c r="Y286" s="128"/>
      <c r="Z286" s="128"/>
    </row>
    <row r="287" spans="1:26" ht="12.5" hidden="1">
      <c r="A287" s="138">
        <v>281</v>
      </c>
      <c r="B287" s="173" t="s">
        <v>3812</v>
      </c>
      <c r="C287" s="139">
        <v>42993</v>
      </c>
      <c r="D287" s="173" t="s">
        <v>3819</v>
      </c>
      <c r="E287" s="145" t="s">
        <v>3800</v>
      </c>
      <c r="F287" s="196"/>
      <c r="G287" s="148"/>
      <c r="H287" s="138" t="s">
        <v>249</v>
      </c>
      <c r="I287" s="138">
        <v>1</v>
      </c>
      <c r="J287" s="144">
        <v>1350000</v>
      </c>
      <c r="K287" s="144">
        <v>1350000</v>
      </c>
      <c r="L287" s="143">
        <v>0</v>
      </c>
      <c r="M287" s="143">
        <v>0</v>
      </c>
      <c r="N287" s="143">
        <v>0</v>
      </c>
      <c r="O287" s="143">
        <v>0</v>
      </c>
      <c r="P287" s="173" t="s">
        <v>3814</v>
      </c>
      <c r="Q287" s="138" t="s">
        <v>20</v>
      </c>
      <c r="R287" s="138" t="s">
        <v>295</v>
      </c>
      <c r="S287" s="145" t="s">
        <v>3815</v>
      </c>
      <c r="T287" s="148"/>
      <c r="U287" s="202">
        <v>280</v>
      </c>
      <c r="V287" s="203" t="b">
        <v>1</v>
      </c>
      <c r="W287" s="204" t="s">
        <v>3285</v>
      </c>
      <c r="X287" s="128"/>
      <c r="Y287" s="128"/>
      <c r="Z287" s="128"/>
    </row>
    <row r="288" spans="1:26" ht="12.5" hidden="1">
      <c r="A288" s="138">
        <v>282</v>
      </c>
      <c r="B288" s="173" t="s">
        <v>3812</v>
      </c>
      <c r="C288" s="139">
        <v>42993</v>
      </c>
      <c r="D288" s="173" t="s">
        <v>3820</v>
      </c>
      <c r="E288" s="145" t="s">
        <v>3800</v>
      </c>
      <c r="F288" s="196"/>
      <c r="G288" s="148"/>
      <c r="H288" s="138" t="s">
        <v>249</v>
      </c>
      <c r="I288" s="138">
        <v>1</v>
      </c>
      <c r="J288" s="144">
        <v>1350000</v>
      </c>
      <c r="K288" s="144">
        <v>1350000</v>
      </c>
      <c r="L288" s="143">
        <v>0</v>
      </c>
      <c r="M288" s="143">
        <v>0</v>
      </c>
      <c r="N288" s="143">
        <v>0</v>
      </c>
      <c r="O288" s="143">
        <v>0</v>
      </c>
      <c r="P288" s="173" t="s">
        <v>3814</v>
      </c>
      <c r="Q288" s="138" t="s">
        <v>20</v>
      </c>
      <c r="R288" s="138" t="s">
        <v>295</v>
      </c>
      <c r="S288" s="145" t="s">
        <v>3815</v>
      </c>
      <c r="T288" s="148"/>
      <c r="U288" s="202">
        <v>281</v>
      </c>
      <c r="V288" s="203" t="b">
        <v>1</v>
      </c>
      <c r="W288" s="204" t="s">
        <v>3285</v>
      </c>
      <c r="X288" s="128"/>
      <c r="Y288" s="128"/>
      <c r="Z288" s="128"/>
    </row>
    <row r="289" spans="1:26" ht="12.5" hidden="1">
      <c r="A289" s="138">
        <v>283</v>
      </c>
      <c r="B289" s="173" t="s">
        <v>3812</v>
      </c>
      <c r="C289" s="139">
        <v>42993</v>
      </c>
      <c r="D289" s="173" t="s">
        <v>3821</v>
      </c>
      <c r="E289" s="145" t="s">
        <v>3800</v>
      </c>
      <c r="F289" s="196"/>
      <c r="G289" s="148"/>
      <c r="H289" s="138" t="s">
        <v>249</v>
      </c>
      <c r="I289" s="138">
        <v>1</v>
      </c>
      <c r="J289" s="144">
        <v>1350000</v>
      </c>
      <c r="K289" s="144">
        <v>1350000</v>
      </c>
      <c r="L289" s="143">
        <v>0</v>
      </c>
      <c r="M289" s="143">
        <v>0</v>
      </c>
      <c r="N289" s="143">
        <v>0</v>
      </c>
      <c r="O289" s="143">
        <v>0</v>
      </c>
      <c r="P289" s="173" t="s">
        <v>3814</v>
      </c>
      <c r="Q289" s="138" t="s">
        <v>20</v>
      </c>
      <c r="R289" s="138" t="s">
        <v>295</v>
      </c>
      <c r="S289" s="145" t="s">
        <v>3815</v>
      </c>
      <c r="T289" s="148"/>
      <c r="U289" s="202">
        <v>282</v>
      </c>
      <c r="V289" s="203" t="b">
        <v>1</v>
      </c>
      <c r="W289" s="204" t="s">
        <v>3285</v>
      </c>
      <c r="X289" s="128"/>
      <c r="Y289" s="128"/>
      <c r="Z289" s="128"/>
    </row>
    <row r="290" spans="1:26" ht="12.5" hidden="1">
      <c r="A290" s="138">
        <v>284</v>
      </c>
      <c r="B290" s="173" t="s">
        <v>3822</v>
      </c>
      <c r="C290" s="139">
        <v>43099</v>
      </c>
      <c r="D290" s="173" t="s">
        <v>3823</v>
      </c>
      <c r="E290" s="145" t="s">
        <v>3800</v>
      </c>
      <c r="F290" s="196"/>
      <c r="G290" s="148"/>
      <c r="H290" s="138" t="s">
        <v>249</v>
      </c>
      <c r="I290" s="138">
        <v>1</v>
      </c>
      <c r="J290" s="144">
        <v>5113000</v>
      </c>
      <c r="K290" s="144">
        <v>5113000</v>
      </c>
      <c r="L290" s="143">
        <v>0</v>
      </c>
      <c r="M290" s="143">
        <v>0</v>
      </c>
      <c r="N290" s="143">
        <v>0</v>
      </c>
      <c r="O290" s="143">
        <v>0</v>
      </c>
      <c r="P290" s="173" t="s">
        <v>3824</v>
      </c>
      <c r="Q290" s="138" t="s">
        <v>20</v>
      </c>
      <c r="R290" s="138" t="s">
        <v>423</v>
      </c>
      <c r="S290" s="145" t="s">
        <v>3825</v>
      </c>
      <c r="T290" s="173" t="s">
        <v>923</v>
      </c>
      <c r="U290" s="202">
        <v>283</v>
      </c>
      <c r="V290" s="203" t="b">
        <v>1</v>
      </c>
      <c r="W290" s="204" t="s">
        <v>3285</v>
      </c>
      <c r="X290" s="128"/>
      <c r="Y290" s="128"/>
      <c r="Z290" s="128"/>
    </row>
    <row r="291" spans="1:26" ht="12.5" hidden="1">
      <c r="A291" s="138">
        <v>285</v>
      </c>
      <c r="B291" s="173" t="s">
        <v>3826</v>
      </c>
      <c r="C291" s="139">
        <v>40623</v>
      </c>
      <c r="D291" s="173" t="s">
        <v>3827</v>
      </c>
      <c r="E291" s="145" t="s">
        <v>3828</v>
      </c>
      <c r="F291" s="196"/>
      <c r="G291" s="148"/>
      <c r="H291" s="138" t="s">
        <v>249</v>
      </c>
      <c r="I291" s="138">
        <v>1</v>
      </c>
      <c r="J291" s="144">
        <v>2000000</v>
      </c>
      <c r="K291" s="144">
        <v>2000000</v>
      </c>
      <c r="L291" s="143">
        <v>0</v>
      </c>
      <c r="M291" s="143">
        <v>0</v>
      </c>
      <c r="N291" s="143">
        <v>0</v>
      </c>
      <c r="O291" s="143">
        <v>0</v>
      </c>
      <c r="P291" s="173" t="s">
        <v>3829</v>
      </c>
      <c r="Q291" s="138" t="s">
        <v>887</v>
      </c>
      <c r="R291" s="138" t="s">
        <v>888</v>
      </c>
      <c r="S291" s="145" t="s">
        <v>3830</v>
      </c>
      <c r="T291" s="148"/>
      <c r="U291" s="202">
        <v>284</v>
      </c>
      <c r="V291" s="203" t="b">
        <v>1</v>
      </c>
      <c r="W291" s="204" t="s">
        <v>3285</v>
      </c>
      <c r="X291" s="128"/>
      <c r="Y291" s="128"/>
      <c r="Z291" s="128"/>
    </row>
    <row r="292" spans="1:26" ht="12.5" hidden="1">
      <c r="A292" s="138">
        <v>286</v>
      </c>
      <c r="B292" s="173" t="s">
        <v>3831</v>
      </c>
      <c r="C292" s="139">
        <v>41054</v>
      </c>
      <c r="D292" s="173" t="s">
        <v>3832</v>
      </c>
      <c r="E292" s="145" t="s">
        <v>3833</v>
      </c>
      <c r="F292" s="196"/>
      <c r="G292" s="148"/>
      <c r="H292" s="138" t="s">
        <v>249</v>
      </c>
      <c r="I292" s="138">
        <v>1</v>
      </c>
      <c r="J292" s="144">
        <v>1840000</v>
      </c>
      <c r="K292" s="144">
        <v>1840000</v>
      </c>
      <c r="L292" s="143">
        <v>0</v>
      </c>
      <c r="M292" s="143">
        <v>0</v>
      </c>
      <c r="N292" s="143">
        <v>0</v>
      </c>
      <c r="O292" s="143">
        <v>0</v>
      </c>
      <c r="P292" s="173" t="s">
        <v>3834</v>
      </c>
      <c r="Q292" s="138" t="s">
        <v>1195</v>
      </c>
      <c r="R292" s="138" t="s">
        <v>3389</v>
      </c>
      <c r="S292" s="145" t="s">
        <v>3835</v>
      </c>
      <c r="T292" s="148"/>
      <c r="U292" s="202">
        <v>285</v>
      </c>
      <c r="V292" s="203" t="b">
        <v>1</v>
      </c>
      <c r="W292" s="204" t="s">
        <v>3285</v>
      </c>
      <c r="X292" s="128"/>
      <c r="Y292" s="128"/>
      <c r="Z292" s="128"/>
    </row>
    <row r="293" spans="1:26" ht="12.5">
      <c r="A293" s="251">
        <v>332</v>
      </c>
      <c r="B293" s="173" t="s">
        <v>3836</v>
      </c>
      <c r="C293" s="252">
        <v>43434</v>
      </c>
      <c r="D293" s="253" t="s">
        <v>3837</v>
      </c>
      <c r="E293" s="254" t="s">
        <v>3838</v>
      </c>
      <c r="F293" s="255"/>
      <c r="G293" s="148"/>
      <c r="H293" s="251" t="s">
        <v>249</v>
      </c>
      <c r="I293" s="251">
        <v>1</v>
      </c>
      <c r="J293" s="144">
        <v>750000</v>
      </c>
      <c r="K293" s="144">
        <v>750000</v>
      </c>
      <c r="L293" s="143">
        <v>0</v>
      </c>
      <c r="M293" s="143">
        <v>0</v>
      </c>
      <c r="N293" s="143">
        <v>0</v>
      </c>
      <c r="O293" s="143">
        <v>0</v>
      </c>
      <c r="P293" s="256"/>
      <c r="Q293" s="251" t="s">
        <v>20</v>
      </c>
      <c r="R293" s="251" t="s">
        <v>229</v>
      </c>
      <c r="S293" s="254" t="s">
        <v>3839</v>
      </c>
      <c r="T293" s="257" t="s">
        <v>3840</v>
      </c>
      <c r="U293" s="258">
        <v>286</v>
      </c>
      <c r="V293" s="259" t="b">
        <v>1</v>
      </c>
      <c r="W293" s="260" t="s">
        <v>3285</v>
      </c>
      <c r="X293" s="261"/>
      <c r="Y293" s="261"/>
      <c r="Z293" s="261"/>
    </row>
    <row r="294" spans="1:26" ht="12.5">
      <c r="A294" s="138">
        <v>333</v>
      </c>
      <c r="B294" s="173" t="s">
        <v>3836</v>
      </c>
      <c r="C294" s="139">
        <v>43434</v>
      </c>
      <c r="D294" s="210" t="s">
        <v>3841</v>
      </c>
      <c r="E294" s="145" t="s">
        <v>3838</v>
      </c>
      <c r="F294" s="196"/>
      <c r="G294" s="148"/>
      <c r="H294" s="138" t="s">
        <v>249</v>
      </c>
      <c r="I294" s="138">
        <v>1</v>
      </c>
      <c r="J294" s="144">
        <v>750000</v>
      </c>
      <c r="K294" s="144">
        <v>750000</v>
      </c>
      <c r="L294" s="143">
        <v>0</v>
      </c>
      <c r="M294" s="143">
        <v>0</v>
      </c>
      <c r="N294" s="143">
        <v>0</v>
      </c>
      <c r="O294" s="143">
        <v>0</v>
      </c>
      <c r="P294" s="148"/>
      <c r="Q294" s="138" t="s">
        <v>20</v>
      </c>
      <c r="R294" s="138" t="s">
        <v>229</v>
      </c>
      <c r="S294" s="145" t="s">
        <v>3842</v>
      </c>
      <c r="T294" s="256"/>
      <c r="U294" s="202">
        <v>287</v>
      </c>
      <c r="V294" s="203" t="b">
        <v>1</v>
      </c>
      <c r="W294" s="204" t="s">
        <v>3285</v>
      </c>
      <c r="X294" s="128"/>
      <c r="Y294" s="128"/>
      <c r="Z294" s="128"/>
    </row>
    <row r="295" spans="1:26" ht="12.5">
      <c r="A295" s="138">
        <v>334</v>
      </c>
      <c r="B295" s="173" t="s">
        <v>3836</v>
      </c>
      <c r="C295" s="139">
        <v>43434</v>
      </c>
      <c r="D295" s="210" t="s">
        <v>3843</v>
      </c>
      <c r="E295" s="145" t="s">
        <v>3838</v>
      </c>
      <c r="F295" s="196"/>
      <c r="G295" s="148"/>
      <c r="H295" s="138" t="s">
        <v>249</v>
      </c>
      <c r="I295" s="138">
        <v>1</v>
      </c>
      <c r="J295" s="144">
        <v>750000</v>
      </c>
      <c r="K295" s="144">
        <v>750000</v>
      </c>
      <c r="L295" s="143">
        <v>0</v>
      </c>
      <c r="M295" s="143">
        <v>0</v>
      </c>
      <c r="N295" s="143">
        <v>0</v>
      </c>
      <c r="O295" s="143">
        <v>0</v>
      </c>
      <c r="P295" s="148"/>
      <c r="Q295" s="138" t="s">
        <v>20</v>
      </c>
      <c r="R295" s="138" t="s">
        <v>229</v>
      </c>
      <c r="S295" s="145" t="s">
        <v>3842</v>
      </c>
      <c r="T295" s="256"/>
      <c r="U295" s="202">
        <v>288</v>
      </c>
      <c r="V295" s="203" t="b">
        <v>1</v>
      </c>
      <c r="W295" s="204" t="s">
        <v>3285</v>
      </c>
      <c r="X295" s="128"/>
      <c r="Y295" s="128"/>
      <c r="Z295" s="128"/>
    </row>
    <row r="296" spans="1:26" ht="12.5">
      <c r="A296" s="251">
        <v>335</v>
      </c>
      <c r="B296" s="173" t="s">
        <v>3836</v>
      </c>
      <c r="C296" s="252">
        <v>43434</v>
      </c>
      <c r="D296" s="253" t="s">
        <v>3844</v>
      </c>
      <c r="E296" s="254" t="s">
        <v>3838</v>
      </c>
      <c r="F296" s="255"/>
      <c r="G296" s="148"/>
      <c r="H296" s="251" t="s">
        <v>249</v>
      </c>
      <c r="I296" s="251">
        <v>1</v>
      </c>
      <c r="J296" s="144">
        <v>750000</v>
      </c>
      <c r="K296" s="144">
        <v>750000</v>
      </c>
      <c r="L296" s="143">
        <v>0</v>
      </c>
      <c r="M296" s="143">
        <v>0</v>
      </c>
      <c r="N296" s="143">
        <v>0</v>
      </c>
      <c r="O296" s="143">
        <v>0</v>
      </c>
      <c r="P296" s="256"/>
      <c r="Q296" s="251" t="s">
        <v>20</v>
      </c>
      <c r="R296" s="251" t="s">
        <v>229</v>
      </c>
      <c r="S296" s="254" t="s">
        <v>3839</v>
      </c>
      <c r="T296" s="257" t="s">
        <v>3840</v>
      </c>
      <c r="U296" s="258">
        <v>289</v>
      </c>
      <c r="V296" s="259" t="b">
        <v>1</v>
      </c>
      <c r="W296" s="260" t="s">
        <v>3285</v>
      </c>
      <c r="X296" s="261"/>
      <c r="Y296" s="261"/>
      <c r="Z296" s="261"/>
    </row>
    <row r="297" spans="1:26" ht="12.5">
      <c r="A297" s="251">
        <v>336</v>
      </c>
      <c r="B297" s="173" t="s">
        <v>3836</v>
      </c>
      <c r="C297" s="252">
        <v>43434</v>
      </c>
      <c r="D297" s="253" t="s">
        <v>3845</v>
      </c>
      <c r="E297" s="254" t="s">
        <v>3838</v>
      </c>
      <c r="F297" s="255"/>
      <c r="G297" s="148"/>
      <c r="H297" s="251" t="s">
        <v>249</v>
      </c>
      <c r="I297" s="251">
        <v>1</v>
      </c>
      <c r="J297" s="144">
        <v>750000</v>
      </c>
      <c r="K297" s="144">
        <v>750000</v>
      </c>
      <c r="L297" s="143">
        <v>0</v>
      </c>
      <c r="M297" s="143">
        <v>0</v>
      </c>
      <c r="N297" s="143">
        <v>0</v>
      </c>
      <c r="O297" s="143">
        <v>0</v>
      </c>
      <c r="P297" s="256"/>
      <c r="Q297" s="251" t="s">
        <v>20</v>
      </c>
      <c r="R297" s="251" t="s">
        <v>229</v>
      </c>
      <c r="S297" s="254" t="s">
        <v>3846</v>
      </c>
      <c r="T297" s="257" t="s">
        <v>3840</v>
      </c>
      <c r="U297" s="258">
        <v>290</v>
      </c>
      <c r="V297" s="259" t="b">
        <v>1</v>
      </c>
      <c r="W297" s="260" t="s">
        <v>3285</v>
      </c>
      <c r="X297" s="261"/>
      <c r="Y297" s="261"/>
      <c r="Z297" s="261"/>
    </row>
    <row r="298" spans="1:26" ht="12.5">
      <c r="A298" s="138">
        <v>337</v>
      </c>
      <c r="B298" s="173" t="s">
        <v>3836</v>
      </c>
      <c r="C298" s="139">
        <v>43434</v>
      </c>
      <c r="D298" s="210" t="s">
        <v>3847</v>
      </c>
      <c r="E298" s="145" t="s">
        <v>3838</v>
      </c>
      <c r="F298" s="196"/>
      <c r="G298" s="148"/>
      <c r="H298" s="138" t="s">
        <v>249</v>
      </c>
      <c r="I298" s="138">
        <v>1</v>
      </c>
      <c r="J298" s="144">
        <v>750000</v>
      </c>
      <c r="K298" s="144">
        <v>750000</v>
      </c>
      <c r="L298" s="143">
        <v>0</v>
      </c>
      <c r="M298" s="143">
        <v>0</v>
      </c>
      <c r="N298" s="143">
        <v>0</v>
      </c>
      <c r="O298" s="143">
        <v>0</v>
      </c>
      <c r="P298" s="148"/>
      <c r="Q298" s="138" t="s">
        <v>20</v>
      </c>
      <c r="R298" s="138" t="s">
        <v>229</v>
      </c>
      <c r="S298" s="145" t="s">
        <v>3848</v>
      </c>
      <c r="T298" s="256"/>
      <c r="U298" s="202">
        <v>291</v>
      </c>
      <c r="V298" s="203" t="b">
        <v>1</v>
      </c>
      <c r="W298" s="204" t="s">
        <v>3285</v>
      </c>
      <c r="X298" s="128"/>
      <c r="Y298" s="128"/>
      <c r="Z298" s="128"/>
    </row>
    <row r="299" spans="1:26" ht="12.5" hidden="1">
      <c r="A299" s="138">
        <v>347</v>
      </c>
      <c r="B299" s="173" t="s">
        <v>3826</v>
      </c>
      <c r="C299" s="139">
        <v>40623</v>
      </c>
      <c r="D299" s="173" t="s">
        <v>3849</v>
      </c>
      <c r="E299" s="145" t="s">
        <v>3850</v>
      </c>
      <c r="F299" s="196"/>
      <c r="G299" s="148"/>
      <c r="H299" s="138" t="s">
        <v>249</v>
      </c>
      <c r="I299" s="138">
        <v>1</v>
      </c>
      <c r="J299" s="144">
        <v>2950000</v>
      </c>
      <c r="K299" s="144">
        <v>2950000</v>
      </c>
      <c r="L299" s="143">
        <v>0</v>
      </c>
      <c r="M299" s="143">
        <v>0</v>
      </c>
      <c r="N299" s="143">
        <v>0</v>
      </c>
      <c r="O299" s="143">
        <v>0</v>
      </c>
      <c r="P299" s="173" t="s">
        <v>3851</v>
      </c>
      <c r="Q299" s="138" t="s">
        <v>36</v>
      </c>
      <c r="R299" s="138" t="s">
        <v>169</v>
      </c>
      <c r="S299" s="145" t="s">
        <v>3852</v>
      </c>
      <c r="T299" s="148"/>
      <c r="U299" s="202">
        <v>292</v>
      </c>
      <c r="V299" s="203" t="b">
        <v>1</v>
      </c>
      <c r="W299" s="204" t="s">
        <v>3285</v>
      </c>
      <c r="X299" s="128"/>
      <c r="Y299" s="128"/>
      <c r="Z299" s="128"/>
    </row>
    <row r="300" spans="1:26" ht="12.5" hidden="1">
      <c r="A300" s="138">
        <v>348</v>
      </c>
      <c r="B300" s="173" t="s">
        <v>3826</v>
      </c>
      <c r="C300" s="139">
        <v>40623</v>
      </c>
      <c r="D300" s="173" t="s">
        <v>3853</v>
      </c>
      <c r="E300" s="145" t="s">
        <v>3854</v>
      </c>
      <c r="F300" s="196"/>
      <c r="G300" s="148"/>
      <c r="H300" s="138" t="s">
        <v>249</v>
      </c>
      <c r="I300" s="138">
        <v>1</v>
      </c>
      <c r="J300" s="144">
        <v>2100000</v>
      </c>
      <c r="K300" s="144">
        <v>2100000</v>
      </c>
      <c r="L300" s="143">
        <v>0</v>
      </c>
      <c r="M300" s="143">
        <v>0</v>
      </c>
      <c r="N300" s="143">
        <v>0</v>
      </c>
      <c r="O300" s="143">
        <v>0</v>
      </c>
      <c r="P300" s="173" t="s">
        <v>3851</v>
      </c>
      <c r="Q300" s="138" t="s">
        <v>36</v>
      </c>
      <c r="R300" s="138" t="s">
        <v>169</v>
      </c>
      <c r="S300" s="145" t="s">
        <v>3852</v>
      </c>
      <c r="T300" s="148"/>
      <c r="U300" s="202">
        <v>293</v>
      </c>
      <c r="V300" s="203" t="b">
        <v>1</v>
      </c>
      <c r="W300" s="204" t="s">
        <v>3285</v>
      </c>
      <c r="X300" s="128"/>
      <c r="Y300" s="128"/>
      <c r="Z300" s="128"/>
    </row>
    <row r="301" spans="1:26" ht="12.5" hidden="1">
      <c r="A301" s="138">
        <v>349</v>
      </c>
      <c r="B301" s="173" t="s">
        <v>3831</v>
      </c>
      <c r="C301" s="139">
        <v>41054</v>
      </c>
      <c r="D301" s="173" t="s">
        <v>3855</v>
      </c>
      <c r="E301" s="145" t="s">
        <v>3856</v>
      </c>
      <c r="F301" s="196"/>
      <c r="G301" s="148"/>
      <c r="H301" s="138" t="s">
        <v>249</v>
      </c>
      <c r="I301" s="138">
        <v>1</v>
      </c>
      <c r="J301" s="144">
        <v>3950000</v>
      </c>
      <c r="K301" s="144">
        <v>3950000</v>
      </c>
      <c r="L301" s="143">
        <v>0</v>
      </c>
      <c r="M301" s="143">
        <v>0</v>
      </c>
      <c r="N301" s="143">
        <v>0</v>
      </c>
      <c r="O301" s="143">
        <v>0</v>
      </c>
      <c r="P301" s="173" t="s">
        <v>3834</v>
      </c>
      <c r="Q301" s="138" t="s">
        <v>36</v>
      </c>
      <c r="R301" s="262" t="s">
        <v>3512</v>
      </c>
      <c r="S301" s="145" t="s">
        <v>3851</v>
      </c>
      <c r="T301" s="148"/>
      <c r="U301" s="202">
        <v>294</v>
      </c>
      <c r="V301" s="203" t="b">
        <v>1</v>
      </c>
      <c r="W301" s="204" t="s">
        <v>3285</v>
      </c>
      <c r="X301" s="128"/>
      <c r="Y301" s="128"/>
      <c r="Z301" s="128"/>
    </row>
    <row r="302" spans="1:26" ht="12.5" hidden="1">
      <c r="A302" s="138">
        <v>350</v>
      </c>
      <c r="B302" s="173" t="s">
        <v>3857</v>
      </c>
      <c r="C302" s="139">
        <v>40770</v>
      </c>
      <c r="D302" s="173" t="s">
        <v>3858</v>
      </c>
      <c r="E302" s="145" t="s">
        <v>3859</v>
      </c>
      <c r="F302" s="196"/>
      <c r="G302" s="148"/>
      <c r="H302" s="138" t="s">
        <v>249</v>
      </c>
      <c r="I302" s="138">
        <v>1</v>
      </c>
      <c r="J302" s="144">
        <v>4800000</v>
      </c>
      <c r="K302" s="144">
        <v>4800000</v>
      </c>
      <c r="L302" s="143">
        <v>0</v>
      </c>
      <c r="M302" s="143">
        <v>0</v>
      </c>
      <c r="N302" s="143">
        <v>0</v>
      </c>
      <c r="O302" s="143">
        <v>0</v>
      </c>
      <c r="P302" s="173" t="s">
        <v>3860</v>
      </c>
      <c r="Q302" s="138" t="s">
        <v>887</v>
      </c>
      <c r="R302" s="138" t="s">
        <v>888</v>
      </c>
      <c r="S302" s="145" t="s">
        <v>3861</v>
      </c>
      <c r="T302" s="148"/>
      <c r="U302" s="202">
        <v>295</v>
      </c>
      <c r="V302" s="203" t="b">
        <v>1</v>
      </c>
      <c r="W302" s="204" t="s">
        <v>3285</v>
      </c>
      <c r="X302" s="128"/>
      <c r="Y302" s="128"/>
      <c r="Z302" s="128"/>
    </row>
    <row r="303" spans="1:26" ht="12.5" hidden="1">
      <c r="A303" s="138">
        <v>351</v>
      </c>
      <c r="B303" s="173" t="s">
        <v>3862</v>
      </c>
      <c r="C303" s="139">
        <v>40532</v>
      </c>
      <c r="D303" s="173" t="s">
        <v>3863</v>
      </c>
      <c r="E303" s="145" t="s">
        <v>3864</v>
      </c>
      <c r="F303" s="196"/>
      <c r="G303" s="148"/>
      <c r="H303" s="138" t="s">
        <v>3620</v>
      </c>
      <c r="I303" s="138">
        <v>1</v>
      </c>
      <c r="J303" s="144">
        <v>4545455</v>
      </c>
      <c r="K303" s="144">
        <v>4545455</v>
      </c>
      <c r="L303" s="143">
        <v>0</v>
      </c>
      <c r="M303" s="143">
        <v>0</v>
      </c>
      <c r="N303" s="143">
        <v>0</v>
      </c>
      <c r="O303" s="143">
        <v>0</v>
      </c>
      <c r="P303" s="148"/>
      <c r="Q303" s="138" t="s">
        <v>20</v>
      </c>
      <c r="R303" s="138" t="s">
        <v>233</v>
      </c>
      <c r="S303" s="145" t="s">
        <v>3865</v>
      </c>
      <c r="T303" s="148"/>
      <c r="U303" s="202">
        <v>296</v>
      </c>
      <c r="V303" s="203" t="b">
        <v>1</v>
      </c>
      <c r="W303" s="204" t="s">
        <v>3285</v>
      </c>
      <c r="X303" s="128"/>
      <c r="Y303" s="128"/>
      <c r="Z303" s="128"/>
    </row>
    <row r="304" spans="1:26" ht="12.5" hidden="1">
      <c r="A304" s="138">
        <v>352</v>
      </c>
      <c r="B304" s="173" t="s">
        <v>3831</v>
      </c>
      <c r="C304" s="139">
        <v>41054</v>
      </c>
      <c r="D304" s="173" t="s">
        <v>3866</v>
      </c>
      <c r="E304" s="145" t="s">
        <v>3867</v>
      </c>
      <c r="F304" s="196"/>
      <c r="G304" s="148"/>
      <c r="H304" s="138" t="s">
        <v>19</v>
      </c>
      <c r="I304" s="138">
        <v>1</v>
      </c>
      <c r="J304" s="144">
        <v>7800000</v>
      </c>
      <c r="K304" s="144">
        <v>7800000</v>
      </c>
      <c r="L304" s="143">
        <v>0</v>
      </c>
      <c r="M304" s="143">
        <v>0</v>
      </c>
      <c r="N304" s="143">
        <v>0</v>
      </c>
      <c r="O304" s="143">
        <v>0</v>
      </c>
      <c r="P304" s="173" t="s">
        <v>3834</v>
      </c>
      <c r="Q304" s="138" t="s">
        <v>1195</v>
      </c>
      <c r="R304" s="138" t="s">
        <v>3389</v>
      </c>
      <c r="S304" s="145" t="s">
        <v>3868</v>
      </c>
      <c r="T304" s="148"/>
      <c r="U304" s="202">
        <v>297</v>
      </c>
      <c r="V304" s="203" t="b">
        <v>1</v>
      </c>
      <c r="W304" s="204" t="s">
        <v>3285</v>
      </c>
      <c r="X304" s="128"/>
      <c r="Y304" s="128"/>
      <c r="Z304" s="128"/>
    </row>
    <row r="305" spans="1:26" ht="12.5" hidden="1">
      <c r="A305" s="138">
        <v>354</v>
      </c>
      <c r="B305" s="173" t="s">
        <v>3831</v>
      </c>
      <c r="C305" s="139">
        <v>41054</v>
      </c>
      <c r="D305" s="173" t="s">
        <v>3869</v>
      </c>
      <c r="E305" s="145" t="s">
        <v>3870</v>
      </c>
      <c r="F305" s="196"/>
      <c r="G305" s="148"/>
      <c r="H305" s="138" t="s">
        <v>249</v>
      </c>
      <c r="I305" s="138">
        <v>1</v>
      </c>
      <c r="J305" s="144">
        <v>5760000</v>
      </c>
      <c r="K305" s="144">
        <v>5760000</v>
      </c>
      <c r="L305" s="143">
        <v>0</v>
      </c>
      <c r="M305" s="143">
        <v>0</v>
      </c>
      <c r="N305" s="143">
        <v>0</v>
      </c>
      <c r="O305" s="143">
        <v>0</v>
      </c>
      <c r="P305" s="173" t="s">
        <v>3834</v>
      </c>
      <c r="Q305" s="138" t="s">
        <v>294</v>
      </c>
      <c r="R305" s="138" t="s">
        <v>1003</v>
      </c>
      <c r="S305" s="145" t="s">
        <v>3834</v>
      </c>
      <c r="T305" s="148"/>
      <c r="U305" s="202">
        <v>298</v>
      </c>
      <c r="V305" s="203" t="b">
        <v>1</v>
      </c>
      <c r="W305" s="204" t="s">
        <v>3285</v>
      </c>
      <c r="X305" s="128"/>
      <c r="Y305" s="128"/>
      <c r="Z305" s="128"/>
    </row>
    <row r="306" spans="1:26" ht="12.5">
      <c r="A306" s="138">
        <v>355</v>
      </c>
      <c r="B306" s="173" t="s">
        <v>3826</v>
      </c>
      <c r="C306" s="139">
        <v>40623</v>
      </c>
      <c r="D306" s="210" t="s">
        <v>3871</v>
      </c>
      <c r="E306" s="145" t="s">
        <v>3872</v>
      </c>
      <c r="F306" s="196"/>
      <c r="G306" s="148"/>
      <c r="H306" s="138" t="s">
        <v>249</v>
      </c>
      <c r="I306" s="138">
        <v>1</v>
      </c>
      <c r="J306" s="144">
        <v>3300000</v>
      </c>
      <c r="K306" s="144">
        <v>3300000</v>
      </c>
      <c r="L306" s="143">
        <v>0</v>
      </c>
      <c r="M306" s="143">
        <v>0</v>
      </c>
      <c r="N306" s="143">
        <v>0</v>
      </c>
      <c r="O306" s="143">
        <v>0</v>
      </c>
      <c r="P306" s="173" t="s">
        <v>3829</v>
      </c>
      <c r="Q306" s="138" t="s">
        <v>20</v>
      </c>
      <c r="R306" s="138" t="s">
        <v>229</v>
      </c>
      <c r="S306" s="145" t="s">
        <v>3873</v>
      </c>
      <c r="T306" s="256"/>
      <c r="U306" s="202">
        <v>299</v>
      </c>
      <c r="V306" s="203" t="b">
        <v>1</v>
      </c>
      <c r="W306" s="204" t="s">
        <v>3285</v>
      </c>
      <c r="X306" s="128"/>
      <c r="Y306" s="128"/>
      <c r="Z306" s="128"/>
    </row>
    <row r="307" spans="1:26" ht="12.5" hidden="1">
      <c r="A307" s="138">
        <v>356</v>
      </c>
      <c r="B307" s="173" t="s">
        <v>3826</v>
      </c>
      <c r="C307" s="139">
        <v>40623</v>
      </c>
      <c r="D307" s="173" t="s">
        <v>3874</v>
      </c>
      <c r="E307" s="145" t="s">
        <v>3875</v>
      </c>
      <c r="F307" s="196"/>
      <c r="G307" s="148"/>
      <c r="H307" s="138" t="s">
        <v>249</v>
      </c>
      <c r="I307" s="138">
        <v>1</v>
      </c>
      <c r="J307" s="144">
        <v>1700000</v>
      </c>
      <c r="K307" s="144">
        <v>1700000</v>
      </c>
      <c r="L307" s="143">
        <v>0</v>
      </c>
      <c r="M307" s="143">
        <v>0</v>
      </c>
      <c r="N307" s="143">
        <v>0</v>
      </c>
      <c r="O307" s="143">
        <v>0</v>
      </c>
      <c r="P307" s="173" t="s">
        <v>3876</v>
      </c>
      <c r="Q307" s="138" t="s">
        <v>206</v>
      </c>
      <c r="R307" s="138" t="s">
        <v>1514</v>
      </c>
      <c r="S307" s="145" t="s">
        <v>3876</v>
      </c>
      <c r="T307" s="148"/>
      <c r="U307" s="202">
        <v>300</v>
      </c>
      <c r="V307" s="203" t="b">
        <v>1</v>
      </c>
      <c r="W307" s="204" t="s">
        <v>3285</v>
      </c>
      <c r="X307" s="128"/>
      <c r="Y307" s="128"/>
      <c r="Z307" s="128"/>
    </row>
    <row r="308" spans="1:26" ht="12.5" hidden="1">
      <c r="A308" s="138">
        <v>357</v>
      </c>
      <c r="B308" s="173" t="s">
        <v>3826</v>
      </c>
      <c r="C308" s="139">
        <v>40623</v>
      </c>
      <c r="D308" s="173" t="s">
        <v>3877</v>
      </c>
      <c r="E308" s="145" t="s">
        <v>3875</v>
      </c>
      <c r="F308" s="196"/>
      <c r="G308" s="148"/>
      <c r="H308" s="138" t="s">
        <v>249</v>
      </c>
      <c r="I308" s="138">
        <v>1</v>
      </c>
      <c r="J308" s="144">
        <v>1700000</v>
      </c>
      <c r="K308" s="144">
        <v>1700000</v>
      </c>
      <c r="L308" s="143">
        <v>0</v>
      </c>
      <c r="M308" s="143">
        <v>0</v>
      </c>
      <c r="N308" s="143">
        <v>0</v>
      </c>
      <c r="O308" s="143">
        <v>0</v>
      </c>
      <c r="P308" s="173" t="s">
        <v>3876</v>
      </c>
      <c r="Q308" s="138" t="s">
        <v>206</v>
      </c>
      <c r="R308" s="138" t="s">
        <v>1514</v>
      </c>
      <c r="S308" s="145" t="s">
        <v>3876</v>
      </c>
      <c r="T308" s="148"/>
      <c r="U308" s="202">
        <v>301</v>
      </c>
      <c r="V308" s="203" t="b">
        <v>1</v>
      </c>
      <c r="W308" s="204" t="s">
        <v>3285</v>
      </c>
      <c r="X308" s="128"/>
      <c r="Y308" s="128"/>
      <c r="Z308" s="128"/>
    </row>
    <row r="309" spans="1:26" ht="12.5" hidden="1">
      <c r="A309" s="138">
        <v>358</v>
      </c>
      <c r="B309" s="173" t="s">
        <v>3878</v>
      </c>
      <c r="C309" s="139">
        <v>40193</v>
      </c>
      <c r="D309" s="173" t="s">
        <v>3879</v>
      </c>
      <c r="E309" s="145" t="s">
        <v>3880</v>
      </c>
      <c r="F309" s="196"/>
      <c r="G309" s="148"/>
      <c r="H309" s="138" t="s">
        <v>19</v>
      </c>
      <c r="I309" s="138">
        <v>1</v>
      </c>
      <c r="J309" s="144">
        <v>3200000</v>
      </c>
      <c r="K309" s="144">
        <v>3200000</v>
      </c>
      <c r="L309" s="143">
        <v>0</v>
      </c>
      <c r="M309" s="143">
        <v>0</v>
      </c>
      <c r="N309" s="143">
        <v>0</v>
      </c>
      <c r="O309" s="143">
        <v>0</v>
      </c>
      <c r="P309" s="148"/>
      <c r="Q309" s="138" t="s">
        <v>36</v>
      </c>
      <c r="R309" s="138" t="s">
        <v>3512</v>
      </c>
      <c r="S309" s="145" t="s">
        <v>3881</v>
      </c>
      <c r="T309" s="148"/>
      <c r="U309" s="202">
        <v>302</v>
      </c>
      <c r="V309" s="203" t="b">
        <v>1</v>
      </c>
      <c r="W309" s="204" t="s">
        <v>3285</v>
      </c>
      <c r="X309" s="128"/>
      <c r="Y309" s="128"/>
      <c r="Z309" s="128"/>
    </row>
    <row r="310" spans="1:26" ht="12.5" hidden="1">
      <c r="A310" s="138">
        <v>359</v>
      </c>
      <c r="B310" s="173" t="s">
        <v>3878</v>
      </c>
      <c r="C310" s="139">
        <v>40193</v>
      </c>
      <c r="D310" s="173" t="s">
        <v>3882</v>
      </c>
      <c r="E310" s="145" t="s">
        <v>3880</v>
      </c>
      <c r="F310" s="196"/>
      <c r="G310" s="148"/>
      <c r="H310" s="138" t="s">
        <v>19</v>
      </c>
      <c r="I310" s="138">
        <v>1</v>
      </c>
      <c r="J310" s="144">
        <v>3200000</v>
      </c>
      <c r="K310" s="144">
        <v>3200000</v>
      </c>
      <c r="L310" s="143">
        <v>0</v>
      </c>
      <c r="M310" s="143">
        <v>0</v>
      </c>
      <c r="N310" s="143">
        <v>0</v>
      </c>
      <c r="O310" s="143">
        <v>0</v>
      </c>
      <c r="P310" s="148"/>
      <c r="Q310" s="138" t="s">
        <v>36</v>
      </c>
      <c r="R310" s="138" t="s">
        <v>3512</v>
      </c>
      <c r="S310" s="145" t="s">
        <v>3881</v>
      </c>
      <c r="T310" s="148"/>
      <c r="U310" s="202">
        <v>303</v>
      </c>
      <c r="V310" s="203" t="b">
        <v>1</v>
      </c>
      <c r="W310" s="204" t="s">
        <v>3285</v>
      </c>
      <c r="X310" s="128"/>
      <c r="Y310" s="128"/>
      <c r="Z310" s="128"/>
    </row>
    <row r="311" spans="1:26" ht="12.5">
      <c r="A311" s="138">
        <v>360</v>
      </c>
      <c r="B311" s="173" t="s">
        <v>3826</v>
      </c>
      <c r="C311" s="139">
        <v>40623</v>
      </c>
      <c r="D311" s="210" t="s">
        <v>3883</v>
      </c>
      <c r="E311" s="145" t="s">
        <v>3884</v>
      </c>
      <c r="F311" s="196"/>
      <c r="G311" s="148"/>
      <c r="H311" s="138" t="s">
        <v>249</v>
      </c>
      <c r="I311" s="138">
        <v>1</v>
      </c>
      <c r="J311" s="144">
        <v>1050000</v>
      </c>
      <c r="K311" s="144">
        <v>1050000</v>
      </c>
      <c r="L311" s="143">
        <v>0</v>
      </c>
      <c r="M311" s="143">
        <v>0</v>
      </c>
      <c r="N311" s="143">
        <v>0</v>
      </c>
      <c r="O311" s="143">
        <v>0</v>
      </c>
      <c r="P311" s="173" t="s">
        <v>3829</v>
      </c>
      <c r="Q311" s="138" t="s">
        <v>20</v>
      </c>
      <c r="R311" s="138" t="s">
        <v>229</v>
      </c>
      <c r="S311" s="145" t="s">
        <v>3885</v>
      </c>
      <c r="T311" s="256"/>
      <c r="U311" s="202">
        <v>304</v>
      </c>
      <c r="V311" s="203" t="b">
        <v>1</v>
      </c>
      <c r="W311" s="204" t="s">
        <v>3285</v>
      </c>
      <c r="X311" s="128"/>
      <c r="Y311" s="128"/>
      <c r="Z311" s="128"/>
    </row>
    <row r="312" spans="1:26" ht="12.5" hidden="1">
      <c r="A312" s="138">
        <v>361</v>
      </c>
      <c r="B312" s="173" t="s">
        <v>3886</v>
      </c>
      <c r="C312" s="139">
        <v>42004</v>
      </c>
      <c r="D312" s="173" t="s">
        <v>3887</v>
      </c>
      <c r="E312" s="145" t="s">
        <v>3888</v>
      </c>
      <c r="F312" s="196"/>
      <c r="G312" s="148"/>
      <c r="H312" s="138" t="s">
        <v>19</v>
      </c>
      <c r="I312" s="138">
        <v>1</v>
      </c>
      <c r="J312" s="144">
        <v>23957701</v>
      </c>
      <c r="K312" s="144">
        <v>23957701</v>
      </c>
      <c r="L312" s="143">
        <v>0</v>
      </c>
      <c r="M312" s="143">
        <v>0</v>
      </c>
      <c r="N312" s="143">
        <v>0</v>
      </c>
      <c r="O312" s="143">
        <v>0</v>
      </c>
      <c r="P312" s="148"/>
      <c r="Q312" s="138" t="s">
        <v>20</v>
      </c>
      <c r="R312" s="138" t="s">
        <v>284</v>
      </c>
      <c r="S312" s="145" t="s">
        <v>3889</v>
      </c>
      <c r="T312" s="148"/>
      <c r="U312" s="202">
        <v>305</v>
      </c>
      <c r="V312" s="203" t="b">
        <v>1</v>
      </c>
      <c r="W312" s="204" t="s">
        <v>3285</v>
      </c>
      <c r="X312" s="128"/>
      <c r="Y312" s="128"/>
      <c r="Z312" s="128"/>
    </row>
    <row r="313" spans="1:26" ht="12.5" hidden="1">
      <c r="A313" s="138">
        <v>362</v>
      </c>
      <c r="B313" s="173" t="s">
        <v>3886</v>
      </c>
      <c r="C313" s="139">
        <v>42004</v>
      </c>
      <c r="D313" s="173" t="s">
        <v>3890</v>
      </c>
      <c r="E313" s="145" t="s">
        <v>3888</v>
      </c>
      <c r="F313" s="196"/>
      <c r="G313" s="148"/>
      <c r="H313" s="138" t="s">
        <v>19</v>
      </c>
      <c r="I313" s="138">
        <v>1</v>
      </c>
      <c r="J313" s="144">
        <v>23957701</v>
      </c>
      <c r="K313" s="144">
        <v>23957701</v>
      </c>
      <c r="L313" s="143">
        <v>0</v>
      </c>
      <c r="M313" s="143">
        <v>0</v>
      </c>
      <c r="N313" s="143">
        <v>0</v>
      </c>
      <c r="O313" s="143">
        <v>0</v>
      </c>
      <c r="P313" s="148"/>
      <c r="Q313" s="138" t="s">
        <v>20</v>
      </c>
      <c r="R313" s="138" t="s">
        <v>295</v>
      </c>
      <c r="S313" s="145" t="s">
        <v>2077</v>
      </c>
      <c r="T313" s="148"/>
      <c r="U313" s="202">
        <v>306</v>
      </c>
      <c r="V313" s="203" t="b">
        <v>1</v>
      </c>
      <c r="W313" s="204" t="s">
        <v>3285</v>
      </c>
      <c r="X313" s="128"/>
      <c r="Y313" s="128"/>
      <c r="Z313" s="128"/>
    </row>
    <row r="314" spans="1:26" ht="12.5" hidden="1">
      <c r="A314" s="211">
        <v>363</v>
      </c>
      <c r="B314" s="173" t="s">
        <v>3886</v>
      </c>
      <c r="C314" s="212">
        <v>42004</v>
      </c>
      <c r="D314" s="213" t="s">
        <v>3891</v>
      </c>
      <c r="E314" s="214" t="s">
        <v>3888</v>
      </c>
      <c r="F314" s="221"/>
      <c r="G314" s="148"/>
      <c r="H314" s="211" t="s">
        <v>19</v>
      </c>
      <c r="I314" s="211">
        <v>1</v>
      </c>
      <c r="J314" s="144">
        <v>23957701</v>
      </c>
      <c r="K314" s="144">
        <v>23957701</v>
      </c>
      <c r="L314" s="143">
        <v>0</v>
      </c>
      <c r="M314" s="143">
        <v>0</v>
      </c>
      <c r="N314" s="143">
        <v>0</v>
      </c>
      <c r="O314" s="143">
        <v>0</v>
      </c>
      <c r="P314" s="201"/>
      <c r="Q314" s="211" t="s">
        <v>20</v>
      </c>
      <c r="R314" s="211" t="s">
        <v>21</v>
      </c>
      <c r="S314" s="214" t="s">
        <v>22</v>
      </c>
      <c r="T314" s="201"/>
      <c r="U314" s="202">
        <v>307</v>
      </c>
      <c r="V314" s="203" t="b">
        <v>1</v>
      </c>
      <c r="W314" s="405" t="s">
        <v>3397</v>
      </c>
      <c r="X314" s="406"/>
      <c r="Y314" s="128"/>
      <c r="Z314" s="128"/>
    </row>
    <row r="315" spans="1:26" ht="12.5" hidden="1">
      <c r="A315" s="211">
        <v>364</v>
      </c>
      <c r="B315" s="173" t="s">
        <v>3886</v>
      </c>
      <c r="C315" s="212">
        <v>42004</v>
      </c>
      <c r="D315" s="213" t="s">
        <v>3892</v>
      </c>
      <c r="E315" s="214" t="s">
        <v>3888</v>
      </c>
      <c r="F315" s="221"/>
      <c r="G315" s="148"/>
      <c r="H315" s="211" t="s">
        <v>19</v>
      </c>
      <c r="I315" s="211">
        <v>1</v>
      </c>
      <c r="J315" s="144">
        <v>23957701</v>
      </c>
      <c r="K315" s="144">
        <v>23957701</v>
      </c>
      <c r="L315" s="143">
        <v>0</v>
      </c>
      <c r="M315" s="143">
        <v>0</v>
      </c>
      <c r="N315" s="143">
        <v>0</v>
      </c>
      <c r="O315" s="143">
        <v>0</v>
      </c>
      <c r="P315" s="201"/>
      <c r="Q315" s="211" t="s">
        <v>20</v>
      </c>
      <c r="R315" s="211" t="s">
        <v>21</v>
      </c>
      <c r="S315" s="214" t="s">
        <v>22</v>
      </c>
      <c r="T315" s="201"/>
      <c r="U315" s="202">
        <v>308</v>
      </c>
      <c r="V315" s="203" t="b">
        <v>1</v>
      </c>
      <c r="W315" s="405" t="s">
        <v>3397</v>
      </c>
      <c r="X315" s="406"/>
      <c r="Y315" s="128"/>
      <c r="Z315" s="128"/>
    </row>
    <row r="316" spans="1:26" ht="12.5" hidden="1">
      <c r="A316" s="211">
        <v>365</v>
      </c>
      <c r="B316" s="173" t="s">
        <v>3886</v>
      </c>
      <c r="C316" s="212">
        <v>42004</v>
      </c>
      <c r="D316" s="213" t="s">
        <v>3893</v>
      </c>
      <c r="E316" s="214" t="s">
        <v>3888</v>
      </c>
      <c r="F316" s="221"/>
      <c r="G316" s="148"/>
      <c r="H316" s="211" t="s">
        <v>19</v>
      </c>
      <c r="I316" s="211">
        <v>1</v>
      </c>
      <c r="J316" s="144">
        <v>23957701</v>
      </c>
      <c r="K316" s="144">
        <v>23957701</v>
      </c>
      <c r="L316" s="143">
        <v>0</v>
      </c>
      <c r="M316" s="143">
        <v>0</v>
      </c>
      <c r="N316" s="143">
        <v>0</v>
      </c>
      <c r="O316" s="143">
        <v>0</v>
      </c>
      <c r="P316" s="201"/>
      <c r="Q316" s="211" t="s">
        <v>20</v>
      </c>
      <c r="R316" s="211" t="s">
        <v>21</v>
      </c>
      <c r="S316" s="214" t="s">
        <v>22</v>
      </c>
      <c r="T316" s="201"/>
      <c r="U316" s="202">
        <v>309</v>
      </c>
      <c r="V316" s="203" t="b">
        <v>1</v>
      </c>
      <c r="W316" s="405" t="s">
        <v>3397</v>
      </c>
      <c r="X316" s="406"/>
      <c r="Y316" s="128"/>
      <c r="Z316" s="128"/>
    </row>
    <row r="317" spans="1:26" ht="12.5" hidden="1">
      <c r="A317" s="138">
        <v>366</v>
      </c>
      <c r="B317" s="173" t="s">
        <v>3886</v>
      </c>
      <c r="C317" s="139">
        <v>42004</v>
      </c>
      <c r="D317" s="173" t="s">
        <v>3894</v>
      </c>
      <c r="E317" s="145" t="s">
        <v>3888</v>
      </c>
      <c r="F317" s="196"/>
      <c r="G317" s="148"/>
      <c r="H317" s="138" t="s">
        <v>19</v>
      </c>
      <c r="I317" s="138">
        <v>1</v>
      </c>
      <c r="J317" s="144">
        <v>23957701</v>
      </c>
      <c r="K317" s="144">
        <v>23957701</v>
      </c>
      <c r="L317" s="143">
        <v>0</v>
      </c>
      <c r="M317" s="143">
        <v>0</v>
      </c>
      <c r="N317" s="143">
        <v>0</v>
      </c>
      <c r="O317" s="143">
        <v>0</v>
      </c>
      <c r="P317" s="148"/>
      <c r="Q317" s="138" t="s">
        <v>20</v>
      </c>
      <c r="R317" s="138" t="s">
        <v>233</v>
      </c>
      <c r="S317" s="145" t="s">
        <v>3895</v>
      </c>
      <c r="T317" s="148"/>
      <c r="U317" s="202">
        <v>310</v>
      </c>
      <c r="V317" s="203" t="b">
        <v>1</v>
      </c>
      <c r="W317" s="204" t="s">
        <v>3285</v>
      </c>
      <c r="X317" s="128"/>
      <c r="Y317" s="128"/>
      <c r="Z317" s="128"/>
    </row>
    <row r="318" spans="1:26" ht="12.5" hidden="1">
      <c r="A318" s="138">
        <v>367</v>
      </c>
      <c r="B318" s="173" t="s">
        <v>3886</v>
      </c>
      <c r="C318" s="139">
        <v>42004</v>
      </c>
      <c r="D318" s="173" t="s">
        <v>3896</v>
      </c>
      <c r="E318" s="145" t="s">
        <v>3888</v>
      </c>
      <c r="F318" s="196"/>
      <c r="G318" s="148"/>
      <c r="H318" s="138" t="s">
        <v>19</v>
      </c>
      <c r="I318" s="138">
        <v>1</v>
      </c>
      <c r="J318" s="144">
        <v>23957701</v>
      </c>
      <c r="K318" s="144">
        <v>23957701</v>
      </c>
      <c r="L318" s="143">
        <v>0</v>
      </c>
      <c r="M318" s="143">
        <v>0</v>
      </c>
      <c r="N318" s="143">
        <v>0</v>
      </c>
      <c r="O318" s="143">
        <v>0</v>
      </c>
      <c r="P318" s="148"/>
      <c r="Q318" s="138" t="s">
        <v>20</v>
      </c>
      <c r="R318" s="138" t="s">
        <v>284</v>
      </c>
      <c r="S318" s="145" t="s">
        <v>3897</v>
      </c>
      <c r="T318" s="148"/>
      <c r="U318" s="202">
        <v>311</v>
      </c>
      <c r="V318" s="203" t="b">
        <v>1</v>
      </c>
      <c r="W318" s="204" t="s">
        <v>3285</v>
      </c>
      <c r="X318" s="128"/>
      <c r="Y318" s="128"/>
      <c r="Z318" s="128"/>
    </row>
    <row r="319" spans="1:26" ht="12.5">
      <c r="A319" s="138">
        <v>368</v>
      </c>
      <c r="B319" s="173" t="s">
        <v>3886</v>
      </c>
      <c r="C319" s="139">
        <v>42004</v>
      </c>
      <c r="D319" s="210" t="s">
        <v>3898</v>
      </c>
      <c r="E319" s="145" t="s">
        <v>3888</v>
      </c>
      <c r="F319" s="196"/>
      <c r="G319" s="148"/>
      <c r="H319" s="138" t="s">
        <v>19</v>
      </c>
      <c r="I319" s="138">
        <v>1</v>
      </c>
      <c r="J319" s="144">
        <v>23957701</v>
      </c>
      <c r="K319" s="144">
        <v>23957701</v>
      </c>
      <c r="L319" s="143">
        <v>0</v>
      </c>
      <c r="M319" s="143">
        <v>0</v>
      </c>
      <c r="N319" s="143">
        <v>0</v>
      </c>
      <c r="O319" s="143">
        <v>0</v>
      </c>
      <c r="P319" s="148"/>
      <c r="Q319" s="138" t="s">
        <v>20</v>
      </c>
      <c r="R319" s="138" t="s">
        <v>229</v>
      </c>
      <c r="S319" s="145" t="s">
        <v>3899</v>
      </c>
      <c r="T319" s="173" t="s">
        <v>923</v>
      </c>
      <c r="U319" s="202">
        <v>312</v>
      </c>
      <c r="V319" s="203" t="b">
        <v>1</v>
      </c>
      <c r="W319" s="204" t="s">
        <v>3285</v>
      </c>
      <c r="X319" s="128"/>
      <c r="Y319" s="128"/>
      <c r="Z319" s="128"/>
    </row>
    <row r="320" spans="1:26" ht="12.5" hidden="1">
      <c r="A320" s="138">
        <v>369</v>
      </c>
      <c r="B320" s="173" t="s">
        <v>3886</v>
      </c>
      <c r="C320" s="139">
        <v>42004</v>
      </c>
      <c r="D320" s="173" t="s">
        <v>3900</v>
      </c>
      <c r="E320" s="145" t="s">
        <v>3888</v>
      </c>
      <c r="F320" s="196"/>
      <c r="G320" s="148"/>
      <c r="H320" s="138" t="s">
        <v>19</v>
      </c>
      <c r="I320" s="138">
        <v>1</v>
      </c>
      <c r="J320" s="144">
        <v>23957701</v>
      </c>
      <c r="K320" s="144">
        <v>23957701</v>
      </c>
      <c r="L320" s="143">
        <v>0</v>
      </c>
      <c r="M320" s="143">
        <v>0</v>
      </c>
      <c r="N320" s="143">
        <v>0</v>
      </c>
      <c r="O320" s="143">
        <v>0</v>
      </c>
      <c r="P320" s="148"/>
      <c r="Q320" s="138" t="s">
        <v>20</v>
      </c>
      <c r="R320" s="138" t="s">
        <v>423</v>
      </c>
      <c r="S320" s="145" t="s">
        <v>3901</v>
      </c>
      <c r="T320" s="148"/>
      <c r="U320" s="202">
        <v>313</v>
      </c>
      <c r="V320" s="203" t="b">
        <v>1</v>
      </c>
      <c r="W320" s="204" t="s">
        <v>3285</v>
      </c>
      <c r="X320" s="128"/>
      <c r="Y320" s="128"/>
      <c r="Z320" s="128"/>
    </row>
    <row r="321" spans="1:26" ht="12.5" hidden="1">
      <c r="A321" s="138">
        <v>370</v>
      </c>
      <c r="B321" s="173" t="s">
        <v>3886</v>
      </c>
      <c r="C321" s="139">
        <v>42004</v>
      </c>
      <c r="D321" s="173" t="s">
        <v>3902</v>
      </c>
      <c r="E321" s="145" t="s">
        <v>3888</v>
      </c>
      <c r="F321" s="196"/>
      <c r="G321" s="148"/>
      <c r="H321" s="138" t="s">
        <v>19</v>
      </c>
      <c r="I321" s="138">
        <v>1</v>
      </c>
      <c r="J321" s="144">
        <v>23957701</v>
      </c>
      <c r="K321" s="144">
        <v>23957701</v>
      </c>
      <c r="L321" s="143">
        <v>0</v>
      </c>
      <c r="M321" s="143">
        <v>0</v>
      </c>
      <c r="N321" s="143">
        <v>0</v>
      </c>
      <c r="O321" s="143">
        <v>0</v>
      </c>
      <c r="P321" s="148"/>
      <c r="Q321" s="138" t="s">
        <v>20</v>
      </c>
      <c r="R321" s="138" t="s">
        <v>284</v>
      </c>
      <c r="S321" s="145" t="s">
        <v>3903</v>
      </c>
      <c r="T321" s="148"/>
      <c r="U321" s="202">
        <v>314</v>
      </c>
      <c r="V321" s="203" t="b">
        <v>1</v>
      </c>
      <c r="W321" s="204" t="s">
        <v>3285</v>
      </c>
      <c r="X321" s="128"/>
      <c r="Y321" s="128"/>
      <c r="Z321" s="128"/>
    </row>
    <row r="322" spans="1:26" ht="12.5" hidden="1">
      <c r="A322" s="138">
        <v>371</v>
      </c>
      <c r="B322" s="173" t="s">
        <v>3886</v>
      </c>
      <c r="C322" s="139">
        <v>42004</v>
      </c>
      <c r="D322" s="173" t="s">
        <v>3904</v>
      </c>
      <c r="E322" s="145" t="s">
        <v>3888</v>
      </c>
      <c r="F322" s="196"/>
      <c r="G322" s="148"/>
      <c r="H322" s="138" t="s">
        <v>19</v>
      </c>
      <c r="I322" s="138">
        <v>1</v>
      </c>
      <c r="J322" s="144">
        <v>23957701</v>
      </c>
      <c r="K322" s="144">
        <v>23957701</v>
      </c>
      <c r="L322" s="143">
        <v>0</v>
      </c>
      <c r="M322" s="143">
        <v>0</v>
      </c>
      <c r="N322" s="143">
        <v>0</v>
      </c>
      <c r="O322" s="143">
        <v>0</v>
      </c>
      <c r="P322" s="148"/>
      <c r="Q322" s="138" t="s">
        <v>20</v>
      </c>
      <c r="R322" s="138" t="s">
        <v>284</v>
      </c>
      <c r="S322" s="145" t="s">
        <v>3905</v>
      </c>
      <c r="T322" s="148"/>
      <c r="U322" s="202">
        <v>315</v>
      </c>
      <c r="V322" s="203" t="b">
        <v>1</v>
      </c>
      <c r="W322" s="204" t="s">
        <v>3285</v>
      </c>
      <c r="X322" s="128"/>
      <c r="Y322" s="128"/>
      <c r="Z322" s="128"/>
    </row>
    <row r="323" spans="1:26" ht="12.5" hidden="1">
      <c r="A323" s="138">
        <v>372</v>
      </c>
      <c r="B323" s="173" t="s">
        <v>3886</v>
      </c>
      <c r="C323" s="139">
        <v>42004</v>
      </c>
      <c r="D323" s="173" t="s">
        <v>3906</v>
      </c>
      <c r="E323" s="145" t="s">
        <v>3888</v>
      </c>
      <c r="F323" s="196"/>
      <c r="G323" s="148"/>
      <c r="H323" s="138" t="s">
        <v>19</v>
      </c>
      <c r="I323" s="138">
        <v>1</v>
      </c>
      <c r="J323" s="144">
        <v>23957701</v>
      </c>
      <c r="K323" s="144">
        <v>23957701</v>
      </c>
      <c r="L323" s="143">
        <v>0</v>
      </c>
      <c r="M323" s="143">
        <v>0</v>
      </c>
      <c r="N323" s="143">
        <v>0</v>
      </c>
      <c r="O323" s="143">
        <v>0</v>
      </c>
      <c r="P323" s="148"/>
      <c r="Q323" s="138" t="s">
        <v>20</v>
      </c>
      <c r="R323" s="138" t="s">
        <v>284</v>
      </c>
      <c r="S323" s="145" t="s">
        <v>3907</v>
      </c>
      <c r="T323" s="148"/>
      <c r="U323" s="202">
        <v>316</v>
      </c>
      <c r="V323" s="203" t="b">
        <v>1</v>
      </c>
      <c r="W323" s="204" t="s">
        <v>3285</v>
      </c>
      <c r="X323" s="128"/>
      <c r="Y323" s="128"/>
      <c r="Z323" s="128"/>
    </row>
    <row r="324" spans="1:26" ht="12.5">
      <c r="A324" s="138">
        <v>373</v>
      </c>
      <c r="B324" s="173" t="s">
        <v>3812</v>
      </c>
      <c r="C324" s="139">
        <v>42993</v>
      </c>
      <c r="D324" s="210" t="s">
        <v>3908</v>
      </c>
      <c r="E324" s="145" t="s">
        <v>3909</v>
      </c>
      <c r="F324" s="196"/>
      <c r="G324" s="173" t="s">
        <v>35</v>
      </c>
      <c r="H324" s="138" t="s">
        <v>249</v>
      </c>
      <c r="I324" s="138">
        <v>1</v>
      </c>
      <c r="J324" s="144">
        <v>6590000</v>
      </c>
      <c r="K324" s="144">
        <v>6590000</v>
      </c>
      <c r="L324" s="143">
        <v>0</v>
      </c>
      <c r="M324" s="143">
        <v>0</v>
      </c>
      <c r="N324" s="143">
        <v>0</v>
      </c>
      <c r="O324" s="143">
        <v>0</v>
      </c>
      <c r="P324" s="173" t="s">
        <v>3814</v>
      </c>
      <c r="Q324" s="138" t="s">
        <v>20</v>
      </c>
      <c r="R324" s="138" t="s">
        <v>229</v>
      </c>
      <c r="S324" s="145" t="s">
        <v>3910</v>
      </c>
      <c r="T324" s="256"/>
      <c r="U324" s="202">
        <v>317</v>
      </c>
      <c r="V324" s="203" t="b">
        <v>1</v>
      </c>
      <c r="W324" s="204" t="s">
        <v>3285</v>
      </c>
      <c r="X324" s="128"/>
      <c r="Y324" s="128"/>
      <c r="Z324" s="128"/>
    </row>
    <row r="325" spans="1:26" ht="12.5" hidden="1">
      <c r="A325" s="138">
        <v>374</v>
      </c>
      <c r="B325" s="173" t="s">
        <v>3805</v>
      </c>
      <c r="C325" s="139">
        <v>42935</v>
      </c>
      <c r="D325" s="173" t="s">
        <v>3911</v>
      </c>
      <c r="E325" s="145" t="s">
        <v>3912</v>
      </c>
      <c r="F325" s="196"/>
      <c r="G325" s="173" t="s">
        <v>35</v>
      </c>
      <c r="H325" s="138" t="s">
        <v>249</v>
      </c>
      <c r="I325" s="138">
        <v>1</v>
      </c>
      <c r="J325" s="144">
        <v>1200000</v>
      </c>
      <c r="K325" s="144">
        <v>1200000</v>
      </c>
      <c r="L325" s="143">
        <v>0</v>
      </c>
      <c r="M325" s="143">
        <v>0</v>
      </c>
      <c r="N325" s="143">
        <v>0</v>
      </c>
      <c r="O325" s="143">
        <v>0</v>
      </c>
      <c r="P325" s="148"/>
      <c r="Q325" s="138" t="s">
        <v>887</v>
      </c>
      <c r="R325" s="138" t="s">
        <v>888</v>
      </c>
      <c r="S325" s="145" t="s">
        <v>3913</v>
      </c>
      <c r="T325" s="148"/>
      <c r="U325" s="202">
        <v>318</v>
      </c>
      <c r="V325" s="203" t="b">
        <v>1</v>
      </c>
      <c r="W325" s="204" t="s">
        <v>3285</v>
      </c>
      <c r="X325" s="128"/>
      <c r="Y325" s="128"/>
      <c r="Z325" s="128"/>
    </row>
    <row r="326" spans="1:26" ht="12.5" hidden="1">
      <c r="A326" s="138">
        <v>375</v>
      </c>
      <c r="B326" s="173" t="s">
        <v>3805</v>
      </c>
      <c r="C326" s="139">
        <v>42935</v>
      </c>
      <c r="D326" s="173" t="s">
        <v>3914</v>
      </c>
      <c r="E326" s="145" t="s">
        <v>3912</v>
      </c>
      <c r="F326" s="196"/>
      <c r="G326" s="173" t="s">
        <v>35</v>
      </c>
      <c r="H326" s="138" t="s">
        <v>249</v>
      </c>
      <c r="I326" s="138">
        <v>1</v>
      </c>
      <c r="J326" s="144">
        <v>1200000</v>
      </c>
      <c r="K326" s="144">
        <v>1200000</v>
      </c>
      <c r="L326" s="143">
        <v>0</v>
      </c>
      <c r="M326" s="143">
        <v>0</v>
      </c>
      <c r="N326" s="143">
        <v>0</v>
      </c>
      <c r="O326" s="143">
        <v>0</v>
      </c>
      <c r="P326" s="148"/>
      <c r="Q326" s="138" t="s">
        <v>887</v>
      </c>
      <c r="R326" s="138" t="s">
        <v>888</v>
      </c>
      <c r="S326" s="145" t="s">
        <v>3913</v>
      </c>
      <c r="T326" s="148"/>
      <c r="U326" s="202">
        <v>319</v>
      </c>
      <c r="V326" s="203" t="b">
        <v>1</v>
      </c>
      <c r="W326" s="204" t="s">
        <v>3285</v>
      </c>
      <c r="X326" s="128"/>
      <c r="Y326" s="128"/>
      <c r="Z326" s="128"/>
    </row>
    <row r="327" spans="1:26" ht="12.5">
      <c r="A327" s="138">
        <v>376</v>
      </c>
      <c r="B327" s="173" t="s">
        <v>3812</v>
      </c>
      <c r="C327" s="139">
        <v>42993</v>
      </c>
      <c r="D327" s="210" t="s">
        <v>3915</v>
      </c>
      <c r="E327" s="145" t="s">
        <v>1157</v>
      </c>
      <c r="F327" s="196"/>
      <c r="G327" s="148"/>
      <c r="H327" s="138" t="s">
        <v>249</v>
      </c>
      <c r="I327" s="138">
        <v>1</v>
      </c>
      <c r="J327" s="144">
        <v>950000</v>
      </c>
      <c r="K327" s="144">
        <v>950000</v>
      </c>
      <c r="L327" s="143">
        <v>0</v>
      </c>
      <c r="M327" s="143">
        <v>0</v>
      </c>
      <c r="N327" s="143">
        <v>0</v>
      </c>
      <c r="O327" s="143">
        <v>0</v>
      </c>
      <c r="P327" s="173" t="s">
        <v>3814</v>
      </c>
      <c r="Q327" s="138" t="s">
        <v>20</v>
      </c>
      <c r="R327" s="138" t="s">
        <v>229</v>
      </c>
      <c r="S327" s="145" t="s">
        <v>3916</v>
      </c>
      <c r="T327" s="256"/>
      <c r="U327" s="202">
        <v>320</v>
      </c>
      <c r="V327" s="203" t="b">
        <v>1</v>
      </c>
      <c r="W327" s="204" t="s">
        <v>3285</v>
      </c>
      <c r="X327" s="128"/>
      <c r="Y327" s="128"/>
      <c r="Z327" s="128"/>
    </row>
    <row r="328" spans="1:26" ht="12.5">
      <c r="A328" s="138">
        <v>377</v>
      </c>
      <c r="B328" s="173" t="s">
        <v>3812</v>
      </c>
      <c r="C328" s="139">
        <v>42993</v>
      </c>
      <c r="D328" s="210" t="s">
        <v>3917</v>
      </c>
      <c r="E328" s="145" t="s">
        <v>1157</v>
      </c>
      <c r="F328" s="196"/>
      <c r="G328" s="148"/>
      <c r="H328" s="138" t="s">
        <v>249</v>
      </c>
      <c r="I328" s="138">
        <v>1</v>
      </c>
      <c r="J328" s="144">
        <v>950000</v>
      </c>
      <c r="K328" s="144">
        <v>950000</v>
      </c>
      <c r="L328" s="143">
        <v>0</v>
      </c>
      <c r="M328" s="143">
        <v>0</v>
      </c>
      <c r="N328" s="143">
        <v>0</v>
      </c>
      <c r="O328" s="143">
        <v>0</v>
      </c>
      <c r="P328" s="173" t="s">
        <v>3814</v>
      </c>
      <c r="Q328" s="138" t="s">
        <v>20</v>
      </c>
      <c r="R328" s="138" t="s">
        <v>229</v>
      </c>
      <c r="S328" s="145" t="s">
        <v>3918</v>
      </c>
      <c r="T328" s="256"/>
      <c r="U328" s="202">
        <v>321</v>
      </c>
      <c r="V328" s="203" t="b">
        <v>1</v>
      </c>
      <c r="W328" s="204" t="s">
        <v>3285</v>
      </c>
      <c r="X328" s="128"/>
      <c r="Y328" s="128"/>
      <c r="Z328" s="128"/>
    </row>
    <row r="329" spans="1:26" ht="12.5">
      <c r="A329" s="138">
        <v>378</v>
      </c>
      <c r="B329" s="173" t="s">
        <v>3812</v>
      </c>
      <c r="C329" s="139">
        <v>42993</v>
      </c>
      <c r="D329" s="210" t="s">
        <v>3919</v>
      </c>
      <c r="E329" s="145" t="s">
        <v>1157</v>
      </c>
      <c r="F329" s="196"/>
      <c r="G329" s="148"/>
      <c r="H329" s="138" t="s">
        <v>249</v>
      </c>
      <c r="I329" s="138">
        <v>1</v>
      </c>
      <c r="J329" s="144">
        <v>950000</v>
      </c>
      <c r="K329" s="144">
        <v>950000</v>
      </c>
      <c r="L329" s="143">
        <v>0</v>
      </c>
      <c r="M329" s="143">
        <v>0</v>
      </c>
      <c r="N329" s="143">
        <v>0</v>
      </c>
      <c r="O329" s="143">
        <v>0</v>
      </c>
      <c r="P329" s="173" t="s">
        <v>3814</v>
      </c>
      <c r="Q329" s="138" t="s">
        <v>20</v>
      </c>
      <c r="R329" s="138" t="s">
        <v>229</v>
      </c>
      <c r="S329" s="145" t="s">
        <v>3920</v>
      </c>
      <c r="T329" s="256"/>
      <c r="U329" s="202">
        <v>322</v>
      </c>
      <c r="V329" s="203" t="b">
        <v>1</v>
      </c>
      <c r="W329" s="204" t="s">
        <v>3285</v>
      </c>
      <c r="X329" s="128"/>
      <c r="Y329" s="128"/>
      <c r="Z329" s="128"/>
    </row>
    <row r="330" spans="1:26" ht="12.5">
      <c r="A330" s="138">
        <v>379</v>
      </c>
      <c r="B330" s="173" t="s">
        <v>3812</v>
      </c>
      <c r="C330" s="139">
        <v>42993</v>
      </c>
      <c r="D330" s="210" t="s">
        <v>3921</v>
      </c>
      <c r="E330" s="145" t="s">
        <v>1157</v>
      </c>
      <c r="F330" s="196"/>
      <c r="G330" s="148"/>
      <c r="H330" s="138" t="s">
        <v>249</v>
      </c>
      <c r="I330" s="138">
        <v>1</v>
      </c>
      <c r="J330" s="144">
        <v>950000</v>
      </c>
      <c r="K330" s="144">
        <v>950000</v>
      </c>
      <c r="L330" s="143">
        <v>0</v>
      </c>
      <c r="M330" s="143">
        <v>0</v>
      </c>
      <c r="N330" s="143">
        <v>0</v>
      </c>
      <c r="O330" s="143">
        <v>0</v>
      </c>
      <c r="P330" s="173" t="s">
        <v>3814</v>
      </c>
      <c r="Q330" s="138" t="s">
        <v>20</v>
      </c>
      <c r="R330" s="138" t="s">
        <v>229</v>
      </c>
      <c r="S330" s="145" t="s">
        <v>3922</v>
      </c>
      <c r="T330" s="256"/>
      <c r="U330" s="202">
        <v>323</v>
      </c>
      <c r="V330" s="203" t="b">
        <v>1</v>
      </c>
      <c r="W330" s="204" t="s">
        <v>3285</v>
      </c>
      <c r="X330" s="128"/>
      <c r="Y330" s="128"/>
      <c r="Z330" s="128"/>
    </row>
    <row r="331" spans="1:26" ht="12.5">
      <c r="A331" s="138">
        <v>380</v>
      </c>
      <c r="B331" s="173" t="s">
        <v>3812</v>
      </c>
      <c r="C331" s="139">
        <v>42993</v>
      </c>
      <c r="D331" s="210" t="s">
        <v>3923</v>
      </c>
      <c r="E331" s="145" t="s">
        <v>1157</v>
      </c>
      <c r="F331" s="196"/>
      <c r="G331" s="148"/>
      <c r="H331" s="138" t="s">
        <v>249</v>
      </c>
      <c r="I331" s="138">
        <v>1</v>
      </c>
      <c r="J331" s="144">
        <v>950000</v>
      </c>
      <c r="K331" s="144">
        <v>950000</v>
      </c>
      <c r="L331" s="143">
        <v>0</v>
      </c>
      <c r="M331" s="143">
        <v>0</v>
      </c>
      <c r="N331" s="143">
        <v>0</v>
      </c>
      <c r="O331" s="143">
        <v>0</v>
      </c>
      <c r="P331" s="173" t="s">
        <v>3814</v>
      </c>
      <c r="Q331" s="138" t="s">
        <v>20</v>
      </c>
      <c r="R331" s="138" t="s">
        <v>229</v>
      </c>
      <c r="S331" s="145" t="s">
        <v>3924</v>
      </c>
      <c r="T331" s="256"/>
      <c r="U331" s="202">
        <v>324</v>
      </c>
      <c r="V331" s="203" t="b">
        <v>1</v>
      </c>
      <c r="W331" s="204" t="s">
        <v>3285</v>
      </c>
      <c r="X331" s="128"/>
      <c r="Y331" s="128"/>
      <c r="Z331" s="128"/>
    </row>
    <row r="332" spans="1:26" ht="12.5">
      <c r="A332" s="138">
        <v>381</v>
      </c>
      <c r="B332" s="173" t="s">
        <v>3812</v>
      </c>
      <c r="C332" s="139">
        <v>42993</v>
      </c>
      <c r="D332" s="210" t="s">
        <v>3925</v>
      </c>
      <c r="E332" s="145" t="s">
        <v>1157</v>
      </c>
      <c r="F332" s="196"/>
      <c r="G332" s="148"/>
      <c r="H332" s="138" t="s">
        <v>249</v>
      </c>
      <c r="I332" s="138">
        <v>1</v>
      </c>
      <c r="J332" s="144">
        <v>950000</v>
      </c>
      <c r="K332" s="144">
        <v>950000</v>
      </c>
      <c r="L332" s="143">
        <v>0</v>
      </c>
      <c r="M332" s="143">
        <v>0</v>
      </c>
      <c r="N332" s="143">
        <v>0</v>
      </c>
      <c r="O332" s="143">
        <v>0</v>
      </c>
      <c r="P332" s="173" t="s">
        <v>3814</v>
      </c>
      <c r="Q332" s="138" t="s">
        <v>20</v>
      </c>
      <c r="R332" s="138" t="s">
        <v>229</v>
      </c>
      <c r="S332" s="145" t="s">
        <v>3926</v>
      </c>
      <c r="T332" s="256"/>
      <c r="U332" s="202">
        <v>325</v>
      </c>
      <c r="V332" s="203" t="b">
        <v>1</v>
      </c>
      <c r="W332" s="204" t="s">
        <v>3285</v>
      </c>
      <c r="X332" s="128"/>
      <c r="Y332" s="128"/>
      <c r="Z332" s="128"/>
    </row>
    <row r="333" spans="1:26" ht="12.5" hidden="1">
      <c r="A333" s="138">
        <v>382</v>
      </c>
      <c r="B333" s="173" t="s">
        <v>3927</v>
      </c>
      <c r="C333" s="139">
        <v>43091</v>
      </c>
      <c r="D333" s="173" t="s">
        <v>3928</v>
      </c>
      <c r="E333" s="145" t="s">
        <v>3929</v>
      </c>
      <c r="F333" s="196"/>
      <c r="G333" s="148"/>
      <c r="H333" s="138" t="s">
        <v>19</v>
      </c>
      <c r="I333" s="138">
        <v>1</v>
      </c>
      <c r="J333" s="144">
        <v>1600000</v>
      </c>
      <c r="K333" s="144">
        <v>1600000</v>
      </c>
      <c r="L333" s="143">
        <v>0</v>
      </c>
      <c r="M333" s="143">
        <v>0</v>
      </c>
      <c r="N333" s="143">
        <v>0</v>
      </c>
      <c r="O333" s="143">
        <v>0</v>
      </c>
      <c r="P333" s="173" t="s">
        <v>3930</v>
      </c>
      <c r="Q333" s="138" t="s">
        <v>36</v>
      </c>
      <c r="R333" s="138" t="s">
        <v>3512</v>
      </c>
      <c r="S333" s="145" t="s">
        <v>3931</v>
      </c>
      <c r="T333" s="148"/>
      <c r="U333" s="202">
        <v>326</v>
      </c>
      <c r="V333" s="203" t="b">
        <v>1</v>
      </c>
      <c r="W333" s="204" t="s">
        <v>3285</v>
      </c>
      <c r="X333" s="128"/>
      <c r="Y333" s="128"/>
      <c r="Z333" s="128"/>
    </row>
    <row r="334" spans="1:26" ht="12.5" hidden="1">
      <c r="A334" s="138">
        <v>383</v>
      </c>
      <c r="B334" s="173" t="s">
        <v>3927</v>
      </c>
      <c r="C334" s="139">
        <v>43091</v>
      </c>
      <c r="D334" s="173" t="s">
        <v>3932</v>
      </c>
      <c r="E334" s="145" t="s">
        <v>3929</v>
      </c>
      <c r="F334" s="196"/>
      <c r="G334" s="148"/>
      <c r="H334" s="138" t="s">
        <v>19</v>
      </c>
      <c r="I334" s="138">
        <v>1</v>
      </c>
      <c r="J334" s="144">
        <v>1600000</v>
      </c>
      <c r="K334" s="144">
        <v>1600000</v>
      </c>
      <c r="L334" s="143">
        <v>0</v>
      </c>
      <c r="M334" s="143">
        <v>0</v>
      </c>
      <c r="N334" s="143">
        <v>0</v>
      </c>
      <c r="O334" s="143">
        <v>0</v>
      </c>
      <c r="P334" s="173" t="s">
        <v>3824</v>
      </c>
      <c r="Q334" s="138" t="s">
        <v>36</v>
      </c>
      <c r="R334" s="138" t="s">
        <v>3512</v>
      </c>
      <c r="S334" s="145" t="s">
        <v>3933</v>
      </c>
      <c r="T334" s="148"/>
      <c r="U334" s="202">
        <v>327</v>
      </c>
      <c r="V334" s="203" t="b">
        <v>1</v>
      </c>
      <c r="W334" s="204" t="s">
        <v>3285</v>
      </c>
      <c r="X334" s="128"/>
      <c r="Y334" s="128"/>
      <c r="Z334" s="128"/>
    </row>
    <row r="335" spans="1:26" ht="12.5" hidden="1">
      <c r="A335" s="138">
        <v>384</v>
      </c>
      <c r="B335" s="173" t="s">
        <v>3934</v>
      </c>
      <c r="C335" s="139">
        <v>43307</v>
      </c>
      <c r="D335" s="173" t="s">
        <v>3935</v>
      </c>
      <c r="E335" s="145" t="s">
        <v>3936</v>
      </c>
      <c r="F335" s="145">
        <v>5533407</v>
      </c>
      <c r="G335" s="173" t="s">
        <v>1435</v>
      </c>
      <c r="H335" s="138" t="s">
        <v>249</v>
      </c>
      <c r="I335" s="138">
        <v>1</v>
      </c>
      <c r="J335" s="144">
        <v>7925454</v>
      </c>
      <c r="K335" s="144">
        <v>7925454</v>
      </c>
      <c r="L335" s="143">
        <v>0</v>
      </c>
      <c r="M335" s="143">
        <v>0</v>
      </c>
      <c r="N335" s="143">
        <v>0</v>
      </c>
      <c r="O335" s="143">
        <v>0</v>
      </c>
      <c r="P335" s="148"/>
      <c r="Q335" s="138" t="s">
        <v>206</v>
      </c>
      <c r="R335" s="138" t="s">
        <v>1514</v>
      </c>
      <c r="S335" s="145" t="s">
        <v>3937</v>
      </c>
      <c r="T335" s="148"/>
      <c r="U335" s="202">
        <v>328</v>
      </c>
      <c r="V335" s="203" t="b">
        <v>1</v>
      </c>
      <c r="W335" s="204" t="s">
        <v>3285</v>
      </c>
      <c r="X335" s="128"/>
      <c r="Y335" s="128"/>
      <c r="Z335" s="128"/>
    </row>
    <row r="336" spans="1:26" ht="12.5" hidden="1">
      <c r="A336" s="138">
        <v>385</v>
      </c>
      <c r="B336" s="173" t="s">
        <v>3934</v>
      </c>
      <c r="C336" s="139">
        <v>43307</v>
      </c>
      <c r="D336" s="173" t="s">
        <v>3938</v>
      </c>
      <c r="E336" s="145" t="s">
        <v>3936</v>
      </c>
      <c r="F336" s="145">
        <v>5533387</v>
      </c>
      <c r="G336" s="173" t="s">
        <v>1435</v>
      </c>
      <c r="H336" s="138" t="s">
        <v>249</v>
      </c>
      <c r="I336" s="138">
        <v>1</v>
      </c>
      <c r="J336" s="144">
        <v>7925454</v>
      </c>
      <c r="K336" s="144">
        <v>7925454</v>
      </c>
      <c r="L336" s="143">
        <v>0</v>
      </c>
      <c r="M336" s="143">
        <v>0</v>
      </c>
      <c r="N336" s="143">
        <v>0</v>
      </c>
      <c r="O336" s="143">
        <v>0</v>
      </c>
      <c r="P336" s="148"/>
      <c r="Q336" s="138" t="s">
        <v>36</v>
      </c>
      <c r="R336" s="138" t="s">
        <v>3512</v>
      </c>
      <c r="S336" s="145" t="s">
        <v>3939</v>
      </c>
      <c r="T336" s="148"/>
      <c r="U336" s="202">
        <v>329</v>
      </c>
      <c r="V336" s="203" t="b">
        <v>1</v>
      </c>
      <c r="W336" s="204" t="s">
        <v>3285</v>
      </c>
      <c r="X336" s="128"/>
      <c r="Y336" s="128"/>
      <c r="Z336" s="128"/>
    </row>
    <row r="337" spans="1:26" ht="12.5" hidden="1">
      <c r="A337" s="138">
        <v>386</v>
      </c>
      <c r="B337" s="173" t="s">
        <v>3934</v>
      </c>
      <c r="C337" s="139">
        <v>43307</v>
      </c>
      <c r="D337" s="173" t="s">
        <v>3940</v>
      </c>
      <c r="E337" s="145" t="s">
        <v>3936</v>
      </c>
      <c r="F337" s="145">
        <v>5533409</v>
      </c>
      <c r="G337" s="173" t="s">
        <v>1435</v>
      </c>
      <c r="H337" s="138" t="s">
        <v>249</v>
      </c>
      <c r="I337" s="138">
        <v>1</v>
      </c>
      <c r="J337" s="144">
        <v>7925454</v>
      </c>
      <c r="K337" s="144">
        <v>7925454</v>
      </c>
      <c r="L337" s="143">
        <v>0</v>
      </c>
      <c r="M337" s="143">
        <v>0</v>
      </c>
      <c r="N337" s="143">
        <v>0</v>
      </c>
      <c r="O337" s="143">
        <v>0</v>
      </c>
      <c r="P337" s="148"/>
      <c r="Q337" s="138" t="s">
        <v>206</v>
      </c>
      <c r="R337" s="138" t="s">
        <v>1514</v>
      </c>
      <c r="S337" s="145" t="s">
        <v>3937</v>
      </c>
      <c r="T337" s="148"/>
      <c r="U337" s="202">
        <v>330</v>
      </c>
      <c r="V337" s="203" t="b">
        <v>1</v>
      </c>
      <c r="W337" s="204" t="s">
        <v>3285</v>
      </c>
      <c r="X337" s="128"/>
      <c r="Y337" s="128"/>
      <c r="Z337" s="128"/>
    </row>
    <row r="338" spans="1:26" ht="12.5" hidden="1">
      <c r="A338" s="138">
        <v>387</v>
      </c>
      <c r="B338" s="173" t="s">
        <v>3934</v>
      </c>
      <c r="C338" s="139">
        <v>43307</v>
      </c>
      <c r="D338" s="173" t="s">
        <v>3941</v>
      </c>
      <c r="E338" s="145" t="s">
        <v>3936</v>
      </c>
      <c r="F338" s="145">
        <v>5528963</v>
      </c>
      <c r="G338" s="173" t="s">
        <v>1435</v>
      </c>
      <c r="H338" s="138" t="s">
        <v>249</v>
      </c>
      <c r="I338" s="138">
        <v>1</v>
      </c>
      <c r="J338" s="144">
        <v>7925454</v>
      </c>
      <c r="K338" s="144">
        <v>7925454</v>
      </c>
      <c r="L338" s="143">
        <v>0</v>
      </c>
      <c r="M338" s="143">
        <v>0</v>
      </c>
      <c r="N338" s="143">
        <v>0</v>
      </c>
      <c r="O338" s="143">
        <v>0</v>
      </c>
      <c r="P338" s="148"/>
      <c r="Q338" s="138" t="s">
        <v>206</v>
      </c>
      <c r="R338" s="138" t="s">
        <v>1514</v>
      </c>
      <c r="S338" s="145" t="s">
        <v>3937</v>
      </c>
      <c r="T338" s="148"/>
      <c r="U338" s="202">
        <v>331</v>
      </c>
      <c r="V338" s="203" t="b">
        <v>1</v>
      </c>
      <c r="W338" s="204" t="s">
        <v>3285</v>
      </c>
      <c r="X338" s="128"/>
      <c r="Y338" s="128"/>
      <c r="Z338" s="128"/>
    </row>
    <row r="339" spans="1:26" ht="12.5" hidden="1">
      <c r="A339" s="138">
        <v>388</v>
      </c>
      <c r="B339" s="173" t="s">
        <v>3934</v>
      </c>
      <c r="C339" s="139">
        <v>43307</v>
      </c>
      <c r="D339" s="173" t="s">
        <v>3942</v>
      </c>
      <c r="E339" s="145" t="s">
        <v>3936</v>
      </c>
      <c r="F339" s="145">
        <v>5533453</v>
      </c>
      <c r="G339" s="173" t="s">
        <v>1435</v>
      </c>
      <c r="H339" s="138" t="s">
        <v>249</v>
      </c>
      <c r="I339" s="138">
        <v>1</v>
      </c>
      <c r="J339" s="144">
        <v>7925457</v>
      </c>
      <c r="K339" s="144">
        <v>7925457</v>
      </c>
      <c r="L339" s="143">
        <v>0</v>
      </c>
      <c r="M339" s="143">
        <v>0</v>
      </c>
      <c r="N339" s="143">
        <v>0</v>
      </c>
      <c r="O339" s="143">
        <v>0</v>
      </c>
      <c r="P339" s="148"/>
      <c r="Q339" s="138" t="s">
        <v>36</v>
      </c>
      <c r="R339" s="138" t="s">
        <v>3512</v>
      </c>
      <c r="S339" s="145" t="s">
        <v>3943</v>
      </c>
      <c r="T339" s="148"/>
      <c r="U339" s="202">
        <v>332</v>
      </c>
      <c r="V339" s="203" t="b">
        <v>1</v>
      </c>
      <c r="W339" s="204" t="s">
        <v>3285</v>
      </c>
      <c r="X339" s="128"/>
      <c r="Y339" s="128"/>
      <c r="Z339" s="128"/>
    </row>
    <row r="340" spans="1:26" ht="12.5" hidden="1">
      <c r="A340" s="138">
        <v>389</v>
      </c>
      <c r="B340" s="173" t="s">
        <v>3944</v>
      </c>
      <c r="C340" s="139">
        <v>43343</v>
      </c>
      <c r="D340" s="173" t="s">
        <v>3945</v>
      </c>
      <c r="E340" s="145" t="s">
        <v>3946</v>
      </c>
      <c r="F340" s="145">
        <v>1709016232</v>
      </c>
      <c r="G340" s="173" t="s">
        <v>1754</v>
      </c>
      <c r="H340" s="138" t="s">
        <v>19</v>
      </c>
      <c r="I340" s="138">
        <v>1</v>
      </c>
      <c r="J340" s="144">
        <v>4000000</v>
      </c>
      <c r="K340" s="144">
        <v>4000000</v>
      </c>
      <c r="L340" s="143">
        <v>0</v>
      </c>
      <c r="M340" s="143">
        <v>0</v>
      </c>
      <c r="N340" s="143">
        <v>0</v>
      </c>
      <c r="O340" s="143">
        <v>0</v>
      </c>
      <c r="P340" s="148"/>
      <c r="Q340" s="138" t="s">
        <v>206</v>
      </c>
      <c r="R340" s="138" t="s">
        <v>2427</v>
      </c>
      <c r="S340" s="145" t="s">
        <v>3947</v>
      </c>
      <c r="T340" s="148"/>
      <c r="U340" s="202">
        <v>333</v>
      </c>
      <c r="V340" s="203" t="b">
        <v>1</v>
      </c>
      <c r="W340" s="204" t="s">
        <v>3285</v>
      </c>
      <c r="X340" s="128"/>
      <c r="Y340" s="128"/>
      <c r="Z340" s="128"/>
    </row>
    <row r="341" spans="1:26" ht="12.5" hidden="1">
      <c r="A341" s="138">
        <v>390</v>
      </c>
      <c r="B341" s="173" t="s">
        <v>3944</v>
      </c>
      <c r="C341" s="139">
        <v>43343</v>
      </c>
      <c r="D341" s="173" t="s">
        <v>3948</v>
      </c>
      <c r="E341" s="145" t="s">
        <v>3946</v>
      </c>
      <c r="F341" s="145">
        <v>1709016234</v>
      </c>
      <c r="G341" s="173" t="s">
        <v>1754</v>
      </c>
      <c r="H341" s="138" t="s">
        <v>19</v>
      </c>
      <c r="I341" s="138">
        <v>1</v>
      </c>
      <c r="J341" s="144">
        <v>4000000</v>
      </c>
      <c r="K341" s="144">
        <v>4000000</v>
      </c>
      <c r="L341" s="143">
        <v>0</v>
      </c>
      <c r="M341" s="143">
        <v>0</v>
      </c>
      <c r="N341" s="143">
        <v>0</v>
      </c>
      <c r="O341" s="143">
        <v>0</v>
      </c>
      <c r="P341" s="148"/>
      <c r="Q341" s="138" t="s">
        <v>206</v>
      </c>
      <c r="R341" s="138" t="s">
        <v>2427</v>
      </c>
      <c r="S341" s="145" t="s">
        <v>3947</v>
      </c>
      <c r="T341" s="148"/>
      <c r="U341" s="202">
        <v>334</v>
      </c>
      <c r="V341" s="203" t="b">
        <v>1</v>
      </c>
      <c r="W341" s="204" t="s">
        <v>3285</v>
      </c>
      <c r="X341" s="128"/>
      <c r="Y341" s="128"/>
      <c r="Z341" s="128"/>
    </row>
    <row r="342" spans="1:26" ht="12.5" hidden="1">
      <c r="A342" s="138">
        <v>391</v>
      </c>
      <c r="B342" s="173" t="s">
        <v>3944</v>
      </c>
      <c r="C342" s="139">
        <v>43343</v>
      </c>
      <c r="D342" s="173" t="s">
        <v>3949</v>
      </c>
      <c r="E342" s="145" t="s">
        <v>3946</v>
      </c>
      <c r="F342" s="145">
        <v>1709016219</v>
      </c>
      <c r="G342" s="173" t="s">
        <v>1754</v>
      </c>
      <c r="H342" s="138" t="s">
        <v>19</v>
      </c>
      <c r="I342" s="138">
        <v>1</v>
      </c>
      <c r="J342" s="144">
        <v>4000000</v>
      </c>
      <c r="K342" s="144">
        <v>4000000</v>
      </c>
      <c r="L342" s="143">
        <v>0</v>
      </c>
      <c r="M342" s="143">
        <v>0</v>
      </c>
      <c r="N342" s="143">
        <v>0</v>
      </c>
      <c r="O342" s="143">
        <v>0</v>
      </c>
      <c r="P342" s="173" t="s">
        <v>3502</v>
      </c>
      <c r="Q342" s="138" t="s">
        <v>206</v>
      </c>
      <c r="R342" s="138" t="s">
        <v>2427</v>
      </c>
      <c r="S342" s="145" t="s">
        <v>3947</v>
      </c>
      <c r="T342" s="148"/>
      <c r="U342" s="202">
        <v>335</v>
      </c>
      <c r="V342" s="203" t="b">
        <v>1</v>
      </c>
      <c r="W342" s="204" t="s">
        <v>3285</v>
      </c>
      <c r="X342" s="128"/>
      <c r="Y342" s="128"/>
      <c r="Z342" s="128"/>
    </row>
    <row r="343" spans="1:26" ht="12.5" hidden="1">
      <c r="A343" s="138">
        <v>392</v>
      </c>
      <c r="B343" s="173" t="s">
        <v>3944</v>
      </c>
      <c r="C343" s="139">
        <v>43343</v>
      </c>
      <c r="D343" s="173" t="s">
        <v>3950</v>
      </c>
      <c r="E343" s="145" t="s">
        <v>3946</v>
      </c>
      <c r="F343" s="145">
        <v>1709015239</v>
      </c>
      <c r="G343" s="173" t="s">
        <v>1754</v>
      </c>
      <c r="H343" s="138" t="s">
        <v>19</v>
      </c>
      <c r="I343" s="138">
        <v>1</v>
      </c>
      <c r="J343" s="144">
        <v>4000000</v>
      </c>
      <c r="K343" s="144">
        <v>4000000</v>
      </c>
      <c r="L343" s="143">
        <v>0</v>
      </c>
      <c r="M343" s="143">
        <v>0</v>
      </c>
      <c r="N343" s="143">
        <v>0</v>
      </c>
      <c r="O343" s="143">
        <v>0</v>
      </c>
      <c r="P343" s="148"/>
      <c r="Q343" s="138" t="s">
        <v>206</v>
      </c>
      <c r="R343" s="138" t="s">
        <v>2427</v>
      </c>
      <c r="S343" s="145" t="s">
        <v>3947</v>
      </c>
      <c r="T343" s="148"/>
      <c r="U343" s="202">
        <v>336</v>
      </c>
      <c r="V343" s="203" t="b">
        <v>1</v>
      </c>
      <c r="W343" s="204" t="s">
        <v>3285</v>
      </c>
      <c r="X343" s="128"/>
      <c r="Y343" s="128"/>
      <c r="Z343" s="128"/>
    </row>
    <row r="344" spans="1:26" ht="12.5" hidden="1">
      <c r="A344" s="138">
        <v>393</v>
      </c>
      <c r="B344" s="173" t="s">
        <v>3944</v>
      </c>
      <c r="C344" s="139">
        <v>43343</v>
      </c>
      <c r="D344" s="173" t="s">
        <v>3951</v>
      </c>
      <c r="E344" s="145" t="s">
        <v>3946</v>
      </c>
      <c r="F344" s="145">
        <v>1709015113</v>
      </c>
      <c r="G344" s="173" t="s">
        <v>1754</v>
      </c>
      <c r="H344" s="138" t="s">
        <v>19</v>
      </c>
      <c r="I344" s="138">
        <v>1</v>
      </c>
      <c r="J344" s="144">
        <v>4000000</v>
      </c>
      <c r="K344" s="144">
        <v>4000000</v>
      </c>
      <c r="L344" s="143">
        <v>0</v>
      </c>
      <c r="M344" s="143">
        <v>0</v>
      </c>
      <c r="N344" s="143">
        <v>0</v>
      </c>
      <c r="O344" s="143">
        <v>0</v>
      </c>
      <c r="P344" s="148"/>
      <c r="Q344" s="138" t="s">
        <v>206</v>
      </c>
      <c r="R344" s="138" t="s">
        <v>2427</v>
      </c>
      <c r="S344" s="145" t="s">
        <v>3947</v>
      </c>
      <c r="T344" s="148"/>
      <c r="U344" s="202">
        <v>337</v>
      </c>
      <c r="V344" s="203" t="b">
        <v>1</v>
      </c>
      <c r="W344" s="204" t="s">
        <v>3285</v>
      </c>
      <c r="X344" s="128"/>
      <c r="Y344" s="128"/>
      <c r="Z344" s="128"/>
    </row>
    <row r="345" spans="1:26" ht="12.5" hidden="1">
      <c r="A345" s="138">
        <v>394</v>
      </c>
      <c r="B345" s="173" t="s">
        <v>3944</v>
      </c>
      <c r="C345" s="139">
        <v>43343</v>
      </c>
      <c r="D345" s="173" t="s">
        <v>3952</v>
      </c>
      <c r="E345" s="145" t="s">
        <v>3946</v>
      </c>
      <c r="F345" s="145">
        <v>1709017865</v>
      </c>
      <c r="G345" s="173" t="s">
        <v>1754</v>
      </c>
      <c r="H345" s="138" t="s">
        <v>19</v>
      </c>
      <c r="I345" s="138">
        <v>1</v>
      </c>
      <c r="J345" s="144">
        <v>4000000</v>
      </c>
      <c r="K345" s="144">
        <v>4000000</v>
      </c>
      <c r="L345" s="143">
        <v>0</v>
      </c>
      <c r="M345" s="143">
        <v>0</v>
      </c>
      <c r="N345" s="143">
        <v>0</v>
      </c>
      <c r="O345" s="143">
        <v>0</v>
      </c>
      <c r="P345" s="148"/>
      <c r="Q345" s="138" t="s">
        <v>206</v>
      </c>
      <c r="R345" s="138" t="s">
        <v>2427</v>
      </c>
      <c r="S345" s="145" t="s">
        <v>3947</v>
      </c>
      <c r="T345" s="148"/>
      <c r="U345" s="202">
        <v>338</v>
      </c>
      <c r="V345" s="203" t="b">
        <v>1</v>
      </c>
      <c r="W345" s="204" t="s">
        <v>3285</v>
      </c>
      <c r="X345" s="128"/>
      <c r="Y345" s="128"/>
      <c r="Z345" s="128"/>
    </row>
    <row r="346" spans="1:26" ht="12.5" hidden="1">
      <c r="A346" s="138">
        <v>395</v>
      </c>
      <c r="B346" s="173" t="s">
        <v>3944</v>
      </c>
      <c r="C346" s="139">
        <v>43343</v>
      </c>
      <c r="D346" s="173" t="s">
        <v>3953</v>
      </c>
      <c r="E346" s="145" t="s">
        <v>3946</v>
      </c>
      <c r="F346" s="145">
        <v>1709016634</v>
      </c>
      <c r="G346" s="173" t="s">
        <v>1754</v>
      </c>
      <c r="H346" s="138" t="s">
        <v>19</v>
      </c>
      <c r="I346" s="138">
        <v>1</v>
      </c>
      <c r="J346" s="144">
        <v>4000000</v>
      </c>
      <c r="K346" s="144">
        <v>4000000</v>
      </c>
      <c r="L346" s="143">
        <v>0</v>
      </c>
      <c r="M346" s="143">
        <v>0</v>
      </c>
      <c r="N346" s="143">
        <v>0</v>
      </c>
      <c r="O346" s="143">
        <v>0</v>
      </c>
      <c r="P346" s="148"/>
      <c r="Q346" s="138" t="s">
        <v>206</v>
      </c>
      <c r="R346" s="138" t="s">
        <v>2427</v>
      </c>
      <c r="S346" s="145" t="s">
        <v>3947</v>
      </c>
      <c r="T346" s="148"/>
      <c r="U346" s="202">
        <v>339</v>
      </c>
      <c r="V346" s="203" t="b">
        <v>1</v>
      </c>
      <c r="W346" s="204" t="s">
        <v>3285</v>
      </c>
      <c r="X346" s="128"/>
      <c r="Y346" s="128"/>
      <c r="Z346" s="128"/>
    </row>
    <row r="347" spans="1:26" ht="12.5" hidden="1">
      <c r="A347" s="138">
        <v>396</v>
      </c>
      <c r="B347" s="173" t="s">
        <v>3944</v>
      </c>
      <c r="C347" s="139">
        <v>43343</v>
      </c>
      <c r="D347" s="173" t="s">
        <v>3954</v>
      </c>
      <c r="E347" s="145" t="s">
        <v>3946</v>
      </c>
      <c r="F347" s="145">
        <v>1709016511</v>
      </c>
      <c r="G347" s="173" t="s">
        <v>1754</v>
      </c>
      <c r="H347" s="138" t="s">
        <v>19</v>
      </c>
      <c r="I347" s="138">
        <v>1</v>
      </c>
      <c r="J347" s="144">
        <v>4000000</v>
      </c>
      <c r="K347" s="144">
        <v>4000000</v>
      </c>
      <c r="L347" s="143">
        <v>0</v>
      </c>
      <c r="M347" s="143">
        <v>0</v>
      </c>
      <c r="N347" s="143">
        <v>0</v>
      </c>
      <c r="O347" s="143">
        <v>0</v>
      </c>
      <c r="P347" s="148"/>
      <c r="Q347" s="138" t="s">
        <v>206</v>
      </c>
      <c r="R347" s="138" t="s">
        <v>2427</v>
      </c>
      <c r="S347" s="145" t="s">
        <v>3947</v>
      </c>
      <c r="T347" s="148"/>
      <c r="U347" s="202">
        <v>340</v>
      </c>
      <c r="V347" s="203" t="b">
        <v>1</v>
      </c>
      <c r="W347" s="204" t="s">
        <v>3285</v>
      </c>
      <c r="X347" s="128"/>
      <c r="Y347" s="128"/>
      <c r="Z347" s="128"/>
    </row>
    <row r="348" spans="1:26" ht="12.5" hidden="1">
      <c r="A348" s="138">
        <v>397</v>
      </c>
      <c r="B348" s="173" t="s">
        <v>3944</v>
      </c>
      <c r="C348" s="139">
        <v>43343</v>
      </c>
      <c r="D348" s="173" t="s">
        <v>3955</v>
      </c>
      <c r="E348" s="145" t="s">
        <v>3946</v>
      </c>
      <c r="F348" s="145">
        <v>1709017896</v>
      </c>
      <c r="G348" s="173" t="s">
        <v>1754</v>
      </c>
      <c r="H348" s="138" t="s">
        <v>19</v>
      </c>
      <c r="I348" s="138">
        <v>1</v>
      </c>
      <c r="J348" s="144">
        <v>4000000</v>
      </c>
      <c r="K348" s="144">
        <v>4000000</v>
      </c>
      <c r="L348" s="143">
        <v>0</v>
      </c>
      <c r="M348" s="143">
        <v>0</v>
      </c>
      <c r="N348" s="143">
        <v>0</v>
      </c>
      <c r="O348" s="143">
        <v>0</v>
      </c>
      <c r="P348" s="148"/>
      <c r="Q348" s="138" t="s">
        <v>206</v>
      </c>
      <c r="R348" s="138" t="s">
        <v>2427</v>
      </c>
      <c r="S348" s="145" t="s">
        <v>3947</v>
      </c>
      <c r="T348" s="148"/>
      <c r="U348" s="202">
        <v>341</v>
      </c>
      <c r="V348" s="203" t="b">
        <v>1</v>
      </c>
      <c r="W348" s="204" t="s">
        <v>3285</v>
      </c>
      <c r="X348" s="128"/>
      <c r="Y348" s="128"/>
      <c r="Z348" s="128"/>
    </row>
    <row r="349" spans="1:26" ht="12.5" hidden="1">
      <c r="A349" s="138">
        <v>398</v>
      </c>
      <c r="B349" s="173" t="s">
        <v>3944</v>
      </c>
      <c r="C349" s="139">
        <v>43343</v>
      </c>
      <c r="D349" s="173" t="s">
        <v>3956</v>
      </c>
      <c r="E349" s="145" t="s">
        <v>3946</v>
      </c>
      <c r="F349" s="145">
        <v>1709016598</v>
      </c>
      <c r="G349" s="173" t="s">
        <v>1754</v>
      </c>
      <c r="H349" s="138" t="s">
        <v>19</v>
      </c>
      <c r="I349" s="138">
        <v>1</v>
      </c>
      <c r="J349" s="144">
        <v>4000000</v>
      </c>
      <c r="K349" s="144">
        <v>4000000</v>
      </c>
      <c r="L349" s="143">
        <v>0</v>
      </c>
      <c r="M349" s="143">
        <v>0</v>
      </c>
      <c r="N349" s="143">
        <v>0</v>
      </c>
      <c r="O349" s="143">
        <v>0</v>
      </c>
      <c r="P349" s="148"/>
      <c r="Q349" s="138" t="s">
        <v>206</v>
      </c>
      <c r="R349" s="138" t="s">
        <v>2427</v>
      </c>
      <c r="S349" s="145" t="s">
        <v>3947</v>
      </c>
      <c r="T349" s="148"/>
      <c r="U349" s="202">
        <v>342</v>
      </c>
      <c r="V349" s="203" t="b">
        <v>1</v>
      </c>
      <c r="W349" s="204" t="s">
        <v>3285</v>
      </c>
      <c r="X349" s="128"/>
      <c r="Y349" s="128"/>
      <c r="Z349" s="128"/>
    </row>
    <row r="350" spans="1:26" ht="12.5">
      <c r="A350" s="138">
        <v>399</v>
      </c>
      <c r="B350" s="173" t="s">
        <v>3957</v>
      </c>
      <c r="C350" s="139">
        <v>43343</v>
      </c>
      <c r="D350" s="210" t="s">
        <v>3958</v>
      </c>
      <c r="E350" s="145" t="s">
        <v>3959</v>
      </c>
      <c r="F350" s="145">
        <v>3011873</v>
      </c>
      <c r="G350" s="173" t="s">
        <v>248</v>
      </c>
      <c r="H350" s="138" t="s">
        <v>249</v>
      </c>
      <c r="I350" s="138">
        <v>1</v>
      </c>
      <c r="J350" s="144">
        <v>13500000</v>
      </c>
      <c r="K350" s="144">
        <v>13500000</v>
      </c>
      <c r="L350" s="144">
        <v>9000000</v>
      </c>
      <c r="M350" s="143">
        <v>33</v>
      </c>
      <c r="N350" s="143">
        <v>4500000</v>
      </c>
      <c r="O350" s="143">
        <v>4500000</v>
      </c>
      <c r="P350" s="148"/>
      <c r="Q350" s="138" t="s">
        <v>20</v>
      </c>
      <c r="R350" s="138" t="s">
        <v>229</v>
      </c>
      <c r="S350" s="145" t="s">
        <v>3960</v>
      </c>
      <c r="T350" s="148"/>
      <c r="U350" s="202">
        <v>343</v>
      </c>
      <c r="V350" s="203" t="b">
        <v>1</v>
      </c>
      <c r="W350" s="204" t="s">
        <v>3285</v>
      </c>
      <c r="X350" s="128"/>
      <c r="Y350" s="128"/>
      <c r="Z350" s="128"/>
    </row>
    <row r="351" spans="1:26" ht="12.5" hidden="1">
      <c r="A351" s="138">
        <v>400</v>
      </c>
      <c r="B351" s="173" t="s">
        <v>3957</v>
      </c>
      <c r="C351" s="139">
        <v>43343</v>
      </c>
      <c r="D351" s="173" t="s">
        <v>3961</v>
      </c>
      <c r="E351" s="145" t="s">
        <v>3959</v>
      </c>
      <c r="F351" s="145">
        <v>3011870</v>
      </c>
      <c r="G351" s="173" t="s">
        <v>248</v>
      </c>
      <c r="H351" s="138" t="s">
        <v>249</v>
      </c>
      <c r="I351" s="138">
        <v>1</v>
      </c>
      <c r="J351" s="144">
        <v>13500000</v>
      </c>
      <c r="K351" s="144">
        <v>13500000</v>
      </c>
      <c r="L351" s="144">
        <v>9000000</v>
      </c>
      <c r="M351" s="143">
        <v>33</v>
      </c>
      <c r="N351" s="143">
        <v>4500000</v>
      </c>
      <c r="O351" s="143">
        <v>4500000</v>
      </c>
      <c r="P351" s="148"/>
      <c r="Q351" s="138" t="s">
        <v>20</v>
      </c>
      <c r="R351" s="138" t="s">
        <v>233</v>
      </c>
      <c r="S351" s="145" t="s">
        <v>3962</v>
      </c>
      <c r="T351" s="148"/>
      <c r="U351" s="202">
        <v>344</v>
      </c>
      <c r="V351" s="203" t="b">
        <v>1</v>
      </c>
      <c r="W351" s="204" t="s">
        <v>3285</v>
      </c>
      <c r="X351" s="128"/>
      <c r="Y351" s="128"/>
      <c r="Z351" s="128"/>
    </row>
    <row r="352" spans="1:26" ht="12.5">
      <c r="A352" s="138">
        <v>401</v>
      </c>
      <c r="B352" s="173" t="s">
        <v>3957</v>
      </c>
      <c r="C352" s="139">
        <v>43343</v>
      </c>
      <c r="D352" s="210" t="s">
        <v>3963</v>
      </c>
      <c r="E352" s="145" t="s">
        <v>3959</v>
      </c>
      <c r="F352" s="145">
        <v>3011877</v>
      </c>
      <c r="G352" s="173" t="s">
        <v>248</v>
      </c>
      <c r="H352" s="138" t="s">
        <v>249</v>
      </c>
      <c r="I352" s="138">
        <v>1</v>
      </c>
      <c r="J352" s="144">
        <v>13500000</v>
      </c>
      <c r="K352" s="144">
        <v>13500000</v>
      </c>
      <c r="L352" s="144">
        <v>9000000</v>
      </c>
      <c r="M352" s="143">
        <v>33</v>
      </c>
      <c r="N352" s="143">
        <v>4500000</v>
      </c>
      <c r="O352" s="143">
        <v>4500000</v>
      </c>
      <c r="P352" s="148"/>
      <c r="Q352" s="138" t="s">
        <v>20</v>
      </c>
      <c r="R352" s="138" t="s">
        <v>229</v>
      </c>
      <c r="S352" s="145" t="s">
        <v>3964</v>
      </c>
      <c r="T352" s="148"/>
      <c r="U352" s="202">
        <v>345</v>
      </c>
      <c r="V352" s="203" t="b">
        <v>1</v>
      </c>
      <c r="W352" s="204" t="s">
        <v>3285</v>
      </c>
      <c r="X352" s="128"/>
      <c r="Y352" s="128"/>
      <c r="Z352" s="128"/>
    </row>
    <row r="353" spans="1:26" ht="12.5" hidden="1">
      <c r="A353" s="138">
        <v>402</v>
      </c>
      <c r="B353" s="173" t="s">
        <v>3965</v>
      </c>
      <c r="C353" s="139">
        <v>43398</v>
      </c>
      <c r="D353" s="173" t="s">
        <v>3966</v>
      </c>
      <c r="E353" s="145" t="s">
        <v>3967</v>
      </c>
      <c r="F353" s="145" t="s">
        <v>3968</v>
      </c>
      <c r="G353" s="173" t="s">
        <v>248</v>
      </c>
      <c r="H353" s="138" t="s">
        <v>249</v>
      </c>
      <c r="I353" s="138">
        <v>1</v>
      </c>
      <c r="J353" s="144">
        <v>9720000</v>
      </c>
      <c r="K353" s="144">
        <v>9720000</v>
      </c>
      <c r="L353" s="143">
        <v>0</v>
      </c>
      <c r="M353" s="143">
        <v>0</v>
      </c>
      <c r="N353" s="143">
        <v>0</v>
      </c>
      <c r="O353" s="143">
        <v>0</v>
      </c>
      <c r="P353" s="148"/>
      <c r="Q353" s="138" t="s">
        <v>20</v>
      </c>
      <c r="R353" s="138" t="s">
        <v>233</v>
      </c>
      <c r="S353" s="145" t="s">
        <v>3969</v>
      </c>
      <c r="T353" s="148"/>
      <c r="U353" s="202">
        <v>346</v>
      </c>
      <c r="V353" s="203" t="b">
        <v>1</v>
      </c>
      <c r="W353" s="204" t="s">
        <v>3285</v>
      </c>
      <c r="X353" s="128"/>
      <c r="Y353" s="128"/>
      <c r="Z353" s="128"/>
    </row>
    <row r="354" spans="1:26" ht="12.5" hidden="1">
      <c r="A354" s="138">
        <v>403</v>
      </c>
      <c r="B354" s="173" t="s">
        <v>3965</v>
      </c>
      <c r="C354" s="139">
        <v>43398</v>
      </c>
      <c r="D354" s="173" t="s">
        <v>3970</v>
      </c>
      <c r="E354" s="145" t="s">
        <v>3971</v>
      </c>
      <c r="F354" s="196"/>
      <c r="G354" s="173" t="s">
        <v>407</v>
      </c>
      <c r="H354" s="138" t="s">
        <v>249</v>
      </c>
      <c r="I354" s="138">
        <v>1</v>
      </c>
      <c r="J354" s="144">
        <v>5990000</v>
      </c>
      <c r="K354" s="144">
        <v>5990000</v>
      </c>
      <c r="L354" s="143">
        <v>0</v>
      </c>
      <c r="M354" s="143">
        <v>0</v>
      </c>
      <c r="N354" s="143">
        <v>0</v>
      </c>
      <c r="O354" s="143">
        <v>0</v>
      </c>
      <c r="P354" s="148"/>
      <c r="Q354" s="138" t="s">
        <v>20</v>
      </c>
      <c r="R354" s="138" t="s">
        <v>423</v>
      </c>
      <c r="S354" s="145" t="s">
        <v>1224</v>
      </c>
      <c r="T354" s="148"/>
      <c r="U354" s="202">
        <v>347</v>
      </c>
      <c r="V354" s="203" t="b">
        <v>1</v>
      </c>
      <c r="W354" s="204" t="s">
        <v>3285</v>
      </c>
      <c r="X354" s="128"/>
      <c r="Y354" s="128"/>
      <c r="Z354" s="128"/>
    </row>
    <row r="355" spans="1:26" ht="12.5" hidden="1">
      <c r="A355" s="138">
        <v>404</v>
      </c>
      <c r="B355" s="173" t="s">
        <v>3965</v>
      </c>
      <c r="C355" s="139">
        <v>43398</v>
      </c>
      <c r="D355" s="173" t="s">
        <v>3972</v>
      </c>
      <c r="E355" s="145" t="s">
        <v>3971</v>
      </c>
      <c r="F355" s="196"/>
      <c r="G355" s="173" t="s">
        <v>407</v>
      </c>
      <c r="H355" s="138" t="s">
        <v>249</v>
      </c>
      <c r="I355" s="138">
        <v>1</v>
      </c>
      <c r="J355" s="144">
        <v>5990000</v>
      </c>
      <c r="K355" s="144">
        <v>5990000</v>
      </c>
      <c r="L355" s="143">
        <v>0</v>
      </c>
      <c r="M355" s="143">
        <v>0</v>
      </c>
      <c r="N355" s="143">
        <v>0</v>
      </c>
      <c r="O355" s="143">
        <v>0</v>
      </c>
      <c r="P355" s="148"/>
      <c r="Q355" s="138" t="s">
        <v>20</v>
      </c>
      <c r="R355" s="138" t="s">
        <v>423</v>
      </c>
      <c r="S355" s="145" t="s">
        <v>3973</v>
      </c>
      <c r="T355" s="148"/>
      <c r="U355" s="202">
        <v>348</v>
      </c>
      <c r="V355" s="203" t="b">
        <v>1</v>
      </c>
      <c r="W355" s="204" t="s">
        <v>3285</v>
      </c>
      <c r="X355" s="128"/>
      <c r="Y355" s="128"/>
      <c r="Z355" s="128"/>
    </row>
    <row r="356" spans="1:26" ht="12.5">
      <c r="A356" s="138">
        <v>405</v>
      </c>
      <c r="B356" s="173" t="s">
        <v>3974</v>
      </c>
      <c r="C356" s="139">
        <v>43703</v>
      </c>
      <c r="D356" s="210" t="s">
        <v>3975</v>
      </c>
      <c r="E356" s="145" t="s">
        <v>3976</v>
      </c>
      <c r="F356" s="145" t="s">
        <v>3977</v>
      </c>
      <c r="G356" s="173" t="s">
        <v>248</v>
      </c>
      <c r="H356" s="138" t="s">
        <v>569</v>
      </c>
      <c r="I356" s="138">
        <v>1</v>
      </c>
      <c r="J356" s="144">
        <v>750000</v>
      </c>
      <c r="K356" s="144">
        <v>750000</v>
      </c>
      <c r="L356" s="144">
        <v>750000</v>
      </c>
      <c r="M356" s="143">
        <v>100</v>
      </c>
      <c r="N356" s="143">
        <v>750000</v>
      </c>
      <c r="O356" s="143">
        <v>0</v>
      </c>
      <c r="P356" s="148"/>
      <c r="Q356" s="138" t="s">
        <v>20</v>
      </c>
      <c r="R356" s="138" t="s">
        <v>229</v>
      </c>
      <c r="S356" s="145" t="s">
        <v>3333</v>
      </c>
      <c r="T356" s="148"/>
      <c r="U356" s="202">
        <v>349</v>
      </c>
      <c r="V356" s="203" t="b">
        <v>1</v>
      </c>
      <c r="W356" s="204" t="s">
        <v>3285</v>
      </c>
      <c r="X356" s="128"/>
      <c r="Y356" s="128"/>
      <c r="Z356" s="128"/>
    </row>
    <row r="357" spans="1:26" ht="12.5" hidden="1">
      <c r="A357" s="138">
        <v>406</v>
      </c>
      <c r="B357" s="173" t="s">
        <v>3974</v>
      </c>
      <c r="C357" s="139">
        <v>43703</v>
      </c>
      <c r="D357" s="173" t="s">
        <v>3978</v>
      </c>
      <c r="E357" s="145" t="s">
        <v>3976</v>
      </c>
      <c r="F357" s="145" t="s">
        <v>3979</v>
      </c>
      <c r="G357" s="173" t="s">
        <v>248</v>
      </c>
      <c r="H357" s="138" t="s">
        <v>569</v>
      </c>
      <c r="I357" s="138">
        <v>1</v>
      </c>
      <c r="J357" s="144">
        <v>750000</v>
      </c>
      <c r="K357" s="144">
        <v>750000</v>
      </c>
      <c r="L357" s="144">
        <v>750000</v>
      </c>
      <c r="M357" s="143">
        <v>100</v>
      </c>
      <c r="N357" s="143">
        <v>750000</v>
      </c>
      <c r="O357" s="143">
        <v>0</v>
      </c>
      <c r="P357" s="148"/>
      <c r="Q357" s="138" t="s">
        <v>20</v>
      </c>
      <c r="R357" s="138" t="s">
        <v>233</v>
      </c>
      <c r="S357" s="145" t="s">
        <v>2183</v>
      </c>
      <c r="T357" s="148"/>
      <c r="U357" s="202">
        <v>350</v>
      </c>
      <c r="V357" s="203" t="b">
        <v>1</v>
      </c>
      <c r="W357" s="204" t="s">
        <v>3285</v>
      </c>
      <c r="X357" s="128"/>
      <c r="Y357" s="128"/>
      <c r="Z357" s="128"/>
    </row>
    <row r="358" spans="1:26" ht="12.5" hidden="1">
      <c r="A358" s="230">
        <v>407</v>
      </c>
      <c r="B358" s="217" t="s">
        <v>3974</v>
      </c>
      <c r="C358" s="232">
        <v>43703</v>
      </c>
      <c r="D358" s="217" t="s">
        <v>3980</v>
      </c>
      <c r="E358" s="233" t="s">
        <v>3976</v>
      </c>
      <c r="F358" s="233" t="s">
        <v>3981</v>
      </c>
      <c r="G358" s="217" t="s">
        <v>248</v>
      </c>
      <c r="H358" s="230" t="s">
        <v>569</v>
      </c>
      <c r="I358" s="230">
        <v>1</v>
      </c>
      <c r="J358" s="219">
        <v>750000</v>
      </c>
      <c r="K358" s="219">
        <v>750000</v>
      </c>
      <c r="L358" s="219">
        <v>750000</v>
      </c>
      <c r="M358" s="220">
        <v>100</v>
      </c>
      <c r="N358" s="220">
        <v>750000</v>
      </c>
      <c r="O358" s="220">
        <v>0</v>
      </c>
      <c r="P358" s="218"/>
      <c r="Q358" s="230" t="s">
        <v>206</v>
      </c>
      <c r="R358" s="230" t="s">
        <v>3635</v>
      </c>
      <c r="S358" s="233" t="s">
        <v>206</v>
      </c>
      <c r="T358" s="148"/>
      <c r="U358" s="202">
        <v>351</v>
      </c>
      <c r="V358" s="203" t="b">
        <v>1</v>
      </c>
      <c r="W358" s="204" t="s">
        <v>3285</v>
      </c>
      <c r="X358" s="128"/>
      <c r="Y358" s="128"/>
      <c r="Z358" s="128"/>
    </row>
    <row r="359" spans="1:26" ht="13" hidden="1">
      <c r="A359" s="138">
        <v>408</v>
      </c>
      <c r="B359" s="173" t="s">
        <v>3974</v>
      </c>
      <c r="C359" s="139">
        <v>43703</v>
      </c>
      <c r="D359" s="173" t="s">
        <v>3982</v>
      </c>
      <c r="E359" s="145" t="s">
        <v>3976</v>
      </c>
      <c r="F359" s="145" t="s">
        <v>3983</v>
      </c>
      <c r="G359" s="173" t="s">
        <v>248</v>
      </c>
      <c r="H359" s="138" t="s">
        <v>569</v>
      </c>
      <c r="I359" s="138">
        <v>1</v>
      </c>
      <c r="J359" s="144">
        <v>750000</v>
      </c>
      <c r="K359" s="144">
        <v>750000</v>
      </c>
      <c r="L359" s="144">
        <v>750000</v>
      </c>
      <c r="M359" s="143">
        <v>100</v>
      </c>
      <c r="N359" s="143">
        <v>750000</v>
      </c>
      <c r="O359" s="143">
        <v>0</v>
      </c>
      <c r="P359" s="148"/>
      <c r="Q359" s="138" t="s">
        <v>36</v>
      </c>
      <c r="R359" s="138" t="s">
        <v>37</v>
      </c>
      <c r="S359" s="135" t="s">
        <v>3984</v>
      </c>
      <c r="T359" s="148"/>
      <c r="U359" s="202">
        <v>352</v>
      </c>
      <c r="V359" s="203" t="b">
        <v>1</v>
      </c>
      <c r="W359" s="204" t="s">
        <v>3285</v>
      </c>
      <c r="X359" s="128"/>
      <c r="Y359" s="128"/>
      <c r="Z359" s="128"/>
    </row>
    <row r="360" spans="1:26" ht="12.5" hidden="1">
      <c r="A360" s="138">
        <v>409</v>
      </c>
      <c r="B360" s="173" t="s">
        <v>3974</v>
      </c>
      <c r="C360" s="139">
        <v>43703</v>
      </c>
      <c r="D360" s="173" t="s">
        <v>3985</v>
      </c>
      <c r="E360" s="145" t="s">
        <v>3976</v>
      </c>
      <c r="F360" s="145" t="s">
        <v>3986</v>
      </c>
      <c r="G360" s="173" t="s">
        <v>248</v>
      </c>
      <c r="H360" s="138" t="s">
        <v>569</v>
      </c>
      <c r="I360" s="138">
        <v>1</v>
      </c>
      <c r="J360" s="144">
        <v>750000</v>
      </c>
      <c r="K360" s="144">
        <v>750000</v>
      </c>
      <c r="L360" s="144">
        <v>750000</v>
      </c>
      <c r="M360" s="143">
        <v>100</v>
      </c>
      <c r="N360" s="143">
        <v>750000</v>
      </c>
      <c r="O360" s="143">
        <v>0</v>
      </c>
      <c r="P360" s="148"/>
      <c r="Q360" s="138" t="s">
        <v>36</v>
      </c>
      <c r="R360" s="138" t="s">
        <v>37</v>
      </c>
      <c r="S360" s="145" t="s">
        <v>3984</v>
      </c>
      <c r="T360" s="148"/>
      <c r="U360" s="202">
        <v>353</v>
      </c>
      <c r="V360" s="203" t="b">
        <v>1</v>
      </c>
      <c r="W360" s="204" t="s">
        <v>3285</v>
      </c>
      <c r="X360" s="128"/>
      <c r="Y360" s="128"/>
      <c r="Z360" s="128"/>
    </row>
    <row r="361" spans="1:26" ht="12.5" hidden="1">
      <c r="A361" s="138">
        <v>410</v>
      </c>
      <c r="B361" s="173" t="s">
        <v>3974</v>
      </c>
      <c r="C361" s="139">
        <v>43703</v>
      </c>
      <c r="D361" s="173" t="s">
        <v>3987</v>
      </c>
      <c r="E361" s="145" t="s">
        <v>3976</v>
      </c>
      <c r="F361" s="145" t="s">
        <v>3988</v>
      </c>
      <c r="G361" s="173" t="s">
        <v>248</v>
      </c>
      <c r="H361" s="138" t="s">
        <v>569</v>
      </c>
      <c r="I361" s="138">
        <v>1</v>
      </c>
      <c r="J361" s="144">
        <v>750000</v>
      </c>
      <c r="K361" s="144">
        <v>750000</v>
      </c>
      <c r="L361" s="144">
        <v>750000</v>
      </c>
      <c r="M361" s="143">
        <v>100</v>
      </c>
      <c r="N361" s="143">
        <v>750000</v>
      </c>
      <c r="O361" s="143">
        <v>0</v>
      </c>
      <c r="P361" s="148"/>
      <c r="Q361" s="138" t="s">
        <v>20</v>
      </c>
      <c r="R361" s="138" t="s">
        <v>423</v>
      </c>
      <c r="S361" s="145" t="s">
        <v>3989</v>
      </c>
      <c r="T361" s="148"/>
      <c r="U361" s="202">
        <v>354</v>
      </c>
      <c r="V361" s="203" t="b">
        <v>1</v>
      </c>
      <c r="W361" s="204" t="s">
        <v>3285</v>
      </c>
      <c r="X361" s="128"/>
      <c r="Y361" s="128"/>
      <c r="Z361" s="128"/>
    </row>
    <row r="362" spans="1:26" ht="12.5" hidden="1">
      <c r="A362" s="211">
        <v>411</v>
      </c>
      <c r="B362" s="173" t="s">
        <v>3990</v>
      </c>
      <c r="C362" s="212">
        <v>43434</v>
      </c>
      <c r="D362" s="213" t="s">
        <v>3991</v>
      </c>
      <c r="E362" s="214" t="s">
        <v>3992</v>
      </c>
      <c r="F362" s="221"/>
      <c r="G362" s="173" t="s">
        <v>3993</v>
      </c>
      <c r="H362" s="211" t="s">
        <v>249</v>
      </c>
      <c r="I362" s="211">
        <v>1</v>
      </c>
      <c r="J362" s="144">
        <v>3270000</v>
      </c>
      <c r="K362" s="144">
        <v>3270000</v>
      </c>
      <c r="L362" s="143">
        <v>0</v>
      </c>
      <c r="M362" s="143">
        <v>0</v>
      </c>
      <c r="N362" s="143">
        <v>0</v>
      </c>
      <c r="O362" s="143">
        <v>0</v>
      </c>
      <c r="P362" s="201"/>
      <c r="Q362" s="211" t="s">
        <v>20</v>
      </c>
      <c r="R362" s="211" t="s">
        <v>21</v>
      </c>
      <c r="S362" s="214" t="s">
        <v>22</v>
      </c>
      <c r="T362" s="201"/>
      <c r="U362" s="202">
        <v>355</v>
      </c>
      <c r="V362" s="203" t="b">
        <v>1</v>
      </c>
      <c r="W362" s="405" t="s">
        <v>3397</v>
      </c>
      <c r="X362" s="406"/>
      <c r="Y362" s="128"/>
      <c r="Z362" s="128"/>
    </row>
    <row r="363" spans="1:26" ht="12.5" hidden="1">
      <c r="A363" s="211">
        <v>412</v>
      </c>
      <c r="B363" s="173" t="s">
        <v>3990</v>
      </c>
      <c r="C363" s="212">
        <v>43434</v>
      </c>
      <c r="D363" s="213" t="s">
        <v>3994</v>
      </c>
      <c r="E363" s="214" t="s">
        <v>3992</v>
      </c>
      <c r="F363" s="221"/>
      <c r="G363" s="173" t="s">
        <v>3993</v>
      </c>
      <c r="H363" s="211" t="s">
        <v>249</v>
      </c>
      <c r="I363" s="211">
        <v>1</v>
      </c>
      <c r="J363" s="144">
        <v>3270000</v>
      </c>
      <c r="K363" s="144">
        <v>3270000</v>
      </c>
      <c r="L363" s="143">
        <v>0</v>
      </c>
      <c r="M363" s="143">
        <v>0</v>
      </c>
      <c r="N363" s="143">
        <v>0</v>
      </c>
      <c r="O363" s="143">
        <v>0</v>
      </c>
      <c r="P363" s="201"/>
      <c r="Q363" s="211" t="s">
        <v>20</v>
      </c>
      <c r="R363" s="211" t="s">
        <v>21</v>
      </c>
      <c r="S363" s="214" t="s">
        <v>22</v>
      </c>
      <c r="T363" s="201"/>
      <c r="U363" s="202">
        <v>356</v>
      </c>
      <c r="V363" s="203" t="b">
        <v>1</v>
      </c>
      <c r="W363" s="405" t="s">
        <v>3397</v>
      </c>
      <c r="X363" s="406"/>
      <c r="Y363" s="128"/>
      <c r="Z363" s="128"/>
    </row>
    <row r="364" spans="1:26" ht="12.5" hidden="1">
      <c r="A364" s="211">
        <v>413</v>
      </c>
      <c r="B364" s="173" t="s">
        <v>3990</v>
      </c>
      <c r="C364" s="212">
        <v>43434</v>
      </c>
      <c r="D364" s="213" t="s">
        <v>3995</v>
      </c>
      <c r="E364" s="214" t="s">
        <v>3992</v>
      </c>
      <c r="F364" s="221"/>
      <c r="G364" s="173" t="s">
        <v>3993</v>
      </c>
      <c r="H364" s="211" t="s">
        <v>249</v>
      </c>
      <c r="I364" s="211">
        <v>1</v>
      </c>
      <c r="J364" s="144">
        <v>3270000</v>
      </c>
      <c r="K364" s="144">
        <v>3270000</v>
      </c>
      <c r="L364" s="143">
        <v>0</v>
      </c>
      <c r="M364" s="143">
        <v>0</v>
      </c>
      <c r="N364" s="143">
        <v>0</v>
      </c>
      <c r="O364" s="143">
        <v>0</v>
      </c>
      <c r="P364" s="201"/>
      <c r="Q364" s="211" t="s">
        <v>20</v>
      </c>
      <c r="R364" s="211" t="s">
        <v>21</v>
      </c>
      <c r="S364" s="214" t="s">
        <v>22</v>
      </c>
      <c r="T364" s="201"/>
      <c r="U364" s="202">
        <v>357</v>
      </c>
      <c r="V364" s="203" t="b">
        <v>1</v>
      </c>
      <c r="W364" s="405" t="s">
        <v>3397</v>
      </c>
      <c r="X364" s="406"/>
      <c r="Y364" s="128"/>
      <c r="Z364" s="128"/>
    </row>
    <row r="365" spans="1:26" ht="12.5" hidden="1">
      <c r="A365" s="211">
        <v>414</v>
      </c>
      <c r="B365" s="173" t="s">
        <v>3990</v>
      </c>
      <c r="C365" s="212">
        <v>43434</v>
      </c>
      <c r="D365" s="213" t="s">
        <v>3996</v>
      </c>
      <c r="E365" s="214" t="s">
        <v>3992</v>
      </c>
      <c r="F365" s="221"/>
      <c r="G365" s="173" t="s">
        <v>3993</v>
      </c>
      <c r="H365" s="211" t="s">
        <v>249</v>
      </c>
      <c r="I365" s="211">
        <v>1</v>
      </c>
      <c r="J365" s="144">
        <v>3270000</v>
      </c>
      <c r="K365" s="144">
        <v>3270000</v>
      </c>
      <c r="L365" s="143">
        <v>0</v>
      </c>
      <c r="M365" s="143">
        <v>0</v>
      </c>
      <c r="N365" s="143">
        <v>0</v>
      </c>
      <c r="O365" s="143">
        <v>0</v>
      </c>
      <c r="P365" s="201"/>
      <c r="Q365" s="211" t="s">
        <v>20</v>
      </c>
      <c r="R365" s="211" t="s">
        <v>21</v>
      </c>
      <c r="S365" s="214" t="s">
        <v>22</v>
      </c>
      <c r="T365" s="201"/>
      <c r="U365" s="202">
        <v>358</v>
      </c>
      <c r="V365" s="203" t="b">
        <v>1</v>
      </c>
      <c r="W365" s="405" t="s">
        <v>3397</v>
      </c>
      <c r="X365" s="406"/>
      <c r="Y365" s="128"/>
      <c r="Z365" s="128"/>
    </row>
    <row r="366" spans="1:26" ht="12.5" hidden="1">
      <c r="A366" s="211">
        <v>415</v>
      </c>
      <c r="B366" s="173" t="s">
        <v>3990</v>
      </c>
      <c r="C366" s="212">
        <v>43434</v>
      </c>
      <c r="D366" s="213" t="s">
        <v>3997</v>
      </c>
      <c r="E366" s="214" t="s">
        <v>3992</v>
      </c>
      <c r="F366" s="221"/>
      <c r="G366" s="173" t="s">
        <v>3993</v>
      </c>
      <c r="H366" s="211" t="s">
        <v>249</v>
      </c>
      <c r="I366" s="211">
        <v>1</v>
      </c>
      <c r="J366" s="144">
        <v>3270000</v>
      </c>
      <c r="K366" s="144">
        <v>3270000</v>
      </c>
      <c r="L366" s="143">
        <v>0</v>
      </c>
      <c r="M366" s="143">
        <v>0</v>
      </c>
      <c r="N366" s="143">
        <v>0</v>
      </c>
      <c r="O366" s="143">
        <v>0</v>
      </c>
      <c r="P366" s="201"/>
      <c r="Q366" s="211" t="s">
        <v>20</v>
      </c>
      <c r="R366" s="211" t="s">
        <v>21</v>
      </c>
      <c r="S366" s="214" t="s">
        <v>22</v>
      </c>
      <c r="T366" s="201"/>
      <c r="U366" s="202">
        <v>359</v>
      </c>
      <c r="V366" s="203" t="b">
        <v>1</v>
      </c>
      <c r="W366" s="405" t="s">
        <v>3397</v>
      </c>
      <c r="X366" s="406"/>
      <c r="Y366" s="128"/>
      <c r="Z366" s="128"/>
    </row>
    <row r="367" spans="1:26" ht="12.5" hidden="1">
      <c r="A367" s="211">
        <v>416</v>
      </c>
      <c r="B367" s="173" t="s">
        <v>3990</v>
      </c>
      <c r="C367" s="212">
        <v>43434</v>
      </c>
      <c r="D367" s="213" t="s">
        <v>3998</v>
      </c>
      <c r="E367" s="214" t="s">
        <v>3992</v>
      </c>
      <c r="F367" s="221"/>
      <c r="G367" s="173" t="s">
        <v>3993</v>
      </c>
      <c r="H367" s="211" t="s">
        <v>249</v>
      </c>
      <c r="I367" s="211">
        <v>1</v>
      </c>
      <c r="J367" s="144">
        <v>3270000</v>
      </c>
      <c r="K367" s="144">
        <v>3270000</v>
      </c>
      <c r="L367" s="143">
        <v>0</v>
      </c>
      <c r="M367" s="143">
        <v>0</v>
      </c>
      <c r="N367" s="143">
        <v>0</v>
      </c>
      <c r="O367" s="143">
        <v>0</v>
      </c>
      <c r="P367" s="201"/>
      <c r="Q367" s="211" t="s">
        <v>20</v>
      </c>
      <c r="R367" s="211" t="s">
        <v>21</v>
      </c>
      <c r="S367" s="214" t="s">
        <v>22</v>
      </c>
      <c r="T367" s="201"/>
      <c r="U367" s="202">
        <v>360</v>
      </c>
      <c r="V367" s="203" t="b">
        <v>1</v>
      </c>
      <c r="W367" s="405" t="s">
        <v>3397</v>
      </c>
      <c r="X367" s="406"/>
      <c r="Y367" s="128"/>
      <c r="Z367" s="128"/>
    </row>
    <row r="368" spans="1:26" ht="12.5">
      <c r="A368" s="138">
        <v>417</v>
      </c>
      <c r="B368" s="173" t="s">
        <v>3999</v>
      </c>
      <c r="C368" s="139">
        <v>43434</v>
      </c>
      <c r="D368" s="210" t="s">
        <v>4000</v>
      </c>
      <c r="E368" s="145" t="s">
        <v>4001</v>
      </c>
      <c r="F368" s="196"/>
      <c r="G368" s="148"/>
      <c r="H368" s="138" t="s">
        <v>249</v>
      </c>
      <c r="I368" s="138">
        <v>1</v>
      </c>
      <c r="J368" s="144">
        <v>410000</v>
      </c>
      <c r="K368" s="144">
        <v>410000</v>
      </c>
      <c r="L368" s="143">
        <v>0</v>
      </c>
      <c r="M368" s="143">
        <v>0</v>
      </c>
      <c r="N368" s="143">
        <v>0</v>
      </c>
      <c r="O368" s="143">
        <v>0</v>
      </c>
      <c r="P368" s="148"/>
      <c r="Q368" s="138" t="s">
        <v>20</v>
      </c>
      <c r="R368" s="138" t="s">
        <v>229</v>
      </c>
      <c r="S368" s="145" t="s">
        <v>4002</v>
      </c>
      <c r="T368" s="256"/>
      <c r="U368" s="202">
        <v>361</v>
      </c>
      <c r="V368" s="203" t="b">
        <v>1</v>
      </c>
      <c r="W368" s="204" t="s">
        <v>3285</v>
      </c>
      <c r="X368" s="128"/>
      <c r="Y368" s="128"/>
      <c r="Z368" s="128"/>
    </row>
    <row r="369" spans="1:26" ht="12.5" hidden="1">
      <c r="A369" s="138">
        <v>418</v>
      </c>
      <c r="B369" s="173" t="s">
        <v>4003</v>
      </c>
      <c r="C369" s="139">
        <v>42339</v>
      </c>
      <c r="D369" s="173" t="s">
        <v>4004</v>
      </c>
      <c r="E369" s="145" t="s">
        <v>4005</v>
      </c>
      <c r="F369" s="196"/>
      <c r="G369" s="148"/>
      <c r="H369" s="138" t="s">
        <v>249</v>
      </c>
      <c r="I369" s="138">
        <v>1</v>
      </c>
      <c r="J369" s="144">
        <v>19328552</v>
      </c>
      <c r="K369" s="144">
        <v>19328552</v>
      </c>
      <c r="L369" s="143">
        <v>0</v>
      </c>
      <c r="M369" s="143">
        <v>0</v>
      </c>
      <c r="N369" s="143">
        <v>0</v>
      </c>
      <c r="O369" s="143">
        <v>0</v>
      </c>
      <c r="P369" s="148"/>
      <c r="Q369" s="138" t="s">
        <v>36</v>
      </c>
      <c r="R369" s="138" t="s">
        <v>169</v>
      </c>
      <c r="S369" s="145" t="s">
        <v>4006</v>
      </c>
      <c r="T369" s="148"/>
      <c r="U369" s="202">
        <v>362</v>
      </c>
      <c r="V369" s="203" t="b">
        <v>1</v>
      </c>
      <c r="W369" s="204" t="s">
        <v>3285</v>
      </c>
      <c r="X369" s="128"/>
      <c r="Y369" s="128"/>
      <c r="Z369" s="128"/>
    </row>
    <row r="370" spans="1:26" ht="12.5" hidden="1">
      <c r="A370" s="138">
        <v>419</v>
      </c>
      <c r="B370" s="173" t="s">
        <v>4003</v>
      </c>
      <c r="C370" s="139">
        <v>42339</v>
      </c>
      <c r="D370" s="173" t="s">
        <v>4007</v>
      </c>
      <c r="E370" s="145" t="s">
        <v>4005</v>
      </c>
      <c r="F370" s="196"/>
      <c r="G370" s="148"/>
      <c r="H370" s="138" t="s">
        <v>249</v>
      </c>
      <c r="I370" s="138">
        <v>1</v>
      </c>
      <c r="J370" s="144">
        <v>19328552</v>
      </c>
      <c r="K370" s="144">
        <v>19328552</v>
      </c>
      <c r="L370" s="143">
        <v>0</v>
      </c>
      <c r="M370" s="143">
        <v>0</v>
      </c>
      <c r="N370" s="143">
        <v>0</v>
      </c>
      <c r="O370" s="143">
        <v>0</v>
      </c>
      <c r="P370" s="148"/>
      <c r="Q370" s="138" t="s">
        <v>36</v>
      </c>
      <c r="R370" s="138" t="s">
        <v>169</v>
      </c>
      <c r="S370" s="145" t="s">
        <v>4006</v>
      </c>
      <c r="T370" s="148"/>
      <c r="U370" s="202">
        <v>363</v>
      </c>
      <c r="V370" s="203" t="b">
        <v>1</v>
      </c>
      <c r="W370" s="204" t="s">
        <v>3285</v>
      </c>
      <c r="X370" s="128"/>
      <c r="Y370" s="128"/>
      <c r="Z370" s="128"/>
    </row>
    <row r="371" spans="1:26" ht="12.5" hidden="1">
      <c r="A371" s="138">
        <v>420</v>
      </c>
      <c r="B371" s="173" t="s">
        <v>4003</v>
      </c>
      <c r="C371" s="139">
        <v>42339</v>
      </c>
      <c r="D371" s="173" t="s">
        <v>4008</v>
      </c>
      <c r="E371" s="145" t="s">
        <v>4005</v>
      </c>
      <c r="F371" s="196"/>
      <c r="G371" s="148"/>
      <c r="H371" s="138" t="s">
        <v>249</v>
      </c>
      <c r="I371" s="138">
        <v>1</v>
      </c>
      <c r="J371" s="144">
        <v>19328552</v>
      </c>
      <c r="K371" s="144">
        <v>19328552</v>
      </c>
      <c r="L371" s="143">
        <v>0</v>
      </c>
      <c r="M371" s="143">
        <v>0</v>
      </c>
      <c r="N371" s="143">
        <v>0</v>
      </c>
      <c r="O371" s="143">
        <v>0</v>
      </c>
      <c r="P371" s="148"/>
      <c r="Q371" s="138" t="s">
        <v>36</v>
      </c>
      <c r="R371" s="138" t="s">
        <v>169</v>
      </c>
      <c r="S371" s="145" t="s">
        <v>4006</v>
      </c>
      <c r="T371" s="148"/>
      <c r="U371" s="202">
        <v>364</v>
      </c>
      <c r="V371" s="203" t="b">
        <v>1</v>
      </c>
      <c r="W371" s="204" t="s">
        <v>3285</v>
      </c>
      <c r="X371" s="128"/>
      <c r="Y371" s="128"/>
      <c r="Z371" s="128"/>
    </row>
    <row r="372" spans="1:26" ht="12.5" hidden="1">
      <c r="A372" s="138">
        <v>421</v>
      </c>
      <c r="B372" s="173" t="s">
        <v>4003</v>
      </c>
      <c r="C372" s="139">
        <v>42339</v>
      </c>
      <c r="D372" s="173" t="s">
        <v>4009</v>
      </c>
      <c r="E372" s="145" t="s">
        <v>4005</v>
      </c>
      <c r="F372" s="196"/>
      <c r="G372" s="148"/>
      <c r="H372" s="138" t="s">
        <v>249</v>
      </c>
      <c r="I372" s="138">
        <v>1</v>
      </c>
      <c r="J372" s="144">
        <v>19328552</v>
      </c>
      <c r="K372" s="144">
        <v>19328552</v>
      </c>
      <c r="L372" s="143">
        <v>0</v>
      </c>
      <c r="M372" s="143">
        <v>0</v>
      </c>
      <c r="N372" s="143">
        <v>0</v>
      </c>
      <c r="O372" s="143">
        <v>0</v>
      </c>
      <c r="P372" s="148"/>
      <c r="Q372" s="138" t="s">
        <v>206</v>
      </c>
      <c r="R372" s="138" t="s">
        <v>2562</v>
      </c>
      <c r="S372" s="145" t="s">
        <v>4010</v>
      </c>
      <c r="T372" s="148"/>
      <c r="U372" s="202">
        <v>365</v>
      </c>
      <c r="V372" s="203" t="b">
        <v>1</v>
      </c>
      <c r="W372" s="204" t="s">
        <v>3285</v>
      </c>
      <c r="X372" s="128"/>
      <c r="Y372" s="128"/>
      <c r="Z372" s="128"/>
    </row>
    <row r="373" spans="1:26" ht="12.5" hidden="1">
      <c r="A373" s="138">
        <v>422</v>
      </c>
      <c r="B373" s="173" t="s">
        <v>4003</v>
      </c>
      <c r="C373" s="139">
        <v>42339</v>
      </c>
      <c r="D373" s="173" t="s">
        <v>4011</v>
      </c>
      <c r="E373" s="145" t="s">
        <v>4005</v>
      </c>
      <c r="F373" s="196"/>
      <c r="G373" s="148"/>
      <c r="H373" s="138" t="s">
        <v>249</v>
      </c>
      <c r="I373" s="138">
        <v>1</v>
      </c>
      <c r="J373" s="144">
        <v>19328552</v>
      </c>
      <c r="K373" s="144">
        <v>19328552</v>
      </c>
      <c r="L373" s="143">
        <v>0</v>
      </c>
      <c r="M373" s="143">
        <v>0</v>
      </c>
      <c r="N373" s="143">
        <v>0</v>
      </c>
      <c r="O373" s="143">
        <v>0</v>
      </c>
      <c r="P373" s="148"/>
      <c r="Q373" s="138" t="s">
        <v>206</v>
      </c>
      <c r="R373" s="138" t="s">
        <v>2562</v>
      </c>
      <c r="S373" s="145" t="s">
        <v>4010</v>
      </c>
      <c r="T373" s="148"/>
      <c r="U373" s="202">
        <v>366</v>
      </c>
      <c r="V373" s="203" t="b">
        <v>1</v>
      </c>
      <c r="W373" s="204" t="s">
        <v>3285</v>
      </c>
      <c r="X373" s="128"/>
      <c r="Y373" s="128"/>
      <c r="Z373" s="128"/>
    </row>
    <row r="374" spans="1:26" ht="12.5" hidden="1">
      <c r="A374" s="138">
        <v>423</v>
      </c>
      <c r="B374" s="173" t="s">
        <v>4003</v>
      </c>
      <c r="C374" s="139">
        <v>42339</v>
      </c>
      <c r="D374" s="173" t="s">
        <v>4012</v>
      </c>
      <c r="E374" s="145" t="s">
        <v>4005</v>
      </c>
      <c r="F374" s="196"/>
      <c r="G374" s="148"/>
      <c r="H374" s="138" t="s">
        <v>249</v>
      </c>
      <c r="I374" s="138">
        <v>1</v>
      </c>
      <c r="J374" s="144">
        <v>19328552</v>
      </c>
      <c r="K374" s="144">
        <v>19328552</v>
      </c>
      <c r="L374" s="143">
        <v>0</v>
      </c>
      <c r="M374" s="143">
        <v>0</v>
      </c>
      <c r="N374" s="143">
        <v>0</v>
      </c>
      <c r="O374" s="143">
        <v>0</v>
      </c>
      <c r="P374" s="148"/>
      <c r="Q374" s="138" t="s">
        <v>206</v>
      </c>
      <c r="R374" s="138" t="s">
        <v>2562</v>
      </c>
      <c r="S374" s="145" t="s">
        <v>4010</v>
      </c>
      <c r="T374" s="148"/>
      <c r="U374" s="202">
        <v>367</v>
      </c>
      <c r="V374" s="203" t="b">
        <v>1</v>
      </c>
      <c r="W374" s="204" t="s">
        <v>3285</v>
      </c>
      <c r="X374" s="128"/>
      <c r="Y374" s="128"/>
      <c r="Z374" s="128"/>
    </row>
    <row r="375" spans="1:26" ht="12.5" hidden="1">
      <c r="A375" s="138">
        <v>424</v>
      </c>
      <c r="B375" s="173" t="s">
        <v>3836</v>
      </c>
      <c r="C375" s="139">
        <v>43434</v>
      </c>
      <c r="D375" s="173" t="s">
        <v>4013</v>
      </c>
      <c r="E375" s="145" t="s">
        <v>3729</v>
      </c>
      <c r="F375" s="196"/>
      <c r="G375" s="148"/>
      <c r="H375" s="138" t="s">
        <v>249</v>
      </c>
      <c r="I375" s="138">
        <v>1</v>
      </c>
      <c r="J375" s="144">
        <v>1500000</v>
      </c>
      <c r="K375" s="144">
        <v>1500000</v>
      </c>
      <c r="L375" s="143">
        <v>0</v>
      </c>
      <c r="M375" s="143">
        <v>0</v>
      </c>
      <c r="N375" s="143">
        <v>0</v>
      </c>
      <c r="O375" s="143">
        <v>0</v>
      </c>
      <c r="P375" s="148"/>
      <c r="Q375" s="138" t="s">
        <v>36</v>
      </c>
      <c r="R375" s="138" t="s">
        <v>37</v>
      </c>
      <c r="S375" s="145" t="s">
        <v>4014</v>
      </c>
      <c r="T375" s="148"/>
      <c r="U375" s="202">
        <v>368</v>
      </c>
      <c r="V375" s="203" t="b">
        <v>1</v>
      </c>
      <c r="W375" s="204" t="s">
        <v>3285</v>
      </c>
      <c r="X375" s="128"/>
      <c r="Y375" s="128"/>
      <c r="Z375" s="128"/>
    </row>
    <row r="376" spans="1:26" ht="12.5" hidden="1">
      <c r="A376" s="138">
        <v>425</v>
      </c>
      <c r="B376" s="173" t="s">
        <v>3944</v>
      </c>
      <c r="C376" s="139">
        <v>43343</v>
      </c>
      <c r="D376" s="173" t="s">
        <v>4015</v>
      </c>
      <c r="E376" s="145" t="s">
        <v>4016</v>
      </c>
      <c r="F376" s="145">
        <v>3417939</v>
      </c>
      <c r="G376" s="173" t="s">
        <v>1435</v>
      </c>
      <c r="H376" s="138" t="s">
        <v>249</v>
      </c>
      <c r="I376" s="138">
        <v>1</v>
      </c>
      <c r="J376" s="144">
        <v>6890000</v>
      </c>
      <c r="K376" s="144">
        <v>6890000</v>
      </c>
      <c r="L376" s="143">
        <v>0</v>
      </c>
      <c r="M376" s="143">
        <v>0</v>
      </c>
      <c r="N376" s="143">
        <v>0</v>
      </c>
      <c r="O376" s="143">
        <v>0</v>
      </c>
      <c r="P376" s="148"/>
      <c r="Q376" s="138" t="s">
        <v>20</v>
      </c>
      <c r="R376" s="138" t="s">
        <v>423</v>
      </c>
      <c r="S376" s="145" t="s">
        <v>4017</v>
      </c>
      <c r="T376" s="148"/>
      <c r="U376" s="202">
        <v>369</v>
      </c>
      <c r="V376" s="203" t="b">
        <v>1</v>
      </c>
      <c r="W376" s="204" t="s">
        <v>3285</v>
      </c>
      <c r="X376" s="128"/>
      <c r="Y376" s="128"/>
      <c r="Z376" s="128"/>
    </row>
    <row r="377" spans="1:26" ht="12.5">
      <c r="A377" s="138">
        <v>426</v>
      </c>
      <c r="B377" s="173" t="s">
        <v>3944</v>
      </c>
      <c r="C377" s="139">
        <v>43343</v>
      </c>
      <c r="D377" s="210" t="s">
        <v>4018</v>
      </c>
      <c r="E377" s="145" t="s">
        <v>4016</v>
      </c>
      <c r="F377" s="145">
        <v>3400002</v>
      </c>
      <c r="G377" s="173" t="s">
        <v>1435</v>
      </c>
      <c r="H377" s="138" t="s">
        <v>249</v>
      </c>
      <c r="I377" s="138">
        <v>1</v>
      </c>
      <c r="J377" s="144">
        <v>6890000</v>
      </c>
      <c r="K377" s="144">
        <v>6890000</v>
      </c>
      <c r="L377" s="143">
        <v>0</v>
      </c>
      <c r="M377" s="143">
        <v>0</v>
      </c>
      <c r="N377" s="143">
        <v>0</v>
      </c>
      <c r="O377" s="143">
        <v>0</v>
      </c>
      <c r="P377" s="148"/>
      <c r="Q377" s="138" t="s">
        <v>20</v>
      </c>
      <c r="R377" s="138" t="s">
        <v>229</v>
      </c>
      <c r="S377" s="145" t="s">
        <v>4019</v>
      </c>
      <c r="T377" s="148"/>
      <c r="U377" s="202">
        <v>370</v>
      </c>
      <c r="V377" s="203" t="b">
        <v>1</v>
      </c>
      <c r="W377" s="204" t="s">
        <v>3285</v>
      </c>
      <c r="X377" s="128"/>
      <c r="Y377" s="128"/>
      <c r="Z377" s="128"/>
    </row>
    <row r="378" spans="1:26" ht="12.5" hidden="1">
      <c r="A378" s="138">
        <v>427</v>
      </c>
      <c r="B378" s="173" t="s">
        <v>3944</v>
      </c>
      <c r="C378" s="139">
        <v>43343</v>
      </c>
      <c r="D378" s="173" t="s">
        <v>4020</v>
      </c>
      <c r="E378" s="145" t="s">
        <v>4021</v>
      </c>
      <c r="F378" s="145">
        <v>33951</v>
      </c>
      <c r="G378" s="173" t="s">
        <v>55</v>
      </c>
      <c r="H378" s="138" t="s">
        <v>249</v>
      </c>
      <c r="I378" s="138">
        <v>1</v>
      </c>
      <c r="J378" s="144">
        <v>7420000</v>
      </c>
      <c r="K378" s="144">
        <v>7420000</v>
      </c>
      <c r="L378" s="143">
        <v>0</v>
      </c>
      <c r="M378" s="143">
        <v>0</v>
      </c>
      <c r="N378" s="143">
        <v>0</v>
      </c>
      <c r="O378" s="143">
        <v>0</v>
      </c>
      <c r="P378" s="148"/>
      <c r="Q378" s="138" t="s">
        <v>206</v>
      </c>
      <c r="R378" s="138" t="s">
        <v>2427</v>
      </c>
      <c r="S378" s="145" t="s">
        <v>3947</v>
      </c>
      <c r="T378" s="148"/>
      <c r="U378" s="202">
        <v>371</v>
      </c>
      <c r="V378" s="203" t="b">
        <v>1</v>
      </c>
      <c r="W378" s="204" t="s">
        <v>3285</v>
      </c>
      <c r="X378" s="128"/>
      <c r="Y378" s="128"/>
      <c r="Z378" s="128"/>
    </row>
    <row r="379" spans="1:26" ht="12.5" hidden="1">
      <c r="A379" s="138">
        <v>428</v>
      </c>
      <c r="B379" s="173" t="s">
        <v>3944</v>
      </c>
      <c r="C379" s="139">
        <v>43343</v>
      </c>
      <c r="D379" s="173" t="s">
        <v>4022</v>
      </c>
      <c r="E379" s="145" t="s">
        <v>4021</v>
      </c>
      <c r="F379" s="145">
        <v>33956</v>
      </c>
      <c r="G379" s="173" t="s">
        <v>55</v>
      </c>
      <c r="H379" s="138" t="s">
        <v>249</v>
      </c>
      <c r="I379" s="138">
        <v>1</v>
      </c>
      <c r="J379" s="144">
        <v>7420000</v>
      </c>
      <c r="K379" s="144">
        <v>7420000</v>
      </c>
      <c r="L379" s="143">
        <v>0</v>
      </c>
      <c r="M379" s="143">
        <v>0</v>
      </c>
      <c r="N379" s="143">
        <v>0</v>
      </c>
      <c r="O379" s="143">
        <v>0</v>
      </c>
      <c r="P379" s="148"/>
      <c r="Q379" s="138" t="s">
        <v>206</v>
      </c>
      <c r="R379" s="138" t="s">
        <v>2427</v>
      </c>
      <c r="S379" s="145" t="s">
        <v>3947</v>
      </c>
      <c r="T379" s="148"/>
      <c r="U379" s="202">
        <v>372</v>
      </c>
      <c r="V379" s="203" t="b">
        <v>1</v>
      </c>
      <c r="W379" s="204" t="s">
        <v>3285</v>
      </c>
      <c r="X379" s="128"/>
      <c r="Y379" s="128"/>
      <c r="Z379" s="128"/>
    </row>
    <row r="380" spans="1:26" ht="12.5" hidden="1">
      <c r="A380" s="138">
        <v>429</v>
      </c>
      <c r="B380" s="173" t="s">
        <v>3944</v>
      </c>
      <c r="C380" s="139">
        <v>43343</v>
      </c>
      <c r="D380" s="173" t="s">
        <v>4023</v>
      </c>
      <c r="E380" s="145" t="s">
        <v>4021</v>
      </c>
      <c r="F380" s="145">
        <v>33954</v>
      </c>
      <c r="G380" s="173" t="s">
        <v>55</v>
      </c>
      <c r="H380" s="138" t="s">
        <v>249</v>
      </c>
      <c r="I380" s="138">
        <v>1</v>
      </c>
      <c r="J380" s="144">
        <v>7420000</v>
      </c>
      <c r="K380" s="144">
        <v>7420000</v>
      </c>
      <c r="L380" s="143">
        <v>0</v>
      </c>
      <c r="M380" s="143">
        <v>0</v>
      </c>
      <c r="N380" s="143">
        <v>0</v>
      </c>
      <c r="O380" s="143">
        <v>0</v>
      </c>
      <c r="P380" s="148"/>
      <c r="Q380" s="138" t="s">
        <v>206</v>
      </c>
      <c r="R380" s="138" t="s">
        <v>2427</v>
      </c>
      <c r="S380" s="145" t="s">
        <v>3947</v>
      </c>
      <c r="T380" s="148"/>
      <c r="U380" s="202">
        <v>373</v>
      </c>
      <c r="V380" s="203" t="b">
        <v>1</v>
      </c>
      <c r="W380" s="204" t="s">
        <v>3285</v>
      </c>
      <c r="X380" s="128"/>
      <c r="Y380" s="128"/>
      <c r="Z380" s="128"/>
    </row>
    <row r="381" spans="1:26" ht="12.5" hidden="1">
      <c r="A381" s="138">
        <v>430</v>
      </c>
      <c r="B381" s="173" t="s">
        <v>3944</v>
      </c>
      <c r="C381" s="139">
        <v>43343</v>
      </c>
      <c r="D381" s="173" t="s">
        <v>4024</v>
      </c>
      <c r="E381" s="145" t="s">
        <v>4021</v>
      </c>
      <c r="F381" s="145">
        <v>33952</v>
      </c>
      <c r="G381" s="173" t="s">
        <v>55</v>
      </c>
      <c r="H381" s="138" t="s">
        <v>249</v>
      </c>
      <c r="I381" s="138">
        <v>1</v>
      </c>
      <c r="J381" s="144">
        <v>7420000</v>
      </c>
      <c r="K381" s="144">
        <v>7420000</v>
      </c>
      <c r="L381" s="143">
        <v>0</v>
      </c>
      <c r="M381" s="143">
        <v>0</v>
      </c>
      <c r="N381" s="143">
        <v>0</v>
      </c>
      <c r="O381" s="143">
        <v>0</v>
      </c>
      <c r="P381" s="148"/>
      <c r="Q381" s="138" t="s">
        <v>206</v>
      </c>
      <c r="R381" s="138" t="s">
        <v>2427</v>
      </c>
      <c r="S381" s="145" t="s">
        <v>3947</v>
      </c>
      <c r="T381" s="148"/>
      <c r="U381" s="202">
        <v>374</v>
      </c>
      <c r="V381" s="203" t="b">
        <v>1</v>
      </c>
      <c r="W381" s="204" t="s">
        <v>3285</v>
      </c>
      <c r="X381" s="128"/>
      <c r="Y381" s="128"/>
      <c r="Z381" s="128"/>
    </row>
    <row r="382" spans="1:26" ht="12.5" hidden="1">
      <c r="A382" s="138">
        <v>431</v>
      </c>
      <c r="B382" s="173" t="s">
        <v>3944</v>
      </c>
      <c r="C382" s="139">
        <v>43343</v>
      </c>
      <c r="D382" s="173" t="s">
        <v>4025</v>
      </c>
      <c r="E382" s="145" t="s">
        <v>4021</v>
      </c>
      <c r="F382" s="145">
        <v>33950</v>
      </c>
      <c r="G382" s="173" t="s">
        <v>55</v>
      </c>
      <c r="H382" s="138" t="s">
        <v>249</v>
      </c>
      <c r="I382" s="138">
        <v>1</v>
      </c>
      <c r="J382" s="144">
        <v>7420000</v>
      </c>
      <c r="K382" s="144">
        <v>7420000</v>
      </c>
      <c r="L382" s="143">
        <v>0</v>
      </c>
      <c r="M382" s="143">
        <v>0</v>
      </c>
      <c r="N382" s="143">
        <v>0</v>
      </c>
      <c r="O382" s="143">
        <v>0</v>
      </c>
      <c r="P382" s="148"/>
      <c r="Q382" s="138" t="s">
        <v>206</v>
      </c>
      <c r="R382" s="138" t="s">
        <v>2427</v>
      </c>
      <c r="S382" s="145" t="s">
        <v>3947</v>
      </c>
      <c r="T382" s="148"/>
      <c r="U382" s="202">
        <v>375</v>
      </c>
      <c r="V382" s="203" t="b">
        <v>1</v>
      </c>
      <c r="W382" s="204" t="s">
        <v>3285</v>
      </c>
      <c r="X382" s="128"/>
      <c r="Y382" s="128"/>
      <c r="Z382" s="128"/>
    </row>
    <row r="383" spans="1:26" ht="12.5" hidden="1">
      <c r="A383" s="138">
        <v>432</v>
      </c>
      <c r="B383" s="173" t="s">
        <v>3944</v>
      </c>
      <c r="C383" s="139">
        <v>43343</v>
      </c>
      <c r="D383" s="173" t="s">
        <v>4026</v>
      </c>
      <c r="E383" s="145" t="s">
        <v>4021</v>
      </c>
      <c r="F383" s="145">
        <v>33949</v>
      </c>
      <c r="G383" s="173" t="s">
        <v>55</v>
      </c>
      <c r="H383" s="138" t="s">
        <v>249</v>
      </c>
      <c r="I383" s="138">
        <v>1</v>
      </c>
      <c r="J383" s="144">
        <v>7420000</v>
      </c>
      <c r="K383" s="144">
        <v>7420000</v>
      </c>
      <c r="L383" s="143">
        <v>0</v>
      </c>
      <c r="M383" s="143">
        <v>0</v>
      </c>
      <c r="N383" s="143">
        <v>0</v>
      </c>
      <c r="O383" s="143">
        <v>0</v>
      </c>
      <c r="P383" s="148"/>
      <c r="Q383" s="138" t="s">
        <v>206</v>
      </c>
      <c r="R383" s="138" t="s">
        <v>2427</v>
      </c>
      <c r="S383" s="145" t="s">
        <v>3947</v>
      </c>
      <c r="T383" s="148"/>
      <c r="U383" s="202">
        <v>376</v>
      </c>
      <c r="V383" s="203" t="b">
        <v>1</v>
      </c>
      <c r="W383" s="204" t="s">
        <v>3285</v>
      </c>
      <c r="X383" s="128"/>
      <c r="Y383" s="128"/>
      <c r="Z383" s="128"/>
    </row>
    <row r="384" spans="1:26" ht="12.5" hidden="1">
      <c r="A384" s="138">
        <v>433</v>
      </c>
      <c r="B384" s="173" t="s">
        <v>3944</v>
      </c>
      <c r="C384" s="139">
        <v>43343</v>
      </c>
      <c r="D384" s="173" t="s">
        <v>4027</v>
      </c>
      <c r="E384" s="145" t="s">
        <v>4021</v>
      </c>
      <c r="F384" s="145">
        <v>33955</v>
      </c>
      <c r="G384" s="173" t="s">
        <v>55</v>
      </c>
      <c r="H384" s="138" t="s">
        <v>249</v>
      </c>
      <c r="I384" s="138">
        <v>1</v>
      </c>
      <c r="J384" s="144">
        <v>7420000</v>
      </c>
      <c r="K384" s="144">
        <v>7420000</v>
      </c>
      <c r="L384" s="143">
        <v>0</v>
      </c>
      <c r="M384" s="143">
        <v>0</v>
      </c>
      <c r="N384" s="143">
        <v>0</v>
      </c>
      <c r="O384" s="143">
        <v>0</v>
      </c>
      <c r="P384" s="148"/>
      <c r="Q384" s="138" t="s">
        <v>206</v>
      </c>
      <c r="R384" s="138" t="s">
        <v>2427</v>
      </c>
      <c r="S384" s="145" t="s">
        <v>3947</v>
      </c>
      <c r="T384" s="148"/>
      <c r="U384" s="202">
        <v>377</v>
      </c>
      <c r="V384" s="203" t="b">
        <v>1</v>
      </c>
      <c r="W384" s="204" t="s">
        <v>3285</v>
      </c>
      <c r="X384" s="128"/>
      <c r="Y384" s="128"/>
      <c r="Z384" s="128"/>
    </row>
    <row r="385" spans="1:26" ht="12.5" hidden="1">
      <c r="A385" s="138">
        <v>434</v>
      </c>
      <c r="B385" s="173" t="s">
        <v>3944</v>
      </c>
      <c r="C385" s="139">
        <v>43343</v>
      </c>
      <c r="D385" s="173" t="s">
        <v>4028</v>
      </c>
      <c r="E385" s="145" t="s">
        <v>4021</v>
      </c>
      <c r="F385" s="145">
        <v>33962</v>
      </c>
      <c r="G385" s="173" t="s">
        <v>55</v>
      </c>
      <c r="H385" s="138" t="s">
        <v>249</v>
      </c>
      <c r="I385" s="138">
        <v>1</v>
      </c>
      <c r="J385" s="144">
        <v>7420000</v>
      </c>
      <c r="K385" s="144">
        <v>7420000</v>
      </c>
      <c r="L385" s="143">
        <v>0</v>
      </c>
      <c r="M385" s="143">
        <v>0</v>
      </c>
      <c r="N385" s="143">
        <v>0</v>
      </c>
      <c r="O385" s="143">
        <v>0</v>
      </c>
      <c r="P385" s="148"/>
      <c r="Q385" s="138" t="s">
        <v>206</v>
      </c>
      <c r="R385" s="138" t="s">
        <v>2427</v>
      </c>
      <c r="S385" s="145" t="s">
        <v>3947</v>
      </c>
      <c r="T385" s="148"/>
      <c r="U385" s="202">
        <v>378</v>
      </c>
      <c r="V385" s="203" t="b">
        <v>1</v>
      </c>
      <c r="W385" s="204" t="s">
        <v>3285</v>
      </c>
      <c r="X385" s="128"/>
      <c r="Y385" s="128"/>
      <c r="Z385" s="128"/>
    </row>
    <row r="386" spans="1:26" ht="12.5" hidden="1">
      <c r="A386" s="138">
        <v>435</v>
      </c>
      <c r="B386" s="173" t="s">
        <v>3944</v>
      </c>
      <c r="C386" s="139">
        <v>43343</v>
      </c>
      <c r="D386" s="173" t="s">
        <v>4029</v>
      </c>
      <c r="E386" s="145" t="s">
        <v>4021</v>
      </c>
      <c r="F386" s="145">
        <v>33948</v>
      </c>
      <c r="G386" s="173" t="s">
        <v>55</v>
      </c>
      <c r="H386" s="138" t="s">
        <v>249</v>
      </c>
      <c r="I386" s="138">
        <v>1</v>
      </c>
      <c r="J386" s="144">
        <v>7420000</v>
      </c>
      <c r="K386" s="144">
        <v>7420000</v>
      </c>
      <c r="L386" s="143">
        <v>0</v>
      </c>
      <c r="M386" s="143">
        <v>0</v>
      </c>
      <c r="N386" s="143">
        <v>0</v>
      </c>
      <c r="O386" s="143">
        <v>0</v>
      </c>
      <c r="P386" s="148"/>
      <c r="Q386" s="138" t="s">
        <v>206</v>
      </c>
      <c r="R386" s="138" t="s">
        <v>2427</v>
      </c>
      <c r="S386" s="145" t="s">
        <v>3947</v>
      </c>
      <c r="T386" s="148"/>
      <c r="U386" s="202">
        <v>379</v>
      </c>
      <c r="V386" s="203" t="b">
        <v>1</v>
      </c>
      <c r="W386" s="204" t="s">
        <v>3285</v>
      </c>
      <c r="X386" s="128"/>
      <c r="Y386" s="128"/>
      <c r="Z386" s="128"/>
    </row>
    <row r="387" spans="1:26" ht="12.5" hidden="1">
      <c r="A387" s="138">
        <v>436</v>
      </c>
      <c r="B387" s="173" t="s">
        <v>3944</v>
      </c>
      <c r="C387" s="139">
        <v>43343</v>
      </c>
      <c r="D387" s="173" t="s">
        <v>4030</v>
      </c>
      <c r="E387" s="145" t="s">
        <v>4021</v>
      </c>
      <c r="F387" s="145">
        <v>33947</v>
      </c>
      <c r="G387" s="173" t="s">
        <v>55</v>
      </c>
      <c r="H387" s="138" t="s">
        <v>249</v>
      </c>
      <c r="I387" s="138">
        <v>1</v>
      </c>
      <c r="J387" s="144">
        <v>7420000</v>
      </c>
      <c r="K387" s="144">
        <v>7420000</v>
      </c>
      <c r="L387" s="143">
        <v>0</v>
      </c>
      <c r="M387" s="143">
        <v>0</v>
      </c>
      <c r="N387" s="143">
        <v>0</v>
      </c>
      <c r="O387" s="143">
        <v>0</v>
      </c>
      <c r="P387" s="148"/>
      <c r="Q387" s="138" t="s">
        <v>206</v>
      </c>
      <c r="R387" s="138" t="s">
        <v>2427</v>
      </c>
      <c r="S387" s="145" t="s">
        <v>3947</v>
      </c>
      <c r="T387" s="148"/>
      <c r="U387" s="202">
        <v>380</v>
      </c>
      <c r="V387" s="203" t="b">
        <v>1</v>
      </c>
      <c r="W387" s="204" t="s">
        <v>3285</v>
      </c>
      <c r="X387" s="128"/>
      <c r="Y387" s="128"/>
      <c r="Z387" s="128"/>
    </row>
    <row r="388" spans="1:26" ht="12.5" hidden="1">
      <c r="A388" s="138">
        <v>437</v>
      </c>
      <c r="B388" s="173" t="s">
        <v>4031</v>
      </c>
      <c r="C388" s="139">
        <v>43343</v>
      </c>
      <c r="D388" s="173" t="s">
        <v>4032</v>
      </c>
      <c r="E388" s="145" t="s">
        <v>4033</v>
      </c>
      <c r="F388" s="145">
        <v>1800239</v>
      </c>
      <c r="G388" s="173" t="s">
        <v>573</v>
      </c>
      <c r="H388" s="138" t="s">
        <v>19</v>
      </c>
      <c r="I388" s="138">
        <v>1</v>
      </c>
      <c r="J388" s="144">
        <v>27000000</v>
      </c>
      <c r="K388" s="144">
        <v>27000000</v>
      </c>
      <c r="L388" s="144">
        <v>18000000</v>
      </c>
      <c r="M388" s="143">
        <v>33</v>
      </c>
      <c r="N388" s="143">
        <v>9000000</v>
      </c>
      <c r="O388" s="143">
        <v>9000000</v>
      </c>
      <c r="P388" s="148"/>
      <c r="Q388" s="138" t="s">
        <v>20</v>
      </c>
      <c r="R388" s="138" t="s">
        <v>284</v>
      </c>
      <c r="S388" s="145" t="s">
        <v>2122</v>
      </c>
      <c r="T388" s="148"/>
      <c r="U388" s="202">
        <v>381</v>
      </c>
      <c r="V388" s="203" t="b">
        <v>1</v>
      </c>
      <c r="W388" s="204" t="s">
        <v>3285</v>
      </c>
      <c r="X388" s="128"/>
      <c r="Y388" s="128"/>
      <c r="Z388" s="128"/>
    </row>
    <row r="389" spans="1:26" ht="12.5" hidden="1">
      <c r="A389" s="138">
        <v>438</v>
      </c>
      <c r="B389" s="173" t="s">
        <v>4031</v>
      </c>
      <c r="C389" s="139">
        <v>43343</v>
      </c>
      <c r="D389" s="173" t="s">
        <v>4034</v>
      </c>
      <c r="E389" s="145" t="s">
        <v>4033</v>
      </c>
      <c r="F389" s="145">
        <v>1800237</v>
      </c>
      <c r="G389" s="173" t="s">
        <v>573</v>
      </c>
      <c r="H389" s="138" t="s">
        <v>19</v>
      </c>
      <c r="I389" s="138">
        <v>1</v>
      </c>
      <c r="J389" s="144">
        <v>27000000</v>
      </c>
      <c r="K389" s="144">
        <v>27000000</v>
      </c>
      <c r="L389" s="144">
        <v>18000000</v>
      </c>
      <c r="M389" s="143">
        <v>33</v>
      </c>
      <c r="N389" s="143">
        <v>9000000</v>
      </c>
      <c r="O389" s="143">
        <v>9000000</v>
      </c>
      <c r="P389" s="148"/>
      <c r="Q389" s="138" t="s">
        <v>20</v>
      </c>
      <c r="R389" s="138" t="s">
        <v>284</v>
      </c>
      <c r="S389" s="145" t="s">
        <v>2122</v>
      </c>
      <c r="T389" s="148"/>
      <c r="U389" s="202">
        <v>382</v>
      </c>
      <c r="V389" s="203" t="b">
        <v>1</v>
      </c>
      <c r="W389" s="204" t="s">
        <v>3285</v>
      </c>
      <c r="X389" s="128"/>
      <c r="Y389" s="128"/>
      <c r="Z389" s="128"/>
    </row>
    <row r="390" spans="1:26" ht="12.5" hidden="1">
      <c r="A390" s="138">
        <v>439</v>
      </c>
      <c r="B390" s="173" t="s">
        <v>4031</v>
      </c>
      <c r="C390" s="139">
        <v>43343</v>
      </c>
      <c r="D390" s="173" t="s">
        <v>4035</v>
      </c>
      <c r="E390" s="145" t="s">
        <v>4036</v>
      </c>
      <c r="F390" s="145">
        <v>1800240</v>
      </c>
      <c r="G390" s="173" t="s">
        <v>573</v>
      </c>
      <c r="H390" s="138" t="s">
        <v>19</v>
      </c>
      <c r="I390" s="138">
        <v>1</v>
      </c>
      <c r="J390" s="144">
        <v>27000000</v>
      </c>
      <c r="K390" s="144">
        <v>27000000</v>
      </c>
      <c r="L390" s="144">
        <v>18000000</v>
      </c>
      <c r="M390" s="143">
        <v>33</v>
      </c>
      <c r="N390" s="143">
        <v>9000000</v>
      </c>
      <c r="O390" s="143">
        <v>9000000</v>
      </c>
      <c r="P390" s="148"/>
      <c r="Q390" s="138" t="s">
        <v>20</v>
      </c>
      <c r="R390" s="138" t="s">
        <v>284</v>
      </c>
      <c r="S390" s="145" t="s">
        <v>2122</v>
      </c>
      <c r="T390" s="148"/>
      <c r="U390" s="202">
        <v>383</v>
      </c>
      <c r="V390" s="203" t="b">
        <v>1</v>
      </c>
      <c r="W390" s="204" t="s">
        <v>3285</v>
      </c>
      <c r="X390" s="128"/>
      <c r="Y390" s="128"/>
      <c r="Z390" s="128"/>
    </row>
    <row r="391" spans="1:26" ht="12.5" hidden="1">
      <c r="A391" s="138">
        <v>440</v>
      </c>
      <c r="B391" s="173" t="s">
        <v>4031</v>
      </c>
      <c r="C391" s="139">
        <v>43343</v>
      </c>
      <c r="D391" s="173" t="s">
        <v>4037</v>
      </c>
      <c r="E391" s="145" t="s">
        <v>4036</v>
      </c>
      <c r="F391" s="145">
        <v>1800249</v>
      </c>
      <c r="G391" s="173" t="s">
        <v>573</v>
      </c>
      <c r="H391" s="138" t="s">
        <v>19</v>
      </c>
      <c r="I391" s="138">
        <v>1</v>
      </c>
      <c r="J391" s="144">
        <v>27000000</v>
      </c>
      <c r="K391" s="144">
        <v>27000000</v>
      </c>
      <c r="L391" s="144">
        <v>18000000</v>
      </c>
      <c r="M391" s="143">
        <v>33</v>
      </c>
      <c r="N391" s="143">
        <v>9000000</v>
      </c>
      <c r="O391" s="143">
        <v>9000000</v>
      </c>
      <c r="P391" s="148"/>
      <c r="Q391" s="138" t="s">
        <v>20</v>
      </c>
      <c r="R391" s="138" t="s">
        <v>284</v>
      </c>
      <c r="S391" s="145" t="s">
        <v>2122</v>
      </c>
      <c r="T391" s="148"/>
      <c r="U391" s="202">
        <v>384</v>
      </c>
      <c r="V391" s="203" t="b">
        <v>1</v>
      </c>
      <c r="W391" s="204" t="s">
        <v>3285</v>
      </c>
      <c r="X391" s="128"/>
      <c r="Y391" s="128"/>
      <c r="Z391" s="128"/>
    </row>
    <row r="392" spans="1:26" ht="12.5" hidden="1">
      <c r="A392" s="138">
        <v>441</v>
      </c>
      <c r="B392" s="173" t="s">
        <v>4031</v>
      </c>
      <c r="C392" s="139">
        <v>43343</v>
      </c>
      <c r="D392" s="173" t="s">
        <v>4038</v>
      </c>
      <c r="E392" s="145" t="s">
        <v>4036</v>
      </c>
      <c r="F392" s="145">
        <v>1800247</v>
      </c>
      <c r="G392" s="173" t="s">
        <v>573</v>
      </c>
      <c r="H392" s="138" t="s">
        <v>19</v>
      </c>
      <c r="I392" s="138">
        <v>1</v>
      </c>
      <c r="J392" s="144">
        <v>27000000</v>
      </c>
      <c r="K392" s="144">
        <v>27000000</v>
      </c>
      <c r="L392" s="144">
        <v>18000000</v>
      </c>
      <c r="M392" s="143">
        <v>33</v>
      </c>
      <c r="N392" s="143">
        <v>9000000</v>
      </c>
      <c r="O392" s="143">
        <v>9000000</v>
      </c>
      <c r="P392" s="148"/>
      <c r="Q392" s="138" t="s">
        <v>20</v>
      </c>
      <c r="R392" s="138" t="s">
        <v>284</v>
      </c>
      <c r="S392" s="145" t="s">
        <v>2122</v>
      </c>
      <c r="T392" s="148"/>
      <c r="U392" s="202">
        <v>385</v>
      </c>
      <c r="V392" s="203" t="b">
        <v>1</v>
      </c>
      <c r="W392" s="204" t="s">
        <v>3285</v>
      </c>
      <c r="X392" s="128"/>
      <c r="Y392" s="128"/>
      <c r="Z392" s="128"/>
    </row>
    <row r="393" spans="1:26" ht="12.5" hidden="1">
      <c r="A393" s="138">
        <v>442</v>
      </c>
      <c r="B393" s="173" t="s">
        <v>4031</v>
      </c>
      <c r="C393" s="139">
        <v>43343</v>
      </c>
      <c r="D393" s="173" t="s">
        <v>4039</v>
      </c>
      <c r="E393" s="145" t="s">
        <v>4036</v>
      </c>
      <c r="F393" s="145">
        <v>1800242</v>
      </c>
      <c r="G393" s="173" t="s">
        <v>573</v>
      </c>
      <c r="H393" s="138" t="s">
        <v>19</v>
      </c>
      <c r="I393" s="138">
        <v>1</v>
      </c>
      <c r="J393" s="144">
        <v>27000000</v>
      </c>
      <c r="K393" s="144">
        <v>27000000</v>
      </c>
      <c r="L393" s="144">
        <v>18000000</v>
      </c>
      <c r="M393" s="143">
        <v>33</v>
      </c>
      <c r="N393" s="143">
        <v>9000000</v>
      </c>
      <c r="O393" s="143">
        <v>9000000</v>
      </c>
      <c r="P393" s="148"/>
      <c r="Q393" s="138" t="s">
        <v>20</v>
      </c>
      <c r="R393" s="138" t="s">
        <v>284</v>
      </c>
      <c r="S393" s="145" t="s">
        <v>2122</v>
      </c>
      <c r="T393" s="148"/>
      <c r="U393" s="202">
        <v>386</v>
      </c>
      <c r="V393" s="203" t="b">
        <v>1</v>
      </c>
      <c r="W393" s="204" t="s">
        <v>3285</v>
      </c>
      <c r="X393" s="128"/>
      <c r="Y393" s="128"/>
      <c r="Z393" s="128"/>
    </row>
    <row r="394" spans="1:26" ht="12.5">
      <c r="A394" s="138">
        <v>443</v>
      </c>
      <c r="B394" s="173" t="s">
        <v>4031</v>
      </c>
      <c r="C394" s="139">
        <v>43343</v>
      </c>
      <c r="D394" s="210" t="s">
        <v>4040</v>
      </c>
      <c r="E394" s="145" t="s">
        <v>4041</v>
      </c>
      <c r="F394" s="145">
        <v>4108776</v>
      </c>
      <c r="G394" s="173" t="s">
        <v>307</v>
      </c>
      <c r="H394" s="138" t="s">
        <v>19</v>
      </c>
      <c r="I394" s="138">
        <v>1</v>
      </c>
      <c r="J394" s="144">
        <v>27350000</v>
      </c>
      <c r="K394" s="144">
        <v>27350000</v>
      </c>
      <c r="L394" s="144">
        <v>18233333</v>
      </c>
      <c r="M394" s="143">
        <v>33</v>
      </c>
      <c r="N394" s="143">
        <v>9116667</v>
      </c>
      <c r="O394" s="143">
        <v>9116666</v>
      </c>
      <c r="P394" s="148"/>
      <c r="Q394" s="138" t="s">
        <v>20</v>
      </c>
      <c r="R394" s="138" t="s">
        <v>229</v>
      </c>
      <c r="S394" s="145" t="s">
        <v>4042</v>
      </c>
      <c r="T394" s="148"/>
      <c r="U394" s="202">
        <v>387</v>
      </c>
      <c r="V394" s="203" t="b">
        <v>1</v>
      </c>
      <c r="W394" s="204" t="s">
        <v>3285</v>
      </c>
      <c r="X394" s="128"/>
      <c r="Y394" s="128"/>
      <c r="Z394" s="128"/>
    </row>
    <row r="395" spans="1:26" ht="12.5">
      <c r="A395" s="138">
        <v>444</v>
      </c>
      <c r="B395" s="173" t="s">
        <v>4031</v>
      </c>
      <c r="C395" s="139">
        <v>43343</v>
      </c>
      <c r="D395" s="210" t="s">
        <v>4043</v>
      </c>
      <c r="E395" s="145" t="s">
        <v>4044</v>
      </c>
      <c r="F395" s="145">
        <v>4033937</v>
      </c>
      <c r="G395" s="173" t="s">
        <v>307</v>
      </c>
      <c r="H395" s="138" t="s">
        <v>19</v>
      </c>
      <c r="I395" s="138">
        <v>1</v>
      </c>
      <c r="J395" s="144">
        <v>27500000</v>
      </c>
      <c r="K395" s="144">
        <v>27500000</v>
      </c>
      <c r="L395" s="144">
        <v>18333333</v>
      </c>
      <c r="M395" s="143">
        <v>33</v>
      </c>
      <c r="N395" s="143">
        <v>9166667</v>
      </c>
      <c r="O395" s="143">
        <v>9166666</v>
      </c>
      <c r="P395" s="148"/>
      <c r="Q395" s="138" t="s">
        <v>20</v>
      </c>
      <c r="R395" s="138" t="s">
        <v>229</v>
      </c>
      <c r="S395" s="145" t="s">
        <v>4045</v>
      </c>
      <c r="T395" s="148"/>
      <c r="U395" s="202">
        <v>388</v>
      </c>
      <c r="V395" s="203" t="b">
        <v>1</v>
      </c>
      <c r="W395" s="204" t="s">
        <v>3285</v>
      </c>
      <c r="X395" s="128"/>
      <c r="Y395" s="128"/>
      <c r="Z395" s="128"/>
    </row>
    <row r="396" spans="1:26" ht="12.5">
      <c r="A396" s="138">
        <v>445</v>
      </c>
      <c r="B396" s="173" t="s">
        <v>4031</v>
      </c>
      <c r="C396" s="139">
        <v>43343</v>
      </c>
      <c r="D396" s="210" t="s">
        <v>4046</v>
      </c>
      <c r="E396" s="145" t="s">
        <v>4044</v>
      </c>
      <c r="F396" s="145">
        <v>4085025</v>
      </c>
      <c r="G396" s="173" t="s">
        <v>307</v>
      </c>
      <c r="H396" s="138" t="s">
        <v>19</v>
      </c>
      <c r="I396" s="138">
        <v>1</v>
      </c>
      <c r="J396" s="144">
        <v>27500000</v>
      </c>
      <c r="K396" s="144">
        <v>27500000</v>
      </c>
      <c r="L396" s="144">
        <v>18333333</v>
      </c>
      <c r="M396" s="143">
        <v>33</v>
      </c>
      <c r="N396" s="143">
        <v>9166667</v>
      </c>
      <c r="O396" s="143">
        <v>9166666</v>
      </c>
      <c r="P396" s="148"/>
      <c r="Q396" s="138" t="s">
        <v>20</v>
      </c>
      <c r="R396" s="138" t="s">
        <v>229</v>
      </c>
      <c r="S396" s="145" t="s">
        <v>4047</v>
      </c>
      <c r="T396" s="148"/>
      <c r="U396" s="202">
        <v>389</v>
      </c>
      <c r="V396" s="203" t="b">
        <v>1</v>
      </c>
      <c r="W396" s="204" t="s">
        <v>3285</v>
      </c>
      <c r="X396" s="128"/>
      <c r="Y396" s="128"/>
      <c r="Z396" s="128"/>
    </row>
    <row r="397" spans="1:26" ht="12.5">
      <c r="A397" s="138">
        <v>446</v>
      </c>
      <c r="B397" s="173" t="s">
        <v>4031</v>
      </c>
      <c r="C397" s="139">
        <v>43343</v>
      </c>
      <c r="D397" s="210" t="s">
        <v>4048</v>
      </c>
      <c r="E397" s="145" t="s">
        <v>4044</v>
      </c>
      <c r="F397" s="145">
        <v>4034313</v>
      </c>
      <c r="G397" s="173" t="s">
        <v>307</v>
      </c>
      <c r="H397" s="138" t="s">
        <v>19</v>
      </c>
      <c r="I397" s="138">
        <v>1</v>
      </c>
      <c r="J397" s="144">
        <v>27500000</v>
      </c>
      <c r="K397" s="144">
        <v>27500000</v>
      </c>
      <c r="L397" s="144">
        <v>18333333</v>
      </c>
      <c r="M397" s="143">
        <v>33</v>
      </c>
      <c r="N397" s="143">
        <v>9166667</v>
      </c>
      <c r="O397" s="143">
        <v>9166666</v>
      </c>
      <c r="P397" s="148"/>
      <c r="Q397" s="138" t="s">
        <v>20</v>
      </c>
      <c r="R397" s="138" t="s">
        <v>229</v>
      </c>
      <c r="S397" s="145" t="s">
        <v>4049</v>
      </c>
      <c r="T397" s="148"/>
      <c r="U397" s="202">
        <v>390</v>
      </c>
      <c r="V397" s="203" t="b">
        <v>1</v>
      </c>
      <c r="W397" s="204" t="s">
        <v>3285</v>
      </c>
      <c r="X397" s="128"/>
      <c r="Y397" s="128"/>
      <c r="Z397" s="128"/>
    </row>
    <row r="398" spans="1:26" ht="12.5" hidden="1">
      <c r="A398" s="138">
        <v>447</v>
      </c>
      <c r="B398" s="173" t="s">
        <v>3944</v>
      </c>
      <c r="C398" s="139">
        <v>43343</v>
      </c>
      <c r="D398" s="173" t="s">
        <v>4050</v>
      </c>
      <c r="E398" s="145" t="s">
        <v>4051</v>
      </c>
      <c r="F398" s="145">
        <v>4087036</v>
      </c>
      <c r="G398" s="173" t="s">
        <v>307</v>
      </c>
      <c r="H398" s="138" t="s">
        <v>249</v>
      </c>
      <c r="I398" s="138">
        <v>1</v>
      </c>
      <c r="J398" s="144">
        <v>8630000</v>
      </c>
      <c r="K398" s="144">
        <v>8630000</v>
      </c>
      <c r="L398" s="143">
        <v>0</v>
      </c>
      <c r="M398" s="143">
        <v>0</v>
      </c>
      <c r="N398" s="143">
        <v>0</v>
      </c>
      <c r="O398" s="143">
        <v>0</v>
      </c>
      <c r="P398" s="148"/>
      <c r="Q398" s="138" t="s">
        <v>20</v>
      </c>
      <c r="R398" s="138" t="s">
        <v>295</v>
      </c>
      <c r="S398" s="145" t="s">
        <v>4052</v>
      </c>
      <c r="T398" s="148"/>
      <c r="U398" s="202">
        <v>391</v>
      </c>
      <c r="V398" s="203" t="b">
        <v>1</v>
      </c>
      <c r="W398" s="204" t="s">
        <v>3285</v>
      </c>
      <c r="X398" s="128"/>
      <c r="Y398" s="128"/>
      <c r="Z398" s="128"/>
    </row>
    <row r="399" spans="1:26" ht="12.5" hidden="1">
      <c r="A399" s="138">
        <v>448</v>
      </c>
      <c r="B399" s="173" t="s">
        <v>3944</v>
      </c>
      <c r="C399" s="139">
        <v>43343</v>
      </c>
      <c r="D399" s="173" t="s">
        <v>4053</v>
      </c>
      <c r="E399" s="145" t="s">
        <v>4051</v>
      </c>
      <c r="F399" s="145">
        <v>4087019</v>
      </c>
      <c r="G399" s="173" t="s">
        <v>307</v>
      </c>
      <c r="H399" s="138" t="s">
        <v>249</v>
      </c>
      <c r="I399" s="138">
        <v>1</v>
      </c>
      <c r="J399" s="144">
        <v>8630000</v>
      </c>
      <c r="K399" s="144">
        <v>8630000</v>
      </c>
      <c r="L399" s="143">
        <v>0</v>
      </c>
      <c r="M399" s="143">
        <v>0</v>
      </c>
      <c r="N399" s="143">
        <v>0</v>
      </c>
      <c r="O399" s="143">
        <v>0</v>
      </c>
      <c r="P399" s="148"/>
      <c r="Q399" s="138" t="s">
        <v>20</v>
      </c>
      <c r="R399" s="138" t="s">
        <v>295</v>
      </c>
      <c r="S399" s="145" t="s">
        <v>4054</v>
      </c>
      <c r="T399" s="148"/>
      <c r="U399" s="202">
        <v>392</v>
      </c>
      <c r="V399" s="203" t="b">
        <v>1</v>
      </c>
      <c r="W399" s="204" t="s">
        <v>3285</v>
      </c>
      <c r="X399" s="128"/>
      <c r="Y399" s="128"/>
      <c r="Z399" s="128"/>
    </row>
    <row r="400" spans="1:26" ht="12.5" hidden="1">
      <c r="A400" s="138">
        <v>449</v>
      </c>
      <c r="B400" s="173" t="s">
        <v>3944</v>
      </c>
      <c r="C400" s="139">
        <v>43343</v>
      </c>
      <c r="D400" s="173" t="s">
        <v>4055</v>
      </c>
      <c r="E400" s="145" t="s">
        <v>4056</v>
      </c>
      <c r="F400" s="145">
        <v>1708006923</v>
      </c>
      <c r="G400" s="173" t="s">
        <v>1754</v>
      </c>
      <c r="H400" s="138" t="s">
        <v>19</v>
      </c>
      <c r="I400" s="138">
        <v>1</v>
      </c>
      <c r="J400" s="144">
        <v>4000000</v>
      </c>
      <c r="K400" s="144">
        <v>4000000</v>
      </c>
      <c r="L400" s="143">
        <v>0</v>
      </c>
      <c r="M400" s="143">
        <v>0</v>
      </c>
      <c r="N400" s="143">
        <v>0</v>
      </c>
      <c r="O400" s="143">
        <v>0</v>
      </c>
      <c r="P400" s="148"/>
      <c r="Q400" s="138" t="s">
        <v>206</v>
      </c>
      <c r="R400" s="138" t="s">
        <v>2427</v>
      </c>
      <c r="S400" s="145" t="s">
        <v>3947</v>
      </c>
      <c r="T400" s="148"/>
      <c r="U400" s="202">
        <v>393</v>
      </c>
      <c r="V400" s="203" t="b">
        <v>1</v>
      </c>
      <c r="W400" s="204" t="s">
        <v>3285</v>
      </c>
      <c r="X400" s="128"/>
      <c r="Y400" s="128"/>
      <c r="Z400" s="128"/>
    </row>
    <row r="401" spans="1:26" ht="12.5" hidden="1">
      <c r="A401" s="138">
        <v>450</v>
      </c>
      <c r="B401" s="173" t="s">
        <v>3944</v>
      </c>
      <c r="C401" s="139">
        <v>43343</v>
      </c>
      <c r="D401" s="173" t="s">
        <v>4057</v>
      </c>
      <c r="E401" s="145" t="s">
        <v>4056</v>
      </c>
      <c r="F401" s="145">
        <v>1708000039</v>
      </c>
      <c r="G401" s="173" t="s">
        <v>1754</v>
      </c>
      <c r="H401" s="138" t="s">
        <v>19</v>
      </c>
      <c r="I401" s="138">
        <v>1</v>
      </c>
      <c r="J401" s="144">
        <v>4000000</v>
      </c>
      <c r="K401" s="144">
        <v>4000000</v>
      </c>
      <c r="L401" s="143">
        <v>0</v>
      </c>
      <c r="M401" s="143">
        <v>0</v>
      </c>
      <c r="N401" s="143">
        <v>0</v>
      </c>
      <c r="O401" s="143">
        <v>0</v>
      </c>
      <c r="P401" s="148"/>
      <c r="Q401" s="138" t="s">
        <v>206</v>
      </c>
      <c r="R401" s="138" t="s">
        <v>2427</v>
      </c>
      <c r="S401" s="145" t="s">
        <v>3947</v>
      </c>
      <c r="T401" s="148"/>
      <c r="U401" s="202">
        <v>394</v>
      </c>
      <c r="V401" s="203" t="b">
        <v>1</v>
      </c>
      <c r="W401" s="204" t="s">
        <v>3285</v>
      </c>
      <c r="X401" s="128"/>
      <c r="Y401" s="128"/>
      <c r="Z401" s="128"/>
    </row>
    <row r="402" spans="1:26" ht="12.5" hidden="1">
      <c r="A402" s="138">
        <v>451</v>
      </c>
      <c r="B402" s="173" t="s">
        <v>3944</v>
      </c>
      <c r="C402" s="139">
        <v>43343</v>
      </c>
      <c r="D402" s="173" t="s">
        <v>4058</v>
      </c>
      <c r="E402" s="145" t="s">
        <v>4056</v>
      </c>
      <c r="F402" s="145">
        <v>1708018085</v>
      </c>
      <c r="G402" s="173" t="s">
        <v>1754</v>
      </c>
      <c r="H402" s="138" t="s">
        <v>19</v>
      </c>
      <c r="I402" s="138">
        <v>1</v>
      </c>
      <c r="J402" s="144">
        <v>4000000</v>
      </c>
      <c r="K402" s="144">
        <v>4000000</v>
      </c>
      <c r="L402" s="143">
        <v>0</v>
      </c>
      <c r="M402" s="143">
        <v>0</v>
      </c>
      <c r="N402" s="143">
        <v>0</v>
      </c>
      <c r="O402" s="143">
        <v>0</v>
      </c>
      <c r="P402" s="148"/>
      <c r="Q402" s="138" t="s">
        <v>206</v>
      </c>
      <c r="R402" s="138" t="s">
        <v>2427</v>
      </c>
      <c r="S402" s="145" t="s">
        <v>3947</v>
      </c>
      <c r="T402" s="148"/>
      <c r="U402" s="202">
        <v>395</v>
      </c>
      <c r="V402" s="203" t="b">
        <v>1</v>
      </c>
      <c r="W402" s="204" t="s">
        <v>3285</v>
      </c>
      <c r="X402" s="128"/>
      <c r="Y402" s="128"/>
      <c r="Z402" s="128"/>
    </row>
    <row r="403" spans="1:26" ht="12.5" hidden="1">
      <c r="A403" s="138">
        <v>452</v>
      </c>
      <c r="B403" s="173" t="s">
        <v>3944</v>
      </c>
      <c r="C403" s="139">
        <v>43343</v>
      </c>
      <c r="D403" s="173" t="s">
        <v>4059</v>
      </c>
      <c r="E403" s="145" t="s">
        <v>4056</v>
      </c>
      <c r="F403" s="145">
        <v>1708017811</v>
      </c>
      <c r="G403" s="173" t="s">
        <v>1754</v>
      </c>
      <c r="H403" s="138" t="s">
        <v>19</v>
      </c>
      <c r="I403" s="138">
        <v>1</v>
      </c>
      <c r="J403" s="144">
        <v>4000000</v>
      </c>
      <c r="K403" s="144">
        <v>4000000</v>
      </c>
      <c r="L403" s="143">
        <v>0</v>
      </c>
      <c r="M403" s="143">
        <v>0</v>
      </c>
      <c r="N403" s="143">
        <v>0</v>
      </c>
      <c r="O403" s="143">
        <v>0</v>
      </c>
      <c r="P403" s="148"/>
      <c r="Q403" s="138" t="s">
        <v>206</v>
      </c>
      <c r="R403" s="138" t="s">
        <v>2427</v>
      </c>
      <c r="S403" s="145" t="s">
        <v>3947</v>
      </c>
      <c r="T403" s="148"/>
      <c r="U403" s="202">
        <v>396</v>
      </c>
      <c r="V403" s="203" t="b">
        <v>1</v>
      </c>
      <c r="W403" s="204" t="s">
        <v>3285</v>
      </c>
      <c r="X403" s="128"/>
      <c r="Y403" s="128"/>
      <c r="Z403" s="128"/>
    </row>
    <row r="404" spans="1:26" ht="12.5" hidden="1">
      <c r="A404" s="138">
        <v>453</v>
      </c>
      <c r="B404" s="173" t="s">
        <v>3944</v>
      </c>
      <c r="C404" s="139">
        <v>43343</v>
      </c>
      <c r="D404" s="173" t="s">
        <v>4060</v>
      </c>
      <c r="E404" s="145" t="s">
        <v>4056</v>
      </c>
      <c r="F404" s="145">
        <v>1708017774</v>
      </c>
      <c r="G404" s="173" t="s">
        <v>1754</v>
      </c>
      <c r="H404" s="138" t="s">
        <v>19</v>
      </c>
      <c r="I404" s="138">
        <v>1</v>
      </c>
      <c r="J404" s="144">
        <v>4000000</v>
      </c>
      <c r="K404" s="144">
        <v>4000000</v>
      </c>
      <c r="L404" s="143">
        <v>0</v>
      </c>
      <c r="M404" s="143">
        <v>0</v>
      </c>
      <c r="N404" s="143">
        <v>0</v>
      </c>
      <c r="O404" s="143">
        <v>0</v>
      </c>
      <c r="P404" s="148"/>
      <c r="Q404" s="138" t="s">
        <v>206</v>
      </c>
      <c r="R404" s="138" t="s">
        <v>2427</v>
      </c>
      <c r="S404" s="145" t="s">
        <v>3947</v>
      </c>
      <c r="T404" s="148"/>
      <c r="U404" s="202">
        <v>397</v>
      </c>
      <c r="V404" s="203" t="b">
        <v>1</v>
      </c>
      <c r="W404" s="204" t="s">
        <v>3285</v>
      </c>
      <c r="X404" s="128"/>
      <c r="Y404" s="128"/>
      <c r="Z404" s="128"/>
    </row>
    <row r="405" spans="1:26" ht="12.5" hidden="1">
      <c r="A405" s="230">
        <v>454</v>
      </c>
      <c r="B405" s="217" t="s">
        <v>4061</v>
      </c>
      <c r="C405" s="232">
        <v>43545</v>
      </c>
      <c r="D405" s="217" t="s">
        <v>4062</v>
      </c>
      <c r="E405" s="233" t="s">
        <v>4063</v>
      </c>
      <c r="F405" s="233" t="s">
        <v>4064</v>
      </c>
      <c r="G405" s="218"/>
      <c r="H405" s="230" t="s">
        <v>249</v>
      </c>
      <c r="I405" s="230">
        <v>1</v>
      </c>
      <c r="J405" s="219">
        <v>6000000</v>
      </c>
      <c r="K405" s="219">
        <v>6000000</v>
      </c>
      <c r="L405" s="219">
        <v>6000000</v>
      </c>
      <c r="M405" s="220">
        <v>100</v>
      </c>
      <c r="N405" s="220">
        <v>6000000</v>
      </c>
      <c r="O405" s="220">
        <v>0</v>
      </c>
      <c r="P405" s="218"/>
      <c r="Q405" s="230" t="s">
        <v>206</v>
      </c>
      <c r="R405" s="263" t="s">
        <v>3635</v>
      </c>
      <c r="S405" s="233" t="s">
        <v>4065</v>
      </c>
      <c r="T405" s="148"/>
      <c r="U405" s="202">
        <v>398</v>
      </c>
      <c r="V405" s="203" t="b">
        <v>1</v>
      </c>
      <c r="W405" s="204" t="s">
        <v>3285</v>
      </c>
      <c r="X405" s="128"/>
      <c r="Y405" s="128"/>
      <c r="Z405" s="128"/>
    </row>
    <row r="406" spans="1:26" ht="12.5" hidden="1">
      <c r="A406" s="230">
        <v>455</v>
      </c>
      <c r="B406" s="217" t="s">
        <v>4061</v>
      </c>
      <c r="C406" s="232">
        <v>43545</v>
      </c>
      <c r="D406" s="217" t="s">
        <v>4066</v>
      </c>
      <c r="E406" s="233" t="s">
        <v>4063</v>
      </c>
      <c r="F406" s="233" t="s">
        <v>4067</v>
      </c>
      <c r="G406" s="218"/>
      <c r="H406" s="230" t="s">
        <v>249</v>
      </c>
      <c r="I406" s="230">
        <v>1</v>
      </c>
      <c r="J406" s="219">
        <v>6000000</v>
      </c>
      <c r="K406" s="219">
        <v>6000000</v>
      </c>
      <c r="L406" s="219">
        <v>6000000</v>
      </c>
      <c r="M406" s="220">
        <v>100</v>
      </c>
      <c r="N406" s="220">
        <v>6000000</v>
      </c>
      <c r="O406" s="220">
        <v>0</v>
      </c>
      <c r="P406" s="218"/>
      <c r="Q406" s="230" t="s">
        <v>206</v>
      </c>
      <c r="R406" s="263" t="s">
        <v>3635</v>
      </c>
      <c r="S406" s="233" t="s">
        <v>4065</v>
      </c>
      <c r="T406" s="148"/>
      <c r="U406" s="202">
        <v>399</v>
      </c>
      <c r="V406" s="203" t="b">
        <v>1</v>
      </c>
      <c r="W406" s="204" t="s">
        <v>3285</v>
      </c>
      <c r="X406" s="128"/>
      <c r="Y406" s="128"/>
      <c r="Z406" s="128"/>
    </row>
    <row r="407" spans="1:26" ht="12.5" hidden="1">
      <c r="A407" s="138">
        <v>456</v>
      </c>
      <c r="B407" s="173" t="s">
        <v>4068</v>
      </c>
      <c r="C407" s="139">
        <v>43797</v>
      </c>
      <c r="D407" s="173" t="s">
        <v>4069</v>
      </c>
      <c r="E407" s="145" t="s">
        <v>4070</v>
      </c>
      <c r="F407" s="145" t="s">
        <v>4071</v>
      </c>
      <c r="G407" s="173" t="s">
        <v>45</v>
      </c>
      <c r="H407" s="138" t="s">
        <v>19</v>
      </c>
      <c r="I407" s="138">
        <v>1</v>
      </c>
      <c r="J407" s="144">
        <v>22115891</v>
      </c>
      <c r="K407" s="144">
        <v>22115891</v>
      </c>
      <c r="L407" s="144">
        <v>22115891</v>
      </c>
      <c r="M407" s="143">
        <v>33</v>
      </c>
      <c r="N407" s="143">
        <v>7371964</v>
      </c>
      <c r="O407" s="143">
        <v>14743927</v>
      </c>
      <c r="P407" s="148"/>
      <c r="Q407" s="138" t="s">
        <v>20</v>
      </c>
      <c r="R407" s="138" t="s">
        <v>423</v>
      </c>
      <c r="S407" s="145" t="s">
        <v>4072</v>
      </c>
      <c r="T407" s="148"/>
      <c r="U407" s="202">
        <v>400</v>
      </c>
      <c r="V407" s="203" t="b">
        <v>1</v>
      </c>
      <c r="W407" s="204" t="s">
        <v>3285</v>
      </c>
      <c r="X407" s="128"/>
      <c r="Y407" s="128"/>
      <c r="Z407" s="128"/>
    </row>
    <row r="408" spans="1:26" ht="12.5" hidden="1">
      <c r="A408" s="138">
        <v>457</v>
      </c>
      <c r="B408" s="173" t="s">
        <v>4073</v>
      </c>
      <c r="C408" s="139">
        <v>43798</v>
      </c>
      <c r="D408" s="173" t="s">
        <v>4074</v>
      </c>
      <c r="E408" s="145" t="s">
        <v>4075</v>
      </c>
      <c r="F408" s="145" t="s">
        <v>4076</v>
      </c>
      <c r="G408" s="173" t="s">
        <v>248</v>
      </c>
      <c r="H408" s="138" t="s">
        <v>249</v>
      </c>
      <c r="I408" s="138">
        <v>1</v>
      </c>
      <c r="J408" s="144">
        <v>3600000</v>
      </c>
      <c r="K408" s="144">
        <v>3600000</v>
      </c>
      <c r="L408" s="144">
        <v>3600000</v>
      </c>
      <c r="M408" s="143">
        <v>100</v>
      </c>
      <c r="N408" s="143">
        <v>3600000</v>
      </c>
      <c r="O408" s="143">
        <v>0</v>
      </c>
      <c r="P408" s="148"/>
      <c r="Q408" s="138" t="s">
        <v>20</v>
      </c>
      <c r="R408" s="138" t="s">
        <v>295</v>
      </c>
      <c r="S408" s="145" t="s">
        <v>3295</v>
      </c>
      <c r="T408" s="148"/>
      <c r="U408" s="202">
        <v>401</v>
      </c>
      <c r="V408" s="203" t="b">
        <v>1</v>
      </c>
      <c r="W408" s="204" t="s">
        <v>3285</v>
      </c>
      <c r="X408" s="128"/>
      <c r="Y408" s="128"/>
      <c r="Z408" s="128"/>
    </row>
    <row r="409" spans="1:26" ht="12.5" hidden="1">
      <c r="A409" s="138">
        <v>458</v>
      </c>
      <c r="B409" s="173" t="s">
        <v>4077</v>
      </c>
      <c r="C409" s="139">
        <v>43826</v>
      </c>
      <c r="D409" s="173" t="s">
        <v>4078</v>
      </c>
      <c r="E409" s="145" t="s">
        <v>4079</v>
      </c>
      <c r="F409" s="145" t="s">
        <v>4080</v>
      </c>
      <c r="G409" s="173" t="s">
        <v>248</v>
      </c>
      <c r="H409" s="138" t="s">
        <v>19</v>
      </c>
      <c r="I409" s="138">
        <v>1</v>
      </c>
      <c r="J409" s="144">
        <v>6500000</v>
      </c>
      <c r="K409" s="144">
        <v>6500000</v>
      </c>
      <c r="L409" s="144">
        <v>6500000</v>
      </c>
      <c r="M409" s="143">
        <v>100</v>
      </c>
      <c r="N409" s="143">
        <v>6500000</v>
      </c>
      <c r="O409" s="143">
        <v>0</v>
      </c>
      <c r="P409" s="148"/>
      <c r="Q409" s="216"/>
      <c r="R409" s="216"/>
      <c r="S409" s="145" t="s">
        <v>4081</v>
      </c>
      <c r="T409" s="148"/>
      <c r="U409" s="202">
        <v>402</v>
      </c>
      <c r="V409" s="203" t="b">
        <v>1</v>
      </c>
      <c r="W409" s="204" t="s">
        <v>3285</v>
      </c>
      <c r="X409" s="128"/>
      <c r="Y409" s="128"/>
      <c r="Z409" s="128"/>
    </row>
    <row r="410" spans="1:26" ht="12.5" hidden="1">
      <c r="A410" s="138">
        <v>459</v>
      </c>
      <c r="B410" s="173" t="s">
        <v>4077</v>
      </c>
      <c r="C410" s="139">
        <v>43826</v>
      </c>
      <c r="D410" s="173" t="s">
        <v>4082</v>
      </c>
      <c r="E410" s="145" t="s">
        <v>4079</v>
      </c>
      <c r="F410" s="145" t="s">
        <v>4083</v>
      </c>
      <c r="G410" s="173" t="s">
        <v>248</v>
      </c>
      <c r="H410" s="138" t="s">
        <v>19</v>
      </c>
      <c r="I410" s="138">
        <v>1</v>
      </c>
      <c r="J410" s="144">
        <v>6500000</v>
      </c>
      <c r="K410" s="144">
        <v>6500000</v>
      </c>
      <c r="L410" s="144">
        <v>6500000</v>
      </c>
      <c r="M410" s="143">
        <v>100</v>
      </c>
      <c r="N410" s="143">
        <v>6500000</v>
      </c>
      <c r="O410" s="143">
        <v>0</v>
      </c>
      <c r="P410" s="148"/>
      <c r="Q410" s="216"/>
      <c r="R410" s="216"/>
      <c r="S410" s="145" t="s">
        <v>4081</v>
      </c>
      <c r="T410" s="148"/>
      <c r="U410" s="202">
        <v>403</v>
      </c>
      <c r="V410" s="203" t="b">
        <v>1</v>
      </c>
      <c r="W410" s="204" t="s">
        <v>3285</v>
      </c>
      <c r="X410" s="128"/>
      <c r="Y410" s="128"/>
      <c r="Z410" s="128"/>
    </row>
    <row r="411" spans="1:26" ht="12.5" hidden="1">
      <c r="A411" s="138">
        <v>460</v>
      </c>
      <c r="B411" s="173" t="s">
        <v>4077</v>
      </c>
      <c r="C411" s="139">
        <v>43826</v>
      </c>
      <c r="D411" s="173" t="s">
        <v>4084</v>
      </c>
      <c r="E411" s="145" t="s">
        <v>4079</v>
      </c>
      <c r="F411" s="145" t="s">
        <v>4085</v>
      </c>
      <c r="G411" s="173" t="s">
        <v>248</v>
      </c>
      <c r="H411" s="138" t="s">
        <v>19</v>
      </c>
      <c r="I411" s="138">
        <v>1</v>
      </c>
      <c r="J411" s="144">
        <v>6500000</v>
      </c>
      <c r="K411" s="144">
        <v>6500000</v>
      </c>
      <c r="L411" s="144">
        <v>6500000</v>
      </c>
      <c r="M411" s="143">
        <v>100</v>
      </c>
      <c r="N411" s="143">
        <v>6500000</v>
      </c>
      <c r="O411" s="143">
        <v>0</v>
      </c>
      <c r="P411" s="148"/>
      <c r="Q411" s="216"/>
      <c r="R411" s="216"/>
      <c r="S411" s="145" t="s">
        <v>4081</v>
      </c>
      <c r="T411" s="148"/>
      <c r="U411" s="202">
        <v>404</v>
      </c>
      <c r="V411" s="203" t="b">
        <v>1</v>
      </c>
      <c r="W411" s="204" t="s">
        <v>3285</v>
      </c>
      <c r="X411" s="128"/>
      <c r="Y411" s="128"/>
      <c r="Z411" s="128"/>
    </row>
    <row r="412" spans="1:26" ht="12.5">
      <c r="A412" s="138">
        <v>461</v>
      </c>
      <c r="B412" s="173" t="s">
        <v>4077</v>
      </c>
      <c r="C412" s="139">
        <v>43826</v>
      </c>
      <c r="D412" s="210" t="s">
        <v>4086</v>
      </c>
      <c r="E412" s="145" t="s">
        <v>4087</v>
      </c>
      <c r="F412" s="196"/>
      <c r="G412" s="173" t="s">
        <v>407</v>
      </c>
      <c r="H412" s="138" t="s">
        <v>249</v>
      </c>
      <c r="I412" s="138">
        <v>1</v>
      </c>
      <c r="J412" s="144">
        <v>8120000</v>
      </c>
      <c r="K412" s="144">
        <v>8120000</v>
      </c>
      <c r="L412" s="144">
        <v>8120000</v>
      </c>
      <c r="M412" s="143">
        <v>100</v>
      </c>
      <c r="N412" s="143">
        <v>8120000</v>
      </c>
      <c r="O412" s="143">
        <v>0</v>
      </c>
      <c r="P412" s="148"/>
      <c r="Q412" s="138" t="s">
        <v>20</v>
      </c>
      <c r="R412" s="138" t="s">
        <v>229</v>
      </c>
      <c r="S412" s="145" t="s">
        <v>4088</v>
      </c>
      <c r="T412" s="148"/>
      <c r="U412" s="202">
        <v>405</v>
      </c>
      <c r="V412" s="203" t="b">
        <v>1</v>
      </c>
      <c r="W412" s="204" t="s">
        <v>3285</v>
      </c>
      <c r="X412" s="128"/>
      <c r="Y412" s="128"/>
      <c r="Z412" s="128"/>
    </row>
    <row r="413" spans="1:26" ht="12.5" hidden="1">
      <c r="A413" s="138">
        <v>462</v>
      </c>
      <c r="B413" s="173" t="s">
        <v>4077</v>
      </c>
      <c r="C413" s="139">
        <v>43826</v>
      </c>
      <c r="D413" s="173" t="s">
        <v>4089</v>
      </c>
      <c r="E413" s="145" t="s">
        <v>4087</v>
      </c>
      <c r="F413" s="196"/>
      <c r="G413" s="173" t="s">
        <v>407</v>
      </c>
      <c r="H413" s="138" t="s">
        <v>249</v>
      </c>
      <c r="I413" s="138">
        <v>1</v>
      </c>
      <c r="J413" s="144">
        <v>8120000</v>
      </c>
      <c r="K413" s="144">
        <v>8120000</v>
      </c>
      <c r="L413" s="144">
        <v>8120000</v>
      </c>
      <c r="M413" s="143">
        <v>100</v>
      </c>
      <c r="N413" s="143">
        <v>8120000</v>
      </c>
      <c r="O413" s="143">
        <v>0</v>
      </c>
      <c r="P413" s="148"/>
      <c r="Q413" s="138" t="s">
        <v>20</v>
      </c>
      <c r="R413" s="138" t="s">
        <v>295</v>
      </c>
      <c r="S413" s="145" t="s">
        <v>4090</v>
      </c>
      <c r="T413" s="148"/>
      <c r="U413" s="202">
        <v>406</v>
      </c>
      <c r="V413" s="203" t="b">
        <v>1</v>
      </c>
      <c r="W413" s="204" t="s">
        <v>3285</v>
      </c>
      <c r="X413" s="128"/>
      <c r="Y413" s="128"/>
      <c r="Z413" s="128"/>
    </row>
    <row r="414" spans="1:26" ht="12.5" hidden="1">
      <c r="A414" s="138">
        <v>463</v>
      </c>
      <c r="B414" s="173" t="s">
        <v>4077</v>
      </c>
      <c r="C414" s="139">
        <v>43826</v>
      </c>
      <c r="D414" s="173" t="s">
        <v>4091</v>
      </c>
      <c r="E414" s="145" t="s">
        <v>4092</v>
      </c>
      <c r="F414" s="145">
        <v>41920</v>
      </c>
      <c r="G414" s="173" t="s">
        <v>55</v>
      </c>
      <c r="H414" s="138" t="s">
        <v>249</v>
      </c>
      <c r="I414" s="138">
        <v>1</v>
      </c>
      <c r="J414" s="144">
        <v>9150000</v>
      </c>
      <c r="K414" s="144">
        <v>9150000</v>
      </c>
      <c r="L414" s="144">
        <v>9150000</v>
      </c>
      <c r="M414" s="143">
        <v>100</v>
      </c>
      <c r="N414" s="143">
        <v>9150000</v>
      </c>
      <c r="O414" s="143">
        <v>0</v>
      </c>
      <c r="P414" s="148"/>
      <c r="Q414" s="138" t="s">
        <v>20</v>
      </c>
      <c r="R414" s="138" t="s">
        <v>295</v>
      </c>
      <c r="S414" s="145" t="s">
        <v>2077</v>
      </c>
      <c r="T414" s="148"/>
      <c r="U414" s="202">
        <v>407</v>
      </c>
      <c r="V414" s="203" t="b">
        <v>1</v>
      </c>
      <c r="W414" s="204" t="s">
        <v>3285</v>
      </c>
      <c r="X414" s="128"/>
      <c r="Y414" s="128"/>
      <c r="Z414" s="128"/>
    </row>
    <row r="415" spans="1:26" ht="12.5">
      <c r="A415" s="138">
        <v>464</v>
      </c>
      <c r="B415" s="173" t="s">
        <v>4077</v>
      </c>
      <c r="C415" s="139">
        <v>43826</v>
      </c>
      <c r="D415" s="210" t="s">
        <v>4093</v>
      </c>
      <c r="E415" s="145" t="s">
        <v>4094</v>
      </c>
      <c r="F415" s="145">
        <v>51916</v>
      </c>
      <c r="G415" s="173" t="s">
        <v>55</v>
      </c>
      <c r="H415" s="138" t="s">
        <v>19</v>
      </c>
      <c r="I415" s="138">
        <v>1</v>
      </c>
      <c r="J415" s="144">
        <v>9200000</v>
      </c>
      <c r="K415" s="144">
        <v>9200000</v>
      </c>
      <c r="L415" s="144">
        <v>9200000</v>
      </c>
      <c r="M415" s="143">
        <v>100</v>
      </c>
      <c r="N415" s="143">
        <v>9200000</v>
      </c>
      <c r="O415" s="143">
        <v>0</v>
      </c>
      <c r="P415" s="148"/>
      <c r="Q415" s="138" t="s">
        <v>20</v>
      </c>
      <c r="R415" s="138" t="s">
        <v>229</v>
      </c>
      <c r="S415" s="145" t="s">
        <v>4095</v>
      </c>
      <c r="T415" s="148"/>
      <c r="U415" s="202">
        <v>408</v>
      </c>
      <c r="V415" s="203" t="b">
        <v>1</v>
      </c>
      <c r="W415" s="204" t="s">
        <v>3285</v>
      </c>
      <c r="X415" s="128"/>
      <c r="Y415" s="128"/>
      <c r="Z415" s="128"/>
    </row>
    <row r="416" spans="1:26" ht="12.5" hidden="1">
      <c r="A416" s="138">
        <v>465</v>
      </c>
      <c r="B416" s="173" t="s">
        <v>4077</v>
      </c>
      <c r="C416" s="139">
        <v>43826</v>
      </c>
      <c r="D416" s="173" t="s">
        <v>4096</v>
      </c>
      <c r="E416" s="145" t="s">
        <v>4094</v>
      </c>
      <c r="F416" s="145">
        <v>51917</v>
      </c>
      <c r="G416" s="173" t="s">
        <v>55</v>
      </c>
      <c r="H416" s="138" t="s">
        <v>19</v>
      </c>
      <c r="I416" s="138">
        <v>1</v>
      </c>
      <c r="J416" s="144">
        <v>9200000</v>
      </c>
      <c r="K416" s="144">
        <v>9200000</v>
      </c>
      <c r="L416" s="144">
        <v>9200000</v>
      </c>
      <c r="M416" s="143">
        <v>100</v>
      </c>
      <c r="N416" s="143">
        <v>9200000</v>
      </c>
      <c r="O416" s="143">
        <v>0</v>
      </c>
      <c r="P416" s="148"/>
      <c r="Q416" s="138" t="s">
        <v>20</v>
      </c>
      <c r="R416" s="138" t="s">
        <v>295</v>
      </c>
      <c r="S416" s="145" t="s">
        <v>4097</v>
      </c>
      <c r="T416" s="148"/>
      <c r="U416" s="202">
        <v>409</v>
      </c>
      <c r="V416" s="203" t="b">
        <v>1</v>
      </c>
      <c r="W416" s="204" t="s">
        <v>3285</v>
      </c>
      <c r="X416" s="128"/>
      <c r="Y416" s="128"/>
      <c r="Z416" s="128"/>
    </row>
    <row r="417" spans="1:26" ht="12.5" hidden="1">
      <c r="A417" s="138">
        <v>466</v>
      </c>
      <c r="B417" s="173" t="s">
        <v>4077</v>
      </c>
      <c r="C417" s="139">
        <v>43826</v>
      </c>
      <c r="D417" s="173" t="s">
        <v>4098</v>
      </c>
      <c r="E417" s="145" t="s">
        <v>4094</v>
      </c>
      <c r="F417" s="145">
        <v>51918</v>
      </c>
      <c r="G417" s="173" t="s">
        <v>55</v>
      </c>
      <c r="H417" s="138" t="s">
        <v>19</v>
      </c>
      <c r="I417" s="138">
        <v>1</v>
      </c>
      <c r="J417" s="144">
        <v>9200000</v>
      </c>
      <c r="K417" s="144">
        <v>9200000</v>
      </c>
      <c r="L417" s="144">
        <v>9200000</v>
      </c>
      <c r="M417" s="143">
        <v>100</v>
      </c>
      <c r="N417" s="143">
        <v>9200000</v>
      </c>
      <c r="O417" s="143">
        <v>0</v>
      </c>
      <c r="P417" s="148"/>
      <c r="Q417" s="138" t="s">
        <v>20</v>
      </c>
      <c r="R417" s="138" t="s">
        <v>295</v>
      </c>
      <c r="S417" s="145" t="s">
        <v>4099</v>
      </c>
      <c r="T417" s="148"/>
      <c r="U417" s="202">
        <v>410</v>
      </c>
      <c r="V417" s="203" t="b">
        <v>1</v>
      </c>
      <c r="W417" s="204" t="s">
        <v>3285</v>
      </c>
      <c r="X417" s="128"/>
      <c r="Y417" s="128"/>
      <c r="Z417" s="128"/>
    </row>
    <row r="418" spans="1:26" ht="12.5" hidden="1">
      <c r="A418" s="138">
        <v>467</v>
      </c>
      <c r="B418" s="173" t="s">
        <v>4077</v>
      </c>
      <c r="C418" s="139">
        <v>43826</v>
      </c>
      <c r="D418" s="173" t="s">
        <v>4100</v>
      </c>
      <c r="E418" s="145" t="s">
        <v>4094</v>
      </c>
      <c r="F418" s="145">
        <v>51919</v>
      </c>
      <c r="G418" s="173" t="s">
        <v>55</v>
      </c>
      <c r="H418" s="138" t="s">
        <v>19</v>
      </c>
      <c r="I418" s="138">
        <v>1</v>
      </c>
      <c r="J418" s="144">
        <v>9200000</v>
      </c>
      <c r="K418" s="144">
        <v>9200000</v>
      </c>
      <c r="L418" s="144">
        <v>9200000</v>
      </c>
      <c r="M418" s="143">
        <v>100</v>
      </c>
      <c r="N418" s="143">
        <v>9200000</v>
      </c>
      <c r="O418" s="143">
        <v>0</v>
      </c>
      <c r="P418" s="148"/>
      <c r="Q418" s="138" t="s">
        <v>20</v>
      </c>
      <c r="R418" s="138" t="s">
        <v>295</v>
      </c>
      <c r="S418" s="145" t="s">
        <v>4101</v>
      </c>
      <c r="T418" s="148"/>
      <c r="U418" s="202">
        <v>411</v>
      </c>
      <c r="V418" s="203" t="b">
        <v>1</v>
      </c>
      <c r="W418" s="204" t="s">
        <v>3285</v>
      </c>
      <c r="X418" s="128"/>
      <c r="Y418" s="128"/>
      <c r="Z418" s="128"/>
    </row>
    <row r="419" spans="1:26" ht="12.5" hidden="1">
      <c r="A419" s="138">
        <v>468</v>
      </c>
      <c r="B419" s="173" t="s">
        <v>4102</v>
      </c>
      <c r="C419" s="139">
        <v>43826</v>
      </c>
      <c r="D419" s="173" t="s">
        <v>4103</v>
      </c>
      <c r="E419" s="145" t="s">
        <v>4104</v>
      </c>
      <c r="F419" s="145" t="s">
        <v>4105</v>
      </c>
      <c r="G419" s="173" t="s">
        <v>338</v>
      </c>
      <c r="H419" s="138" t="s">
        <v>249</v>
      </c>
      <c r="I419" s="138">
        <v>1</v>
      </c>
      <c r="J419" s="144">
        <v>22490000</v>
      </c>
      <c r="K419" s="144">
        <v>22490000</v>
      </c>
      <c r="L419" s="144">
        <v>22490000</v>
      </c>
      <c r="M419" s="143">
        <v>33</v>
      </c>
      <c r="N419" s="143">
        <v>7496667</v>
      </c>
      <c r="O419" s="143">
        <v>14993333</v>
      </c>
      <c r="P419" s="148"/>
      <c r="Q419" s="138" t="s">
        <v>36</v>
      </c>
      <c r="R419" s="145" t="s">
        <v>37</v>
      </c>
      <c r="S419" s="145" t="s">
        <v>4106</v>
      </c>
      <c r="T419" s="148"/>
      <c r="U419" s="202">
        <v>412</v>
      </c>
      <c r="V419" s="203" t="b">
        <v>1</v>
      </c>
      <c r="W419" s="204" t="s">
        <v>3285</v>
      </c>
      <c r="X419" s="128"/>
      <c r="Y419" s="128"/>
      <c r="Z419" s="128"/>
    </row>
    <row r="420" spans="1:26" ht="12.5" hidden="1">
      <c r="A420" s="138">
        <v>469</v>
      </c>
      <c r="B420" s="173" t="s">
        <v>4102</v>
      </c>
      <c r="C420" s="139">
        <v>43826</v>
      </c>
      <c r="D420" s="173" t="s">
        <v>4107</v>
      </c>
      <c r="E420" s="145" t="s">
        <v>4104</v>
      </c>
      <c r="F420" s="145" t="s">
        <v>4108</v>
      </c>
      <c r="G420" s="173" t="s">
        <v>338</v>
      </c>
      <c r="H420" s="138" t="s">
        <v>249</v>
      </c>
      <c r="I420" s="138">
        <v>1</v>
      </c>
      <c r="J420" s="144">
        <v>22490000</v>
      </c>
      <c r="K420" s="144">
        <v>22490000</v>
      </c>
      <c r="L420" s="144">
        <v>22490000</v>
      </c>
      <c r="M420" s="143">
        <v>33</v>
      </c>
      <c r="N420" s="143">
        <v>7496667</v>
      </c>
      <c r="O420" s="143">
        <v>14993333</v>
      </c>
      <c r="P420" s="148"/>
      <c r="Q420" s="138" t="s">
        <v>36</v>
      </c>
      <c r="R420" s="145" t="s">
        <v>37</v>
      </c>
      <c r="S420" s="145" t="s">
        <v>4106</v>
      </c>
      <c r="T420" s="148"/>
      <c r="U420" s="202">
        <v>413</v>
      </c>
      <c r="V420" s="203" t="b">
        <v>1</v>
      </c>
      <c r="W420" s="204" t="s">
        <v>3285</v>
      </c>
      <c r="X420" s="128"/>
      <c r="Y420" s="128"/>
      <c r="Z420" s="128"/>
    </row>
    <row r="421" spans="1:26" ht="12.5" hidden="1">
      <c r="A421" s="138">
        <v>470</v>
      </c>
      <c r="B421" s="173" t="s">
        <v>4102</v>
      </c>
      <c r="C421" s="139">
        <v>43826</v>
      </c>
      <c r="D421" s="173" t="s">
        <v>4109</v>
      </c>
      <c r="E421" s="145" t="s">
        <v>4104</v>
      </c>
      <c r="F421" s="145" t="s">
        <v>4110</v>
      </c>
      <c r="G421" s="173" t="s">
        <v>338</v>
      </c>
      <c r="H421" s="138" t="s">
        <v>249</v>
      </c>
      <c r="I421" s="138">
        <v>1</v>
      </c>
      <c r="J421" s="144">
        <v>22490000</v>
      </c>
      <c r="K421" s="144">
        <v>22490000</v>
      </c>
      <c r="L421" s="144">
        <v>22490000</v>
      </c>
      <c r="M421" s="143">
        <v>33</v>
      </c>
      <c r="N421" s="143">
        <v>7496667</v>
      </c>
      <c r="O421" s="143">
        <v>14993333</v>
      </c>
      <c r="P421" s="148"/>
      <c r="Q421" s="138" t="s">
        <v>206</v>
      </c>
      <c r="R421" s="166" t="s">
        <v>3635</v>
      </c>
      <c r="S421" s="145" t="s">
        <v>1247</v>
      </c>
      <c r="T421" s="148"/>
      <c r="U421" s="202">
        <v>414</v>
      </c>
      <c r="V421" s="203" t="b">
        <v>1</v>
      </c>
      <c r="W421" s="204" t="s">
        <v>3285</v>
      </c>
      <c r="X421" s="128"/>
      <c r="Y421" s="128"/>
      <c r="Z421" s="128"/>
    </row>
    <row r="422" spans="1:26" ht="12.5" hidden="1">
      <c r="A422" s="138">
        <v>471</v>
      </c>
      <c r="B422" s="173" t="s">
        <v>4102</v>
      </c>
      <c r="C422" s="139">
        <v>43826</v>
      </c>
      <c r="D422" s="173" t="s">
        <v>4111</v>
      </c>
      <c r="E422" s="145" t="s">
        <v>4112</v>
      </c>
      <c r="F422" s="145">
        <v>5531901</v>
      </c>
      <c r="G422" s="173" t="s">
        <v>1435</v>
      </c>
      <c r="H422" s="138" t="s">
        <v>249</v>
      </c>
      <c r="I422" s="138">
        <v>1</v>
      </c>
      <c r="J422" s="144">
        <v>10400000</v>
      </c>
      <c r="K422" s="144">
        <v>10400000</v>
      </c>
      <c r="L422" s="144">
        <v>10400000</v>
      </c>
      <c r="M422" s="143">
        <v>33</v>
      </c>
      <c r="N422" s="143">
        <v>3466667</v>
      </c>
      <c r="O422" s="143">
        <v>6933333</v>
      </c>
      <c r="P422" s="148"/>
      <c r="Q422" s="138" t="s">
        <v>206</v>
      </c>
      <c r="R422" s="138" t="s">
        <v>3635</v>
      </c>
      <c r="S422" s="145" t="s">
        <v>4081</v>
      </c>
      <c r="T422" s="173" t="s">
        <v>4113</v>
      </c>
      <c r="U422" s="202">
        <v>415</v>
      </c>
      <c r="V422" s="203" t="b">
        <v>1</v>
      </c>
      <c r="W422" s="204" t="s">
        <v>3285</v>
      </c>
      <c r="X422" s="128"/>
      <c r="Y422" s="128"/>
      <c r="Z422" s="128"/>
    </row>
    <row r="423" spans="1:26" ht="12.5" hidden="1">
      <c r="A423" s="138">
        <v>472</v>
      </c>
      <c r="B423" s="173" t="s">
        <v>4102</v>
      </c>
      <c r="C423" s="139">
        <v>43826</v>
      </c>
      <c r="D423" s="173" t="s">
        <v>4114</v>
      </c>
      <c r="E423" s="145" t="s">
        <v>4112</v>
      </c>
      <c r="F423" s="145">
        <v>5532197</v>
      </c>
      <c r="G423" s="173" t="s">
        <v>1435</v>
      </c>
      <c r="H423" s="138" t="s">
        <v>249</v>
      </c>
      <c r="I423" s="138">
        <v>1</v>
      </c>
      <c r="J423" s="144">
        <v>10400000</v>
      </c>
      <c r="K423" s="144">
        <v>10400000</v>
      </c>
      <c r="L423" s="144">
        <v>10400000</v>
      </c>
      <c r="M423" s="143">
        <v>33</v>
      </c>
      <c r="N423" s="143">
        <v>3466667</v>
      </c>
      <c r="O423" s="143">
        <v>6933333</v>
      </c>
      <c r="P423" s="148"/>
      <c r="Q423" s="138" t="s">
        <v>206</v>
      </c>
      <c r="R423" s="138" t="s">
        <v>3635</v>
      </c>
      <c r="S423" s="145" t="s">
        <v>4081</v>
      </c>
      <c r="T423" s="148"/>
      <c r="U423" s="202">
        <v>416</v>
      </c>
      <c r="V423" s="203" t="b">
        <v>1</v>
      </c>
      <c r="W423" s="204" t="s">
        <v>3285</v>
      </c>
      <c r="X423" s="128"/>
      <c r="Y423" s="128"/>
      <c r="Z423" s="128"/>
    </row>
    <row r="424" spans="1:26" ht="12.5" hidden="1">
      <c r="A424" s="138">
        <v>473</v>
      </c>
      <c r="B424" s="173" t="s">
        <v>4102</v>
      </c>
      <c r="C424" s="139">
        <v>43826</v>
      </c>
      <c r="D424" s="173" t="s">
        <v>4115</v>
      </c>
      <c r="E424" s="145" t="s">
        <v>4112</v>
      </c>
      <c r="F424" s="145">
        <v>5532359</v>
      </c>
      <c r="G424" s="173" t="s">
        <v>1435</v>
      </c>
      <c r="H424" s="138" t="s">
        <v>249</v>
      </c>
      <c r="I424" s="138">
        <v>1</v>
      </c>
      <c r="J424" s="144">
        <v>10400000</v>
      </c>
      <c r="K424" s="144">
        <v>10400000</v>
      </c>
      <c r="L424" s="144">
        <v>10400000</v>
      </c>
      <c r="M424" s="143">
        <v>33</v>
      </c>
      <c r="N424" s="143">
        <v>3466667</v>
      </c>
      <c r="O424" s="143">
        <v>6933333</v>
      </c>
      <c r="P424" s="148"/>
      <c r="Q424" s="138" t="s">
        <v>206</v>
      </c>
      <c r="R424" s="138" t="s">
        <v>3635</v>
      </c>
      <c r="S424" s="145" t="s">
        <v>4081</v>
      </c>
      <c r="T424" s="148"/>
      <c r="U424" s="202">
        <v>417</v>
      </c>
      <c r="V424" s="203" t="b">
        <v>1</v>
      </c>
      <c r="W424" s="204" t="s">
        <v>3285</v>
      </c>
      <c r="X424" s="128"/>
      <c r="Y424" s="128"/>
      <c r="Z424" s="128"/>
    </row>
    <row r="425" spans="1:26" ht="12.5" hidden="1">
      <c r="A425" s="138">
        <v>474</v>
      </c>
      <c r="B425" s="173" t="s">
        <v>4102</v>
      </c>
      <c r="C425" s="139">
        <v>43826</v>
      </c>
      <c r="D425" s="173" t="s">
        <v>4116</v>
      </c>
      <c r="E425" s="145" t="s">
        <v>4112</v>
      </c>
      <c r="F425" s="145">
        <v>5525974</v>
      </c>
      <c r="G425" s="173" t="s">
        <v>1435</v>
      </c>
      <c r="H425" s="138" t="s">
        <v>249</v>
      </c>
      <c r="I425" s="138">
        <v>1</v>
      </c>
      <c r="J425" s="144">
        <v>10400000</v>
      </c>
      <c r="K425" s="144">
        <v>10400000</v>
      </c>
      <c r="L425" s="144">
        <v>10400000</v>
      </c>
      <c r="M425" s="143">
        <v>33</v>
      </c>
      <c r="N425" s="143">
        <v>3466667</v>
      </c>
      <c r="O425" s="143">
        <v>6933333</v>
      </c>
      <c r="P425" s="148"/>
      <c r="Q425" s="138" t="s">
        <v>206</v>
      </c>
      <c r="R425" s="138" t="s">
        <v>3635</v>
      </c>
      <c r="S425" s="145" t="s">
        <v>4081</v>
      </c>
      <c r="T425" s="148"/>
      <c r="U425" s="202">
        <v>418</v>
      </c>
      <c r="V425" s="203" t="b">
        <v>1</v>
      </c>
      <c r="W425" s="204" t="s">
        <v>3285</v>
      </c>
      <c r="X425" s="128"/>
      <c r="Y425" s="128"/>
      <c r="Z425" s="128"/>
    </row>
    <row r="426" spans="1:26" ht="12.5" hidden="1">
      <c r="A426" s="138">
        <v>475</v>
      </c>
      <c r="B426" s="173" t="s">
        <v>3757</v>
      </c>
      <c r="C426" s="139">
        <v>42733</v>
      </c>
      <c r="D426" s="173" t="s">
        <v>4117</v>
      </c>
      <c r="E426" s="145" t="s">
        <v>4118</v>
      </c>
      <c r="F426" s="145">
        <v>2638587</v>
      </c>
      <c r="G426" s="173" t="s">
        <v>307</v>
      </c>
      <c r="H426" s="138" t="s">
        <v>19</v>
      </c>
      <c r="I426" s="138">
        <v>1</v>
      </c>
      <c r="J426" s="144">
        <v>13750000</v>
      </c>
      <c r="K426" s="144">
        <v>13750000</v>
      </c>
      <c r="L426" s="143">
        <v>0</v>
      </c>
      <c r="M426" s="143">
        <v>0</v>
      </c>
      <c r="N426" s="143">
        <v>0</v>
      </c>
      <c r="O426" s="143">
        <v>0</v>
      </c>
      <c r="P426" s="148"/>
      <c r="Q426" s="138" t="s">
        <v>206</v>
      </c>
      <c r="R426" s="138" t="s">
        <v>2562</v>
      </c>
      <c r="S426" s="145" t="s">
        <v>4119</v>
      </c>
      <c r="T426" s="148"/>
      <c r="U426" s="202">
        <v>419</v>
      </c>
      <c r="V426" s="203" t="b">
        <v>1</v>
      </c>
      <c r="W426" s="204" t="s">
        <v>3285</v>
      </c>
      <c r="X426" s="128"/>
      <c r="Y426" s="128"/>
      <c r="Z426" s="128"/>
    </row>
    <row r="427" spans="1:26" ht="12.5" hidden="1">
      <c r="A427" s="138">
        <v>476</v>
      </c>
      <c r="B427" s="173" t="s">
        <v>3757</v>
      </c>
      <c r="C427" s="139">
        <v>42733</v>
      </c>
      <c r="D427" s="173" t="s">
        <v>4120</v>
      </c>
      <c r="E427" s="145" t="s">
        <v>4118</v>
      </c>
      <c r="F427" s="145">
        <v>2638573</v>
      </c>
      <c r="G427" s="173" t="s">
        <v>307</v>
      </c>
      <c r="H427" s="138" t="s">
        <v>19</v>
      </c>
      <c r="I427" s="138">
        <v>1</v>
      </c>
      <c r="J427" s="144">
        <v>13750000</v>
      </c>
      <c r="K427" s="144">
        <v>13750000</v>
      </c>
      <c r="L427" s="143">
        <v>0</v>
      </c>
      <c r="M427" s="143">
        <v>0</v>
      </c>
      <c r="N427" s="143">
        <v>0</v>
      </c>
      <c r="O427" s="143">
        <v>0</v>
      </c>
      <c r="P427" s="148"/>
      <c r="Q427" s="138" t="s">
        <v>206</v>
      </c>
      <c r="R427" s="138" t="s">
        <v>2562</v>
      </c>
      <c r="S427" s="145" t="s">
        <v>4119</v>
      </c>
      <c r="T427" s="148"/>
      <c r="U427" s="202">
        <v>420</v>
      </c>
      <c r="V427" s="203" t="b">
        <v>1</v>
      </c>
      <c r="W427" s="204" t="s">
        <v>3285</v>
      </c>
      <c r="X427" s="128"/>
      <c r="Y427" s="128"/>
      <c r="Z427" s="128"/>
    </row>
    <row r="428" spans="1:26" ht="12.5" hidden="1">
      <c r="A428" s="138">
        <v>477</v>
      </c>
      <c r="B428" s="173" t="s">
        <v>3757</v>
      </c>
      <c r="C428" s="139">
        <v>42733</v>
      </c>
      <c r="D428" s="173" t="s">
        <v>4121</v>
      </c>
      <c r="E428" s="145" t="s">
        <v>4118</v>
      </c>
      <c r="F428" s="145">
        <v>2638716</v>
      </c>
      <c r="G428" s="173" t="s">
        <v>307</v>
      </c>
      <c r="H428" s="138" t="s">
        <v>19</v>
      </c>
      <c r="I428" s="138">
        <v>1</v>
      </c>
      <c r="J428" s="144">
        <v>13750000</v>
      </c>
      <c r="K428" s="144">
        <v>13750000</v>
      </c>
      <c r="L428" s="143">
        <v>0</v>
      </c>
      <c r="M428" s="143">
        <v>0</v>
      </c>
      <c r="N428" s="143">
        <v>0</v>
      </c>
      <c r="O428" s="143">
        <v>0</v>
      </c>
      <c r="P428" s="148"/>
      <c r="Q428" s="138" t="s">
        <v>206</v>
      </c>
      <c r="R428" s="138" t="s">
        <v>2562</v>
      </c>
      <c r="S428" s="145" t="s">
        <v>4119</v>
      </c>
      <c r="T428" s="148"/>
      <c r="U428" s="202">
        <v>421</v>
      </c>
      <c r="V428" s="203" t="b">
        <v>1</v>
      </c>
      <c r="W428" s="204" t="s">
        <v>3285</v>
      </c>
      <c r="X428" s="128"/>
      <c r="Y428" s="128"/>
      <c r="Z428" s="128"/>
    </row>
    <row r="429" spans="1:26" ht="12.5" hidden="1">
      <c r="A429" s="138">
        <v>478</v>
      </c>
      <c r="B429" s="173" t="s">
        <v>3757</v>
      </c>
      <c r="C429" s="139">
        <v>42733</v>
      </c>
      <c r="D429" s="173" t="s">
        <v>4122</v>
      </c>
      <c r="E429" s="145" t="s">
        <v>4118</v>
      </c>
      <c r="F429" s="145">
        <v>2638705</v>
      </c>
      <c r="G429" s="173" t="s">
        <v>307</v>
      </c>
      <c r="H429" s="138" t="s">
        <v>19</v>
      </c>
      <c r="I429" s="138">
        <v>1</v>
      </c>
      <c r="J429" s="144">
        <v>13750000</v>
      </c>
      <c r="K429" s="144">
        <v>13750000</v>
      </c>
      <c r="L429" s="143">
        <v>0</v>
      </c>
      <c r="M429" s="143">
        <v>0</v>
      </c>
      <c r="N429" s="143">
        <v>0</v>
      </c>
      <c r="O429" s="143">
        <v>0</v>
      </c>
      <c r="P429" s="148"/>
      <c r="Q429" s="138" t="s">
        <v>206</v>
      </c>
      <c r="R429" s="138" t="s">
        <v>2562</v>
      </c>
      <c r="S429" s="145" t="s">
        <v>4119</v>
      </c>
      <c r="T429" s="148"/>
      <c r="U429" s="202">
        <v>422</v>
      </c>
      <c r="V429" s="203" t="b">
        <v>1</v>
      </c>
      <c r="W429" s="204" t="s">
        <v>3285</v>
      </c>
      <c r="X429" s="128"/>
      <c r="Y429" s="128"/>
      <c r="Z429" s="128"/>
    </row>
    <row r="430" spans="1:26" ht="12.5" hidden="1">
      <c r="A430" s="138">
        <v>479</v>
      </c>
      <c r="B430" s="173" t="s">
        <v>3757</v>
      </c>
      <c r="C430" s="139">
        <v>42733</v>
      </c>
      <c r="D430" s="173" t="s">
        <v>4123</v>
      </c>
      <c r="E430" s="145" t="s">
        <v>4124</v>
      </c>
      <c r="F430" s="145">
        <v>2663464</v>
      </c>
      <c r="G430" s="173" t="s">
        <v>307</v>
      </c>
      <c r="H430" s="138" t="s">
        <v>19</v>
      </c>
      <c r="I430" s="138">
        <v>1</v>
      </c>
      <c r="J430" s="144">
        <v>19250000</v>
      </c>
      <c r="K430" s="144">
        <v>19250000</v>
      </c>
      <c r="L430" s="143">
        <v>0</v>
      </c>
      <c r="M430" s="143">
        <v>0</v>
      </c>
      <c r="N430" s="143">
        <v>0</v>
      </c>
      <c r="O430" s="143">
        <v>0</v>
      </c>
      <c r="P430" s="148"/>
      <c r="Q430" s="138" t="s">
        <v>206</v>
      </c>
      <c r="R430" s="138" t="s">
        <v>2562</v>
      </c>
      <c r="S430" s="145" t="s">
        <v>4119</v>
      </c>
      <c r="T430" s="148"/>
      <c r="U430" s="202">
        <v>423</v>
      </c>
      <c r="V430" s="203" t="b">
        <v>1</v>
      </c>
      <c r="W430" s="204" t="s">
        <v>3285</v>
      </c>
      <c r="X430" s="128"/>
      <c r="Y430" s="128"/>
      <c r="Z430" s="128"/>
    </row>
    <row r="431" spans="1:26" ht="12.5" hidden="1">
      <c r="A431" s="138">
        <v>480</v>
      </c>
      <c r="B431" s="173" t="s">
        <v>3757</v>
      </c>
      <c r="C431" s="139">
        <v>42733</v>
      </c>
      <c r="D431" s="173" t="s">
        <v>4125</v>
      </c>
      <c r="E431" s="145" t="s">
        <v>4124</v>
      </c>
      <c r="F431" s="145">
        <v>2663412</v>
      </c>
      <c r="G431" s="173" t="s">
        <v>307</v>
      </c>
      <c r="H431" s="138" t="s">
        <v>19</v>
      </c>
      <c r="I431" s="138">
        <v>1</v>
      </c>
      <c r="J431" s="144">
        <v>19250000</v>
      </c>
      <c r="K431" s="144">
        <v>19250000</v>
      </c>
      <c r="L431" s="143">
        <v>0</v>
      </c>
      <c r="M431" s="143">
        <v>0</v>
      </c>
      <c r="N431" s="143">
        <v>0</v>
      </c>
      <c r="O431" s="143">
        <v>0</v>
      </c>
      <c r="P431" s="148"/>
      <c r="Q431" s="138" t="s">
        <v>206</v>
      </c>
      <c r="R431" s="138" t="s">
        <v>2562</v>
      </c>
      <c r="S431" s="145" t="s">
        <v>4119</v>
      </c>
      <c r="T431" s="148"/>
      <c r="U431" s="202">
        <v>424</v>
      </c>
      <c r="V431" s="203" t="b">
        <v>1</v>
      </c>
      <c r="W431" s="204" t="s">
        <v>3285</v>
      </c>
      <c r="X431" s="128"/>
      <c r="Y431" s="128"/>
      <c r="Z431" s="128"/>
    </row>
    <row r="432" spans="1:26" ht="12.5" hidden="1">
      <c r="A432" s="138">
        <v>481</v>
      </c>
      <c r="B432" s="173" t="s">
        <v>4126</v>
      </c>
      <c r="C432" s="139">
        <v>42731</v>
      </c>
      <c r="D432" s="173" t="s">
        <v>4127</v>
      </c>
      <c r="E432" s="145" t="s">
        <v>4128</v>
      </c>
      <c r="F432" s="196"/>
      <c r="G432" s="173" t="s">
        <v>1008</v>
      </c>
      <c r="H432" s="138" t="s">
        <v>249</v>
      </c>
      <c r="I432" s="138">
        <v>1</v>
      </c>
      <c r="J432" s="144">
        <v>24800468</v>
      </c>
      <c r="K432" s="144">
        <v>24800468</v>
      </c>
      <c r="L432" s="143">
        <v>0</v>
      </c>
      <c r="M432" s="143">
        <v>0</v>
      </c>
      <c r="N432" s="143">
        <v>0</v>
      </c>
      <c r="O432" s="143">
        <v>0</v>
      </c>
      <c r="P432" s="148"/>
      <c r="Q432" s="138" t="s">
        <v>206</v>
      </c>
      <c r="R432" s="138" t="s">
        <v>2562</v>
      </c>
      <c r="S432" s="145" t="s">
        <v>4129</v>
      </c>
      <c r="T432" s="148"/>
      <c r="U432" s="202">
        <v>425</v>
      </c>
      <c r="V432" s="203" t="b">
        <v>1</v>
      </c>
      <c r="W432" s="204" t="s">
        <v>3285</v>
      </c>
      <c r="X432" s="128"/>
      <c r="Y432" s="128"/>
      <c r="Z432" s="128"/>
    </row>
    <row r="433" spans="1:26" ht="12.5" hidden="1">
      <c r="A433" s="138">
        <v>482</v>
      </c>
      <c r="B433" s="173" t="s">
        <v>4126</v>
      </c>
      <c r="C433" s="139">
        <v>42731</v>
      </c>
      <c r="D433" s="173" t="s">
        <v>4130</v>
      </c>
      <c r="E433" s="145" t="s">
        <v>4128</v>
      </c>
      <c r="F433" s="196"/>
      <c r="G433" s="173" t="s">
        <v>1008</v>
      </c>
      <c r="H433" s="138" t="s">
        <v>249</v>
      </c>
      <c r="I433" s="138">
        <v>1</v>
      </c>
      <c r="J433" s="144">
        <v>24800468</v>
      </c>
      <c r="K433" s="144">
        <v>24800468</v>
      </c>
      <c r="L433" s="143">
        <v>0</v>
      </c>
      <c r="M433" s="143">
        <v>0</v>
      </c>
      <c r="N433" s="143">
        <v>0</v>
      </c>
      <c r="O433" s="143">
        <v>0</v>
      </c>
      <c r="P433" s="148"/>
      <c r="Q433" s="138" t="s">
        <v>206</v>
      </c>
      <c r="R433" s="138" t="s">
        <v>2562</v>
      </c>
      <c r="S433" s="145" t="s">
        <v>4129</v>
      </c>
      <c r="T433" s="148"/>
      <c r="U433" s="202">
        <v>426</v>
      </c>
      <c r="V433" s="203" t="b">
        <v>1</v>
      </c>
      <c r="W433" s="204" t="s">
        <v>3285</v>
      </c>
      <c r="X433" s="128"/>
      <c r="Y433" s="128"/>
      <c r="Z433" s="128"/>
    </row>
    <row r="434" spans="1:26" ht="12.5" hidden="1">
      <c r="A434" s="138">
        <v>483</v>
      </c>
      <c r="B434" s="173" t="s">
        <v>4126</v>
      </c>
      <c r="C434" s="139">
        <v>42731</v>
      </c>
      <c r="D434" s="173" t="s">
        <v>4131</v>
      </c>
      <c r="E434" s="145" t="s">
        <v>4128</v>
      </c>
      <c r="F434" s="196"/>
      <c r="G434" s="173" t="s">
        <v>1008</v>
      </c>
      <c r="H434" s="138" t="s">
        <v>249</v>
      </c>
      <c r="I434" s="138">
        <v>1</v>
      </c>
      <c r="J434" s="144">
        <v>24800468</v>
      </c>
      <c r="K434" s="144">
        <v>24800468</v>
      </c>
      <c r="L434" s="143">
        <v>0</v>
      </c>
      <c r="M434" s="143">
        <v>0</v>
      </c>
      <c r="N434" s="143">
        <v>0</v>
      </c>
      <c r="O434" s="143">
        <v>0</v>
      </c>
      <c r="P434" s="148"/>
      <c r="Q434" s="138" t="s">
        <v>206</v>
      </c>
      <c r="R434" s="138" t="s">
        <v>2562</v>
      </c>
      <c r="S434" s="145" t="s">
        <v>4129</v>
      </c>
      <c r="T434" s="148"/>
      <c r="U434" s="202">
        <v>427</v>
      </c>
      <c r="V434" s="203" t="b">
        <v>1</v>
      </c>
      <c r="W434" s="204" t="s">
        <v>3285</v>
      </c>
      <c r="X434" s="128"/>
      <c r="Y434" s="128"/>
      <c r="Z434" s="128"/>
    </row>
    <row r="435" spans="1:26" ht="12.5" hidden="1">
      <c r="A435" s="138">
        <v>484</v>
      </c>
      <c r="B435" s="173" t="s">
        <v>4126</v>
      </c>
      <c r="C435" s="139">
        <v>42731</v>
      </c>
      <c r="D435" s="173" t="s">
        <v>4132</v>
      </c>
      <c r="E435" s="145" t="s">
        <v>4128</v>
      </c>
      <c r="F435" s="196"/>
      <c r="G435" s="173" t="s">
        <v>1008</v>
      </c>
      <c r="H435" s="138" t="s">
        <v>249</v>
      </c>
      <c r="I435" s="138">
        <v>1</v>
      </c>
      <c r="J435" s="144">
        <v>24800468</v>
      </c>
      <c r="K435" s="144">
        <v>24800468</v>
      </c>
      <c r="L435" s="143">
        <v>0</v>
      </c>
      <c r="M435" s="143">
        <v>0</v>
      </c>
      <c r="N435" s="143">
        <v>0</v>
      </c>
      <c r="O435" s="143">
        <v>0</v>
      </c>
      <c r="P435" s="148"/>
      <c r="Q435" s="138" t="s">
        <v>206</v>
      </c>
      <c r="R435" s="138" t="s">
        <v>2562</v>
      </c>
      <c r="S435" s="145" t="s">
        <v>4129</v>
      </c>
      <c r="T435" s="148"/>
      <c r="U435" s="202">
        <v>428</v>
      </c>
      <c r="V435" s="203" t="b">
        <v>1</v>
      </c>
      <c r="W435" s="204" t="s">
        <v>3285</v>
      </c>
      <c r="X435" s="128"/>
      <c r="Y435" s="128"/>
      <c r="Z435" s="128"/>
    </row>
    <row r="436" spans="1:26" ht="12.5" hidden="1">
      <c r="A436" s="138">
        <v>485</v>
      </c>
      <c r="B436" s="173" t="s">
        <v>4126</v>
      </c>
      <c r="C436" s="139">
        <v>42731</v>
      </c>
      <c r="D436" s="173" t="s">
        <v>4133</v>
      </c>
      <c r="E436" s="145" t="s">
        <v>4128</v>
      </c>
      <c r="F436" s="196"/>
      <c r="G436" s="173" t="s">
        <v>1008</v>
      </c>
      <c r="H436" s="138" t="s">
        <v>249</v>
      </c>
      <c r="I436" s="138">
        <v>1</v>
      </c>
      <c r="J436" s="144">
        <v>24800468</v>
      </c>
      <c r="K436" s="144">
        <v>24800468</v>
      </c>
      <c r="L436" s="143">
        <v>0</v>
      </c>
      <c r="M436" s="143">
        <v>0</v>
      </c>
      <c r="N436" s="143">
        <v>0</v>
      </c>
      <c r="O436" s="143">
        <v>0</v>
      </c>
      <c r="P436" s="148"/>
      <c r="Q436" s="138" t="s">
        <v>206</v>
      </c>
      <c r="R436" s="138" t="s">
        <v>2562</v>
      </c>
      <c r="S436" s="145" t="s">
        <v>4129</v>
      </c>
      <c r="T436" s="148"/>
      <c r="U436" s="202">
        <v>429</v>
      </c>
      <c r="V436" s="203" t="b">
        <v>1</v>
      </c>
      <c r="W436" s="204" t="s">
        <v>3285</v>
      </c>
      <c r="X436" s="128"/>
      <c r="Y436" s="128"/>
      <c r="Z436" s="128"/>
    </row>
    <row r="437" spans="1:26" ht="12.5" hidden="1">
      <c r="A437" s="138">
        <v>486</v>
      </c>
      <c r="B437" s="173" t="s">
        <v>4126</v>
      </c>
      <c r="C437" s="139">
        <v>42731</v>
      </c>
      <c r="D437" s="173" t="s">
        <v>4134</v>
      </c>
      <c r="E437" s="145" t="s">
        <v>4128</v>
      </c>
      <c r="F437" s="196"/>
      <c r="G437" s="173" t="s">
        <v>1008</v>
      </c>
      <c r="H437" s="138" t="s">
        <v>249</v>
      </c>
      <c r="I437" s="138">
        <v>1</v>
      </c>
      <c r="J437" s="144">
        <v>24800468</v>
      </c>
      <c r="K437" s="144">
        <v>24800468</v>
      </c>
      <c r="L437" s="143">
        <v>0</v>
      </c>
      <c r="M437" s="143">
        <v>0</v>
      </c>
      <c r="N437" s="143">
        <v>0</v>
      </c>
      <c r="O437" s="143">
        <v>0</v>
      </c>
      <c r="P437" s="148"/>
      <c r="Q437" s="138" t="s">
        <v>206</v>
      </c>
      <c r="R437" s="138" t="s">
        <v>2562</v>
      </c>
      <c r="S437" s="145" t="s">
        <v>4129</v>
      </c>
      <c r="T437" s="148"/>
      <c r="U437" s="202">
        <v>430</v>
      </c>
      <c r="V437" s="203" t="b">
        <v>1</v>
      </c>
      <c r="W437" s="204" t="s">
        <v>3285</v>
      </c>
      <c r="X437" s="128"/>
      <c r="Y437" s="128"/>
      <c r="Z437" s="128"/>
    </row>
    <row r="438" spans="1:26" ht="12.5" hidden="1">
      <c r="A438" s="138">
        <v>487</v>
      </c>
      <c r="B438" s="173" t="s">
        <v>4126</v>
      </c>
      <c r="C438" s="139">
        <v>42731</v>
      </c>
      <c r="D438" s="173" t="s">
        <v>4135</v>
      </c>
      <c r="E438" s="145" t="s">
        <v>4128</v>
      </c>
      <c r="F438" s="196"/>
      <c r="G438" s="173" t="s">
        <v>1008</v>
      </c>
      <c r="H438" s="138" t="s">
        <v>249</v>
      </c>
      <c r="I438" s="138">
        <v>1</v>
      </c>
      <c r="J438" s="144">
        <v>24800468</v>
      </c>
      <c r="K438" s="144">
        <v>24800468</v>
      </c>
      <c r="L438" s="143">
        <v>0</v>
      </c>
      <c r="M438" s="143">
        <v>0</v>
      </c>
      <c r="N438" s="143">
        <v>0</v>
      </c>
      <c r="O438" s="143">
        <v>0</v>
      </c>
      <c r="P438" s="148"/>
      <c r="Q438" s="138" t="s">
        <v>206</v>
      </c>
      <c r="R438" s="138" t="s">
        <v>2562</v>
      </c>
      <c r="S438" s="145" t="s">
        <v>4129</v>
      </c>
      <c r="T438" s="148"/>
      <c r="U438" s="202">
        <v>431</v>
      </c>
      <c r="V438" s="203" t="b">
        <v>1</v>
      </c>
      <c r="W438" s="204" t="s">
        <v>3285</v>
      </c>
      <c r="X438" s="128"/>
      <c r="Y438" s="128"/>
      <c r="Z438" s="128"/>
    </row>
    <row r="439" spans="1:26" ht="12.5" hidden="1">
      <c r="A439" s="138">
        <v>488</v>
      </c>
      <c r="B439" s="173" t="s">
        <v>4126</v>
      </c>
      <c r="C439" s="139">
        <v>42731</v>
      </c>
      <c r="D439" s="173" t="s">
        <v>4136</v>
      </c>
      <c r="E439" s="145" t="s">
        <v>4128</v>
      </c>
      <c r="F439" s="196"/>
      <c r="G439" s="173" t="s">
        <v>1008</v>
      </c>
      <c r="H439" s="138" t="s">
        <v>249</v>
      </c>
      <c r="I439" s="138">
        <v>1</v>
      </c>
      <c r="J439" s="144">
        <v>24800468</v>
      </c>
      <c r="K439" s="144">
        <v>24800468</v>
      </c>
      <c r="L439" s="143">
        <v>0</v>
      </c>
      <c r="M439" s="143">
        <v>0</v>
      </c>
      <c r="N439" s="143">
        <v>0</v>
      </c>
      <c r="O439" s="143">
        <v>0</v>
      </c>
      <c r="P439" s="148"/>
      <c r="Q439" s="138" t="s">
        <v>206</v>
      </c>
      <c r="R439" s="138" t="s">
        <v>2562</v>
      </c>
      <c r="S439" s="145" t="s">
        <v>4129</v>
      </c>
      <c r="T439" s="148"/>
      <c r="U439" s="202">
        <v>432</v>
      </c>
      <c r="V439" s="203" t="b">
        <v>1</v>
      </c>
      <c r="W439" s="204" t="s">
        <v>3285</v>
      </c>
      <c r="X439" s="128"/>
      <c r="Y439" s="128"/>
      <c r="Z439" s="128"/>
    </row>
    <row r="440" spans="1:26" ht="12.5" hidden="1">
      <c r="A440" s="138">
        <v>489</v>
      </c>
      <c r="B440" s="173" t="s">
        <v>4126</v>
      </c>
      <c r="C440" s="139">
        <v>42731</v>
      </c>
      <c r="D440" s="173" t="s">
        <v>4137</v>
      </c>
      <c r="E440" s="145" t="s">
        <v>4128</v>
      </c>
      <c r="F440" s="196"/>
      <c r="G440" s="173" t="s">
        <v>1008</v>
      </c>
      <c r="H440" s="138" t="s">
        <v>249</v>
      </c>
      <c r="I440" s="138">
        <v>1</v>
      </c>
      <c r="J440" s="144">
        <v>24800468</v>
      </c>
      <c r="K440" s="144">
        <v>24800468</v>
      </c>
      <c r="L440" s="143">
        <v>0</v>
      </c>
      <c r="M440" s="143">
        <v>0</v>
      </c>
      <c r="N440" s="143">
        <v>0</v>
      </c>
      <c r="O440" s="143">
        <v>0</v>
      </c>
      <c r="P440" s="148"/>
      <c r="Q440" s="138" t="s">
        <v>206</v>
      </c>
      <c r="R440" s="138" t="s">
        <v>2562</v>
      </c>
      <c r="S440" s="145" t="s">
        <v>4129</v>
      </c>
      <c r="T440" s="148"/>
      <c r="U440" s="202">
        <v>433</v>
      </c>
      <c r="V440" s="203" t="b">
        <v>1</v>
      </c>
      <c r="W440" s="204" t="s">
        <v>3285</v>
      </c>
      <c r="X440" s="128"/>
      <c r="Y440" s="128"/>
      <c r="Z440" s="128"/>
    </row>
    <row r="441" spans="1:26" ht="12.5" hidden="1">
      <c r="A441" s="138">
        <v>490</v>
      </c>
      <c r="B441" s="173" t="s">
        <v>4126</v>
      </c>
      <c r="C441" s="139">
        <v>42731</v>
      </c>
      <c r="D441" s="173" t="s">
        <v>4138</v>
      </c>
      <c r="E441" s="145" t="s">
        <v>4128</v>
      </c>
      <c r="F441" s="196"/>
      <c r="G441" s="173" t="s">
        <v>1008</v>
      </c>
      <c r="H441" s="138" t="s">
        <v>249</v>
      </c>
      <c r="I441" s="138">
        <v>1</v>
      </c>
      <c r="J441" s="144">
        <v>24800468</v>
      </c>
      <c r="K441" s="144">
        <v>24800468</v>
      </c>
      <c r="L441" s="143">
        <v>0</v>
      </c>
      <c r="M441" s="143">
        <v>0</v>
      </c>
      <c r="N441" s="143">
        <v>0</v>
      </c>
      <c r="O441" s="143">
        <v>0</v>
      </c>
      <c r="P441" s="148"/>
      <c r="Q441" s="138" t="s">
        <v>206</v>
      </c>
      <c r="R441" s="138" t="s">
        <v>2562</v>
      </c>
      <c r="S441" s="145" t="s">
        <v>4129</v>
      </c>
      <c r="T441" s="148"/>
      <c r="U441" s="202">
        <v>434</v>
      </c>
      <c r="V441" s="203" t="b">
        <v>1</v>
      </c>
      <c r="W441" s="204" t="s">
        <v>3285</v>
      </c>
      <c r="X441" s="128"/>
      <c r="Y441" s="128"/>
      <c r="Z441" s="128"/>
    </row>
    <row r="442" spans="1:26" ht="12.5" hidden="1">
      <c r="A442" s="138">
        <v>491</v>
      </c>
      <c r="B442" s="173" t="s">
        <v>4126</v>
      </c>
      <c r="C442" s="139">
        <v>42731</v>
      </c>
      <c r="D442" s="173" t="s">
        <v>4139</v>
      </c>
      <c r="E442" s="145" t="s">
        <v>4128</v>
      </c>
      <c r="F442" s="196"/>
      <c r="G442" s="173" t="s">
        <v>1008</v>
      </c>
      <c r="H442" s="138" t="s">
        <v>249</v>
      </c>
      <c r="I442" s="138">
        <v>1</v>
      </c>
      <c r="J442" s="144">
        <v>24800468</v>
      </c>
      <c r="K442" s="144">
        <v>24800468</v>
      </c>
      <c r="L442" s="143">
        <v>0</v>
      </c>
      <c r="M442" s="143">
        <v>0</v>
      </c>
      <c r="N442" s="143">
        <v>0</v>
      </c>
      <c r="O442" s="143">
        <v>0</v>
      </c>
      <c r="P442" s="148"/>
      <c r="Q442" s="138" t="s">
        <v>206</v>
      </c>
      <c r="R442" s="138" t="s">
        <v>2562</v>
      </c>
      <c r="S442" s="145" t="s">
        <v>4129</v>
      </c>
      <c r="T442" s="148"/>
      <c r="U442" s="202">
        <v>435</v>
      </c>
      <c r="V442" s="203" t="b">
        <v>1</v>
      </c>
      <c r="W442" s="204" t="s">
        <v>3285</v>
      </c>
      <c r="X442" s="128"/>
      <c r="Y442" s="128"/>
      <c r="Z442" s="128"/>
    </row>
    <row r="443" spans="1:26" ht="12.5" hidden="1">
      <c r="A443" s="138">
        <v>492</v>
      </c>
      <c r="B443" s="173" t="s">
        <v>4126</v>
      </c>
      <c r="C443" s="139">
        <v>42731</v>
      </c>
      <c r="D443" s="173" t="s">
        <v>4140</v>
      </c>
      <c r="E443" s="145" t="s">
        <v>4128</v>
      </c>
      <c r="F443" s="196"/>
      <c r="G443" s="173" t="s">
        <v>1008</v>
      </c>
      <c r="H443" s="138" t="s">
        <v>249</v>
      </c>
      <c r="I443" s="138">
        <v>1</v>
      </c>
      <c r="J443" s="144">
        <v>24800468</v>
      </c>
      <c r="K443" s="144">
        <v>24800468</v>
      </c>
      <c r="L443" s="143">
        <v>0</v>
      </c>
      <c r="M443" s="143">
        <v>0</v>
      </c>
      <c r="N443" s="143">
        <v>0</v>
      </c>
      <c r="O443" s="143">
        <v>0</v>
      </c>
      <c r="P443" s="148"/>
      <c r="Q443" s="138" t="s">
        <v>206</v>
      </c>
      <c r="R443" s="138" t="s">
        <v>2562</v>
      </c>
      <c r="S443" s="145" t="s">
        <v>4129</v>
      </c>
      <c r="T443" s="148"/>
      <c r="U443" s="202">
        <v>436</v>
      </c>
      <c r="V443" s="203" t="b">
        <v>1</v>
      </c>
      <c r="W443" s="204" t="s">
        <v>3285</v>
      </c>
      <c r="X443" s="128"/>
      <c r="Y443" s="128"/>
      <c r="Z443" s="128"/>
    </row>
    <row r="444" spans="1:26" ht="12.5" hidden="1">
      <c r="A444" s="138">
        <v>493</v>
      </c>
      <c r="B444" s="173" t="s">
        <v>4126</v>
      </c>
      <c r="C444" s="139">
        <v>42731</v>
      </c>
      <c r="D444" s="173" t="s">
        <v>4141</v>
      </c>
      <c r="E444" s="145" t="s">
        <v>4128</v>
      </c>
      <c r="F444" s="196"/>
      <c r="G444" s="173" t="s">
        <v>1008</v>
      </c>
      <c r="H444" s="138" t="s">
        <v>249</v>
      </c>
      <c r="I444" s="138">
        <v>1</v>
      </c>
      <c r="J444" s="144">
        <v>24800468</v>
      </c>
      <c r="K444" s="144">
        <v>24800468</v>
      </c>
      <c r="L444" s="143">
        <v>0</v>
      </c>
      <c r="M444" s="143">
        <v>0</v>
      </c>
      <c r="N444" s="143">
        <v>0</v>
      </c>
      <c r="O444" s="143">
        <v>0</v>
      </c>
      <c r="P444" s="148"/>
      <c r="Q444" s="138" t="s">
        <v>206</v>
      </c>
      <c r="R444" s="138" t="s">
        <v>2562</v>
      </c>
      <c r="S444" s="145" t="s">
        <v>4129</v>
      </c>
      <c r="T444" s="148"/>
      <c r="U444" s="202">
        <v>437</v>
      </c>
      <c r="V444" s="203" t="b">
        <v>1</v>
      </c>
      <c r="W444" s="204" t="s">
        <v>3285</v>
      </c>
      <c r="X444" s="128"/>
      <c r="Y444" s="128"/>
      <c r="Z444" s="128"/>
    </row>
    <row r="445" spans="1:26" ht="12.5" hidden="1">
      <c r="A445" s="138">
        <v>494</v>
      </c>
      <c r="B445" s="173" t="s">
        <v>4126</v>
      </c>
      <c r="C445" s="139">
        <v>42731</v>
      </c>
      <c r="D445" s="173" t="s">
        <v>4142</v>
      </c>
      <c r="E445" s="145" t="s">
        <v>4128</v>
      </c>
      <c r="F445" s="196"/>
      <c r="G445" s="173" t="s">
        <v>1008</v>
      </c>
      <c r="H445" s="138" t="s">
        <v>249</v>
      </c>
      <c r="I445" s="138">
        <v>1</v>
      </c>
      <c r="J445" s="144">
        <v>24800468</v>
      </c>
      <c r="K445" s="144">
        <v>24800468</v>
      </c>
      <c r="L445" s="143">
        <v>0</v>
      </c>
      <c r="M445" s="143">
        <v>0</v>
      </c>
      <c r="N445" s="143">
        <v>0</v>
      </c>
      <c r="O445" s="143">
        <v>0</v>
      </c>
      <c r="P445" s="148"/>
      <c r="Q445" s="138" t="s">
        <v>206</v>
      </c>
      <c r="R445" s="138" t="s">
        <v>2562</v>
      </c>
      <c r="S445" s="145" t="s">
        <v>4129</v>
      </c>
      <c r="T445" s="148"/>
      <c r="U445" s="202">
        <v>438</v>
      </c>
      <c r="V445" s="203" t="b">
        <v>1</v>
      </c>
      <c r="W445" s="204" t="s">
        <v>3285</v>
      </c>
      <c r="X445" s="128"/>
      <c r="Y445" s="128"/>
      <c r="Z445" s="128"/>
    </row>
    <row r="446" spans="1:26" ht="12.5" hidden="1">
      <c r="A446" s="138">
        <v>495</v>
      </c>
      <c r="B446" s="173" t="s">
        <v>4126</v>
      </c>
      <c r="C446" s="139">
        <v>42731</v>
      </c>
      <c r="D446" s="173" t="s">
        <v>4143</v>
      </c>
      <c r="E446" s="145" t="s">
        <v>4128</v>
      </c>
      <c r="F446" s="196"/>
      <c r="G446" s="173" t="s">
        <v>1008</v>
      </c>
      <c r="H446" s="138" t="s">
        <v>249</v>
      </c>
      <c r="I446" s="138">
        <v>1</v>
      </c>
      <c r="J446" s="144">
        <v>24800468</v>
      </c>
      <c r="K446" s="144">
        <v>24800468</v>
      </c>
      <c r="L446" s="143">
        <v>0</v>
      </c>
      <c r="M446" s="143">
        <v>0</v>
      </c>
      <c r="N446" s="143">
        <v>0</v>
      </c>
      <c r="O446" s="143">
        <v>0</v>
      </c>
      <c r="P446" s="148"/>
      <c r="Q446" s="138" t="s">
        <v>206</v>
      </c>
      <c r="R446" s="138" t="s">
        <v>2562</v>
      </c>
      <c r="S446" s="145" t="s">
        <v>4129</v>
      </c>
      <c r="T446" s="148"/>
      <c r="U446" s="202">
        <v>439</v>
      </c>
      <c r="V446" s="203" t="b">
        <v>1</v>
      </c>
      <c r="W446" s="204" t="s">
        <v>3285</v>
      </c>
      <c r="X446" s="128"/>
      <c r="Y446" s="128"/>
      <c r="Z446" s="128"/>
    </row>
    <row r="447" spans="1:26" ht="12.5" hidden="1">
      <c r="A447" s="138">
        <v>496</v>
      </c>
      <c r="B447" s="173" t="s">
        <v>4126</v>
      </c>
      <c r="C447" s="139">
        <v>42731</v>
      </c>
      <c r="D447" s="173" t="s">
        <v>4144</v>
      </c>
      <c r="E447" s="145" t="s">
        <v>4128</v>
      </c>
      <c r="F447" s="196"/>
      <c r="G447" s="173" t="s">
        <v>1008</v>
      </c>
      <c r="H447" s="138" t="s">
        <v>249</v>
      </c>
      <c r="I447" s="138">
        <v>1</v>
      </c>
      <c r="J447" s="144">
        <v>24800468</v>
      </c>
      <c r="K447" s="144">
        <v>24800468</v>
      </c>
      <c r="L447" s="143">
        <v>0</v>
      </c>
      <c r="M447" s="143">
        <v>0</v>
      </c>
      <c r="N447" s="143">
        <v>0</v>
      </c>
      <c r="O447" s="143">
        <v>0</v>
      </c>
      <c r="P447" s="148"/>
      <c r="Q447" s="138" t="s">
        <v>206</v>
      </c>
      <c r="R447" s="138" t="s">
        <v>2562</v>
      </c>
      <c r="S447" s="145" t="s">
        <v>4129</v>
      </c>
      <c r="T447" s="148"/>
      <c r="U447" s="202">
        <v>440</v>
      </c>
      <c r="V447" s="203" t="b">
        <v>1</v>
      </c>
      <c r="W447" s="204" t="s">
        <v>3285</v>
      </c>
      <c r="X447" s="128"/>
      <c r="Y447" s="128"/>
      <c r="Z447" s="128"/>
    </row>
    <row r="448" spans="1:26" ht="12.5" hidden="1">
      <c r="A448" s="138">
        <v>497</v>
      </c>
      <c r="B448" s="173" t="s">
        <v>4126</v>
      </c>
      <c r="C448" s="139">
        <v>42731</v>
      </c>
      <c r="D448" s="173" t="s">
        <v>4145</v>
      </c>
      <c r="E448" s="145" t="s">
        <v>4128</v>
      </c>
      <c r="F448" s="196"/>
      <c r="G448" s="173" t="s">
        <v>1008</v>
      </c>
      <c r="H448" s="138" t="s">
        <v>249</v>
      </c>
      <c r="I448" s="138">
        <v>1</v>
      </c>
      <c r="J448" s="144">
        <v>24800468</v>
      </c>
      <c r="K448" s="144">
        <v>24800468</v>
      </c>
      <c r="L448" s="143">
        <v>0</v>
      </c>
      <c r="M448" s="143">
        <v>0</v>
      </c>
      <c r="N448" s="143">
        <v>0</v>
      </c>
      <c r="O448" s="143">
        <v>0</v>
      </c>
      <c r="P448" s="148"/>
      <c r="Q448" s="138" t="s">
        <v>206</v>
      </c>
      <c r="R448" s="138" t="s">
        <v>2562</v>
      </c>
      <c r="S448" s="145" t="s">
        <v>4129</v>
      </c>
      <c r="T448" s="148"/>
      <c r="U448" s="202">
        <v>441</v>
      </c>
      <c r="V448" s="203" t="b">
        <v>1</v>
      </c>
      <c r="W448" s="204" t="s">
        <v>3285</v>
      </c>
      <c r="X448" s="128"/>
      <c r="Y448" s="128"/>
      <c r="Z448" s="128"/>
    </row>
    <row r="449" spans="1:26" ht="12.5" hidden="1">
      <c r="A449" s="138">
        <v>498</v>
      </c>
      <c r="B449" s="173" t="s">
        <v>4126</v>
      </c>
      <c r="C449" s="139">
        <v>42731</v>
      </c>
      <c r="D449" s="173" t="s">
        <v>4146</v>
      </c>
      <c r="E449" s="145" t="s">
        <v>4128</v>
      </c>
      <c r="F449" s="196"/>
      <c r="G449" s="173" t="s">
        <v>1008</v>
      </c>
      <c r="H449" s="138" t="s">
        <v>249</v>
      </c>
      <c r="I449" s="138">
        <v>1</v>
      </c>
      <c r="J449" s="144">
        <v>24800468</v>
      </c>
      <c r="K449" s="144">
        <v>24800468</v>
      </c>
      <c r="L449" s="143">
        <v>0</v>
      </c>
      <c r="M449" s="143">
        <v>0</v>
      </c>
      <c r="N449" s="143">
        <v>0</v>
      </c>
      <c r="O449" s="143">
        <v>0</v>
      </c>
      <c r="P449" s="148"/>
      <c r="Q449" s="138" t="s">
        <v>206</v>
      </c>
      <c r="R449" s="138" t="s">
        <v>2562</v>
      </c>
      <c r="S449" s="145" t="s">
        <v>4129</v>
      </c>
      <c r="T449" s="148"/>
      <c r="U449" s="202">
        <v>442</v>
      </c>
      <c r="V449" s="203" t="b">
        <v>1</v>
      </c>
      <c r="W449" s="204" t="s">
        <v>3285</v>
      </c>
      <c r="X449" s="128"/>
      <c r="Y449" s="128"/>
      <c r="Z449" s="128"/>
    </row>
    <row r="450" spans="1:26" ht="12.5" hidden="1">
      <c r="A450" s="138">
        <v>499</v>
      </c>
      <c r="B450" s="173" t="s">
        <v>4126</v>
      </c>
      <c r="C450" s="139">
        <v>42731</v>
      </c>
      <c r="D450" s="173" t="s">
        <v>4147</v>
      </c>
      <c r="E450" s="145" t="s">
        <v>4128</v>
      </c>
      <c r="F450" s="196"/>
      <c r="G450" s="173" t="s">
        <v>1008</v>
      </c>
      <c r="H450" s="138" t="s">
        <v>249</v>
      </c>
      <c r="I450" s="138">
        <v>1</v>
      </c>
      <c r="J450" s="144">
        <v>24800468</v>
      </c>
      <c r="K450" s="144">
        <v>24800468</v>
      </c>
      <c r="L450" s="143">
        <v>0</v>
      </c>
      <c r="M450" s="143">
        <v>0</v>
      </c>
      <c r="N450" s="143">
        <v>0</v>
      </c>
      <c r="O450" s="143">
        <v>0</v>
      </c>
      <c r="P450" s="148"/>
      <c r="Q450" s="138" t="s">
        <v>206</v>
      </c>
      <c r="R450" s="138" t="s">
        <v>2562</v>
      </c>
      <c r="S450" s="145" t="s">
        <v>4129</v>
      </c>
      <c r="T450" s="148"/>
      <c r="U450" s="202">
        <v>443</v>
      </c>
      <c r="V450" s="203" t="b">
        <v>1</v>
      </c>
      <c r="W450" s="204" t="s">
        <v>3285</v>
      </c>
      <c r="X450" s="128"/>
      <c r="Y450" s="128"/>
      <c r="Z450" s="128"/>
    </row>
    <row r="451" spans="1:26" ht="12.5" hidden="1">
      <c r="A451" s="138">
        <v>500</v>
      </c>
      <c r="B451" s="173" t="s">
        <v>4126</v>
      </c>
      <c r="C451" s="139">
        <v>42731</v>
      </c>
      <c r="D451" s="173" t="s">
        <v>4148</v>
      </c>
      <c r="E451" s="145" t="s">
        <v>4128</v>
      </c>
      <c r="F451" s="196"/>
      <c r="G451" s="173" t="s">
        <v>1008</v>
      </c>
      <c r="H451" s="138" t="s">
        <v>249</v>
      </c>
      <c r="I451" s="138">
        <v>1</v>
      </c>
      <c r="J451" s="144">
        <v>24800468</v>
      </c>
      <c r="K451" s="144">
        <v>24800468</v>
      </c>
      <c r="L451" s="143">
        <v>0</v>
      </c>
      <c r="M451" s="143">
        <v>0</v>
      </c>
      <c r="N451" s="143">
        <v>0</v>
      </c>
      <c r="O451" s="143">
        <v>0</v>
      </c>
      <c r="P451" s="148"/>
      <c r="Q451" s="138" t="s">
        <v>36</v>
      </c>
      <c r="R451" s="138" t="s">
        <v>169</v>
      </c>
      <c r="S451" s="145" t="s">
        <v>4149</v>
      </c>
      <c r="T451" s="148"/>
      <c r="U451" s="202">
        <v>444</v>
      </c>
      <c r="V451" s="203" t="b">
        <v>1</v>
      </c>
      <c r="W451" s="204" t="s">
        <v>3285</v>
      </c>
      <c r="X451" s="128"/>
      <c r="Y451" s="128"/>
      <c r="Z451" s="128"/>
    </row>
    <row r="452" spans="1:26" ht="12.5" hidden="1">
      <c r="A452" s="138">
        <v>501</v>
      </c>
      <c r="B452" s="173" t="s">
        <v>4126</v>
      </c>
      <c r="C452" s="139">
        <v>42731</v>
      </c>
      <c r="D452" s="173" t="s">
        <v>4150</v>
      </c>
      <c r="E452" s="145" t="s">
        <v>4128</v>
      </c>
      <c r="F452" s="196"/>
      <c r="G452" s="173" t="s">
        <v>1008</v>
      </c>
      <c r="H452" s="138" t="s">
        <v>249</v>
      </c>
      <c r="I452" s="138">
        <v>1</v>
      </c>
      <c r="J452" s="144">
        <v>24800468</v>
      </c>
      <c r="K452" s="144">
        <v>24800468</v>
      </c>
      <c r="L452" s="143">
        <v>0</v>
      </c>
      <c r="M452" s="143">
        <v>0</v>
      </c>
      <c r="N452" s="143">
        <v>0</v>
      </c>
      <c r="O452" s="143">
        <v>0</v>
      </c>
      <c r="P452" s="148"/>
      <c r="Q452" s="138" t="s">
        <v>36</v>
      </c>
      <c r="R452" s="138" t="s">
        <v>169</v>
      </c>
      <c r="S452" s="145" t="s">
        <v>4149</v>
      </c>
      <c r="T452" s="148"/>
      <c r="U452" s="202">
        <v>445</v>
      </c>
      <c r="V452" s="203" t="b">
        <v>1</v>
      </c>
      <c r="W452" s="204" t="s">
        <v>3285</v>
      </c>
      <c r="X452" s="128"/>
      <c r="Y452" s="128"/>
      <c r="Z452" s="128"/>
    </row>
    <row r="453" spans="1:26" ht="12.5" hidden="1">
      <c r="A453" s="138">
        <v>502</v>
      </c>
      <c r="B453" s="173" t="s">
        <v>4126</v>
      </c>
      <c r="C453" s="139">
        <v>42731</v>
      </c>
      <c r="D453" s="173" t="s">
        <v>4151</v>
      </c>
      <c r="E453" s="145" t="s">
        <v>4128</v>
      </c>
      <c r="F453" s="196"/>
      <c r="G453" s="173" t="s">
        <v>1008</v>
      </c>
      <c r="H453" s="138" t="s">
        <v>249</v>
      </c>
      <c r="I453" s="138">
        <v>1</v>
      </c>
      <c r="J453" s="144">
        <v>24800468</v>
      </c>
      <c r="K453" s="144">
        <v>24800468</v>
      </c>
      <c r="L453" s="143">
        <v>0</v>
      </c>
      <c r="M453" s="143">
        <v>0</v>
      </c>
      <c r="N453" s="143">
        <v>0</v>
      </c>
      <c r="O453" s="143">
        <v>0</v>
      </c>
      <c r="P453" s="148"/>
      <c r="Q453" s="138" t="s">
        <v>36</v>
      </c>
      <c r="R453" s="138" t="s">
        <v>3512</v>
      </c>
      <c r="S453" s="145" t="s">
        <v>1291</v>
      </c>
      <c r="T453" s="148"/>
      <c r="U453" s="202">
        <v>446</v>
      </c>
      <c r="V453" s="203" t="b">
        <v>1</v>
      </c>
      <c r="W453" s="204" t="s">
        <v>3285</v>
      </c>
      <c r="X453" s="128"/>
      <c r="Y453" s="128"/>
      <c r="Z453" s="128"/>
    </row>
    <row r="454" spans="1:26" ht="12.5" hidden="1">
      <c r="A454" s="138">
        <v>503</v>
      </c>
      <c r="B454" s="173" t="s">
        <v>4126</v>
      </c>
      <c r="C454" s="139">
        <v>42731</v>
      </c>
      <c r="D454" s="173" t="s">
        <v>4152</v>
      </c>
      <c r="E454" s="145" t="s">
        <v>4128</v>
      </c>
      <c r="F454" s="196"/>
      <c r="G454" s="173" t="s">
        <v>1008</v>
      </c>
      <c r="H454" s="138" t="s">
        <v>249</v>
      </c>
      <c r="I454" s="138">
        <v>1</v>
      </c>
      <c r="J454" s="144">
        <v>24800468</v>
      </c>
      <c r="K454" s="144">
        <v>24800468</v>
      </c>
      <c r="L454" s="143">
        <v>0</v>
      </c>
      <c r="M454" s="143">
        <v>0</v>
      </c>
      <c r="N454" s="143">
        <v>0</v>
      </c>
      <c r="O454" s="143">
        <v>0</v>
      </c>
      <c r="P454" s="148"/>
      <c r="Q454" s="138" t="s">
        <v>36</v>
      </c>
      <c r="R454" s="138" t="s">
        <v>3512</v>
      </c>
      <c r="S454" s="145" t="s">
        <v>1288</v>
      </c>
      <c r="T454" s="148"/>
      <c r="U454" s="202">
        <v>447</v>
      </c>
      <c r="V454" s="203" t="b">
        <v>1</v>
      </c>
      <c r="W454" s="204" t="s">
        <v>3285</v>
      </c>
      <c r="X454" s="128"/>
      <c r="Y454" s="128"/>
      <c r="Z454" s="128"/>
    </row>
    <row r="455" spans="1:26" ht="12.5" hidden="1">
      <c r="A455" s="138">
        <v>504</v>
      </c>
      <c r="B455" s="173" t="s">
        <v>4126</v>
      </c>
      <c r="C455" s="139">
        <v>42731</v>
      </c>
      <c r="D455" s="173" t="s">
        <v>4153</v>
      </c>
      <c r="E455" s="145" t="s">
        <v>4128</v>
      </c>
      <c r="F455" s="196"/>
      <c r="G455" s="173" t="s">
        <v>1008</v>
      </c>
      <c r="H455" s="138" t="s">
        <v>249</v>
      </c>
      <c r="I455" s="138">
        <v>1</v>
      </c>
      <c r="J455" s="144">
        <v>24800468</v>
      </c>
      <c r="K455" s="144">
        <v>24800468</v>
      </c>
      <c r="L455" s="143">
        <v>0</v>
      </c>
      <c r="M455" s="143">
        <v>0</v>
      </c>
      <c r="N455" s="143">
        <v>0</v>
      </c>
      <c r="O455" s="143">
        <v>0</v>
      </c>
      <c r="P455" s="148"/>
      <c r="Q455" s="138" t="s">
        <v>36</v>
      </c>
      <c r="R455" s="138" t="s">
        <v>4154</v>
      </c>
      <c r="S455" s="145" t="s">
        <v>1909</v>
      </c>
      <c r="T455" s="148"/>
      <c r="U455" s="202">
        <v>448</v>
      </c>
      <c r="V455" s="203" t="b">
        <v>1</v>
      </c>
      <c r="W455" s="204" t="s">
        <v>3285</v>
      </c>
      <c r="X455" s="128"/>
      <c r="Y455" s="128"/>
      <c r="Z455" s="128"/>
    </row>
    <row r="456" spans="1:26" ht="12.5" hidden="1">
      <c r="A456" s="138">
        <v>505</v>
      </c>
      <c r="B456" s="173" t="s">
        <v>4126</v>
      </c>
      <c r="C456" s="139">
        <v>42731</v>
      </c>
      <c r="D456" s="173" t="s">
        <v>4155</v>
      </c>
      <c r="E456" s="145" t="s">
        <v>4128</v>
      </c>
      <c r="F456" s="196"/>
      <c r="G456" s="173" t="s">
        <v>1008</v>
      </c>
      <c r="H456" s="138" t="s">
        <v>249</v>
      </c>
      <c r="I456" s="138">
        <v>1</v>
      </c>
      <c r="J456" s="144">
        <v>24800468</v>
      </c>
      <c r="K456" s="144">
        <v>24800468</v>
      </c>
      <c r="L456" s="143">
        <v>0</v>
      </c>
      <c r="M456" s="143">
        <v>0</v>
      </c>
      <c r="N456" s="143">
        <v>0</v>
      </c>
      <c r="O456" s="143">
        <v>0</v>
      </c>
      <c r="P456" s="148"/>
      <c r="Q456" s="138" t="s">
        <v>36</v>
      </c>
      <c r="R456" s="138" t="s">
        <v>4154</v>
      </c>
      <c r="S456" s="145" t="s">
        <v>1900</v>
      </c>
      <c r="T456" s="148"/>
      <c r="U456" s="202">
        <v>449</v>
      </c>
      <c r="V456" s="203" t="b">
        <v>1</v>
      </c>
      <c r="W456" s="204" t="s">
        <v>3285</v>
      </c>
      <c r="X456" s="128"/>
      <c r="Y456" s="128"/>
      <c r="Z456" s="128"/>
    </row>
    <row r="457" spans="1:26" ht="12.5" hidden="1">
      <c r="A457" s="138">
        <v>506</v>
      </c>
      <c r="B457" s="173" t="s">
        <v>4126</v>
      </c>
      <c r="C457" s="139">
        <v>42731</v>
      </c>
      <c r="D457" s="173" t="s">
        <v>4156</v>
      </c>
      <c r="E457" s="145" t="s">
        <v>4157</v>
      </c>
      <c r="F457" s="145">
        <v>2835792</v>
      </c>
      <c r="G457" s="173" t="s">
        <v>307</v>
      </c>
      <c r="H457" s="138" t="s">
        <v>249</v>
      </c>
      <c r="I457" s="138">
        <v>1</v>
      </c>
      <c r="J457" s="144">
        <v>15881001</v>
      </c>
      <c r="K457" s="144">
        <v>15881001</v>
      </c>
      <c r="L457" s="143">
        <v>0</v>
      </c>
      <c r="M457" s="143">
        <v>0</v>
      </c>
      <c r="N457" s="143">
        <v>0</v>
      </c>
      <c r="O457" s="143">
        <v>0</v>
      </c>
      <c r="P457" s="148"/>
      <c r="Q457" s="138" t="s">
        <v>206</v>
      </c>
      <c r="R457" s="138" t="s">
        <v>2427</v>
      </c>
      <c r="S457" s="145" t="s">
        <v>2625</v>
      </c>
      <c r="T457" s="148"/>
      <c r="U457" s="202">
        <v>450</v>
      </c>
      <c r="V457" s="203" t="b">
        <v>1</v>
      </c>
      <c r="W457" s="204" t="s">
        <v>3285</v>
      </c>
      <c r="X457" s="128"/>
      <c r="Y457" s="128"/>
      <c r="Z457" s="128"/>
    </row>
    <row r="458" spans="1:26" ht="12.5" hidden="1">
      <c r="A458" s="138">
        <v>507</v>
      </c>
      <c r="B458" s="173" t="s">
        <v>4126</v>
      </c>
      <c r="C458" s="139">
        <v>42731</v>
      </c>
      <c r="D458" s="173" t="s">
        <v>4158</v>
      </c>
      <c r="E458" s="145" t="s">
        <v>4157</v>
      </c>
      <c r="F458" s="145">
        <v>2835814</v>
      </c>
      <c r="G458" s="173" t="s">
        <v>307</v>
      </c>
      <c r="H458" s="138" t="s">
        <v>249</v>
      </c>
      <c r="I458" s="138">
        <v>1</v>
      </c>
      <c r="J458" s="144">
        <v>15881001</v>
      </c>
      <c r="K458" s="144">
        <v>15881001</v>
      </c>
      <c r="L458" s="143">
        <v>0</v>
      </c>
      <c r="M458" s="143">
        <v>0</v>
      </c>
      <c r="N458" s="143">
        <v>0</v>
      </c>
      <c r="O458" s="143">
        <v>0</v>
      </c>
      <c r="P458" s="148"/>
      <c r="Q458" s="138" t="s">
        <v>36</v>
      </c>
      <c r="R458" s="138" t="s">
        <v>4154</v>
      </c>
      <c r="S458" s="145" t="s">
        <v>4159</v>
      </c>
      <c r="T458" s="148"/>
      <c r="U458" s="202">
        <v>451</v>
      </c>
      <c r="V458" s="203" t="b">
        <v>1</v>
      </c>
      <c r="W458" s="204" t="s">
        <v>3285</v>
      </c>
      <c r="X458" s="128"/>
      <c r="Y458" s="128"/>
      <c r="Z458" s="128"/>
    </row>
    <row r="459" spans="1:26" ht="12.5" hidden="1">
      <c r="A459" s="138">
        <v>508</v>
      </c>
      <c r="B459" s="173" t="s">
        <v>4126</v>
      </c>
      <c r="C459" s="139">
        <v>42731</v>
      </c>
      <c r="D459" s="173" t="s">
        <v>4160</v>
      </c>
      <c r="E459" s="145" t="s">
        <v>4157</v>
      </c>
      <c r="F459" s="145">
        <v>2835864</v>
      </c>
      <c r="G459" s="173" t="s">
        <v>307</v>
      </c>
      <c r="H459" s="138" t="s">
        <v>249</v>
      </c>
      <c r="I459" s="138">
        <v>1</v>
      </c>
      <c r="J459" s="144">
        <v>15881001</v>
      </c>
      <c r="K459" s="144">
        <v>15881001</v>
      </c>
      <c r="L459" s="143">
        <v>0</v>
      </c>
      <c r="M459" s="143">
        <v>0</v>
      </c>
      <c r="N459" s="143">
        <v>0</v>
      </c>
      <c r="O459" s="143">
        <v>0</v>
      </c>
      <c r="P459" s="148"/>
      <c r="Q459" s="138" t="s">
        <v>36</v>
      </c>
      <c r="R459" s="138" t="s">
        <v>4154</v>
      </c>
      <c r="S459" s="145" t="s">
        <v>4161</v>
      </c>
      <c r="T459" s="148"/>
      <c r="U459" s="202">
        <v>452</v>
      </c>
      <c r="V459" s="203" t="b">
        <v>1</v>
      </c>
      <c r="W459" s="204" t="s">
        <v>3285</v>
      </c>
      <c r="X459" s="128"/>
      <c r="Y459" s="128"/>
      <c r="Z459" s="128"/>
    </row>
    <row r="460" spans="1:26" ht="12.5" hidden="1">
      <c r="A460" s="138">
        <v>509</v>
      </c>
      <c r="B460" s="173" t="s">
        <v>4126</v>
      </c>
      <c r="C460" s="139">
        <v>42731</v>
      </c>
      <c r="D460" s="173" t="s">
        <v>4162</v>
      </c>
      <c r="E460" s="145" t="s">
        <v>4157</v>
      </c>
      <c r="F460" s="145">
        <v>2709603</v>
      </c>
      <c r="G460" s="173" t="s">
        <v>307</v>
      </c>
      <c r="H460" s="138" t="s">
        <v>249</v>
      </c>
      <c r="I460" s="138">
        <v>1</v>
      </c>
      <c r="J460" s="144">
        <v>15881001</v>
      </c>
      <c r="K460" s="144">
        <v>15881001</v>
      </c>
      <c r="L460" s="143">
        <v>0</v>
      </c>
      <c r="M460" s="143">
        <v>0</v>
      </c>
      <c r="N460" s="143">
        <v>0</v>
      </c>
      <c r="O460" s="143">
        <v>0</v>
      </c>
      <c r="P460" s="148"/>
      <c r="Q460" s="138" t="s">
        <v>36</v>
      </c>
      <c r="R460" s="138" t="s">
        <v>4154</v>
      </c>
      <c r="S460" s="145" t="s">
        <v>1909</v>
      </c>
      <c r="T460" s="148"/>
      <c r="U460" s="202">
        <v>453</v>
      </c>
      <c r="V460" s="203" t="b">
        <v>1</v>
      </c>
      <c r="W460" s="204" t="s">
        <v>3285</v>
      </c>
      <c r="X460" s="128"/>
      <c r="Y460" s="128"/>
      <c r="Z460" s="128"/>
    </row>
    <row r="461" spans="1:26" ht="12.5" hidden="1">
      <c r="A461" s="138">
        <v>510</v>
      </c>
      <c r="B461" s="173" t="s">
        <v>4126</v>
      </c>
      <c r="C461" s="139">
        <v>42731</v>
      </c>
      <c r="D461" s="173" t="s">
        <v>4163</v>
      </c>
      <c r="E461" s="145" t="s">
        <v>4157</v>
      </c>
      <c r="F461" s="145">
        <v>2752007</v>
      </c>
      <c r="G461" s="173" t="s">
        <v>307</v>
      </c>
      <c r="H461" s="138" t="s">
        <v>249</v>
      </c>
      <c r="I461" s="138">
        <v>1</v>
      </c>
      <c r="J461" s="144">
        <v>15881001</v>
      </c>
      <c r="K461" s="144">
        <v>15881001</v>
      </c>
      <c r="L461" s="143">
        <v>0</v>
      </c>
      <c r="M461" s="143">
        <v>0</v>
      </c>
      <c r="N461" s="143">
        <v>0</v>
      </c>
      <c r="O461" s="143">
        <v>0</v>
      </c>
      <c r="P461" s="148"/>
      <c r="Q461" s="138" t="s">
        <v>206</v>
      </c>
      <c r="R461" s="138" t="s">
        <v>2427</v>
      </c>
      <c r="S461" s="145" t="s">
        <v>2625</v>
      </c>
      <c r="T461" s="148"/>
      <c r="U461" s="202">
        <v>454</v>
      </c>
      <c r="V461" s="203" t="b">
        <v>1</v>
      </c>
      <c r="W461" s="204" t="s">
        <v>3285</v>
      </c>
      <c r="X461" s="128"/>
      <c r="Y461" s="128"/>
      <c r="Z461" s="128"/>
    </row>
    <row r="462" spans="1:26" ht="12.5" hidden="1">
      <c r="A462" s="138">
        <v>511</v>
      </c>
      <c r="B462" s="173" t="s">
        <v>3798</v>
      </c>
      <c r="C462" s="139">
        <v>42731</v>
      </c>
      <c r="D462" s="173" t="s">
        <v>4164</v>
      </c>
      <c r="E462" s="145" t="s">
        <v>4157</v>
      </c>
      <c r="F462" s="145">
        <v>2751569</v>
      </c>
      <c r="G462" s="173" t="s">
        <v>307</v>
      </c>
      <c r="H462" s="138" t="s">
        <v>249</v>
      </c>
      <c r="I462" s="138">
        <v>1</v>
      </c>
      <c r="J462" s="144">
        <v>16394731</v>
      </c>
      <c r="K462" s="144">
        <v>16394731</v>
      </c>
      <c r="L462" s="143">
        <v>0</v>
      </c>
      <c r="M462" s="143">
        <v>0</v>
      </c>
      <c r="N462" s="143">
        <v>0</v>
      </c>
      <c r="O462" s="143">
        <v>0</v>
      </c>
      <c r="P462" s="148"/>
      <c r="Q462" s="138" t="s">
        <v>36</v>
      </c>
      <c r="R462" s="138" t="s">
        <v>4154</v>
      </c>
      <c r="S462" s="145" t="s">
        <v>4165</v>
      </c>
      <c r="T462" s="148"/>
      <c r="U462" s="202">
        <v>455</v>
      </c>
      <c r="V462" s="203" t="b">
        <v>1</v>
      </c>
      <c r="W462" s="204" t="s">
        <v>3285</v>
      </c>
      <c r="X462" s="128"/>
      <c r="Y462" s="128"/>
      <c r="Z462" s="128"/>
    </row>
    <row r="463" spans="1:26" ht="12.5" hidden="1">
      <c r="A463" s="138">
        <v>512</v>
      </c>
      <c r="B463" s="173" t="s">
        <v>3798</v>
      </c>
      <c r="C463" s="139">
        <v>42731</v>
      </c>
      <c r="D463" s="173" t="s">
        <v>4166</v>
      </c>
      <c r="E463" s="145" t="s">
        <v>4157</v>
      </c>
      <c r="F463" s="145">
        <v>2835834</v>
      </c>
      <c r="G463" s="173" t="s">
        <v>307</v>
      </c>
      <c r="H463" s="138" t="s">
        <v>249</v>
      </c>
      <c r="I463" s="138">
        <v>1</v>
      </c>
      <c r="J463" s="144">
        <v>16394731</v>
      </c>
      <c r="K463" s="144">
        <v>16394731</v>
      </c>
      <c r="L463" s="143">
        <v>0</v>
      </c>
      <c r="M463" s="143">
        <v>0</v>
      </c>
      <c r="N463" s="143">
        <v>0</v>
      </c>
      <c r="O463" s="143">
        <v>0</v>
      </c>
      <c r="P463" s="148"/>
      <c r="Q463" s="138" t="s">
        <v>36</v>
      </c>
      <c r="R463" s="138" t="s">
        <v>4154</v>
      </c>
      <c r="S463" s="145" t="s">
        <v>4167</v>
      </c>
      <c r="T463" s="148"/>
      <c r="U463" s="202">
        <v>456</v>
      </c>
      <c r="V463" s="203" t="b">
        <v>1</v>
      </c>
      <c r="W463" s="204" t="s">
        <v>3285</v>
      </c>
      <c r="X463" s="128"/>
      <c r="Y463" s="128"/>
      <c r="Z463" s="128"/>
    </row>
    <row r="464" spans="1:26" ht="12.5" hidden="1">
      <c r="A464" s="138">
        <v>513</v>
      </c>
      <c r="B464" s="173" t="s">
        <v>4168</v>
      </c>
      <c r="C464" s="139">
        <v>42937</v>
      </c>
      <c r="D464" s="173" t="s">
        <v>4169</v>
      </c>
      <c r="E464" s="145" t="s">
        <v>4170</v>
      </c>
      <c r="F464" s="196"/>
      <c r="G464" s="173" t="s">
        <v>248</v>
      </c>
      <c r="H464" s="138" t="s">
        <v>249</v>
      </c>
      <c r="I464" s="138">
        <v>1</v>
      </c>
      <c r="J464" s="144">
        <v>14684200</v>
      </c>
      <c r="K464" s="144">
        <v>14684200</v>
      </c>
      <c r="L464" s="144">
        <v>4894734</v>
      </c>
      <c r="M464" s="143">
        <v>33</v>
      </c>
      <c r="N464" s="143">
        <v>4894734</v>
      </c>
      <c r="O464" s="143">
        <v>0</v>
      </c>
      <c r="P464" s="148"/>
      <c r="Q464" s="138" t="s">
        <v>206</v>
      </c>
      <c r="R464" s="138" t="s">
        <v>2427</v>
      </c>
      <c r="S464" s="145" t="s">
        <v>2651</v>
      </c>
      <c r="T464" s="148"/>
      <c r="U464" s="202">
        <v>457</v>
      </c>
      <c r="V464" s="203" t="b">
        <v>1</v>
      </c>
      <c r="W464" s="204" t="s">
        <v>3285</v>
      </c>
      <c r="X464" s="128"/>
      <c r="Y464" s="128"/>
      <c r="Z464" s="128"/>
    </row>
    <row r="465" spans="1:26" ht="12.5" hidden="1">
      <c r="A465" s="138">
        <v>514</v>
      </c>
      <c r="B465" s="173" t="s">
        <v>4171</v>
      </c>
      <c r="C465" s="139">
        <v>42937</v>
      </c>
      <c r="D465" s="173" t="s">
        <v>4172</v>
      </c>
      <c r="E465" s="145" t="s">
        <v>4173</v>
      </c>
      <c r="F465" s="145">
        <v>723222821</v>
      </c>
      <c r="G465" s="173" t="s">
        <v>248</v>
      </c>
      <c r="H465" s="138" t="s">
        <v>249</v>
      </c>
      <c r="I465" s="138">
        <v>1</v>
      </c>
      <c r="J465" s="144">
        <v>3376580</v>
      </c>
      <c r="K465" s="144">
        <v>3376580</v>
      </c>
      <c r="L465" s="143">
        <v>0</v>
      </c>
      <c r="M465" s="143">
        <v>0</v>
      </c>
      <c r="N465" s="143">
        <v>0</v>
      </c>
      <c r="O465" s="143">
        <v>0</v>
      </c>
      <c r="P465" s="148"/>
      <c r="Q465" s="138" t="s">
        <v>206</v>
      </c>
      <c r="R465" s="138" t="s">
        <v>2427</v>
      </c>
      <c r="S465" s="145" t="s">
        <v>2625</v>
      </c>
      <c r="T465" s="148"/>
      <c r="U465" s="202">
        <v>458</v>
      </c>
      <c r="V465" s="203" t="b">
        <v>1</v>
      </c>
      <c r="W465" s="204" t="s">
        <v>3285</v>
      </c>
      <c r="X465" s="128"/>
      <c r="Y465" s="128"/>
      <c r="Z465" s="128"/>
    </row>
    <row r="466" spans="1:26" ht="12.5" hidden="1">
      <c r="A466" s="138">
        <v>515</v>
      </c>
      <c r="B466" s="173" t="s">
        <v>4171</v>
      </c>
      <c r="C466" s="139">
        <v>42937</v>
      </c>
      <c r="D466" s="173" t="s">
        <v>4174</v>
      </c>
      <c r="E466" s="145" t="s">
        <v>4173</v>
      </c>
      <c r="F466" s="145">
        <v>723222765</v>
      </c>
      <c r="G466" s="173" t="s">
        <v>248</v>
      </c>
      <c r="H466" s="138" t="s">
        <v>249</v>
      </c>
      <c r="I466" s="138">
        <v>1</v>
      </c>
      <c r="J466" s="144">
        <v>3376580</v>
      </c>
      <c r="K466" s="144">
        <v>3376580</v>
      </c>
      <c r="L466" s="143">
        <v>0</v>
      </c>
      <c r="M466" s="143">
        <v>0</v>
      </c>
      <c r="N466" s="143">
        <v>0</v>
      </c>
      <c r="O466" s="143">
        <v>0</v>
      </c>
      <c r="P466" s="148"/>
      <c r="Q466" s="138" t="s">
        <v>206</v>
      </c>
      <c r="R466" s="138" t="s">
        <v>2427</v>
      </c>
      <c r="S466" s="145" t="s">
        <v>2625</v>
      </c>
      <c r="T466" s="148"/>
      <c r="U466" s="202">
        <v>459</v>
      </c>
      <c r="V466" s="203" t="b">
        <v>1</v>
      </c>
      <c r="W466" s="204" t="s">
        <v>3285</v>
      </c>
      <c r="X466" s="128"/>
      <c r="Y466" s="128"/>
      <c r="Z466" s="128"/>
    </row>
    <row r="467" spans="1:26" ht="12.5" hidden="1">
      <c r="A467" s="138">
        <v>516</v>
      </c>
      <c r="B467" s="173" t="s">
        <v>4171</v>
      </c>
      <c r="C467" s="139">
        <v>42937</v>
      </c>
      <c r="D467" s="173" t="s">
        <v>4175</v>
      </c>
      <c r="E467" s="145" t="s">
        <v>4173</v>
      </c>
      <c r="F467" s="145">
        <v>723222484</v>
      </c>
      <c r="G467" s="173" t="s">
        <v>248</v>
      </c>
      <c r="H467" s="138" t="s">
        <v>249</v>
      </c>
      <c r="I467" s="138">
        <v>1</v>
      </c>
      <c r="J467" s="144">
        <v>3376580</v>
      </c>
      <c r="K467" s="144">
        <v>3376580</v>
      </c>
      <c r="L467" s="143">
        <v>0</v>
      </c>
      <c r="M467" s="143">
        <v>0</v>
      </c>
      <c r="N467" s="143">
        <v>0</v>
      </c>
      <c r="O467" s="143">
        <v>0</v>
      </c>
      <c r="P467" s="148"/>
      <c r="Q467" s="138" t="s">
        <v>206</v>
      </c>
      <c r="R467" s="138" t="s">
        <v>2427</v>
      </c>
      <c r="S467" s="145" t="s">
        <v>2625</v>
      </c>
      <c r="T467" s="148"/>
      <c r="U467" s="202">
        <v>460</v>
      </c>
      <c r="V467" s="203" t="b">
        <v>1</v>
      </c>
      <c r="W467" s="204" t="s">
        <v>3285</v>
      </c>
      <c r="X467" s="128"/>
      <c r="Y467" s="128"/>
      <c r="Z467" s="128"/>
    </row>
    <row r="468" spans="1:26" ht="12.5" hidden="1">
      <c r="A468" s="138">
        <v>517</v>
      </c>
      <c r="B468" s="173" t="s">
        <v>4171</v>
      </c>
      <c r="C468" s="139">
        <v>42937</v>
      </c>
      <c r="D468" s="173" t="s">
        <v>4176</v>
      </c>
      <c r="E468" s="145" t="s">
        <v>4173</v>
      </c>
      <c r="F468" s="145">
        <v>723222551</v>
      </c>
      <c r="G468" s="173" t="s">
        <v>248</v>
      </c>
      <c r="H468" s="138" t="s">
        <v>249</v>
      </c>
      <c r="I468" s="138">
        <v>1</v>
      </c>
      <c r="J468" s="144">
        <v>3376580</v>
      </c>
      <c r="K468" s="144">
        <v>3376580</v>
      </c>
      <c r="L468" s="143">
        <v>0</v>
      </c>
      <c r="M468" s="143">
        <v>0</v>
      </c>
      <c r="N468" s="143">
        <v>0</v>
      </c>
      <c r="O468" s="143">
        <v>0</v>
      </c>
      <c r="P468" s="148"/>
      <c r="Q468" s="138" t="s">
        <v>206</v>
      </c>
      <c r="R468" s="138" t="s">
        <v>2427</v>
      </c>
      <c r="S468" s="145" t="s">
        <v>4177</v>
      </c>
      <c r="T468" s="148"/>
      <c r="U468" s="202">
        <v>461</v>
      </c>
      <c r="V468" s="203" t="b">
        <v>1</v>
      </c>
      <c r="W468" s="204" t="s">
        <v>3285</v>
      </c>
      <c r="X468" s="128"/>
      <c r="Y468" s="128"/>
      <c r="Z468" s="128"/>
    </row>
    <row r="469" spans="1:26" ht="12.5" hidden="1">
      <c r="A469" s="138">
        <v>518</v>
      </c>
      <c r="B469" s="173" t="s">
        <v>4171</v>
      </c>
      <c r="C469" s="139">
        <v>42937</v>
      </c>
      <c r="D469" s="173" t="s">
        <v>4178</v>
      </c>
      <c r="E469" s="145" t="s">
        <v>4173</v>
      </c>
      <c r="F469" s="145">
        <v>723222704</v>
      </c>
      <c r="G469" s="173" t="s">
        <v>248</v>
      </c>
      <c r="H469" s="138" t="s">
        <v>249</v>
      </c>
      <c r="I469" s="138">
        <v>1</v>
      </c>
      <c r="J469" s="144">
        <v>3376580</v>
      </c>
      <c r="K469" s="144">
        <v>3376580</v>
      </c>
      <c r="L469" s="143">
        <v>0</v>
      </c>
      <c r="M469" s="143">
        <v>0</v>
      </c>
      <c r="N469" s="143">
        <v>0</v>
      </c>
      <c r="O469" s="143">
        <v>0</v>
      </c>
      <c r="P469" s="148"/>
      <c r="Q469" s="138" t="s">
        <v>206</v>
      </c>
      <c r="R469" s="138" t="s">
        <v>2427</v>
      </c>
      <c r="S469" s="145" t="s">
        <v>4177</v>
      </c>
      <c r="T469" s="148"/>
      <c r="U469" s="202">
        <v>462</v>
      </c>
      <c r="V469" s="203" t="b">
        <v>1</v>
      </c>
      <c r="W469" s="204" t="s">
        <v>3285</v>
      </c>
      <c r="X469" s="128"/>
      <c r="Y469" s="128"/>
      <c r="Z469" s="128"/>
    </row>
    <row r="470" spans="1:26" ht="12.5" hidden="1">
      <c r="A470" s="138">
        <v>519</v>
      </c>
      <c r="B470" s="173" t="s">
        <v>4171</v>
      </c>
      <c r="C470" s="139">
        <v>42937</v>
      </c>
      <c r="D470" s="173" t="s">
        <v>4179</v>
      </c>
      <c r="E470" s="145" t="s">
        <v>4173</v>
      </c>
      <c r="F470" s="145">
        <v>723222697</v>
      </c>
      <c r="G470" s="173" t="s">
        <v>248</v>
      </c>
      <c r="H470" s="138" t="s">
        <v>249</v>
      </c>
      <c r="I470" s="138">
        <v>1</v>
      </c>
      <c r="J470" s="144">
        <v>3376580</v>
      </c>
      <c r="K470" s="144">
        <v>3376580</v>
      </c>
      <c r="L470" s="143">
        <v>0</v>
      </c>
      <c r="M470" s="143">
        <v>0</v>
      </c>
      <c r="N470" s="143">
        <v>0</v>
      </c>
      <c r="O470" s="143">
        <v>0</v>
      </c>
      <c r="P470" s="148"/>
      <c r="Q470" s="138" t="s">
        <v>206</v>
      </c>
      <c r="R470" s="138" t="s">
        <v>2427</v>
      </c>
      <c r="S470" s="145" t="s">
        <v>4177</v>
      </c>
      <c r="T470" s="148"/>
      <c r="U470" s="202">
        <v>463</v>
      </c>
      <c r="V470" s="203" t="b">
        <v>1</v>
      </c>
      <c r="W470" s="204" t="s">
        <v>3285</v>
      </c>
      <c r="X470" s="128"/>
      <c r="Y470" s="128"/>
      <c r="Z470" s="128"/>
    </row>
    <row r="471" spans="1:26" ht="12.5" hidden="1">
      <c r="A471" s="138">
        <v>520</v>
      </c>
      <c r="B471" s="173" t="s">
        <v>4171</v>
      </c>
      <c r="C471" s="139">
        <v>42937</v>
      </c>
      <c r="D471" s="173" t="s">
        <v>4180</v>
      </c>
      <c r="E471" s="145" t="s">
        <v>4173</v>
      </c>
      <c r="F471" s="145">
        <v>723222661</v>
      </c>
      <c r="G471" s="173" t="s">
        <v>248</v>
      </c>
      <c r="H471" s="138" t="s">
        <v>249</v>
      </c>
      <c r="I471" s="138">
        <v>1</v>
      </c>
      <c r="J471" s="144">
        <v>3376580</v>
      </c>
      <c r="K471" s="144">
        <v>3376580</v>
      </c>
      <c r="L471" s="143">
        <v>0</v>
      </c>
      <c r="M471" s="143">
        <v>0</v>
      </c>
      <c r="N471" s="143">
        <v>0</v>
      </c>
      <c r="O471" s="143">
        <v>0</v>
      </c>
      <c r="P471" s="148"/>
      <c r="Q471" s="138" t="s">
        <v>206</v>
      </c>
      <c r="R471" s="138" t="s">
        <v>2427</v>
      </c>
      <c r="S471" s="145" t="s">
        <v>2651</v>
      </c>
      <c r="T471" s="148"/>
      <c r="U471" s="202">
        <v>464</v>
      </c>
      <c r="V471" s="203" t="b">
        <v>1</v>
      </c>
      <c r="W471" s="204" t="s">
        <v>3285</v>
      </c>
      <c r="X471" s="128"/>
      <c r="Y471" s="128"/>
      <c r="Z471" s="128"/>
    </row>
    <row r="472" spans="1:26" ht="12.5" hidden="1">
      <c r="A472" s="138">
        <v>521</v>
      </c>
      <c r="B472" s="173" t="s">
        <v>4171</v>
      </c>
      <c r="C472" s="139">
        <v>42937</v>
      </c>
      <c r="D472" s="173" t="s">
        <v>4181</v>
      </c>
      <c r="E472" s="145" t="s">
        <v>4173</v>
      </c>
      <c r="F472" s="145">
        <v>723222770</v>
      </c>
      <c r="G472" s="173" t="s">
        <v>248</v>
      </c>
      <c r="H472" s="138" t="s">
        <v>249</v>
      </c>
      <c r="I472" s="138">
        <v>1</v>
      </c>
      <c r="J472" s="144">
        <v>3376580</v>
      </c>
      <c r="K472" s="144">
        <v>3376580</v>
      </c>
      <c r="L472" s="143">
        <v>0</v>
      </c>
      <c r="M472" s="143">
        <v>0</v>
      </c>
      <c r="N472" s="143">
        <v>0</v>
      </c>
      <c r="O472" s="143">
        <v>0</v>
      </c>
      <c r="P472" s="148"/>
      <c r="Q472" s="138" t="s">
        <v>206</v>
      </c>
      <c r="R472" s="138" t="s">
        <v>2427</v>
      </c>
      <c r="S472" s="145" t="s">
        <v>2651</v>
      </c>
      <c r="T472" s="148"/>
      <c r="U472" s="202">
        <v>465</v>
      </c>
      <c r="V472" s="203" t="b">
        <v>1</v>
      </c>
      <c r="W472" s="204" t="s">
        <v>3285</v>
      </c>
      <c r="X472" s="128"/>
      <c r="Y472" s="128"/>
      <c r="Z472" s="128"/>
    </row>
    <row r="473" spans="1:26" ht="12.5" hidden="1">
      <c r="A473" s="138">
        <v>522</v>
      </c>
      <c r="B473" s="173" t="s">
        <v>4171</v>
      </c>
      <c r="C473" s="139">
        <v>42937</v>
      </c>
      <c r="D473" s="173" t="s">
        <v>4182</v>
      </c>
      <c r="E473" s="145" t="s">
        <v>4173</v>
      </c>
      <c r="F473" s="145">
        <v>713190512</v>
      </c>
      <c r="G473" s="173" t="s">
        <v>248</v>
      </c>
      <c r="H473" s="138" t="s">
        <v>249</v>
      </c>
      <c r="I473" s="138">
        <v>1</v>
      </c>
      <c r="J473" s="144">
        <v>3376580</v>
      </c>
      <c r="K473" s="144">
        <v>3376580</v>
      </c>
      <c r="L473" s="143">
        <v>0</v>
      </c>
      <c r="M473" s="143">
        <v>0</v>
      </c>
      <c r="N473" s="143">
        <v>0</v>
      </c>
      <c r="O473" s="143">
        <v>0</v>
      </c>
      <c r="P473" s="148"/>
      <c r="Q473" s="138" t="s">
        <v>206</v>
      </c>
      <c r="R473" s="138" t="s">
        <v>2427</v>
      </c>
      <c r="S473" s="145" t="s">
        <v>2651</v>
      </c>
      <c r="T473" s="148"/>
      <c r="U473" s="202">
        <v>466</v>
      </c>
      <c r="V473" s="203" t="b">
        <v>1</v>
      </c>
      <c r="W473" s="204" t="s">
        <v>3285</v>
      </c>
      <c r="X473" s="128"/>
      <c r="Y473" s="128"/>
      <c r="Z473" s="128"/>
    </row>
    <row r="474" spans="1:26" ht="12.5" hidden="1">
      <c r="A474" s="138">
        <v>523</v>
      </c>
      <c r="B474" s="173" t="s">
        <v>4171</v>
      </c>
      <c r="C474" s="139">
        <v>42937</v>
      </c>
      <c r="D474" s="173" t="s">
        <v>4183</v>
      </c>
      <c r="E474" s="145" t="s">
        <v>4173</v>
      </c>
      <c r="F474" s="145">
        <v>713190537</v>
      </c>
      <c r="G474" s="173" t="s">
        <v>248</v>
      </c>
      <c r="H474" s="138" t="s">
        <v>249</v>
      </c>
      <c r="I474" s="138">
        <v>1</v>
      </c>
      <c r="J474" s="144">
        <v>3376580</v>
      </c>
      <c r="K474" s="144">
        <v>3376580</v>
      </c>
      <c r="L474" s="143">
        <v>0</v>
      </c>
      <c r="M474" s="143">
        <v>0</v>
      </c>
      <c r="N474" s="143">
        <v>0</v>
      </c>
      <c r="O474" s="143">
        <v>0</v>
      </c>
      <c r="P474" s="148"/>
      <c r="Q474" s="138" t="s">
        <v>206</v>
      </c>
      <c r="R474" s="138" t="s">
        <v>2427</v>
      </c>
      <c r="S474" s="145" t="s">
        <v>2651</v>
      </c>
      <c r="T474" s="148"/>
      <c r="U474" s="202">
        <v>467</v>
      </c>
      <c r="V474" s="203" t="b">
        <v>1</v>
      </c>
      <c r="W474" s="204" t="s">
        <v>3285</v>
      </c>
      <c r="X474" s="128"/>
      <c r="Y474" s="128"/>
      <c r="Z474" s="128"/>
    </row>
    <row r="475" spans="1:26" ht="12.5" hidden="1">
      <c r="A475" s="138">
        <v>524</v>
      </c>
      <c r="B475" s="173" t="s">
        <v>4184</v>
      </c>
      <c r="C475" s="139">
        <v>41587</v>
      </c>
      <c r="D475" s="173" t="s">
        <v>4185</v>
      </c>
      <c r="E475" s="145" t="s">
        <v>4186</v>
      </c>
      <c r="F475" s="145">
        <v>2034006</v>
      </c>
      <c r="G475" s="148"/>
      <c r="H475" s="138" t="s">
        <v>249</v>
      </c>
      <c r="I475" s="138">
        <v>1</v>
      </c>
      <c r="J475" s="144">
        <v>9900000</v>
      </c>
      <c r="K475" s="144">
        <v>9900000</v>
      </c>
      <c r="L475" s="143">
        <v>0</v>
      </c>
      <c r="M475" s="143">
        <v>0</v>
      </c>
      <c r="N475" s="143">
        <v>0</v>
      </c>
      <c r="O475" s="143">
        <v>0</v>
      </c>
      <c r="P475" s="173" t="s">
        <v>4187</v>
      </c>
      <c r="Q475" s="138" t="s">
        <v>36</v>
      </c>
      <c r="R475" s="138" t="s">
        <v>3512</v>
      </c>
      <c r="S475" s="145" t="s">
        <v>4188</v>
      </c>
      <c r="T475" s="148"/>
      <c r="U475" s="202">
        <v>468</v>
      </c>
      <c r="V475" s="203" t="b">
        <v>1</v>
      </c>
      <c r="W475" s="204" t="s">
        <v>3285</v>
      </c>
      <c r="X475" s="128"/>
      <c r="Y475" s="128"/>
      <c r="Z475" s="128"/>
    </row>
    <row r="476" spans="1:26" ht="12.5" hidden="1">
      <c r="A476" s="138">
        <v>525</v>
      </c>
      <c r="B476" s="173" t="s">
        <v>4184</v>
      </c>
      <c r="C476" s="139">
        <v>41587</v>
      </c>
      <c r="D476" s="173" t="s">
        <v>4189</v>
      </c>
      <c r="E476" s="145" t="s">
        <v>4186</v>
      </c>
      <c r="F476" s="145">
        <v>2029041</v>
      </c>
      <c r="G476" s="148"/>
      <c r="H476" s="138" t="s">
        <v>249</v>
      </c>
      <c r="I476" s="138">
        <v>1</v>
      </c>
      <c r="J476" s="144">
        <v>9900000</v>
      </c>
      <c r="K476" s="144">
        <v>9900000</v>
      </c>
      <c r="L476" s="143">
        <v>0</v>
      </c>
      <c r="M476" s="143">
        <v>0</v>
      </c>
      <c r="N476" s="143">
        <v>0</v>
      </c>
      <c r="O476" s="143">
        <v>0</v>
      </c>
      <c r="P476" s="173" t="s">
        <v>4187</v>
      </c>
      <c r="Q476" s="138" t="s">
        <v>36</v>
      </c>
      <c r="R476" s="138" t="s">
        <v>3512</v>
      </c>
      <c r="S476" s="145" t="s">
        <v>4190</v>
      </c>
      <c r="T476" s="148"/>
      <c r="U476" s="202">
        <v>469</v>
      </c>
      <c r="V476" s="203" t="b">
        <v>1</v>
      </c>
      <c r="W476" s="204" t="s">
        <v>3285</v>
      </c>
      <c r="X476" s="128"/>
      <c r="Y476" s="128"/>
      <c r="Z476" s="128"/>
    </row>
    <row r="477" spans="1:26" ht="12.5" hidden="1">
      <c r="A477" s="138">
        <v>526</v>
      </c>
      <c r="B477" s="173" t="s">
        <v>4191</v>
      </c>
      <c r="C477" s="139">
        <v>42004</v>
      </c>
      <c r="D477" s="173" t="s">
        <v>4192</v>
      </c>
      <c r="E477" s="145" t="s">
        <v>4193</v>
      </c>
      <c r="F477" s="145">
        <v>2809323</v>
      </c>
      <c r="G477" s="148"/>
      <c r="H477" s="138" t="s">
        <v>249</v>
      </c>
      <c r="I477" s="138">
        <v>1</v>
      </c>
      <c r="J477" s="144">
        <v>9700000</v>
      </c>
      <c r="K477" s="144">
        <v>9700000</v>
      </c>
      <c r="L477" s="143">
        <v>0</v>
      </c>
      <c r="M477" s="143">
        <v>0</v>
      </c>
      <c r="N477" s="143">
        <v>0</v>
      </c>
      <c r="O477" s="143">
        <v>0</v>
      </c>
      <c r="P477" s="173" t="s">
        <v>206</v>
      </c>
      <c r="Q477" s="138" t="s">
        <v>206</v>
      </c>
      <c r="R477" s="138" t="s">
        <v>2427</v>
      </c>
      <c r="S477" s="145" t="s">
        <v>1221</v>
      </c>
      <c r="T477" s="148"/>
      <c r="U477" s="202">
        <v>470</v>
      </c>
      <c r="V477" s="203" t="b">
        <v>1</v>
      </c>
      <c r="W477" s="204" t="s">
        <v>3285</v>
      </c>
      <c r="X477" s="128"/>
      <c r="Y477" s="128"/>
      <c r="Z477" s="128"/>
    </row>
    <row r="478" spans="1:26" ht="12.5" hidden="1">
      <c r="A478" s="138">
        <v>527</v>
      </c>
      <c r="B478" s="173" t="s">
        <v>4194</v>
      </c>
      <c r="C478" s="139">
        <v>41996</v>
      </c>
      <c r="D478" s="173" t="s">
        <v>4195</v>
      </c>
      <c r="E478" s="145" t="s">
        <v>4196</v>
      </c>
      <c r="F478" s="145">
        <v>2063605</v>
      </c>
      <c r="G478" s="148"/>
      <c r="H478" s="138" t="s">
        <v>19</v>
      </c>
      <c r="I478" s="138">
        <v>1</v>
      </c>
      <c r="J478" s="144">
        <v>14452890</v>
      </c>
      <c r="K478" s="144">
        <v>14452890</v>
      </c>
      <c r="L478" s="143">
        <v>0</v>
      </c>
      <c r="M478" s="143">
        <v>0</v>
      </c>
      <c r="N478" s="143">
        <v>0</v>
      </c>
      <c r="O478" s="143">
        <v>0</v>
      </c>
      <c r="P478" s="148"/>
      <c r="Q478" s="138" t="s">
        <v>36</v>
      </c>
      <c r="R478" s="138" t="s">
        <v>37</v>
      </c>
      <c r="S478" s="145" t="s">
        <v>4197</v>
      </c>
      <c r="T478" s="148"/>
      <c r="U478" s="202">
        <v>471</v>
      </c>
      <c r="V478" s="203" t="b">
        <v>1</v>
      </c>
      <c r="W478" s="204" t="s">
        <v>3285</v>
      </c>
      <c r="X478" s="128"/>
      <c r="Y478" s="128"/>
      <c r="Z478" s="128"/>
    </row>
    <row r="479" spans="1:26" ht="12.5" hidden="1">
      <c r="A479" s="138">
        <v>528</v>
      </c>
      <c r="B479" s="173" t="s">
        <v>4194</v>
      </c>
      <c r="C479" s="139">
        <v>41996</v>
      </c>
      <c r="D479" s="173" t="s">
        <v>4198</v>
      </c>
      <c r="E479" s="145" t="s">
        <v>4196</v>
      </c>
      <c r="F479" s="145">
        <v>2063772</v>
      </c>
      <c r="G479" s="148"/>
      <c r="H479" s="138" t="s">
        <v>19</v>
      </c>
      <c r="I479" s="138">
        <v>1</v>
      </c>
      <c r="J479" s="144">
        <v>14452890</v>
      </c>
      <c r="K479" s="144">
        <v>14452890</v>
      </c>
      <c r="L479" s="143">
        <v>0</v>
      </c>
      <c r="M479" s="143">
        <v>0</v>
      </c>
      <c r="N479" s="143">
        <v>0</v>
      </c>
      <c r="O479" s="143">
        <v>0</v>
      </c>
      <c r="P479" s="148"/>
      <c r="Q479" s="138" t="s">
        <v>36</v>
      </c>
      <c r="R479" s="138" t="s">
        <v>4154</v>
      </c>
      <c r="S479" s="145" t="s">
        <v>4199</v>
      </c>
      <c r="T479" s="148"/>
      <c r="U479" s="202">
        <v>472</v>
      </c>
      <c r="V479" s="203" t="b">
        <v>1</v>
      </c>
      <c r="W479" s="204" t="s">
        <v>3285</v>
      </c>
      <c r="X479" s="128"/>
      <c r="Y479" s="128"/>
      <c r="Z479" s="128"/>
    </row>
    <row r="480" spans="1:26" ht="12.5" hidden="1">
      <c r="A480" s="138">
        <v>529</v>
      </c>
      <c r="B480" s="173" t="s">
        <v>4194</v>
      </c>
      <c r="C480" s="139">
        <v>41996</v>
      </c>
      <c r="D480" s="173" t="s">
        <v>4200</v>
      </c>
      <c r="E480" s="145" t="s">
        <v>4196</v>
      </c>
      <c r="F480" s="145">
        <v>2063532</v>
      </c>
      <c r="G480" s="148"/>
      <c r="H480" s="138" t="s">
        <v>19</v>
      </c>
      <c r="I480" s="138">
        <v>1</v>
      </c>
      <c r="J480" s="144">
        <v>14452890</v>
      </c>
      <c r="K480" s="144">
        <v>14452890</v>
      </c>
      <c r="L480" s="143">
        <v>0</v>
      </c>
      <c r="M480" s="143">
        <v>0</v>
      </c>
      <c r="N480" s="143">
        <v>0</v>
      </c>
      <c r="O480" s="143">
        <v>0</v>
      </c>
      <c r="P480" s="148"/>
      <c r="Q480" s="138" t="s">
        <v>20</v>
      </c>
      <c r="R480" s="138" t="s">
        <v>233</v>
      </c>
      <c r="S480" s="145" t="s">
        <v>4201</v>
      </c>
      <c r="T480" s="148"/>
      <c r="U480" s="202">
        <v>473</v>
      </c>
      <c r="V480" s="203" t="b">
        <v>1</v>
      </c>
      <c r="W480" s="204" t="s">
        <v>3285</v>
      </c>
      <c r="X480" s="128"/>
      <c r="Y480" s="128"/>
      <c r="Z480" s="128"/>
    </row>
    <row r="481" spans="1:26" ht="12.5" hidden="1">
      <c r="A481" s="138">
        <v>530</v>
      </c>
      <c r="B481" s="173" t="s">
        <v>3886</v>
      </c>
      <c r="C481" s="139">
        <v>42004</v>
      </c>
      <c r="D481" s="173" t="s">
        <v>4202</v>
      </c>
      <c r="E481" s="145" t="s">
        <v>4203</v>
      </c>
      <c r="F481" s="145">
        <v>2028522</v>
      </c>
      <c r="G481" s="148"/>
      <c r="H481" s="138" t="s">
        <v>19</v>
      </c>
      <c r="I481" s="138">
        <v>1</v>
      </c>
      <c r="J481" s="144">
        <v>11048117</v>
      </c>
      <c r="K481" s="144">
        <v>11048117</v>
      </c>
      <c r="L481" s="143">
        <v>0</v>
      </c>
      <c r="M481" s="143">
        <v>0</v>
      </c>
      <c r="N481" s="143">
        <v>0</v>
      </c>
      <c r="O481" s="143">
        <v>0</v>
      </c>
      <c r="P481" s="148"/>
      <c r="Q481" s="138" t="s">
        <v>36</v>
      </c>
      <c r="R481" s="138" t="s">
        <v>37</v>
      </c>
      <c r="S481" s="145" t="s">
        <v>4204</v>
      </c>
      <c r="T481" s="148"/>
      <c r="U481" s="202">
        <v>474</v>
      </c>
      <c r="V481" s="203" t="b">
        <v>1</v>
      </c>
      <c r="W481" s="204" t="s">
        <v>3285</v>
      </c>
      <c r="X481" s="128"/>
      <c r="Y481" s="128"/>
      <c r="Z481" s="128"/>
    </row>
    <row r="482" spans="1:26" ht="12.5" hidden="1">
      <c r="A482" s="138">
        <v>531</v>
      </c>
      <c r="B482" s="173" t="s">
        <v>3886</v>
      </c>
      <c r="C482" s="139">
        <v>42004</v>
      </c>
      <c r="D482" s="173" t="s">
        <v>4205</v>
      </c>
      <c r="E482" s="145" t="s">
        <v>4203</v>
      </c>
      <c r="F482" s="145">
        <v>2048610</v>
      </c>
      <c r="G482" s="148"/>
      <c r="H482" s="138" t="s">
        <v>19</v>
      </c>
      <c r="I482" s="138">
        <v>1</v>
      </c>
      <c r="J482" s="144">
        <v>11048117</v>
      </c>
      <c r="K482" s="144">
        <v>11048117</v>
      </c>
      <c r="L482" s="143">
        <v>0</v>
      </c>
      <c r="M482" s="143">
        <v>0</v>
      </c>
      <c r="N482" s="143">
        <v>0</v>
      </c>
      <c r="O482" s="143">
        <v>0</v>
      </c>
      <c r="P482" s="148"/>
      <c r="Q482" s="138" t="s">
        <v>20</v>
      </c>
      <c r="R482" s="138" t="s">
        <v>233</v>
      </c>
      <c r="S482" s="145" t="s">
        <v>2245</v>
      </c>
      <c r="T482" s="148"/>
      <c r="U482" s="202">
        <v>475</v>
      </c>
      <c r="V482" s="203" t="b">
        <v>1</v>
      </c>
      <c r="W482" s="204" t="s">
        <v>3285</v>
      </c>
      <c r="X482" s="128"/>
      <c r="Y482" s="128"/>
      <c r="Z482" s="128"/>
    </row>
    <row r="483" spans="1:26" ht="12.5" hidden="1">
      <c r="A483" s="138">
        <v>532</v>
      </c>
      <c r="B483" s="173" t="s">
        <v>4003</v>
      </c>
      <c r="C483" s="139">
        <v>42339</v>
      </c>
      <c r="D483" s="173" t="s">
        <v>4206</v>
      </c>
      <c r="E483" s="145" t="s">
        <v>4207</v>
      </c>
      <c r="F483" s="145">
        <v>2852991</v>
      </c>
      <c r="G483" s="148"/>
      <c r="H483" s="138" t="s">
        <v>249</v>
      </c>
      <c r="I483" s="138">
        <v>1</v>
      </c>
      <c r="J483" s="144">
        <v>28475099</v>
      </c>
      <c r="K483" s="144">
        <v>28475099</v>
      </c>
      <c r="L483" s="143">
        <v>0</v>
      </c>
      <c r="M483" s="143">
        <v>0</v>
      </c>
      <c r="N483" s="143">
        <v>0</v>
      </c>
      <c r="O483" s="143">
        <v>0</v>
      </c>
      <c r="P483" s="148"/>
      <c r="Q483" s="138" t="s">
        <v>206</v>
      </c>
      <c r="R483" s="138" t="s">
        <v>1514</v>
      </c>
      <c r="S483" s="145" t="s">
        <v>206</v>
      </c>
      <c r="T483" s="148"/>
      <c r="U483" s="202">
        <v>476</v>
      </c>
      <c r="V483" s="203" t="b">
        <v>1</v>
      </c>
      <c r="W483" s="204" t="s">
        <v>3285</v>
      </c>
      <c r="X483" s="128"/>
      <c r="Y483" s="128"/>
      <c r="Z483" s="128"/>
    </row>
    <row r="484" spans="1:26" ht="12.5" hidden="1">
      <c r="A484" s="138">
        <v>533</v>
      </c>
      <c r="B484" s="173" t="s">
        <v>4003</v>
      </c>
      <c r="C484" s="139">
        <v>42339</v>
      </c>
      <c r="D484" s="173" t="s">
        <v>4208</v>
      </c>
      <c r="E484" s="145" t="s">
        <v>4209</v>
      </c>
      <c r="F484" s="145" t="s">
        <v>4210</v>
      </c>
      <c r="G484" s="148"/>
      <c r="H484" s="138" t="s">
        <v>249</v>
      </c>
      <c r="I484" s="138">
        <v>1</v>
      </c>
      <c r="J484" s="144">
        <v>14884711</v>
      </c>
      <c r="K484" s="144">
        <v>14884711</v>
      </c>
      <c r="L484" s="143">
        <v>0</v>
      </c>
      <c r="M484" s="143">
        <v>0</v>
      </c>
      <c r="N484" s="143">
        <v>0</v>
      </c>
      <c r="O484" s="143">
        <v>0</v>
      </c>
      <c r="P484" s="148"/>
      <c r="Q484" s="138" t="s">
        <v>20</v>
      </c>
      <c r="R484" s="138" t="s">
        <v>295</v>
      </c>
      <c r="S484" s="145" t="s">
        <v>3439</v>
      </c>
      <c r="T484" s="148"/>
      <c r="U484" s="202">
        <v>477</v>
      </c>
      <c r="V484" s="203" t="b">
        <v>1</v>
      </c>
      <c r="W484" s="204" t="s">
        <v>3285</v>
      </c>
      <c r="X484" s="128"/>
      <c r="Y484" s="128"/>
      <c r="Z484" s="128"/>
    </row>
    <row r="485" spans="1:26" ht="12.5">
      <c r="A485" s="138">
        <v>534</v>
      </c>
      <c r="B485" s="173" t="s">
        <v>4003</v>
      </c>
      <c r="C485" s="139">
        <v>42339</v>
      </c>
      <c r="D485" s="210" t="s">
        <v>4211</v>
      </c>
      <c r="E485" s="145" t="s">
        <v>4209</v>
      </c>
      <c r="F485" s="145" t="s">
        <v>4212</v>
      </c>
      <c r="G485" s="148"/>
      <c r="H485" s="138" t="s">
        <v>249</v>
      </c>
      <c r="I485" s="138">
        <v>1</v>
      </c>
      <c r="J485" s="144">
        <v>14884711</v>
      </c>
      <c r="K485" s="144">
        <v>14884711</v>
      </c>
      <c r="L485" s="143">
        <v>0</v>
      </c>
      <c r="M485" s="143">
        <v>0</v>
      </c>
      <c r="N485" s="143">
        <v>0</v>
      </c>
      <c r="O485" s="143">
        <v>0</v>
      </c>
      <c r="P485" s="148"/>
      <c r="Q485" s="138" t="s">
        <v>20</v>
      </c>
      <c r="R485" s="138" t="s">
        <v>229</v>
      </c>
      <c r="S485" s="145" t="s">
        <v>4213</v>
      </c>
      <c r="T485" s="148"/>
      <c r="U485" s="202">
        <v>478</v>
      </c>
      <c r="V485" s="203" t="b">
        <v>1</v>
      </c>
      <c r="W485" s="204" t="s">
        <v>3285</v>
      </c>
      <c r="X485" s="128"/>
      <c r="Y485" s="128"/>
      <c r="Z485" s="128"/>
    </row>
    <row r="486" spans="1:26" ht="12.5" hidden="1">
      <c r="A486" s="138">
        <v>535</v>
      </c>
      <c r="B486" s="173" t="s">
        <v>4003</v>
      </c>
      <c r="C486" s="139">
        <v>42339</v>
      </c>
      <c r="D486" s="173" t="s">
        <v>4214</v>
      </c>
      <c r="E486" s="145" t="s">
        <v>4209</v>
      </c>
      <c r="F486" s="145" t="s">
        <v>4215</v>
      </c>
      <c r="G486" s="148"/>
      <c r="H486" s="138" t="s">
        <v>249</v>
      </c>
      <c r="I486" s="138">
        <v>1</v>
      </c>
      <c r="J486" s="144">
        <v>14884711</v>
      </c>
      <c r="K486" s="144">
        <v>14884711</v>
      </c>
      <c r="L486" s="143">
        <v>0</v>
      </c>
      <c r="M486" s="143">
        <v>0</v>
      </c>
      <c r="N486" s="143">
        <v>0</v>
      </c>
      <c r="O486" s="143">
        <v>0</v>
      </c>
      <c r="P486" s="148"/>
      <c r="Q486" s="138" t="s">
        <v>20</v>
      </c>
      <c r="R486" s="138" t="s">
        <v>295</v>
      </c>
      <c r="S486" s="145" t="s">
        <v>4216</v>
      </c>
      <c r="T486" s="148"/>
      <c r="U486" s="202">
        <v>479</v>
      </c>
      <c r="V486" s="203" t="b">
        <v>1</v>
      </c>
      <c r="W486" s="204" t="s">
        <v>3285</v>
      </c>
      <c r="X486" s="128"/>
      <c r="Y486" s="128"/>
      <c r="Z486" s="128"/>
    </row>
    <row r="487" spans="1:26" ht="12.5" hidden="1">
      <c r="A487" s="138">
        <v>536</v>
      </c>
      <c r="B487" s="173" t="s">
        <v>4217</v>
      </c>
      <c r="C487" s="139">
        <v>42956</v>
      </c>
      <c r="D487" s="173" t="s">
        <v>4218</v>
      </c>
      <c r="E487" s="145" t="s">
        <v>4219</v>
      </c>
      <c r="F487" s="145" t="s">
        <v>4220</v>
      </c>
      <c r="G487" s="173" t="s">
        <v>35</v>
      </c>
      <c r="H487" s="138" t="s">
        <v>249</v>
      </c>
      <c r="I487" s="138">
        <v>1</v>
      </c>
      <c r="J487" s="144">
        <v>6450000</v>
      </c>
      <c r="K487" s="144">
        <v>6450000</v>
      </c>
      <c r="L487" s="143">
        <v>0</v>
      </c>
      <c r="M487" s="143">
        <v>0</v>
      </c>
      <c r="N487" s="143">
        <v>0</v>
      </c>
      <c r="O487" s="143">
        <v>0</v>
      </c>
      <c r="P487" s="148"/>
      <c r="Q487" s="138" t="s">
        <v>206</v>
      </c>
      <c r="R487" s="138" t="s">
        <v>2427</v>
      </c>
      <c r="S487" s="264">
        <v>0</v>
      </c>
      <c r="T487" s="148"/>
      <c r="U487" s="202">
        <v>480</v>
      </c>
      <c r="V487" s="203" t="b">
        <v>1</v>
      </c>
      <c r="W487" s="204" t="s">
        <v>3285</v>
      </c>
      <c r="X487" s="128"/>
      <c r="Y487" s="128"/>
      <c r="Z487" s="128"/>
    </row>
    <row r="488" spans="1:26" ht="12.5" hidden="1">
      <c r="A488" s="138">
        <v>537</v>
      </c>
      <c r="B488" s="173" t="s">
        <v>4217</v>
      </c>
      <c r="C488" s="139">
        <v>42956</v>
      </c>
      <c r="D488" s="173" t="s">
        <v>4221</v>
      </c>
      <c r="E488" s="145" t="s">
        <v>4219</v>
      </c>
      <c r="F488" s="145" t="s">
        <v>4222</v>
      </c>
      <c r="G488" s="173" t="s">
        <v>35</v>
      </c>
      <c r="H488" s="138" t="s">
        <v>249</v>
      </c>
      <c r="I488" s="138">
        <v>1</v>
      </c>
      <c r="J488" s="144">
        <v>6450000</v>
      </c>
      <c r="K488" s="144">
        <v>6450000</v>
      </c>
      <c r="L488" s="143">
        <v>0</v>
      </c>
      <c r="M488" s="143">
        <v>0</v>
      </c>
      <c r="N488" s="143">
        <v>0</v>
      </c>
      <c r="O488" s="143">
        <v>0</v>
      </c>
      <c r="P488" s="148"/>
      <c r="Q488" s="138" t="s">
        <v>206</v>
      </c>
      <c r="R488" s="138" t="s">
        <v>2427</v>
      </c>
      <c r="S488" s="264">
        <v>0</v>
      </c>
      <c r="T488" s="148"/>
      <c r="U488" s="202">
        <v>481</v>
      </c>
      <c r="V488" s="203" t="b">
        <v>1</v>
      </c>
      <c r="W488" s="204" t="s">
        <v>3285</v>
      </c>
      <c r="X488" s="128"/>
      <c r="Y488" s="128"/>
      <c r="Z488" s="128"/>
    </row>
    <row r="489" spans="1:26" ht="12.5" hidden="1">
      <c r="A489" s="138">
        <v>538</v>
      </c>
      <c r="B489" s="173" t="s">
        <v>4217</v>
      </c>
      <c r="C489" s="139">
        <v>42956</v>
      </c>
      <c r="D489" s="173" t="s">
        <v>4223</v>
      </c>
      <c r="E489" s="145" t="s">
        <v>4219</v>
      </c>
      <c r="F489" s="145" t="s">
        <v>4224</v>
      </c>
      <c r="G489" s="173" t="s">
        <v>35</v>
      </c>
      <c r="H489" s="138" t="s">
        <v>249</v>
      </c>
      <c r="I489" s="138">
        <v>1</v>
      </c>
      <c r="J489" s="144">
        <v>6450000</v>
      </c>
      <c r="K489" s="144">
        <v>6450000</v>
      </c>
      <c r="L489" s="143">
        <v>0</v>
      </c>
      <c r="M489" s="143">
        <v>0</v>
      </c>
      <c r="N489" s="143">
        <v>0</v>
      </c>
      <c r="O489" s="143">
        <v>0</v>
      </c>
      <c r="P489" s="148"/>
      <c r="Q489" s="138" t="s">
        <v>206</v>
      </c>
      <c r="R489" s="138" t="s">
        <v>2427</v>
      </c>
      <c r="S489" s="264">
        <v>0</v>
      </c>
      <c r="T489" s="148"/>
      <c r="U489" s="202">
        <v>482</v>
      </c>
      <c r="V489" s="203" t="b">
        <v>1</v>
      </c>
      <c r="W489" s="204" t="s">
        <v>3285</v>
      </c>
      <c r="X489" s="128"/>
      <c r="Y489" s="128"/>
      <c r="Z489" s="128"/>
    </row>
    <row r="490" spans="1:26" ht="12.5" hidden="1">
      <c r="A490" s="138">
        <v>539</v>
      </c>
      <c r="B490" s="173" t="s">
        <v>4217</v>
      </c>
      <c r="C490" s="139">
        <v>42956</v>
      </c>
      <c r="D490" s="173" t="s">
        <v>4225</v>
      </c>
      <c r="E490" s="145" t="s">
        <v>4219</v>
      </c>
      <c r="F490" s="145" t="s">
        <v>4226</v>
      </c>
      <c r="G490" s="173" t="s">
        <v>35</v>
      </c>
      <c r="H490" s="138" t="s">
        <v>249</v>
      </c>
      <c r="I490" s="138">
        <v>1</v>
      </c>
      <c r="J490" s="144">
        <v>6450000</v>
      </c>
      <c r="K490" s="144">
        <v>6450000</v>
      </c>
      <c r="L490" s="143">
        <v>0</v>
      </c>
      <c r="M490" s="143">
        <v>0</v>
      </c>
      <c r="N490" s="143">
        <v>0</v>
      </c>
      <c r="O490" s="143">
        <v>0</v>
      </c>
      <c r="P490" s="148"/>
      <c r="Q490" s="138" t="s">
        <v>206</v>
      </c>
      <c r="R490" s="138" t="s">
        <v>2427</v>
      </c>
      <c r="S490" s="264">
        <v>0</v>
      </c>
      <c r="T490" s="148"/>
      <c r="U490" s="202">
        <v>483</v>
      </c>
      <c r="V490" s="203" t="b">
        <v>1</v>
      </c>
      <c r="W490" s="204" t="s">
        <v>3285</v>
      </c>
      <c r="X490" s="128"/>
      <c r="Y490" s="128"/>
      <c r="Z490" s="128"/>
    </row>
    <row r="491" spans="1:26" ht="12.5" hidden="1">
      <c r="A491" s="138">
        <v>540</v>
      </c>
      <c r="B491" s="173" t="s">
        <v>4217</v>
      </c>
      <c r="C491" s="139">
        <v>42956</v>
      </c>
      <c r="D491" s="173" t="s">
        <v>4227</v>
      </c>
      <c r="E491" s="145" t="s">
        <v>4219</v>
      </c>
      <c r="F491" s="145" t="s">
        <v>4228</v>
      </c>
      <c r="G491" s="173" t="s">
        <v>35</v>
      </c>
      <c r="H491" s="138" t="s">
        <v>249</v>
      </c>
      <c r="I491" s="138">
        <v>1</v>
      </c>
      <c r="J491" s="144">
        <v>6450000</v>
      </c>
      <c r="K491" s="144">
        <v>6450000</v>
      </c>
      <c r="L491" s="143">
        <v>0</v>
      </c>
      <c r="M491" s="143">
        <v>0</v>
      </c>
      <c r="N491" s="143">
        <v>0</v>
      </c>
      <c r="O491" s="143">
        <v>0</v>
      </c>
      <c r="P491" s="148"/>
      <c r="Q491" s="138" t="s">
        <v>206</v>
      </c>
      <c r="R491" s="138" t="s">
        <v>2427</v>
      </c>
      <c r="S491" s="264">
        <v>0</v>
      </c>
      <c r="T491" s="148"/>
      <c r="U491" s="202">
        <v>484</v>
      </c>
      <c r="V491" s="203" t="b">
        <v>1</v>
      </c>
      <c r="W491" s="204" t="s">
        <v>3285</v>
      </c>
      <c r="X491" s="128"/>
      <c r="Y491" s="128"/>
      <c r="Z491" s="128"/>
    </row>
    <row r="492" spans="1:26" ht="12.5" hidden="1">
      <c r="A492" s="138">
        <v>541</v>
      </c>
      <c r="B492" s="173" t="s">
        <v>4126</v>
      </c>
      <c r="C492" s="139">
        <v>42731</v>
      </c>
      <c r="D492" s="173" t="s">
        <v>4229</v>
      </c>
      <c r="E492" s="145" t="s">
        <v>4230</v>
      </c>
      <c r="F492" s="196"/>
      <c r="G492" s="173" t="s">
        <v>35</v>
      </c>
      <c r="H492" s="138" t="s">
        <v>249</v>
      </c>
      <c r="I492" s="138">
        <v>1</v>
      </c>
      <c r="J492" s="144">
        <v>27193495</v>
      </c>
      <c r="K492" s="144">
        <v>27193495</v>
      </c>
      <c r="L492" s="143">
        <v>0</v>
      </c>
      <c r="M492" s="143">
        <v>0</v>
      </c>
      <c r="N492" s="143">
        <v>0</v>
      </c>
      <c r="O492" s="143">
        <v>0</v>
      </c>
      <c r="P492" s="148"/>
      <c r="Q492" s="138" t="s">
        <v>206</v>
      </c>
      <c r="R492" s="138" t="s">
        <v>3404</v>
      </c>
      <c r="S492" s="145" t="s">
        <v>4231</v>
      </c>
      <c r="T492" s="148"/>
      <c r="U492" s="202">
        <v>485</v>
      </c>
      <c r="V492" s="203" t="b">
        <v>1</v>
      </c>
      <c r="W492" s="204" t="s">
        <v>3285</v>
      </c>
      <c r="X492" s="128"/>
      <c r="Y492" s="128"/>
      <c r="Z492" s="128"/>
    </row>
    <row r="493" spans="1:26" ht="12.5" hidden="1">
      <c r="A493" s="138">
        <v>542</v>
      </c>
      <c r="B493" s="173" t="s">
        <v>4126</v>
      </c>
      <c r="C493" s="139">
        <v>42731</v>
      </c>
      <c r="D493" s="173" t="s">
        <v>4232</v>
      </c>
      <c r="E493" s="145" t="s">
        <v>4230</v>
      </c>
      <c r="F493" s="196"/>
      <c r="G493" s="173" t="s">
        <v>35</v>
      </c>
      <c r="H493" s="138" t="s">
        <v>249</v>
      </c>
      <c r="I493" s="138">
        <v>1</v>
      </c>
      <c r="J493" s="144">
        <v>27193495</v>
      </c>
      <c r="K493" s="144">
        <v>27193495</v>
      </c>
      <c r="L493" s="143">
        <v>0</v>
      </c>
      <c r="M493" s="143">
        <v>0</v>
      </c>
      <c r="N493" s="143">
        <v>0</v>
      </c>
      <c r="O493" s="143">
        <v>0</v>
      </c>
      <c r="P493" s="148"/>
      <c r="Q493" s="138" t="s">
        <v>206</v>
      </c>
      <c r="R493" s="138" t="s">
        <v>3404</v>
      </c>
      <c r="S493" s="145" t="s">
        <v>4231</v>
      </c>
      <c r="T493" s="148"/>
      <c r="U493" s="202">
        <v>486</v>
      </c>
      <c r="V493" s="203" t="b">
        <v>1</v>
      </c>
      <c r="W493" s="204" t="s">
        <v>3285</v>
      </c>
      <c r="X493" s="128"/>
      <c r="Y493" s="128"/>
      <c r="Z493" s="128"/>
    </row>
    <row r="494" spans="1:26" ht="12.5" hidden="1">
      <c r="A494" s="138">
        <v>543</v>
      </c>
      <c r="B494" s="173" t="s">
        <v>4126</v>
      </c>
      <c r="C494" s="139">
        <v>42731</v>
      </c>
      <c r="D494" s="173" t="s">
        <v>4233</v>
      </c>
      <c r="E494" s="145" t="s">
        <v>4230</v>
      </c>
      <c r="F494" s="196"/>
      <c r="G494" s="173" t="s">
        <v>35</v>
      </c>
      <c r="H494" s="138" t="s">
        <v>249</v>
      </c>
      <c r="I494" s="138">
        <v>1</v>
      </c>
      <c r="J494" s="144">
        <v>27193495</v>
      </c>
      <c r="K494" s="144">
        <v>27193495</v>
      </c>
      <c r="L494" s="143">
        <v>0</v>
      </c>
      <c r="M494" s="143">
        <v>0</v>
      </c>
      <c r="N494" s="143">
        <v>0</v>
      </c>
      <c r="O494" s="143">
        <v>0</v>
      </c>
      <c r="P494" s="148"/>
      <c r="Q494" s="138" t="s">
        <v>206</v>
      </c>
      <c r="R494" s="138" t="s">
        <v>3404</v>
      </c>
      <c r="S494" s="145" t="s">
        <v>4231</v>
      </c>
      <c r="T494" s="148"/>
      <c r="U494" s="202">
        <v>487</v>
      </c>
      <c r="V494" s="203" t="b">
        <v>1</v>
      </c>
      <c r="W494" s="204" t="s">
        <v>3285</v>
      </c>
      <c r="X494" s="128"/>
      <c r="Y494" s="128"/>
      <c r="Z494" s="128"/>
    </row>
    <row r="495" spans="1:26" ht="12.5" hidden="1">
      <c r="A495" s="138">
        <v>544</v>
      </c>
      <c r="B495" s="173" t="s">
        <v>4126</v>
      </c>
      <c r="C495" s="139">
        <v>42731</v>
      </c>
      <c r="D495" s="173" t="s">
        <v>4234</v>
      </c>
      <c r="E495" s="145" t="s">
        <v>4230</v>
      </c>
      <c r="F495" s="196"/>
      <c r="G495" s="173" t="s">
        <v>35</v>
      </c>
      <c r="H495" s="138" t="s">
        <v>249</v>
      </c>
      <c r="I495" s="138">
        <v>1</v>
      </c>
      <c r="J495" s="144">
        <v>27193495</v>
      </c>
      <c r="K495" s="144">
        <v>27193495</v>
      </c>
      <c r="L495" s="143">
        <v>0</v>
      </c>
      <c r="M495" s="143">
        <v>0</v>
      </c>
      <c r="N495" s="143">
        <v>0</v>
      </c>
      <c r="O495" s="143">
        <v>0</v>
      </c>
      <c r="P495" s="148"/>
      <c r="Q495" s="138" t="s">
        <v>206</v>
      </c>
      <c r="R495" s="138" t="s">
        <v>3404</v>
      </c>
      <c r="S495" s="145" t="s">
        <v>4231</v>
      </c>
      <c r="T495" s="148"/>
      <c r="U495" s="202">
        <v>488</v>
      </c>
      <c r="V495" s="203" t="b">
        <v>1</v>
      </c>
      <c r="W495" s="204" t="s">
        <v>3285</v>
      </c>
      <c r="X495" s="128"/>
      <c r="Y495" s="128"/>
      <c r="Z495" s="128"/>
    </row>
    <row r="496" spans="1:26" ht="12.5" hidden="1">
      <c r="A496" s="138">
        <v>545</v>
      </c>
      <c r="B496" s="173" t="s">
        <v>4126</v>
      </c>
      <c r="C496" s="139">
        <v>42731</v>
      </c>
      <c r="D496" s="173" t="s">
        <v>4235</v>
      </c>
      <c r="E496" s="145" t="s">
        <v>4230</v>
      </c>
      <c r="F496" s="196"/>
      <c r="G496" s="173" t="s">
        <v>35</v>
      </c>
      <c r="H496" s="138" t="s">
        <v>249</v>
      </c>
      <c r="I496" s="138">
        <v>1</v>
      </c>
      <c r="J496" s="144">
        <v>27193495</v>
      </c>
      <c r="K496" s="144">
        <v>27193495</v>
      </c>
      <c r="L496" s="143">
        <v>0</v>
      </c>
      <c r="M496" s="143">
        <v>0</v>
      </c>
      <c r="N496" s="143">
        <v>0</v>
      </c>
      <c r="O496" s="143">
        <v>0</v>
      </c>
      <c r="P496" s="148"/>
      <c r="Q496" s="138" t="s">
        <v>206</v>
      </c>
      <c r="R496" s="138" t="s">
        <v>3404</v>
      </c>
      <c r="S496" s="145" t="s">
        <v>4231</v>
      </c>
      <c r="T496" s="148"/>
      <c r="U496" s="202">
        <v>489</v>
      </c>
      <c r="V496" s="203" t="b">
        <v>1</v>
      </c>
      <c r="W496" s="204" t="s">
        <v>3285</v>
      </c>
      <c r="X496" s="128"/>
      <c r="Y496" s="128"/>
      <c r="Z496" s="128"/>
    </row>
    <row r="497" spans="1:26" ht="12.5" hidden="1">
      <c r="A497" s="138">
        <v>546</v>
      </c>
      <c r="B497" s="173" t="s">
        <v>4126</v>
      </c>
      <c r="C497" s="139">
        <v>42731</v>
      </c>
      <c r="D497" s="173" t="s">
        <v>4236</v>
      </c>
      <c r="E497" s="145" t="s">
        <v>4230</v>
      </c>
      <c r="F497" s="196"/>
      <c r="G497" s="173" t="s">
        <v>35</v>
      </c>
      <c r="H497" s="138" t="s">
        <v>249</v>
      </c>
      <c r="I497" s="138">
        <v>1</v>
      </c>
      <c r="J497" s="144">
        <v>27193495</v>
      </c>
      <c r="K497" s="144">
        <v>27193495</v>
      </c>
      <c r="L497" s="143">
        <v>0</v>
      </c>
      <c r="M497" s="143">
        <v>0</v>
      </c>
      <c r="N497" s="143">
        <v>0</v>
      </c>
      <c r="O497" s="143">
        <v>0</v>
      </c>
      <c r="P497" s="148"/>
      <c r="Q497" s="138" t="s">
        <v>206</v>
      </c>
      <c r="R497" s="138" t="s">
        <v>3404</v>
      </c>
      <c r="S497" s="145" t="s">
        <v>4231</v>
      </c>
      <c r="T497" s="148"/>
      <c r="U497" s="202">
        <v>490</v>
      </c>
      <c r="V497" s="203" t="b">
        <v>1</v>
      </c>
      <c r="W497" s="204" t="s">
        <v>3285</v>
      </c>
      <c r="X497" s="128"/>
      <c r="Y497" s="128"/>
      <c r="Z497" s="128"/>
    </row>
    <row r="498" spans="1:26" ht="12.5" hidden="1">
      <c r="A498" s="138">
        <v>547</v>
      </c>
      <c r="B498" s="173" t="s">
        <v>4126</v>
      </c>
      <c r="C498" s="139">
        <v>42731</v>
      </c>
      <c r="D498" s="173" t="s">
        <v>4237</v>
      </c>
      <c r="E498" s="145" t="s">
        <v>4230</v>
      </c>
      <c r="F498" s="196"/>
      <c r="G498" s="173" t="s">
        <v>35</v>
      </c>
      <c r="H498" s="138" t="s">
        <v>249</v>
      </c>
      <c r="I498" s="138">
        <v>1</v>
      </c>
      <c r="J498" s="144">
        <v>27193495</v>
      </c>
      <c r="K498" s="144">
        <v>27193495</v>
      </c>
      <c r="L498" s="143">
        <v>0</v>
      </c>
      <c r="M498" s="143">
        <v>0</v>
      </c>
      <c r="N498" s="143">
        <v>0</v>
      </c>
      <c r="O498" s="143">
        <v>0</v>
      </c>
      <c r="P498" s="148"/>
      <c r="Q498" s="138" t="s">
        <v>206</v>
      </c>
      <c r="R498" s="138" t="s">
        <v>3404</v>
      </c>
      <c r="S498" s="145" t="s">
        <v>4231</v>
      </c>
      <c r="T498" s="148"/>
      <c r="U498" s="202">
        <v>491</v>
      </c>
      <c r="V498" s="203" t="b">
        <v>1</v>
      </c>
      <c r="W498" s="204" t="s">
        <v>3285</v>
      </c>
      <c r="X498" s="128"/>
      <c r="Y498" s="128"/>
      <c r="Z498" s="128"/>
    </row>
    <row r="499" spans="1:26" ht="12.5" hidden="1">
      <c r="A499" s="138">
        <v>548</v>
      </c>
      <c r="B499" s="173" t="s">
        <v>4126</v>
      </c>
      <c r="C499" s="139">
        <v>42731</v>
      </c>
      <c r="D499" s="173" t="s">
        <v>4238</v>
      </c>
      <c r="E499" s="145" t="s">
        <v>4230</v>
      </c>
      <c r="F499" s="196"/>
      <c r="G499" s="173" t="s">
        <v>35</v>
      </c>
      <c r="H499" s="138" t="s">
        <v>249</v>
      </c>
      <c r="I499" s="138">
        <v>1</v>
      </c>
      <c r="J499" s="144">
        <v>27193495</v>
      </c>
      <c r="K499" s="144">
        <v>27193495</v>
      </c>
      <c r="L499" s="143">
        <v>0</v>
      </c>
      <c r="M499" s="143">
        <v>0</v>
      </c>
      <c r="N499" s="143">
        <v>0</v>
      </c>
      <c r="O499" s="143">
        <v>0</v>
      </c>
      <c r="P499" s="148"/>
      <c r="Q499" s="138" t="s">
        <v>206</v>
      </c>
      <c r="R499" s="138" t="s">
        <v>3404</v>
      </c>
      <c r="S499" s="145" t="s">
        <v>4231</v>
      </c>
      <c r="T499" s="148"/>
      <c r="U499" s="202">
        <v>492</v>
      </c>
      <c r="V499" s="203" t="b">
        <v>1</v>
      </c>
      <c r="W499" s="204" t="s">
        <v>3285</v>
      </c>
      <c r="X499" s="128"/>
      <c r="Y499" s="128"/>
      <c r="Z499" s="128"/>
    </row>
    <row r="500" spans="1:26" ht="12.5" hidden="1">
      <c r="A500" s="138">
        <v>549</v>
      </c>
      <c r="B500" s="173" t="s">
        <v>4126</v>
      </c>
      <c r="C500" s="139">
        <v>42731</v>
      </c>
      <c r="D500" s="173" t="s">
        <v>4239</v>
      </c>
      <c r="E500" s="145" t="s">
        <v>4230</v>
      </c>
      <c r="F500" s="196"/>
      <c r="G500" s="173" t="s">
        <v>35</v>
      </c>
      <c r="H500" s="138" t="s">
        <v>249</v>
      </c>
      <c r="I500" s="138">
        <v>1</v>
      </c>
      <c r="J500" s="144">
        <v>27193495</v>
      </c>
      <c r="K500" s="144">
        <v>27193495</v>
      </c>
      <c r="L500" s="143">
        <v>0</v>
      </c>
      <c r="M500" s="143">
        <v>0</v>
      </c>
      <c r="N500" s="143">
        <v>0</v>
      </c>
      <c r="O500" s="143">
        <v>0</v>
      </c>
      <c r="P500" s="148"/>
      <c r="Q500" s="138" t="s">
        <v>206</v>
      </c>
      <c r="R500" s="138" t="s">
        <v>3404</v>
      </c>
      <c r="S500" s="145" t="s">
        <v>4231</v>
      </c>
      <c r="T500" s="148"/>
      <c r="U500" s="202">
        <v>493</v>
      </c>
      <c r="V500" s="203" t="b">
        <v>1</v>
      </c>
      <c r="W500" s="204" t="s">
        <v>3285</v>
      </c>
      <c r="X500" s="128"/>
      <c r="Y500" s="128"/>
      <c r="Z500" s="128"/>
    </row>
    <row r="501" spans="1:26" ht="12.5" hidden="1">
      <c r="A501" s="138">
        <v>550</v>
      </c>
      <c r="B501" s="173" t="s">
        <v>4126</v>
      </c>
      <c r="C501" s="139">
        <v>42731</v>
      </c>
      <c r="D501" s="173" t="s">
        <v>4240</v>
      </c>
      <c r="E501" s="145" t="s">
        <v>4230</v>
      </c>
      <c r="F501" s="196"/>
      <c r="G501" s="173" t="s">
        <v>35</v>
      </c>
      <c r="H501" s="138" t="s">
        <v>249</v>
      </c>
      <c r="I501" s="138">
        <v>1</v>
      </c>
      <c r="J501" s="144">
        <v>27193495</v>
      </c>
      <c r="K501" s="144">
        <v>27193495</v>
      </c>
      <c r="L501" s="143">
        <v>0</v>
      </c>
      <c r="M501" s="143">
        <v>0</v>
      </c>
      <c r="N501" s="143">
        <v>0</v>
      </c>
      <c r="O501" s="143">
        <v>0</v>
      </c>
      <c r="P501" s="148"/>
      <c r="Q501" s="138" t="s">
        <v>206</v>
      </c>
      <c r="R501" s="138" t="s">
        <v>3404</v>
      </c>
      <c r="S501" s="145" t="s">
        <v>4231</v>
      </c>
      <c r="T501" s="148"/>
      <c r="U501" s="202">
        <v>494</v>
      </c>
      <c r="V501" s="203" t="b">
        <v>1</v>
      </c>
      <c r="W501" s="204" t="s">
        <v>3285</v>
      </c>
      <c r="X501" s="128"/>
      <c r="Y501" s="128"/>
      <c r="Z501" s="128"/>
    </row>
    <row r="502" spans="1:26" ht="12.5" hidden="1">
      <c r="A502" s="138">
        <v>551</v>
      </c>
      <c r="B502" s="173" t="s">
        <v>4126</v>
      </c>
      <c r="C502" s="139">
        <v>42731</v>
      </c>
      <c r="D502" s="173" t="s">
        <v>4241</v>
      </c>
      <c r="E502" s="145" t="s">
        <v>4230</v>
      </c>
      <c r="F502" s="196"/>
      <c r="G502" s="173" t="s">
        <v>35</v>
      </c>
      <c r="H502" s="138" t="s">
        <v>249</v>
      </c>
      <c r="I502" s="138">
        <v>1</v>
      </c>
      <c r="J502" s="144">
        <v>27193495</v>
      </c>
      <c r="K502" s="144">
        <v>27193495</v>
      </c>
      <c r="L502" s="143">
        <v>0</v>
      </c>
      <c r="M502" s="143">
        <v>0</v>
      </c>
      <c r="N502" s="143">
        <v>0</v>
      </c>
      <c r="O502" s="143">
        <v>0</v>
      </c>
      <c r="P502" s="148"/>
      <c r="Q502" s="138" t="s">
        <v>206</v>
      </c>
      <c r="R502" s="138" t="s">
        <v>3404</v>
      </c>
      <c r="S502" s="145" t="s">
        <v>4231</v>
      </c>
      <c r="T502" s="148"/>
      <c r="U502" s="202">
        <v>495</v>
      </c>
      <c r="V502" s="203" t="b">
        <v>1</v>
      </c>
      <c r="W502" s="204" t="s">
        <v>3285</v>
      </c>
      <c r="X502" s="128"/>
      <c r="Y502" s="128"/>
      <c r="Z502" s="128"/>
    </row>
    <row r="503" spans="1:26" ht="12.5" hidden="1">
      <c r="A503" s="138">
        <v>552</v>
      </c>
      <c r="B503" s="173" t="s">
        <v>4126</v>
      </c>
      <c r="C503" s="139">
        <v>42731</v>
      </c>
      <c r="D503" s="173" t="s">
        <v>4242</v>
      </c>
      <c r="E503" s="145" t="s">
        <v>4230</v>
      </c>
      <c r="F503" s="196"/>
      <c r="G503" s="173" t="s">
        <v>35</v>
      </c>
      <c r="H503" s="138" t="s">
        <v>249</v>
      </c>
      <c r="I503" s="138">
        <v>1</v>
      </c>
      <c r="J503" s="144">
        <v>27193495</v>
      </c>
      <c r="K503" s="144">
        <v>27193495</v>
      </c>
      <c r="L503" s="143">
        <v>0</v>
      </c>
      <c r="M503" s="143">
        <v>0</v>
      </c>
      <c r="N503" s="143">
        <v>0</v>
      </c>
      <c r="O503" s="143">
        <v>0</v>
      </c>
      <c r="P503" s="148"/>
      <c r="Q503" s="138" t="s">
        <v>206</v>
      </c>
      <c r="R503" s="138" t="s">
        <v>3404</v>
      </c>
      <c r="S503" s="145" t="s">
        <v>4231</v>
      </c>
      <c r="T503" s="148"/>
      <c r="U503" s="202">
        <v>496</v>
      </c>
      <c r="V503" s="203" t="b">
        <v>1</v>
      </c>
      <c r="W503" s="204" t="s">
        <v>3285</v>
      </c>
      <c r="X503" s="128"/>
      <c r="Y503" s="128"/>
      <c r="Z503" s="128"/>
    </row>
    <row r="504" spans="1:26" ht="12.5" hidden="1">
      <c r="A504" s="138">
        <v>553</v>
      </c>
      <c r="B504" s="173" t="s">
        <v>4126</v>
      </c>
      <c r="C504" s="139">
        <v>42731</v>
      </c>
      <c r="D504" s="173" t="s">
        <v>4243</v>
      </c>
      <c r="E504" s="145" t="s">
        <v>4230</v>
      </c>
      <c r="F504" s="196"/>
      <c r="G504" s="173" t="s">
        <v>35</v>
      </c>
      <c r="H504" s="138" t="s">
        <v>249</v>
      </c>
      <c r="I504" s="138">
        <v>1</v>
      </c>
      <c r="J504" s="144">
        <v>27193495</v>
      </c>
      <c r="K504" s="144">
        <v>27193495</v>
      </c>
      <c r="L504" s="143">
        <v>0</v>
      </c>
      <c r="M504" s="143">
        <v>0</v>
      </c>
      <c r="N504" s="143">
        <v>0</v>
      </c>
      <c r="O504" s="143">
        <v>0</v>
      </c>
      <c r="P504" s="148"/>
      <c r="Q504" s="138" t="s">
        <v>206</v>
      </c>
      <c r="R504" s="138" t="s">
        <v>3404</v>
      </c>
      <c r="S504" s="145" t="s">
        <v>4231</v>
      </c>
      <c r="T504" s="148"/>
      <c r="U504" s="202">
        <v>497</v>
      </c>
      <c r="V504" s="203" t="b">
        <v>1</v>
      </c>
      <c r="W504" s="204" t="s">
        <v>3285</v>
      </c>
      <c r="X504" s="128"/>
      <c r="Y504" s="128"/>
      <c r="Z504" s="128"/>
    </row>
    <row r="505" spans="1:26" ht="12.5" hidden="1">
      <c r="A505" s="138">
        <v>554</v>
      </c>
      <c r="B505" s="173" t="s">
        <v>4126</v>
      </c>
      <c r="C505" s="139">
        <v>42731</v>
      </c>
      <c r="D505" s="173" t="s">
        <v>4244</v>
      </c>
      <c r="E505" s="145" t="s">
        <v>4230</v>
      </c>
      <c r="F505" s="196"/>
      <c r="G505" s="173" t="s">
        <v>35</v>
      </c>
      <c r="H505" s="138" t="s">
        <v>249</v>
      </c>
      <c r="I505" s="138">
        <v>1</v>
      </c>
      <c r="J505" s="144">
        <v>27193495</v>
      </c>
      <c r="K505" s="144">
        <v>27193495</v>
      </c>
      <c r="L505" s="143">
        <v>0</v>
      </c>
      <c r="M505" s="143">
        <v>0</v>
      </c>
      <c r="N505" s="143">
        <v>0</v>
      </c>
      <c r="O505" s="143">
        <v>0</v>
      </c>
      <c r="P505" s="148"/>
      <c r="Q505" s="138" t="s">
        <v>36</v>
      </c>
      <c r="R505" s="138" t="s">
        <v>1146</v>
      </c>
      <c r="S505" s="145" t="s">
        <v>4231</v>
      </c>
      <c r="T505" s="148"/>
      <c r="U505" s="202">
        <v>498</v>
      </c>
      <c r="V505" s="203" t="b">
        <v>1</v>
      </c>
      <c r="W505" s="204" t="s">
        <v>3285</v>
      </c>
      <c r="X505" s="128"/>
      <c r="Y505" s="128"/>
      <c r="Z505" s="128"/>
    </row>
    <row r="506" spans="1:26" ht="12.5" hidden="1">
      <c r="A506" s="138">
        <v>555</v>
      </c>
      <c r="B506" s="173" t="s">
        <v>4126</v>
      </c>
      <c r="C506" s="139">
        <v>42731</v>
      </c>
      <c r="D506" s="173" t="s">
        <v>4245</v>
      </c>
      <c r="E506" s="145" t="s">
        <v>4230</v>
      </c>
      <c r="F506" s="196"/>
      <c r="G506" s="173" t="s">
        <v>35</v>
      </c>
      <c r="H506" s="138" t="s">
        <v>249</v>
      </c>
      <c r="I506" s="138">
        <v>1</v>
      </c>
      <c r="J506" s="144">
        <v>27193495</v>
      </c>
      <c r="K506" s="144">
        <v>27193495</v>
      </c>
      <c r="L506" s="143">
        <v>0</v>
      </c>
      <c r="M506" s="143">
        <v>0</v>
      </c>
      <c r="N506" s="143">
        <v>0</v>
      </c>
      <c r="O506" s="143">
        <v>0</v>
      </c>
      <c r="P506" s="148"/>
      <c r="Q506" s="138" t="s">
        <v>36</v>
      </c>
      <c r="R506" s="138" t="s">
        <v>1146</v>
      </c>
      <c r="S506" s="145" t="s">
        <v>4231</v>
      </c>
      <c r="T506" s="148"/>
      <c r="U506" s="202">
        <v>499</v>
      </c>
      <c r="V506" s="203" t="b">
        <v>1</v>
      </c>
      <c r="W506" s="204" t="s">
        <v>3285</v>
      </c>
      <c r="X506" s="128"/>
      <c r="Y506" s="128"/>
      <c r="Z506" s="128"/>
    </row>
    <row r="507" spans="1:26" ht="12.5" hidden="1">
      <c r="A507" s="138">
        <v>556</v>
      </c>
      <c r="B507" s="173" t="s">
        <v>4126</v>
      </c>
      <c r="C507" s="139">
        <v>42731</v>
      </c>
      <c r="D507" s="173" t="s">
        <v>4246</v>
      </c>
      <c r="E507" s="145" t="s">
        <v>4230</v>
      </c>
      <c r="F507" s="196"/>
      <c r="G507" s="173" t="s">
        <v>35</v>
      </c>
      <c r="H507" s="138" t="s">
        <v>249</v>
      </c>
      <c r="I507" s="138">
        <v>1</v>
      </c>
      <c r="J507" s="144">
        <v>27193495</v>
      </c>
      <c r="K507" s="144">
        <v>27193495</v>
      </c>
      <c r="L507" s="143">
        <v>0</v>
      </c>
      <c r="M507" s="143">
        <v>0</v>
      </c>
      <c r="N507" s="143">
        <v>0</v>
      </c>
      <c r="O507" s="143">
        <v>0</v>
      </c>
      <c r="P507" s="148"/>
      <c r="Q507" s="138" t="s">
        <v>36</v>
      </c>
      <c r="R507" s="138" t="s">
        <v>1146</v>
      </c>
      <c r="S507" s="145" t="s">
        <v>4231</v>
      </c>
      <c r="T507" s="148"/>
      <c r="U507" s="202">
        <v>500</v>
      </c>
      <c r="V507" s="203" t="b">
        <v>1</v>
      </c>
      <c r="W507" s="204" t="s">
        <v>3285</v>
      </c>
      <c r="X507" s="128"/>
      <c r="Y507" s="128"/>
      <c r="Z507" s="128"/>
    </row>
    <row r="508" spans="1:26" ht="12.5" hidden="1">
      <c r="A508" s="138">
        <v>557</v>
      </c>
      <c r="B508" s="173" t="s">
        <v>4126</v>
      </c>
      <c r="C508" s="139">
        <v>42731</v>
      </c>
      <c r="D508" s="173" t="s">
        <v>4247</v>
      </c>
      <c r="E508" s="145" t="s">
        <v>4230</v>
      </c>
      <c r="F508" s="196"/>
      <c r="G508" s="173" t="s">
        <v>35</v>
      </c>
      <c r="H508" s="138" t="s">
        <v>249</v>
      </c>
      <c r="I508" s="138">
        <v>1</v>
      </c>
      <c r="J508" s="144">
        <v>27193495</v>
      </c>
      <c r="K508" s="144">
        <v>27193495</v>
      </c>
      <c r="L508" s="143">
        <v>0</v>
      </c>
      <c r="M508" s="143">
        <v>0</v>
      </c>
      <c r="N508" s="143">
        <v>0</v>
      </c>
      <c r="O508" s="143">
        <v>0</v>
      </c>
      <c r="P508" s="148"/>
      <c r="Q508" s="138" t="s">
        <v>36</v>
      </c>
      <c r="R508" s="138" t="s">
        <v>1146</v>
      </c>
      <c r="S508" s="145" t="s">
        <v>4231</v>
      </c>
      <c r="T508" s="148"/>
      <c r="U508" s="202">
        <v>501</v>
      </c>
      <c r="V508" s="203" t="b">
        <v>1</v>
      </c>
      <c r="W508" s="204" t="s">
        <v>3285</v>
      </c>
      <c r="X508" s="128"/>
      <c r="Y508" s="128"/>
      <c r="Z508" s="128"/>
    </row>
    <row r="509" spans="1:26" ht="12.5" hidden="1">
      <c r="A509" s="138">
        <v>558</v>
      </c>
      <c r="B509" s="173" t="s">
        <v>4126</v>
      </c>
      <c r="C509" s="139">
        <v>42731</v>
      </c>
      <c r="D509" s="173" t="s">
        <v>4248</v>
      </c>
      <c r="E509" s="145" t="s">
        <v>4230</v>
      </c>
      <c r="F509" s="196"/>
      <c r="G509" s="173" t="s">
        <v>35</v>
      </c>
      <c r="H509" s="138" t="s">
        <v>249</v>
      </c>
      <c r="I509" s="138">
        <v>1</v>
      </c>
      <c r="J509" s="144">
        <v>27193495</v>
      </c>
      <c r="K509" s="144">
        <v>27193495</v>
      </c>
      <c r="L509" s="143">
        <v>0</v>
      </c>
      <c r="M509" s="143">
        <v>0</v>
      </c>
      <c r="N509" s="143">
        <v>0</v>
      </c>
      <c r="O509" s="143">
        <v>0</v>
      </c>
      <c r="P509" s="148"/>
      <c r="Q509" s="138" t="s">
        <v>36</v>
      </c>
      <c r="R509" s="138" t="s">
        <v>1146</v>
      </c>
      <c r="S509" s="145" t="s">
        <v>4231</v>
      </c>
      <c r="T509" s="148"/>
      <c r="U509" s="202">
        <v>502</v>
      </c>
      <c r="V509" s="203" t="b">
        <v>1</v>
      </c>
      <c r="W509" s="204" t="s">
        <v>3285</v>
      </c>
      <c r="X509" s="128"/>
      <c r="Y509" s="128"/>
      <c r="Z509" s="128"/>
    </row>
    <row r="510" spans="1:26" ht="12.5" hidden="1">
      <c r="A510" s="138">
        <v>559</v>
      </c>
      <c r="B510" s="173" t="s">
        <v>4126</v>
      </c>
      <c r="C510" s="139">
        <v>42731</v>
      </c>
      <c r="D510" s="173" t="s">
        <v>4249</v>
      </c>
      <c r="E510" s="145" t="s">
        <v>4230</v>
      </c>
      <c r="F510" s="196"/>
      <c r="G510" s="173" t="s">
        <v>35</v>
      </c>
      <c r="H510" s="138" t="s">
        <v>249</v>
      </c>
      <c r="I510" s="138">
        <v>1</v>
      </c>
      <c r="J510" s="144">
        <v>27193495</v>
      </c>
      <c r="K510" s="144">
        <v>27193495</v>
      </c>
      <c r="L510" s="143">
        <v>0</v>
      </c>
      <c r="M510" s="143">
        <v>0</v>
      </c>
      <c r="N510" s="143">
        <v>0</v>
      </c>
      <c r="O510" s="143">
        <v>0</v>
      </c>
      <c r="P510" s="148"/>
      <c r="Q510" s="138" t="s">
        <v>36</v>
      </c>
      <c r="R510" s="138" t="s">
        <v>1146</v>
      </c>
      <c r="S510" s="145" t="s">
        <v>4231</v>
      </c>
      <c r="T510" s="148"/>
      <c r="U510" s="202">
        <v>503</v>
      </c>
      <c r="V510" s="203" t="b">
        <v>1</v>
      </c>
      <c r="W510" s="204" t="s">
        <v>3285</v>
      </c>
      <c r="X510" s="128"/>
      <c r="Y510" s="128"/>
      <c r="Z510" s="128"/>
    </row>
    <row r="511" spans="1:26" ht="12.5" hidden="1">
      <c r="A511" s="138">
        <v>560</v>
      </c>
      <c r="B511" s="173" t="s">
        <v>4126</v>
      </c>
      <c r="C511" s="139">
        <v>42731</v>
      </c>
      <c r="D511" s="173" t="s">
        <v>4250</v>
      </c>
      <c r="E511" s="145" t="s">
        <v>4230</v>
      </c>
      <c r="F511" s="196"/>
      <c r="G511" s="173" t="s">
        <v>35</v>
      </c>
      <c r="H511" s="138" t="s">
        <v>249</v>
      </c>
      <c r="I511" s="138">
        <v>1</v>
      </c>
      <c r="J511" s="144">
        <v>27193495</v>
      </c>
      <c r="K511" s="144">
        <v>27193495</v>
      </c>
      <c r="L511" s="143">
        <v>0</v>
      </c>
      <c r="M511" s="143">
        <v>0</v>
      </c>
      <c r="N511" s="143">
        <v>0</v>
      </c>
      <c r="O511" s="143">
        <v>0</v>
      </c>
      <c r="P511" s="148"/>
      <c r="Q511" s="138" t="s">
        <v>36</v>
      </c>
      <c r="R511" s="138" t="s">
        <v>1146</v>
      </c>
      <c r="S511" s="145" t="s">
        <v>4231</v>
      </c>
      <c r="T511" s="148"/>
      <c r="U511" s="202">
        <v>504</v>
      </c>
      <c r="V511" s="203" t="b">
        <v>1</v>
      </c>
      <c r="W511" s="204" t="s">
        <v>3285</v>
      </c>
      <c r="X511" s="128"/>
      <c r="Y511" s="128"/>
      <c r="Z511" s="128"/>
    </row>
    <row r="512" spans="1:26" ht="12.5" hidden="1">
      <c r="A512" s="138">
        <v>561</v>
      </c>
      <c r="B512" s="173" t="s">
        <v>4126</v>
      </c>
      <c r="C512" s="139">
        <v>42731</v>
      </c>
      <c r="D512" s="173" t="s">
        <v>4251</v>
      </c>
      <c r="E512" s="145" t="s">
        <v>4230</v>
      </c>
      <c r="F512" s="196"/>
      <c r="G512" s="173" t="s">
        <v>35</v>
      </c>
      <c r="H512" s="138" t="s">
        <v>249</v>
      </c>
      <c r="I512" s="138">
        <v>1</v>
      </c>
      <c r="J512" s="144">
        <v>27193495</v>
      </c>
      <c r="K512" s="144">
        <v>27193495</v>
      </c>
      <c r="L512" s="143">
        <v>0</v>
      </c>
      <c r="M512" s="143">
        <v>0</v>
      </c>
      <c r="N512" s="143">
        <v>0</v>
      </c>
      <c r="O512" s="143">
        <v>0</v>
      </c>
      <c r="P512" s="148"/>
      <c r="Q512" s="138" t="s">
        <v>36</v>
      </c>
      <c r="R512" s="138" t="s">
        <v>1146</v>
      </c>
      <c r="S512" s="145" t="s">
        <v>4231</v>
      </c>
      <c r="T512" s="148"/>
      <c r="U512" s="202">
        <v>505</v>
      </c>
      <c r="V512" s="203" t="b">
        <v>1</v>
      </c>
      <c r="W512" s="204" t="s">
        <v>3285</v>
      </c>
      <c r="X512" s="128"/>
      <c r="Y512" s="128"/>
      <c r="Z512" s="128"/>
    </row>
    <row r="513" spans="1:26" ht="12.5" hidden="1">
      <c r="A513" s="138">
        <v>562</v>
      </c>
      <c r="B513" s="173" t="s">
        <v>4126</v>
      </c>
      <c r="C513" s="139">
        <v>42731</v>
      </c>
      <c r="D513" s="173" t="s">
        <v>4252</v>
      </c>
      <c r="E513" s="145" t="s">
        <v>4230</v>
      </c>
      <c r="F513" s="196"/>
      <c r="G513" s="173" t="s">
        <v>35</v>
      </c>
      <c r="H513" s="138" t="s">
        <v>249</v>
      </c>
      <c r="I513" s="138">
        <v>1</v>
      </c>
      <c r="J513" s="144">
        <v>27193495</v>
      </c>
      <c r="K513" s="144">
        <v>27193495</v>
      </c>
      <c r="L513" s="143">
        <v>0</v>
      </c>
      <c r="M513" s="143">
        <v>0</v>
      </c>
      <c r="N513" s="143">
        <v>0</v>
      </c>
      <c r="O513" s="143">
        <v>0</v>
      </c>
      <c r="P513" s="148"/>
      <c r="Q513" s="138" t="s">
        <v>36</v>
      </c>
      <c r="R513" s="138" t="s">
        <v>1146</v>
      </c>
      <c r="S513" s="145" t="s">
        <v>4231</v>
      </c>
      <c r="T513" s="148"/>
      <c r="U513" s="202">
        <v>506</v>
      </c>
      <c r="V513" s="203" t="b">
        <v>1</v>
      </c>
      <c r="W513" s="204" t="s">
        <v>3285</v>
      </c>
      <c r="X513" s="128"/>
      <c r="Y513" s="128"/>
      <c r="Z513" s="128"/>
    </row>
    <row r="514" spans="1:26" ht="12.5" hidden="1">
      <c r="A514" s="138">
        <v>563</v>
      </c>
      <c r="B514" s="173" t="s">
        <v>4126</v>
      </c>
      <c r="C514" s="139">
        <v>42731</v>
      </c>
      <c r="D514" s="173" t="s">
        <v>4253</v>
      </c>
      <c r="E514" s="145" t="s">
        <v>4230</v>
      </c>
      <c r="F514" s="196"/>
      <c r="G514" s="173" t="s">
        <v>35</v>
      </c>
      <c r="H514" s="138" t="s">
        <v>249</v>
      </c>
      <c r="I514" s="138">
        <v>1</v>
      </c>
      <c r="J514" s="144">
        <v>27193495</v>
      </c>
      <c r="K514" s="144">
        <v>27193495</v>
      </c>
      <c r="L514" s="143">
        <v>0</v>
      </c>
      <c r="M514" s="143">
        <v>0</v>
      </c>
      <c r="N514" s="143">
        <v>0</v>
      </c>
      <c r="O514" s="143">
        <v>0</v>
      </c>
      <c r="P514" s="148"/>
      <c r="Q514" s="138" t="s">
        <v>36</v>
      </c>
      <c r="R514" s="138" t="s">
        <v>1146</v>
      </c>
      <c r="S514" s="145" t="s">
        <v>4231</v>
      </c>
      <c r="T514" s="148"/>
      <c r="U514" s="202">
        <v>507</v>
      </c>
      <c r="V514" s="203" t="b">
        <v>1</v>
      </c>
      <c r="W514" s="204" t="s">
        <v>3285</v>
      </c>
      <c r="X514" s="128"/>
      <c r="Y514" s="128"/>
      <c r="Z514" s="128"/>
    </row>
    <row r="515" spans="1:26" ht="12.5" hidden="1">
      <c r="A515" s="138">
        <v>564</v>
      </c>
      <c r="B515" s="173" t="s">
        <v>4254</v>
      </c>
      <c r="C515" s="139">
        <v>42004</v>
      </c>
      <c r="D515" s="173" t="s">
        <v>4255</v>
      </c>
      <c r="E515" s="145" t="s">
        <v>4256</v>
      </c>
      <c r="F515" s="145" t="s">
        <v>4257</v>
      </c>
      <c r="G515" s="148"/>
      <c r="H515" s="138" t="s">
        <v>19</v>
      </c>
      <c r="I515" s="138">
        <v>1</v>
      </c>
      <c r="J515" s="144">
        <v>21650000</v>
      </c>
      <c r="K515" s="144">
        <v>21650000</v>
      </c>
      <c r="L515" s="143">
        <v>0</v>
      </c>
      <c r="M515" s="143">
        <v>0</v>
      </c>
      <c r="N515" s="143">
        <v>0</v>
      </c>
      <c r="O515" s="143">
        <v>0</v>
      </c>
      <c r="P515" s="148"/>
      <c r="Q515" s="138" t="s">
        <v>20</v>
      </c>
      <c r="R515" s="138" t="s">
        <v>295</v>
      </c>
      <c r="S515" s="145" t="s">
        <v>4258</v>
      </c>
      <c r="T515" s="148"/>
      <c r="U515" s="202">
        <v>508</v>
      </c>
      <c r="V515" s="203" t="b">
        <v>1</v>
      </c>
      <c r="W515" s="204" t="s">
        <v>3285</v>
      </c>
      <c r="X515" s="128"/>
      <c r="Y515" s="128"/>
      <c r="Z515" s="128"/>
    </row>
    <row r="516" spans="1:26" ht="12.5" hidden="1">
      <c r="A516" s="138">
        <v>565</v>
      </c>
      <c r="B516" s="173" t="s">
        <v>4254</v>
      </c>
      <c r="C516" s="139">
        <v>42004</v>
      </c>
      <c r="D516" s="173" t="s">
        <v>4259</v>
      </c>
      <c r="E516" s="145" t="s">
        <v>4256</v>
      </c>
      <c r="F516" s="145" t="s">
        <v>4260</v>
      </c>
      <c r="G516" s="148"/>
      <c r="H516" s="138" t="s">
        <v>19</v>
      </c>
      <c r="I516" s="138">
        <v>1</v>
      </c>
      <c r="J516" s="144">
        <v>21650000</v>
      </c>
      <c r="K516" s="144">
        <v>21650000</v>
      </c>
      <c r="L516" s="143">
        <v>0</v>
      </c>
      <c r="M516" s="143">
        <v>0</v>
      </c>
      <c r="N516" s="143">
        <v>0</v>
      </c>
      <c r="O516" s="143">
        <v>0</v>
      </c>
      <c r="P516" s="148"/>
      <c r="Q516" s="138" t="s">
        <v>206</v>
      </c>
      <c r="R516" s="138" t="s">
        <v>3404</v>
      </c>
      <c r="S516" s="145" t="s">
        <v>4261</v>
      </c>
      <c r="T516" s="148"/>
      <c r="U516" s="202">
        <v>509</v>
      </c>
      <c r="V516" s="203" t="b">
        <v>1</v>
      </c>
      <c r="W516" s="204" t="s">
        <v>3285</v>
      </c>
      <c r="X516" s="128"/>
      <c r="Y516" s="128"/>
      <c r="Z516" s="128"/>
    </row>
    <row r="517" spans="1:26" ht="12.5" hidden="1">
      <c r="A517" s="138">
        <v>566</v>
      </c>
      <c r="B517" s="173" t="s">
        <v>4262</v>
      </c>
      <c r="C517" s="139">
        <v>42332</v>
      </c>
      <c r="D517" s="173" t="s">
        <v>4263</v>
      </c>
      <c r="E517" s="145" t="s">
        <v>4264</v>
      </c>
      <c r="F517" s="145" t="s">
        <v>4265</v>
      </c>
      <c r="G517" s="148"/>
      <c r="H517" s="138" t="s">
        <v>249</v>
      </c>
      <c r="I517" s="138">
        <v>1</v>
      </c>
      <c r="J517" s="144">
        <v>9000000</v>
      </c>
      <c r="K517" s="144">
        <v>9000000</v>
      </c>
      <c r="L517" s="143">
        <v>0</v>
      </c>
      <c r="M517" s="143">
        <v>0</v>
      </c>
      <c r="N517" s="143">
        <v>0</v>
      </c>
      <c r="O517" s="143">
        <v>0</v>
      </c>
      <c r="P517" s="173" t="s">
        <v>4266</v>
      </c>
      <c r="Q517" s="138" t="s">
        <v>20</v>
      </c>
      <c r="R517" s="138" t="s">
        <v>423</v>
      </c>
      <c r="S517" s="145" t="s">
        <v>4267</v>
      </c>
      <c r="T517" s="148"/>
      <c r="U517" s="202">
        <v>510</v>
      </c>
      <c r="V517" s="203" t="b">
        <v>1</v>
      </c>
      <c r="W517" s="204" t="s">
        <v>3285</v>
      </c>
      <c r="X517" s="128"/>
      <c r="Y517" s="128"/>
      <c r="Z517" s="128"/>
    </row>
    <row r="518" spans="1:26" ht="12.5" hidden="1">
      <c r="A518" s="138">
        <v>567</v>
      </c>
      <c r="B518" s="173" t="s">
        <v>4262</v>
      </c>
      <c r="C518" s="139">
        <v>42332</v>
      </c>
      <c r="D518" s="173" t="s">
        <v>4268</v>
      </c>
      <c r="E518" s="145" t="s">
        <v>4264</v>
      </c>
      <c r="F518" s="145" t="s">
        <v>4269</v>
      </c>
      <c r="G518" s="148"/>
      <c r="H518" s="138" t="s">
        <v>249</v>
      </c>
      <c r="I518" s="138">
        <v>1</v>
      </c>
      <c r="J518" s="144">
        <v>9000000</v>
      </c>
      <c r="K518" s="144">
        <v>9000000</v>
      </c>
      <c r="L518" s="143">
        <v>0</v>
      </c>
      <c r="M518" s="143">
        <v>0</v>
      </c>
      <c r="N518" s="143">
        <v>0</v>
      </c>
      <c r="O518" s="143">
        <v>0</v>
      </c>
      <c r="P518" s="173" t="s">
        <v>4270</v>
      </c>
      <c r="Q518" s="138" t="s">
        <v>20</v>
      </c>
      <c r="R518" s="138" t="s">
        <v>233</v>
      </c>
      <c r="S518" s="145" t="s">
        <v>4271</v>
      </c>
      <c r="T518" s="148"/>
      <c r="U518" s="202">
        <v>511</v>
      </c>
      <c r="V518" s="203" t="b">
        <v>1</v>
      </c>
      <c r="W518" s="204" t="s">
        <v>3285</v>
      </c>
      <c r="X518" s="128"/>
      <c r="Y518" s="128"/>
      <c r="Z518" s="128"/>
    </row>
    <row r="519" spans="1:26" ht="12.5" hidden="1">
      <c r="A519" s="138">
        <v>568</v>
      </c>
      <c r="B519" s="173" t="s">
        <v>4272</v>
      </c>
      <c r="C519" s="139">
        <v>42515</v>
      </c>
      <c r="D519" s="173" t="s">
        <v>4273</v>
      </c>
      <c r="E519" s="145" t="s">
        <v>4274</v>
      </c>
      <c r="F519" s="145" t="s">
        <v>4275</v>
      </c>
      <c r="G519" s="148"/>
      <c r="H519" s="138" t="s">
        <v>249</v>
      </c>
      <c r="I519" s="138">
        <v>1</v>
      </c>
      <c r="J519" s="144">
        <v>17042175</v>
      </c>
      <c r="K519" s="144">
        <v>17042175</v>
      </c>
      <c r="L519" s="143">
        <v>0</v>
      </c>
      <c r="M519" s="143">
        <v>0</v>
      </c>
      <c r="N519" s="143">
        <v>0</v>
      </c>
      <c r="O519" s="143">
        <v>0</v>
      </c>
      <c r="P519" s="173" t="s">
        <v>4276</v>
      </c>
      <c r="Q519" s="138" t="s">
        <v>1195</v>
      </c>
      <c r="R519" s="138" t="s">
        <v>3389</v>
      </c>
      <c r="S519" s="145" t="s">
        <v>4277</v>
      </c>
      <c r="T519" s="148"/>
      <c r="U519" s="202">
        <v>512</v>
      </c>
      <c r="V519" s="203" t="b">
        <v>1</v>
      </c>
      <c r="W519" s="204" t="s">
        <v>3285</v>
      </c>
      <c r="X519" s="128"/>
      <c r="Y519" s="128"/>
      <c r="Z519" s="128"/>
    </row>
    <row r="520" spans="1:26" ht="12.5" hidden="1">
      <c r="A520" s="138">
        <v>569</v>
      </c>
      <c r="B520" s="173" t="s">
        <v>4272</v>
      </c>
      <c r="C520" s="139">
        <v>42515</v>
      </c>
      <c r="D520" s="173" t="s">
        <v>4278</v>
      </c>
      <c r="E520" s="145" t="s">
        <v>4274</v>
      </c>
      <c r="F520" s="145" t="s">
        <v>4279</v>
      </c>
      <c r="G520" s="148"/>
      <c r="H520" s="138" t="s">
        <v>249</v>
      </c>
      <c r="I520" s="138">
        <v>1</v>
      </c>
      <c r="J520" s="144">
        <v>17042175</v>
      </c>
      <c r="K520" s="144">
        <v>17042175</v>
      </c>
      <c r="L520" s="143">
        <v>0</v>
      </c>
      <c r="M520" s="143">
        <v>0</v>
      </c>
      <c r="N520" s="143">
        <v>0</v>
      </c>
      <c r="O520" s="143">
        <v>0</v>
      </c>
      <c r="P520" s="173" t="s">
        <v>4276</v>
      </c>
      <c r="Q520" s="138" t="s">
        <v>36</v>
      </c>
      <c r="R520" s="138" t="s">
        <v>4154</v>
      </c>
      <c r="S520" s="145" t="s">
        <v>4280</v>
      </c>
      <c r="T520" s="148"/>
      <c r="U520" s="202">
        <v>513</v>
      </c>
      <c r="V520" s="203" t="b">
        <v>1</v>
      </c>
      <c r="W520" s="204" t="s">
        <v>3285</v>
      </c>
      <c r="X520" s="128"/>
      <c r="Y520" s="128"/>
      <c r="Z520" s="128"/>
    </row>
    <row r="521" spans="1:26" ht="12.5" hidden="1">
      <c r="A521" s="138">
        <v>570</v>
      </c>
      <c r="B521" s="173" t="s">
        <v>4272</v>
      </c>
      <c r="C521" s="139">
        <v>42515</v>
      </c>
      <c r="D521" s="173" t="s">
        <v>4281</v>
      </c>
      <c r="E521" s="145" t="s">
        <v>4282</v>
      </c>
      <c r="F521" s="145" t="s">
        <v>4283</v>
      </c>
      <c r="G521" s="148"/>
      <c r="H521" s="138" t="s">
        <v>249</v>
      </c>
      <c r="I521" s="138">
        <v>1</v>
      </c>
      <c r="J521" s="144">
        <v>8946430</v>
      </c>
      <c r="K521" s="144">
        <v>8946430</v>
      </c>
      <c r="L521" s="143">
        <v>0</v>
      </c>
      <c r="M521" s="143">
        <v>0</v>
      </c>
      <c r="N521" s="143">
        <v>0</v>
      </c>
      <c r="O521" s="143">
        <v>0</v>
      </c>
      <c r="P521" s="173" t="s">
        <v>4276</v>
      </c>
      <c r="Q521" s="138" t="s">
        <v>36</v>
      </c>
      <c r="R521" s="138" t="s">
        <v>4154</v>
      </c>
      <c r="S521" s="145" t="s">
        <v>4284</v>
      </c>
      <c r="T521" s="148"/>
      <c r="U521" s="202">
        <v>514</v>
      </c>
      <c r="V521" s="203" t="b">
        <v>1</v>
      </c>
      <c r="W521" s="204" t="s">
        <v>3285</v>
      </c>
      <c r="X521" s="128"/>
      <c r="Y521" s="128"/>
      <c r="Z521" s="128"/>
    </row>
    <row r="522" spans="1:26" ht="12.5" hidden="1">
      <c r="A522" s="138">
        <v>571</v>
      </c>
      <c r="B522" s="173" t="s">
        <v>4272</v>
      </c>
      <c r="C522" s="139">
        <v>42515</v>
      </c>
      <c r="D522" s="173" t="s">
        <v>4285</v>
      </c>
      <c r="E522" s="145" t="s">
        <v>4282</v>
      </c>
      <c r="F522" s="145" t="s">
        <v>4286</v>
      </c>
      <c r="G522" s="148"/>
      <c r="H522" s="138" t="s">
        <v>249</v>
      </c>
      <c r="I522" s="138">
        <v>1</v>
      </c>
      <c r="J522" s="144">
        <v>8946430</v>
      </c>
      <c r="K522" s="144">
        <v>8946430</v>
      </c>
      <c r="L522" s="143">
        <v>0</v>
      </c>
      <c r="M522" s="143">
        <v>0</v>
      </c>
      <c r="N522" s="143">
        <v>0</v>
      </c>
      <c r="O522" s="143">
        <v>0</v>
      </c>
      <c r="P522" s="173" t="s">
        <v>4276</v>
      </c>
      <c r="Q522" s="138" t="s">
        <v>36</v>
      </c>
      <c r="R522" s="138" t="s">
        <v>4154</v>
      </c>
      <c r="S522" s="145" t="s">
        <v>4284</v>
      </c>
      <c r="T522" s="148"/>
      <c r="U522" s="202">
        <v>515</v>
      </c>
      <c r="V522" s="203" t="b">
        <v>1</v>
      </c>
      <c r="W522" s="204" t="s">
        <v>3285</v>
      </c>
      <c r="X522" s="128"/>
      <c r="Y522" s="128"/>
      <c r="Z522" s="128"/>
    </row>
    <row r="523" spans="1:26" ht="12.5" hidden="1">
      <c r="A523" s="138">
        <v>572</v>
      </c>
      <c r="B523" s="173" t="s">
        <v>3443</v>
      </c>
      <c r="C523" s="139">
        <v>42731</v>
      </c>
      <c r="D523" s="173" t="s">
        <v>4287</v>
      </c>
      <c r="E523" s="145" t="s">
        <v>4288</v>
      </c>
      <c r="F523" s="145" t="s">
        <v>4289</v>
      </c>
      <c r="G523" s="173" t="s">
        <v>248</v>
      </c>
      <c r="H523" s="138" t="s">
        <v>249</v>
      </c>
      <c r="I523" s="138">
        <v>1</v>
      </c>
      <c r="J523" s="144">
        <v>7097024</v>
      </c>
      <c r="K523" s="144">
        <v>7097024</v>
      </c>
      <c r="L523" s="143">
        <v>0</v>
      </c>
      <c r="M523" s="143">
        <v>0</v>
      </c>
      <c r="N523" s="143">
        <v>0</v>
      </c>
      <c r="O523" s="143">
        <v>0</v>
      </c>
      <c r="P523" s="148"/>
      <c r="Q523" s="138" t="s">
        <v>36</v>
      </c>
      <c r="R523" s="138" t="s">
        <v>4154</v>
      </c>
      <c r="S523" s="145" t="s">
        <v>4290</v>
      </c>
      <c r="T523" s="148"/>
      <c r="U523" s="202">
        <v>516</v>
      </c>
      <c r="V523" s="203" t="b">
        <v>1</v>
      </c>
      <c r="W523" s="204" t="s">
        <v>3285</v>
      </c>
      <c r="X523" s="128"/>
      <c r="Y523" s="128"/>
      <c r="Z523" s="128"/>
    </row>
    <row r="524" spans="1:26" ht="12.5" hidden="1">
      <c r="A524" s="138">
        <v>573</v>
      </c>
      <c r="B524" s="173" t="s">
        <v>3443</v>
      </c>
      <c r="C524" s="139">
        <v>42731</v>
      </c>
      <c r="D524" s="173" t="s">
        <v>4291</v>
      </c>
      <c r="E524" s="145" t="s">
        <v>4288</v>
      </c>
      <c r="F524" s="145" t="s">
        <v>4292</v>
      </c>
      <c r="G524" s="173" t="s">
        <v>248</v>
      </c>
      <c r="H524" s="138" t="s">
        <v>249</v>
      </c>
      <c r="I524" s="138">
        <v>1</v>
      </c>
      <c r="J524" s="144">
        <v>7097024</v>
      </c>
      <c r="K524" s="144">
        <v>7097024</v>
      </c>
      <c r="L524" s="143">
        <v>0</v>
      </c>
      <c r="M524" s="143">
        <v>0</v>
      </c>
      <c r="N524" s="143">
        <v>0</v>
      </c>
      <c r="O524" s="143">
        <v>0</v>
      </c>
      <c r="P524" s="148"/>
      <c r="Q524" s="138" t="s">
        <v>36</v>
      </c>
      <c r="R524" s="138" t="s">
        <v>4154</v>
      </c>
      <c r="S524" s="145" t="s">
        <v>4293</v>
      </c>
      <c r="T524" s="148"/>
      <c r="U524" s="202">
        <v>517</v>
      </c>
      <c r="V524" s="203" t="b">
        <v>1</v>
      </c>
      <c r="W524" s="204" t="s">
        <v>3285</v>
      </c>
      <c r="X524" s="128"/>
      <c r="Y524" s="128"/>
      <c r="Z524" s="128"/>
    </row>
    <row r="525" spans="1:26" ht="12.5" hidden="1">
      <c r="A525" s="138">
        <v>574</v>
      </c>
      <c r="B525" s="173" t="s">
        <v>3443</v>
      </c>
      <c r="C525" s="139">
        <v>42731</v>
      </c>
      <c r="D525" s="173" t="s">
        <v>4294</v>
      </c>
      <c r="E525" s="145" t="s">
        <v>4288</v>
      </c>
      <c r="F525" s="145" t="s">
        <v>4295</v>
      </c>
      <c r="G525" s="173" t="s">
        <v>248</v>
      </c>
      <c r="H525" s="138" t="s">
        <v>249</v>
      </c>
      <c r="I525" s="138">
        <v>1</v>
      </c>
      <c r="J525" s="144">
        <v>7097024</v>
      </c>
      <c r="K525" s="144">
        <v>7097024</v>
      </c>
      <c r="L525" s="143">
        <v>0</v>
      </c>
      <c r="M525" s="143">
        <v>0</v>
      </c>
      <c r="N525" s="143">
        <v>0</v>
      </c>
      <c r="O525" s="143">
        <v>0</v>
      </c>
      <c r="P525" s="148"/>
      <c r="Q525" s="138" t="s">
        <v>36</v>
      </c>
      <c r="R525" s="138" t="s">
        <v>4154</v>
      </c>
      <c r="S525" s="145" t="s">
        <v>4296</v>
      </c>
      <c r="T525" s="148"/>
      <c r="U525" s="202">
        <v>518</v>
      </c>
      <c r="V525" s="203" t="b">
        <v>1</v>
      </c>
      <c r="W525" s="204" t="s">
        <v>3285</v>
      </c>
      <c r="X525" s="128"/>
      <c r="Y525" s="128"/>
      <c r="Z525" s="128"/>
    </row>
    <row r="526" spans="1:26" ht="12.5" hidden="1">
      <c r="A526" s="138">
        <v>575</v>
      </c>
      <c r="B526" s="173" t="s">
        <v>3443</v>
      </c>
      <c r="C526" s="139">
        <v>42731</v>
      </c>
      <c r="D526" s="173" t="s">
        <v>4297</v>
      </c>
      <c r="E526" s="145" t="s">
        <v>4288</v>
      </c>
      <c r="F526" s="145" t="s">
        <v>4298</v>
      </c>
      <c r="G526" s="173" t="s">
        <v>248</v>
      </c>
      <c r="H526" s="138" t="s">
        <v>249</v>
      </c>
      <c r="I526" s="138">
        <v>1</v>
      </c>
      <c r="J526" s="144">
        <v>7097024</v>
      </c>
      <c r="K526" s="144">
        <v>7097024</v>
      </c>
      <c r="L526" s="143">
        <v>0</v>
      </c>
      <c r="M526" s="143">
        <v>0</v>
      </c>
      <c r="N526" s="143">
        <v>0</v>
      </c>
      <c r="O526" s="143">
        <v>0</v>
      </c>
      <c r="P526" s="148"/>
      <c r="Q526" s="138" t="s">
        <v>36</v>
      </c>
      <c r="R526" s="138" t="s">
        <v>4154</v>
      </c>
      <c r="S526" s="145" t="s">
        <v>4299</v>
      </c>
      <c r="T526" s="148"/>
      <c r="U526" s="202">
        <v>519</v>
      </c>
      <c r="V526" s="203" t="b">
        <v>1</v>
      </c>
      <c r="W526" s="204" t="s">
        <v>3285</v>
      </c>
      <c r="X526" s="128"/>
      <c r="Y526" s="128"/>
      <c r="Z526" s="128"/>
    </row>
    <row r="527" spans="1:26" ht="12.5" hidden="1">
      <c r="A527" s="138">
        <v>576</v>
      </c>
      <c r="B527" s="173" t="s">
        <v>3443</v>
      </c>
      <c r="C527" s="139">
        <v>42731</v>
      </c>
      <c r="D527" s="173" t="s">
        <v>4300</v>
      </c>
      <c r="E527" s="145" t="s">
        <v>4288</v>
      </c>
      <c r="F527" s="145" t="s">
        <v>4301</v>
      </c>
      <c r="G527" s="173" t="s">
        <v>248</v>
      </c>
      <c r="H527" s="138" t="s">
        <v>249</v>
      </c>
      <c r="I527" s="138">
        <v>1</v>
      </c>
      <c r="J527" s="144">
        <v>7097024</v>
      </c>
      <c r="K527" s="144">
        <v>7097024</v>
      </c>
      <c r="L527" s="143">
        <v>0</v>
      </c>
      <c r="M527" s="143">
        <v>0</v>
      </c>
      <c r="N527" s="143">
        <v>0</v>
      </c>
      <c r="O527" s="143">
        <v>0</v>
      </c>
      <c r="P527" s="148"/>
      <c r="Q527" s="138" t="s">
        <v>36</v>
      </c>
      <c r="R527" s="138" t="s">
        <v>1146</v>
      </c>
      <c r="S527" s="145" t="s">
        <v>4302</v>
      </c>
      <c r="T527" s="148"/>
      <c r="U527" s="202">
        <v>520</v>
      </c>
      <c r="V527" s="203" t="b">
        <v>1</v>
      </c>
      <c r="W527" s="204" t="s">
        <v>3285</v>
      </c>
      <c r="X527" s="128"/>
      <c r="Y527" s="128"/>
      <c r="Z527" s="128"/>
    </row>
    <row r="528" spans="1:26" ht="12.5" hidden="1">
      <c r="A528" s="138">
        <v>577</v>
      </c>
      <c r="B528" s="173" t="s">
        <v>3443</v>
      </c>
      <c r="C528" s="139">
        <v>42731</v>
      </c>
      <c r="D528" s="173" t="s">
        <v>4303</v>
      </c>
      <c r="E528" s="145" t="s">
        <v>4288</v>
      </c>
      <c r="F528" s="145" t="s">
        <v>4304</v>
      </c>
      <c r="G528" s="173" t="s">
        <v>248</v>
      </c>
      <c r="H528" s="138" t="s">
        <v>249</v>
      </c>
      <c r="I528" s="138">
        <v>1</v>
      </c>
      <c r="J528" s="144">
        <v>7097024</v>
      </c>
      <c r="K528" s="144">
        <v>7097024</v>
      </c>
      <c r="L528" s="143">
        <v>0</v>
      </c>
      <c r="M528" s="143">
        <v>0</v>
      </c>
      <c r="N528" s="143">
        <v>0</v>
      </c>
      <c r="O528" s="143">
        <v>0</v>
      </c>
      <c r="P528" s="148"/>
      <c r="Q528" s="138" t="s">
        <v>36</v>
      </c>
      <c r="R528" s="138" t="s">
        <v>1146</v>
      </c>
      <c r="S528" s="145" t="s">
        <v>4305</v>
      </c>
      <c r="T528" s="148"/>
      <c r="U528" s="202">
        <v>521</v>
      </c>
      <c r="V528" s="203" t="b">
        <v>1</v>
      </c>
      <c r="W528" s="204" t="s">
        <v>3285</v>
      </c>
      <c r="X528" s="128"/>
      <c r="Y528" s="128"/>
      <c r="Z528" s="128"/>
    </row>
    <row r="529" spans="1:26" ht="12.5" hidden="1">
      <c r="A529" s="138">
        <v>578</v>
      </c>
      <c r="B529" s="173" t="s">
        <v>3443</v>
      </c>
      <c r="C529" s="139">
        <v>42731</v>
      </c>
      <c r="D529" s="173" t="s">
        <v>4306</v>
      </c>
      <c r="E529" s="145" t="s">
        <v>4288</v>
      </c>
      <c r="F529" s="145" t="s">
        <v>4307</v>
      </c>
      <c r="G529" s="173" t="s">
        <v>248</v>
      </c>
      <c r="H529" s="138" t="s">
        <v>249</v>
      </c>
      <c r="I529" s="138">
        <v>1</v>
      </c>
      <c r="J529" s="144">
        <v>7097024</v>
      </c>
      <c r="K529" s="144">
        <v>7097024</v>
      </c>
      <c r="L529" s="143">
        <v>0</v>
      </c>
      <c r="M529" s="143">
        <v>0</v>
      </c>
      <c r="N529" s="143">
        <v>0</v>
      </c>
      <c r="O529" s="143">
        <v>0</v>
      </c>
      <c r="P529" s="148"/>
      <c r="Q529" s="138" t="s">
        <v>36</v>
      </c>
      <c r="R529" s="138" t="s">
        <v>4154</v>
      </c>
      <c r="S529" s="145" t="s">
        <v>4308</v>
      </c>
      <c r="T529" s="148"/>
      <c r="U529" s="202">
        <v>522</v>
      </c>
      <c r="V529" s="203" t="b">
        <v>1</v>
      </c>
      <c r="W529" s="204" t="s">
        <v>3285</v>
      </c>
      <c r="X529" s="128"/>
      <c r="Y529" s="128"/>
      <c r="Z529" s="128"/>
    </row>
    <row r="530" spans="1:26" ht="12.5" hidden="1">
      <c r="A530" s="138">
        <v>579</v>
      </c>
      <c r="B530" s="173" t="s">
        <v>3443</v>
      </c>
      <c r="C530" s="139">
        <v>42731</v>
      </c>
      <c r="D530" s="173" t="s">
        <v>4309</v>
      </c>
      <c r="E530" s="145" t="s">
        <v>4288</v>
      </c>
      <c r="F530" s="145" t="s">
        <v>4310</v>
      </c>
      <c r="G530" s="173" t="s">
        <v>248</v>
      </c>
      <c r="H530" s="138" t="s">
        <v>249</v>
      </c>
      <c r="I530" s="138">
        <v>1</v>
      </c>
      <c r="J530" s="144">
        <v>7097024</v>
      </c>
      <c r="K530" s="144">
        <v>7097024</v>
      </c>
      <c r="L530" s="143">
        <v>0</v>
      </c>
      <c r="M530" s="143">
        <v>0</v>
      </c>
      <c r="N530" s="143">
        <v>0</v>
      </c>
      <c r="O530" s="143">
        <v>0</v>
      </c>
      <c r="P530" s="148"/>
      <c r="Q530" s="138" t="s">
        <v>36</v>
      </c>
      <c r="R530" s="138" t="s">
        <v>1146</v>
      </c>
      <c r="S530" s="145" t="s">
        <v>4311</v>
      </c>
      <c r="T530" s="148"/>
      <c r="U530" s="202">
        <v>523</v>
      </c>
      <c r="V530" s="203" t="b">
        <v>1</v>
      </c>
      <c r="W530" s="204" t="s">
        <v>3285</v>
      </c>
      <c r="X530" s="128"/>
      <c r="Y530" s="128"/>
      <c r="Z530" s="128"/>
    </row>
    <row r="531" spans="1:26" ht="12.5" hidden="1">
      <c r="A531" s="138">
        <v>580</v>
      </c>
      <c r="B531" s="173" t="s">
        <v>3443</v>
      </c>
      <c r="C531" s="139">
        <v>42731</v>
      </c>
      <c r="D531" s="173" t="s">
        <v>4312</v>
      </c>
      <c r="E531" s="145" t="s">
        <v>4288</v>
      </c>
      <c r="F531" s="145" t="s">
        <v>4313</v>
      </c>
      <c r="G531" s="173" t="s">
        <v>248</v>
      </c>
      <c r="H531" s="138" t="s">
        <v>249</v>
      </c>
      <c r="I531" s="138">
        <v>1</v>
      </c>
      <c r="J531" s="144">
        <v>7097024</v>
      </c>
      <c r="K531" s="144">
        <v>7097024</v>
      </c>
      <c r="L531" s="143">
        <v>0</v>
      </c>
      <c r="M531" s="143">
        <v>0</v>
      </c>
      <c r="N531" s="143">
        <v>0</v>
      </c>
      <c r="O531" s="143">
        <v>0</v>
      </c>
      <c r="P531" s="148"/>
      <c r="Q531" s="138" t="s">
        <v>36</v>
      </c>
      <c r="R531" s="138" t="s">
        <v>1146</v>
      </c>
      <c r="S531" s="145" t="s">
        <v>4314</v>
      </c>
      <c r="T531" s="148"/>
      <c r="U531" s="202">
        <v>524</v>
      </c>
      <c r="V531" s="203" t="b">
        <v>1</v>
      </c>
      <c r="W531" s="204" t="s">
        <v>3285</v>
      </c>
      <c r="X531" s="128"/>
      <c r="Y531" s="128"/>
      <c r="Z531" s="128"/>
    </row>
    <row r="532" spans="1:26" ht="12.5" hidden="1">
      <c r="A532" s="138">
        <v>581</v>
      </c>
      <c r="B532" s="173" t="s">
        <v>3443</v>
      </c>
      <c r="C532" s="139">
        <v>42731</v>
      </c>
      <c r="D532" s="173" t="s">
        <v>4315</v>
      </c>
      <c r="E532" s="145" t="s">
        <v>4288</v>
      </c>
      <c r="F532" s="145" t="s">
        <v>4316</v>
      </c>
      <c r="G532" s="173" t="s">
        <v>248</v>
      </c>
      <c r="H532" s="138" t="s">
        <v>249</v>
      </c>
      <c r="I532" s="138">
        <v>1</v>
      </c>
      <c r="J532" s="144">
        <v>7097024</v>
      </c>
      <c r="K532" s="144">
        <v>7097024</v>
      </c>
      <c r="L532" s="143">
        <v>0</v>
      </c>
      <c r="M532" s="143">
        <v>0</v>
      </c>
      <c r="N532" s="143">
        <v>0</v>
      </c>
      <c r="O532" s="143">
        <v>0</v>
      </c>
      <c r="P532" s="148"/>
      <c r="Q532" s="138" t="s">
        <v>36</v>
      </c>
      <c r="R532" s="138" t="s">
        <v>4154</v>
      </c>
      <c r="S532" s="145" t="s">
        <v>4317</v>
      </c>
      <c r="T532" s="148"/>
      <c r="U532" s="202">
        <v>525</v>
      </c>
      <c r="V532" s="203" t="b">
        <v>1</v>
      </c>
      <c r="W532" s="204" t="s">
        <v>3285</v>
      </c>
      <c r="X532" s="128"/>
      <c r="Y532" s="128"/>
      <c r="Z532" s="128"/>
    </row>
    <row r="533" spans="1:26" ht="12.5" hidden="1">
      <c r="A533" s="138">
        <v>582</v>
      </c>
      <c r="B533" s="173" t="s">
        <v>3456</v>
      </c>
      <c r="C533" s="139">
        <v>42731</v>
      </c>
      <c r="D533" s="173" t="s">
        <v>4318</v>
      </c>
      <c r="E533" s="145" t="s">
        <v>4319</v>
      </c>
      <c r="F533" s="145" t="s">
        <v>4320</v>
      </c>
      <c r="G533" s="173" t="s">
        <v>248</v>
      </c>
      <c r="H533" s="138" t="s">
        <v>19</v>
      </c>
      <c r="I533" s="138">
        <v>1</v>
      </c>
      <c r="J533" s="144">
        <v>20000000</v>
      </c>
      <c r="K533" s="144">
        <v>20000000</v>
      </c>
      <c r="L533" s="143">
        <v>0</v>
      </c>
      <c r="M533" s="143">
        <v>0</v>
      </c>
      <c r="N533" s="143">
        <v>0</v>
      </c>
      <c r="O533" s="143">
        <v>0</v>
      </c>
      <c r="P533" s="148"/>
      <c r="Q533" s="138" t="s">
        <v>206</v>
      </c>
      <c r="R533" s="138" t="s">
        <v>3404</v>
      </c>
      <c r="S533" s="145" t="s">
        <v>4321</v>
      </c>
      <c r="T533" s="148"/>
      <c r="U533" s="202">
        <v>526</v>
      </c>
      <c r="V533" s="203" t="b">
        <v>1</v>
      </c>
      <c r="W533" s="204" t="s">
        <v>3285</v>
      </c>
      <c r="X533" s="128"/>
      <c r="Y533" s="128"/>
      <c r="Z533" s="128"/>
    </row>
    <row r="534" spans="1:26" ht="12.5" hidden="1">
      <c r="A534" s="138">
        <v>583</v>
      </c>
      <c r="B534" s="173" t="s">
        <v>3456</v>
      </c>
      <c r="C534" s="139">
        <v>42731</v>
      </c>
      <c r="D534" s="173" t="s">
        <v>4322</v>
      </c>
      <c r="E534" s="145" t="s">
        <v>4319</v>
      </c>
      <c r="F534" s="145" t="s">
        <v>4323</v>
      </c>
      <c r="G534" s="173" t="s">
        <v>248</v>
      </c>
      <c r="H534" s="138" t="s">
        <v>19</v>
      </c>
      <c r="I534" s="138">
        <v>1</v>
      </c>
      <c r="J534" s="144">
        <v>20000000</v>
      </c>
      <c r="K534" s="144">
        <v>20000000</v>
      </c>
      <c r="L534" s="143">
        <v>0</v>
      </c>
      <c r="M534" s="143">
        <v>0</v>
      </c>
      <c r="N534" s="143">
        <v>0</v>
      </c>
      <c r="O534" s="143">
        <v>0</v>
      </c>
      <c r="P534" s="148"/>
      <c r="Q534" s="138" t="s">
        <v>206</v>
      </c>
      <c r="R534" s="138" t="s">
        <v>3404</v>
      </c>
      <c r="S534" s="145" t="s">
        <v>4324</v>
      </c>
      <c r="T534" s="148"/>
      <c r="U534" s="202">
        <v>527</v>
      </c>
      <c r="V534" s="203" t="b">
        <v>1</v>
      </c>
      <c r="W534" s="204" t="s">
        <v>3285</v>
      </c>
      <c r="X534" s="128"/>
      <c r="Y534" s="128"/>
      <c r="Z534" s="128"/>
    </row>
    <row r="535" spans="1:26" ht="12.5" hidden="1">
      <c r="A535" s="138">
        <v>584</v>
      </c>
      <c r="B535" s="173" t="s">
        <v>3456</v>
      </c>
      <c r="C535" s="139">
        <v>42731</v>
      </c>
      <c r="D535" s="173" t="s">
        <v>4325</v>
      </c>
      <c r="E535" s="145" t="s">
        <v>4319</v>
      </c>
      <c r="F535" s="145" t="s">
        <v>4326</v>
      </c>
      <c r="G535" s="173" t="s">
        <v>248</v>
      </c>
      <c r="H535" s="138" t="s">
        <v>19</v>
      </c>
      <c r="I535" s="138">
        <v>1</v>
      </c>
      <c r="J535" s="144">
        <v>20000000</v>
      </c>
      <c r="K535" s="144">
        <v>20000000</v>
      </c>
      <c r="L535" s="143">
        <v>0</v>
      </c>
      <c r="M535" s="143">
        <v>0</v>
      </c>
      <c r="N535" s="143">
        <v>0</v>
      </c>
      <c r="O535" s="143">
        <v>0</v>
      </c>
      <c r="P535" s="148"/>
      <c r="Q535" s="138" t="s">
        <v>206</v>
      </c>
      <c r="R535" s="138" t="s">
        <v>3404</v>
      </c>
      <c r="S535" s="145" t="s">
        <v>4324</v>
      </c>
      <c r="T535" s="148"/>
      <c r="U535" s="202">
        <v>528</v>
      </c>
      <c r="V535" s="203" t="b">
        <v>1</v>
      </c>
      <c r="W535" s="204" t="s">
        <v>3285</v>
      </c>
      <c r="X535" s="128"/>
      <c r="Y535" s="128"/>
      <c r="Z535" s="128"/>
    </row>
    <row r="536" spans="1:26" ht="12.5" hidden="1">
      <c r="A536" s="230">
        <v>585</v>
      </c>
      <c r="B536" s="217" t="s">
        <v>4327</v>
      </c>
      <c r="C536" s="232">
        <v>43991</v>
      </c>
      <c r="D536" s="217" t="s">
        <v>4328</v>
      </c>
      <c r="E536" s="233" t="s">
        <v>4329</v>
      </c>
      <c r="F536" s="233">
        <v>19070031</v>
      </c>
      <c r="G536" s="217" t="s">
        <v>45</v>
      </c>
      <c r="H536" s="230" t="s">
        <v>249</v>
      </c>
      <c r="I536" s="230">
        <v>1</v>
      </c>
      <c r="J536" s="219">
        <v>17090909</v>
      </c>
      <c r="K536" s="219">
        <v>17090909</v>
      </c>
      <c r="L536" s="219">
        <v>17090909</v>
      </c>
      <c r="M536" s="220">
        <v>33</v>
      </c>
      <c r="N536" s="220">
        <v>5696970</v>
      </c>
      <c r="O536" s="220">
        <v>11393939</v>
      </c>
      <c r="P536" s="218"/>
      <c r="Q536" s="230" t="s">
        <v>206</v>
      </c>
      <c r="R536" s="230" t="s">
        <v>3635</v>
      </c>
      <c r="S536" s="265"/>
      <c r="T536" s="125"/>
      <c r="U536" s="202">
        <v>529</v>
      </c>
      <c r="V536" s="203" t="b">
        <v>1</v>
      </c>
      <c r="W536" s="204" t="s">
        <v>3285</v>
      </c>
      <c r="X536" s="128"/>
      <c r="Y536" s="128"/>
      <c r="Z536" s="128"/>
    </row>
    <row r="537" spans="1:26" ht="12.5" hidden="1">
      <c r="A537" s="230">
        <v>586</v>
      </c>
      <c r="B537" s="217" t="s">
        <v>4330</v>
      </c>
      <c r="C537" s="232">
        <v>43992</v>
      </c>
      <c r="D537" s="217" t="s">
        <v>4331</v>
      </c>
      <c r="E537" s="233" t="s">
        <v>4332</v>
      </c>
      <c r="F537" s="265"/>
      <c r="G537" s="217" t="s">
        <v>35</v>
      </c>
      <c r="H537" s="230" t="s">
        <v>249</v>
      </c>
      <c r="I537" s="230">
        <v>1</v>
      </c>
      <c r="J537" s="219">
        <v>3400000</v>
      </c>
      <c r="K537" s="219">
        <v>3400000</v>
      </c>
      <c r="L537" s="219">
        <v>3400000</v>
      </c>
      <c r="M537" s="220">
        <v>100</v>
      </c>
      <c r="N537" s="220">
        <v>3400000</v>
      </c>
      <c r="O537" s="220">
        <v>0</v>
      </c>
      <c r="P537" s="218"/>
      <c r="Q537" s="230" t="s">
        <v>888</v>
      </c>
      <c r="R537" s="230" t="s">
        <v>888</v>
      </c>
      <c r="S537" s="233" t="s">
        <v>3861</v>
      </c>
      <c r="T537" s="125"/>
      <c r="U537" s="202">
        <v>530</v>
      </c>
      <c r="V537" s="203" t="b">
        <v>1</v>
      </c>
      <c r="W537" s="204" t="s">
        <v>3285</v>
      </c>
      <c r="X537" s="128"/>
      <c r="Y537" s="128"/>
      <c r="Z537" s="128"/>
    </row>
    <row r="538" spans="1:26" ht="12.5" hidden="1">
      <c r="A538" s="138">
        <v>587</v>
      </c>
      <c r="B538" s="173" t="s">
        <v>4333</v>
      </c>
      <c r="C538" s="139">
        <v>44061</v>
      </c>
      <c r="D538" s="173" t="s">
        <v>4334</v>
      </c>
      <c r="E538" s="145" t="s">
        <v>4335</v>
      </c>
      <c r="F538" s="145" t="s">
        <v>4336</v>
      </c>
      <c r="G538" s="173" t="s">
        <v>248</v>
      </c>
      <c r="H538" s="138" t="s">
        <v>19</v>
      </c>
      <c r="I538" s="138">
        <v>1</v>
      </c>
      <c r="J538" s="144">
        <v>16913500</v>
      </c>
      <c r="K538" s="144">
        <v>16913500</v>
      </c>
      <c r="L538" s="144">
        <v>16913500</v>
      </c>
      <c r="M538" s="143">
        <v>33</v>
      </c>
      <c r="N538" s="143">
        <v>5637833</v>
      </c>
      <c r="O538" s="143">
        <v>11275667</v>
      </c>
      <c r="P538" s="148"/>
      <c r="Q538" s="138" t="s">
        <v>36</v>
      </c>
      <c r="R538" s="138" t="s">
        <v>37</v>
      </c>
      <c r="S538" s="196"/>
      <c r="T538" s="125"/>
      <c r="U538" s="202">
        <v>531</v>
      </c>
      <c r="V538" s="203" t="b">
        <v>1</v>
      </c>
      <c r="W538" s="204" t="s">
        <v>3285</v>
      </c>
      <c r="X538" s="128"/>
      <c r="Y538" s="128"/>
      <c r="Z538" s="128"/>
    </row>
    <row r="539" spans="1:26" ht="12.5" hidden="1">
      <c r="A539" s="230">
        <v>588</v>
      </c>
      <c r="B539" s="217" t="s">
        <v>4333</v>
      </c>
      <c r="C539" s="232">
        <v>44061</v>
      </c>
      <c r="D539" s="217" t="s">
        <v>4337</v>
      </c>
      <c r="E539" s="233" t="s">
        <v>4335</v>
      </c>
      <c r="F539" s="233" t="s">
        <v>4338</v>
      </c>
      <c r="G539" s="217" t="s">
        <v>248</v>
      </c>
      <c r="H539" s="230" t="s">
        <v>19</v>
      </c>
      <c r="I539" s="230">
        <v>1</v>
      </c>
      <c r="J539" s="219">
        <v>16913500</v>
      </c>
      <c r="K539" s="219">
        <v>16913500</v>
      </c>
      <c r="L539" s="219">
        <v>16913500</v>
      </c>
      <c r="M539" s="220">
        <v>33</v>
      </c>
      <c r="N539" s="220">
        <v>5637833</v>
      </c>
      <c r="O539" s="220">
        <v>11275667</v>
      </c>
      <c r="P539" s="218"/>
      <c r="Q539" s="230" t="s">
        <v>4339</v>
      </c>
      <c r="R539" s="230" t="s">
        <v>4340</v>
      </c>
      <c r="S539" s="233" t="s">
        <v>1197</v>
      </c>
      <c r="T539" s="125"/>
      <c r="U539" s="202">
        <v>532</v>
      </c>
      <c r="V539" s="203" t="b">
        <v>1</v>
      </c>
      <c r="W539" s="204" t="s">
        <v>3285</v>
      </c>
      <c r="X539" s="128"/>
      <c r="Y539" s="128"/>
      <c r="Z539" s="128"/>
    </row>
    <row r="540" spans="1:26" ht="12.5" hidden="1">
      <c r="A540" s="230">
        <v>589</v>
      </c>
      <c r="B540" s="217" t="s">
        <v>4333</v>
      </c>
      <c r="C540" s="232">
        <v>44061</v>
      </c>
      <c r="D540" s="217" t="s">
        <v>4341</v>
      </c>
      <c r="E540" s="233" t="s">
        <v>4335</v>
      </c>
      <c r="F540" s="233" t="s">
        <v>4342</v>
      </c>
      <c r="G540" s="217" t="s">
        <v>248</v>
      </c>
      <c r="H540" s="230" t="s">
        <v>19</v>
      </c>
      <c r="I540" s="230">
        <v>1</v>
      </c>
      <c r="J540" s="219">
        <v>16913500</v>
      </c>
      <c r="K540" s="219">
        <v>16913500</v>
      </c>
      <c r="L540" s="219">
        <v>16913500</v>
      </c>
      <c r="M540" s="220">
        <v>33</v>
      </c>
      <c r="N540" s="220">
        <v>5637833</v>
      </c>
      <c r="O540" s="220">
        <v>11275667</v>
      </c>
      <c r="P540" s="218"/>
      <c r="Q540" s="230" t="s">
        <v>206</v>
      </c>
      <c r="R540" s="230" t="s">
        <v>3635</v>
      </c>
      <c r="S540" s="233" t="s">
        <v>206</v>
      </c>
      <c r="T540" s="125"/>
      <c r="U540" s="202">
        <v>533</v>
      </c>
      <c r="V540" s="203" t="b">
        <v>1</v>
      </c>
      <c r="W540" s="204" t="s">
        <v>3285</v>
      </c>
      <c r="X540" s="128"/>
      <c r="Y540" s="128"/>
      <c r="Z540" s="128"/>
    </row>
    <row r="541" spans="1:26" ht="12.5" hidden="1">
      <c r="A541" s="230">
        <v>590</v>
      </c>
      <c r="B541" s="217" t="s">
        <v>4333</v>
      </c>
      <c r="C541" s="232">
        <v>44061</v>
      </c>
      <c r="D541" s="217" t="s">
        <v>4343</v>
      </c>
      <c r="E541" s="233" t="s">
        <v>4335</v>
      </c>
      <c r="F541" s="233" t="s">
        <v>4344</v>
      </c>
      <c r="G541" s="217" t="s">
        <v>248</v>
      </c>
      <c r="H541" s="230" t="s">
        <v>19</v>
      </c>
      <c r="I541" s="230">
        <v>1</v>
      </c>
      <c r="J541" s="219">
        <v>16913500</v>
      </c>
      <c r="K541" s="219">
        <v>16913500</v>
      </c>
      <c r="L541" s="219">
        <v>16913500</v>
      </c>
      <c r="M541" s="220">
        <v>33</v>
      </c>
      <c r="N541" s="220">
        <v>5637833</v>
      </c>
      <c r="O541" s="220">
        <v>11275667</v>
      </c>
      <c r="P541" s="218"/>
      <c r="Q541" s="230" t="s">
        <v>206</v>
      </c>
      <c r="R541" s="230" t="s">
        <v>3635</v>
      </c>
      <c r="S541" s="233" t="s">
        <v>206</v>
      </c>
      <c r="T541" s="125"/>
      <c r="U541" s="202">
        <v>534</v>
      </c>
      <c r="V541" s="203" t="b">
        <v>1</v>
      </c>
      <c r="W541" s="204" t="s">
        <v>3285</v>
      </c>
      <c r="X541" s="128"/>
      <c r="Y541" s="128"/>
      <c r="Z541" s="128"/>
    </row>
    <row r="542" spans="1:26" ht="12.5" hidden="1">
      <c r="A542" s="138">
        <v>591</v>
      </c>
      <c r="B542" s="173" t="s">
        <v>4333</v>
      </c>
      <c r="C542" s="139">
        <v>44061</v>
      </c>
      <c r="D542" s="173" t="s">
        <v>4345</v>
      </c>
      <c r="E542" s="145" t="s">
        <v>4335</v>
      </c>
      <c r="F542" s="145" t="s">
        <v>4346</v>
      </c>
      <c r="G542" s="173" t="s">
        <v>248</v>
      </c>
      <c r="H542" s="138" t="s">
        <v>19</v>
      </c>
      <c r="I542" s="138">
        <v>1</v>
      </c>
      <c r="J542" s="144">
        <v>16913500</v>
      </c>
      <c r="K542" s="144">
        <v>16913500</v>
      </c>
      <c r="L542" s="144">
        <v>16913500</v>
      </c>
      <c r="M542" s="143">
        <v>33</v>
      </c>
      <c r="N542" s="143">
        <v>5637833</v>
      </c>
      <c r="O542" s="143">
        <v>11275667</v>
      </c>
      <c r="P542" s="148"/>
      <c r="Q542" s="138" t="s">
        <v>36</v>
      </c>
      <c r="R542" s="138" t="s">
        <v>37</v>
      </c>
      <c r="S542" s="196"/>
      <c r="T542" s="125"/>
      <c r="U542" s="202">
        <v>535</v>
      </c>
      <c r="V542" s="203" t="b">
        <v>1</v>
      </c>
      <c r="W542" s="204" t="s">
        <v>3285</v>
      </c>
      <c r="X542" s="128"/>
      <c r="Y542" s="128"/>
      <c r="Z542" s="128"/>
    </row>
    <row r="543" spans="1:26" ht="12.5">
      <c r="A543" s="251">
        <v>592</v>
      </c>
      <c r="B543" s="173" t="s">
        <v>4347</v>
      </c>
      <c r="C543" s="252">
        <v>44196</v>
      </c>
      <c r="D543" s="253" t="s">
        <v>4348</v>
      </c>
      <c r="E543" s="254" t="s">
        <v>4349</v>
      </c>
      <c r="F543" s="255"/>
      <c r="G543" s="148"/>
      <c r="H543" s="251" t="s">
        <v>249</v>
      </c>
      <c r="I543" s="251">
        <v>1</v>
      </c>
      <c r="J543" s="144">
        <v>800000</v>
      </c>
      <c r="K543" s="144">
        <v>800000</v>
      </c>
      <c r="L543" s="144">
        <v>800000</v>
      </c>
      <c r="M543" s="143">
        <v>100</v>
      </c>
      <c r="N543" s="143">
        <v>800000</v>
      </c>
      <c r="O543" s="143">
        <v>0</v>
      </c>
      <c r="P543" s="256"/>
      <c r="Q543" s="251" t="s">
        <v>20</v>
      </c>
      <c r="R543" s="251" t="s">
        <v>229</v>
      </c>
      <c r="S543" s="254" t="s">
        <v>4350</v>
      </c>
      <c r="T543" s="257" t="s">
        <v>3840</v>
      </c>
      <c r="U543" s="258">
        <v>536</v>
      </c>
      <c r="V543" s="259" t="b">
        <v>1</v>
      </c>
      <c r="W543" s="260" t="s">
        <v>3285</v>
      </c>
      <c r="X543" s="261"/>
      <c r="Y543" s="261"/>
      <c r="Z543" s="261"/>
    </row>
    <row r="544" spans="1:26" ht="12.5">
      <c r="A544" s="251">
        <v>593</v>
      </c>
      <c r="B544" s="173" t="s">
        <v>4347</v>
      </c>
      <c r="C544" s="252">
        <v>44196</v>
      </c>
      <c r="D544" s="253" t="s">
        <v>4351</v>
      </c>
      <c r="E544" s="254" t="s">
        <v>4349</v>
      </c>
      <c r="F544" s="255"/>
      <c r="G544" s="148"/>
      <c r="H544" s="251" t="s">
        <v>249</v>
      </c>
      <c r="I544" s="251">
        <v>1</v>
      </c>
      <c r="J544" s="144">
        <v>800000</v>
      </c>
      <c r="K544" s="144">
        <v>800000</v>
      </c>
      <c r="L544" s="144">
        <v>800000</v>
      </c>
      <c r="M544" s="143">
        <v>100</v>
      </c>
      <c r="N544" s="143">
        <v>800000</v>
      </c>
      <c r="O544" s="143">
        <v>0</v>
      </c>
      <c r="P544" s="256"/>
      <c r="Q544" s="251" t="s">
        <v>20</v>
      </c>
      <c r="R544" s="251" t="s">
        <v>229</v>
      </c>
      <c r="S544" s="254" t="s">
        <v>4352</v>
      </c>
      <c r="T544" s="257" t="s">
        <v>3840</v>
      </c>
      <c r="U544" s="258">
        <v>537</v>
      </c>
      <c r="V544" s="259" t="b">
        <v>1</v>
      </c>
      <c r="W544" s="260" t="s">
        <v>3285</v>
      </c>
      <c r="X544" s="261"/>
      <c r="Y544" s="261"/>
      <c r="Z544" s="261"/>
    </row>
    <row r="545" spans="1:26" ht="12.5">
      <c r="A545" s="251">
        <v>594</v>
      </c>
      <c r="B545" s="173" t="s">
        <v>4347</v>
      </c>
      <c r="C545" s="252">
        <v>44196</v>
      </c>
      <c r="D545" s="253" t="s">
        <v>4353</v>
      </c>
      <c r="E545" s="254" t="s">
        <v>4349</v>
      </c>
      <c r="F545" s="255"/>
      <c r="G545" s="148"/>
      <c r="H545" s="251" t="s">
        <v>249</v>
      </c>
      <c r="I545" s="251">
        <v>1</v>
      </c>
      <c r="J545" s="144">
        <v>800000</v>
      </c>
      <c r="K545" s="144">
        <v>800000</v>
      </c>
      <c r="L545" s="144">
        <v>800000</v>
      </c>
      <c r="M545" s="143">
        <v>100</v>
      </c>
      <c r="N545" s="143">
        <v>800000</v>
      </c>
      <c r="O545" s="143">
        <v>0</v>
      </c>
      <c r="P545" s="256"/>
      <c r="Q545" s="251" t="s">
        <v>20</v>
      </c>
      <c r="R545" s="251" t="s">
        <v>229</v>
      </c>
      <c r="S545" s="254" t="s">
        <v>4352</v>
      </c>
      <c r="T545" s="257" t="s">
        <v>3840</v>
      </c>
      <c r="U545" s="258">
        <v>538</v>
      </c>
      <c r="V545" s="259" t="b">
        <v>1</v>
      </c>
      <c r="W545" s="260" t="s">
        <v>3285</v>
      </c>
      <c r="X545" s="261"/>
      <c r="Y545" s="261"/>
      <c r="Z545" s="261"/>
    </row>
    <row r="546" spans="1:26" ht="12.5">
      <c r="A546" s="138">
        <v>595</v>
      </c>
      <c r="B546" s="173" t="s">
        <v>4347</v>
      </c>
      <c r="C546" s="139">
        <v>44196</v>
      </c>
      <c r="D546" s="210" t="s">
        <v>4354</v>
      </c>
      <c r="E546" s="145" t="s">
        <v>4355</v>
      </c>
      <c r="F546" s="196"/>
      <c r="G546" s="148"/>
      <c r="H546" s="138" t="s">
        <v>249</v>
      </c>
      <c r="I546" s="138">
        <v>1</v>
      </c>
      <c r="J546" s="144">
        <v>1100000</v>
      </c>
      <c r="K546" s="144">
        <v>1100000</v>
      </c>
      <c r="L546" s="144">
        <v>1100000</v>
      </c>
      <c r="M546" s="143">
        <v>100</v>
      </c>
      <c r="N546" s="143">
        <v>1100000</v>
      </c>
      <c r="O546" s="143">
        <v>0</v>
      </c>
      <c r="P546" s="148"/>
      <c r="Q546" s="138" t="s">
        <v>20</v>
      </c>
      <c r="R546" s="138" t="s">
        <v>229</v>
      </c>
      <c r="S546" s="145" t="s">
        <v>4356</v>
      </c>
      <c r="T546" s="256"/>
      <c r="U546" s="202">
        <v>539</v>
      </c>
      <c r="V546" s="203" t="b">
        <v>1</v>
      </c>
      <c r="W546" s="204" t="s">
        <v>3285</v>
      </c>
      <c r="X546" s="128"/>
      <c r="Y546" s="128"/>
      <c r="Z546" s="128"/>
    </row>
    <row r="547" spans="1:26" ht="12.5">
      <c r="A547" s="251">
        <v>596</v>
      </c>
      <c r="B547" s="173" t="s">
        <v>4347</v>
      </c>
      <c r="C547" s="252">
        <v>44196</v>
      </c>
      <c r="D547" s="253" t="s">
        <v>4357</v>
      </c>
      <c r="E547" s="254" t="s">
        <v>4355</v>
      </c>
      <c r="F547" s="255"/>
      <c r="G547" s="148"/>
      <c r="H547" s="251" t="s">
        <v>249</v>
      </c>
      <c r="I547" s="251">
        <v>1</v>
      </c>
      <c r="J547" s="144">
        <v>1100000</v>
      </c>
      <c r="K547" s="144">
        <v>1100000</v>
      </c>
      <c r="L547" s="144">
        <v>1100000</v>
      </c>
      <c r="M547" s="143">
        <v>100</v>
      </c>
      <c r="N547" s="143">
        <v>1100000</v>
      </c>
      <c r="O547" s="143">
        <v>0</v>
      </c>
      <c r="P547" s="256"/>
      <c r="Q547" s="251" t="s">
        <v>20</v>
      </c>
      <c r="R547" s="251" t="s">
        <v>229</v>
      </c>
      <c r="S547" s="254" t="s">
        <v>4358</v>
      </c>
      <c r="T547" s="257" t="s">
        <v>3840</v>
      </c>
      <c r="U547" s="258">
        <v>540</v>
      </c>
      <c r="V547" s="259" t="b">
        <v>1</v>
      </c>
      <c r="W547" s="260" t="s">
        <v>3285</v>
      </c>
      <c r="X547" s="261"/>
      <c r="Y547" s="261"/>
      <c r="Z547" s="261"/>
    </row>
    <row r="548" spans="1:26" ht="12.5">
      <c r="A548" s="138">
        <v>597</v>
      </c>
      <c r="B548" s="173" t="s">
        <v>4347</v>
      </c>
      <c r="C548" s="139">
        <v>44196</v>
      </c>
      <c r="D548" s="210" t="s">
        <v>4359</v>
      </c>
      <c r="E548" s="145" t="s">
        <v>4355</v>
      </c>
      <c r="F548" s="196"/>
      <c r="G548" s="148"/>
      <c r="H548" s="138" t="s">
        <v>249</v>
      </c>
      <c r="I548" s="138">
        <v>1</v>
      </c>
      <c r="J548" s="144">
        <v>1100000</v>
      </c>
      <c r="K548" s="144">
        <v>1100000</v>
      </c>
      <c r="L548" s="144">
        <v>1100000</v>
      </c>
      <c r="M548" s="143">
        <v>100</v>
      </c>
      <c r="N548" s="143">
        <v>1100000</v>
      </c>
      <c r="O548" s="143">
        <v>0</v>
      </c>
      <c r="P548" s="148"/>
      <c r="Q548" s="138" t="s">
        <v>20</v>
      </c>
      <c r="R548" s="138" t="s">
        <v>229</v>
      </c>
      <c r="S548" s="145" t="s">
        <v>4360</v>
      </c>
      <c r="T548" s="125"/>
      <c r="U548" s="202">
        <v>541</v>
      </c>
      <c r="V548" s="203" t="b">
        <v>1</v>
      </c>
      <c r="W548" s="204" t="s">
        <v>3285</v>
      </c>
      <c r="X548" s="128"/>
      <c r="Y548" s="128"/>
      <c r="Z548" s="128"/>
    </row>
    <row r="549" spans="1:26" ht="12.5">
      <c r="A549" s="138">
        <v>598</v>
      </c>
      <c r="B549" s="173" t="s">
        <v>4347</v>
      </c>
      <c r="C549" s="139">
        <v>44196</v>
      </c>
      <c r="D549" s="210" t="s">
        <v>4361</v>
      </c>
      <c r="E549" s="145" t="s">
        <v>4355</v>
      </c>
      <c r="F549" s="196"/>
      <c r="G549" s="148"/>
      <c r="H549" s="138" t="s">
        <v>249</v>
      </c>
      <c r="I549" s="138">
        <v>1</v>
      </c>
      <c r="J549" s="144">
        <v>1100000</v>
      </c>
      <c r="K549" s="144">
        <v>1100000</v>
      </c>
      <c r="L549" s="144">
        <v>1100000</v>
      </c>
      <c r="M549" s="143">
        <v>100</v>
      </c>
      <c r="N549" s="143">
        <v>1100000</v>
      </c>
      <c r="O549" s="143">
        <v>0</v>
      </c>
      <c r="P549" s="148"/>
      <c r="Q549" s="138" t="s">
        <v>20</v>
      </c>
      <c r="R549" s="138" t="s">
        <v>229</v>
      </c>
      <c r="S549" s="145" t="s">
        <v>4362</v>
      </c>
      <c r="T549" s="125"/>
      <c r="U549" s="202">
        <v>542</v>
      </c>
      <c r="V549" s="203" t="b">
        <v>1</v>
      </c>
      <c r="W549" s="204" t="s">
        <v>3285</v>
      </c>
      <c r="X549" s="128"/>
      <c r="Y549" s="128"/>
      <c r="Z549" s="128"/>
    </row>
    <row r="550" spans="1:26" ht="12.5">
      <c r="A550" s="138">
        <v>599</v>
      </c>
      <c r="B550" s="173" t="s">
        <v>4347</v>
      </c>
      <c r="C550" s="139">
        <v>44196</v>
      </c>
      <c r="D550" s="210" t="s">
        <v>4363</v>
      </c>
      <c r="E550" s="145" t="s">
        <v>4355</v>
      </c>
      <c r="F550" s="196"/>
      <c r="G550" s="148"/>
      <c r="H550" s="138" t="s">
        <v>249</v>
      </c>
      <c r="I550" s="138">
        <v>1</v>
      </c>
      <c r="J550" s="144">
        <v>1100000</v>
      </c>
      <c r="K550" s="144">
        <v>1100000</v>
      </c>
      <c r="L550" s="144">
        <v>1100000</v>
      </c>
      <c r="M550" s="143">
        <v>100</v>
      </c>
      <c r="N550" s="143">
        <v>1100000</v>
      </c>
      <c r="O550" s="143">
        <v>0</v>
      </c>
      <c r="P550" s="148"/>
      <c r="Q550" s="138" t="s">
        <v>20</v>
      </c>
      <c r="R550" s="138" t="s">
        <v>229</v>
      </c>
      <c r="S550" s="145" t="s">
        <v>4364</v>
      </c>
      <c r="T550" s="125"/>
      <c r="U550" s="202">
        <v>543</v>
      </c>
      <c r="V550" s="203" t="b">
        <v>1</v>
      </c>
      <c r="W550" s="204" t="s">
        <v>3285</v>
      </c>
      <c r="X550" s="128"/>
      <c r="Y550" s="128"/>
      <c r="Z550" s="128"/>
    </row>
    <row r="551" spans="1:26" ht="12.5">
      <c r="A551" s="138">
        <v>600</v>
      </c>
      <c r="B551" s="173" t="s">
        <v>4347</v>
      </c>
      <c r="C551" s="139">
        <v>44196</v>
      </c>
      <c r="D551" s="210" t="s">
        <v>4365</v>
      </c>
      <c r="E551" s="145" t="s">
        <v>4355</v>
      </c>
      <c r="F551" s="196"/>
      <c r="G551" s="148"/>
      <c r="H551" s="138" t="s">
        <v>249</v>
      </c>
      <c r="I551" s="138">
        <v>1</v>
      </c>
      <c r="J551" s="144">
        <v>1100000</v>
      </c>
      <c r="K551" s="144">
        <v>1100000</v>
      </c>
      <c r="L551" s="144">
        <v>1100000</v>
      </c>
      <c r="M551" s="143">
        <v>100</v>
      </c>
      <c r="N551" s="143">
        <v>1100000</v>
      </c>
      <c r="O551" s="143">
        <v>0</v>
      </c>
      <c r="P551" s="148"/>
      <c r="Q551" s="138" t="s">
        <v>20</v>
      </c>
      <c r="R551" s="138" t="s">
        <v>229</v>
      </c>
      <c r="S551" s="145" t="s">
        <v>4364</v>
      </c>
      <c r="T551" s="125"/>
      <c r="U551" s="202">
        <v>544</v>
      </c>
      <c r="V551" s="203" t="b">
        <v>1</v>
      </c>
      <c r="W551" s="204" t="s">
        <v>3285</v>
      </c>
      <c r="X551" s="128"/>
      <c r="Y551" s="128"/>
      <c r="Z551" s="128"/>
    </row>
    <row r="552" spans="1:26" ht="12.5">
      <c r="A552" s="138">
        <v>601</v>
      </c>
      <c r="B552" s="173" t="s">
        <v>4347</v>
      </c>
      <c r="C552" s="139">
        <v>44196</v>
      </c>
      <c r="D552" s="210" t="s">
        <v>4366</v>
      </c>
      <c r="E552" s="145" t="s">
        <v>4367</v>
      </c>
      <c r="F552" s="196"/>
      <c r="G552" s="148"/>
      <c r="H552" s="138" t="s">
        <v>249</v>
      </c>
      <c r="I552" s="138">
        <v>1</v>
      </c>
      <c r="J552" s="144">
        <v>700000</v>
      </c>
      <c r="K552" s="144">
        <v>700000</v>
      </c>
      <c r="L552" s="144">
        <v>700000</v>
      </c>
      <c r="M552" s="143">
        <v>100</v>
      </c>
      <c r="N552" s="143">
        <v>700000</v>
      </c>
      <c r="O552" s="143">
        <v>0</v>
      </c>
      <c r="P552" s="148"/>
      <c r="Q552" s="138" t="s">
        <v>20</v>
      </c>
      <c r="R552" s="138" t="s">
        <v>229</v>
      </c>
      <c r="S552" s="145" t="s">
        <v>4368</v>
      </c>
      <c r="T552" s="125"/>
      <c r="U552" s="202">
        <v>545</v>
      </c>
      <c r="V552" s="203" t="b">
        <v>1</v>
      </c>
      <c r="W552" s="204" t="s">
        <v>3285</v>
      </c>
      <c r="X552" s="128"/>
      <c r="Y552" s="128"/>
      <c r="Z552" s="128"/>
    </row>
    <row r="553" spans="1:26" ht="12.5">
      <c r="A553" s="138">
        <v>602</v>
      </c>
      <c r="B553" s="173" t="s">
        <v>4347</v>
      </c>
      <c r="C553" s="139">
        <v>44196</v>
      </c>
      <c r="D553" s="210" t="s">
        <v>4369</v>
      </c>
      <c r="E553" s="145" t="s">
        <v>4367</v>
      </c>
      <c r="F553" s="196"/>
      <c r="G553" s="148"/>
      <c r="H553" s="138" t="s">
        <v>249</v>
      </c>
      <c r="I553" s="138">
        <v>1</v>
      </c>
      <c r="J553" s="144">
        <v>700000</v>
      </c>
      <c r="K553" s="144">
        <v>700000</v>
      </c>
      <c r="L553" s="144">
        <v>700000</v>
      </c>
      <c r="M553" s="143">
        <v>100</v>
      </c>
      <c r="N553" s="143">
        <v>700000</v>
      </c>
      <c r="O553" s="143">
        <v>0</v>
      </c>
      <c r="P553" s="148"/>
      <c r="Q553" s="138" t="s">
        <v>20</v>
      </c>
      <c r="R553" s="138" t="s">
        <v>229</v>
      </c>
      <c r="S553" s="145" t="s">
        <v>4368</v>
      </c>
      <c r="T553" s="125"/>
      <c r="U553" s="202">
        <v>546</v>
      </c>
      <c r="V553" s="203" t="b">
        <v>1</v>
      </c>
      <c r="W553" s="204" t="s">
        <v>3285</v>
      </c>
      <c r="X553" s="128"/>
      <c r="Y553" s="128"/>
      <c r="Z553" s="128"/>
    </row>
    <row r="554" spans="1:26" ht="12.5">
      <c r="A554" s="138">
        <v>603</v>
      </c>
      <c r="B554" s="173" t="s">
        <v>4347</v>
      </c>
      <c r="C554" s="139">
        <v>44196</v>
      </c>
      <c r="D554" s="210" t="s">
        <v>4370</v>
      </c>
      <c r="E554" s="145" t="s">
        <v>4367</v>
      </c>
      <c r="F554" s="196"/>
      <c r="G554" s="148"/>
      <c r="H554" s="138" t="s">
        <v>249</v>
      </c>
      <c r="I554" s="138">
        <v>1</v>
      </c>
      <c r="J554" s="144">
        <v>700000</v>
      </c>
      <c r="K554" s="144">
        <v>700000</v>
      </c>
      <c r="L554" s="144">
        <v>700000</v>
      </c>
      <c r="M554" s="143">
        <v>100</v>
      </c>
      <c r="N554" s="143">
        <v>700000</v>
      </c>
      <c r="O554" s="143">
        <v>0</v>
      </c>
      <c r="P554" s="148"/>
      <c r="Q554" s="138" t="s">
        <v>20</v>
      </c>
      <c r="R554" s="138" t="s">
        <v>229</v>
      </c>
      <c r="S554" s="145" t="s">
        <v>4371</v>
      </c>
      <c r="T554" s="125"/>
      <c r="U554" s="202">
        <v>547</v>
      </c>
      <c r="V554" s="203" t="b">
        <v>1</v>
      </c>
      <c r="W554" s="204" t="s">
        <v>3285</v>
      </c>
      <c r="X554" s="128"/>
      <c r="Y554" s="128"/>
      <c r="Z554" s="128"/>
    </row>
    <row r="555" spans="1:26" ht="12.5">
      <c r="A555" s="138">
        <v>604</v>
      </c>
      <c r="B555" s="173" t="s">
        <v>4347</v>
      </c>
      <c r="C555" s="139">
        <v>44196</v>
      </c>
      <c r="D555" s="210" t="s">
        <v>4372</v>
      </c>
      <c r="E555" s="145" t="s">
        <v>4367</v>
      </c>
      <c r="F555" s="196"/>
      <c r="G555" s="148"/>
      <c r="H555" s="138" t="s">
        <v>249</v>
      </c>
      <c r="I555" s="138">
        <v>1</v>
      </c>
      <c r="J555" s="144">
        <v>700000</v>
      </c>
      <c r="K555" s="144">
        <v>700000</v>
      </c>
      <c r="L555" s="144">
        <v>700000</v>
      </c>
      <c r="M555" s="143">
        <v>100</v>
      </c>
      <c r="N555" s="143">
        <v>700000</v>
      </c>
      <c r="O555" s="143">
        <v>0</v>
      </c>
      <c r="P555" s="148"/>
      <c r="Q555" s="138" t="s">
        <v>20</v>
      </c>
      <c r="R555" s="138" t="s">
        <v>229</v>
      </c>
      <c r="S555" s="145" t="s">
        <v>4373</v>
      </c>
      <c r="T555" s="125"/>
      <c r="U555" s="202">
        <v>548</v>
      </c>
      <c r="V555" s="203" t="b">
        <v>1</v>
      </c>
      <c r="W555" s="204" t="s">
        <v>3285</v>
      </c>
      <c r="X555" s="128"/>
      <c r="Y555" s="128"/>
      <c r="Z555" s="128"/>
    </row>
    <row r="556" spans="1:26" ht="12.5">
      <c r="A556" s="138">
        <v>605</v>
      </c>
      <c r="B556" s="173" t="s">
        <v>4347</v>
      </c>
      <c r="C556" s="139">
        <v>44196</v>
      </c>
      <c r="D556" s="210" t="s">
        <v>4374</v>
      </c>
      <c r="E556" s="145" t="s">
        <v>4367</v>
      </c>
      <c r="F556" s="196"/>
      <c r="G556" s="148"/>
      <c r="H556" s="138" t="s">
        <v>249</v>
      </c>
      <c r="I556" s="138">
        <v>1</v>
      </c>
      <c r="J556" s="144">
        <v>700000</v>
      </c>
      <c r="K556" s="144">
        <v>700000</v>
      </c>
      <c r="L556" s="144">
        <v>700000</v>
      </c>
      <c r="M556" s="143">
        <v>100</v>
      </c>
      <c r="N556" s="143">
        <v>700000</v>
      </c>
      <c r="O556" s="143">
        <v>0</v>
      </c>
      <c r="P556" s="148"/>
      <c r="Q556" s="138" t="s">
        <v>20</v>
      </c>
      <c r="R556" s="138" t="s">
        <v>229</v>
      </c>
      <c r="S556" s="145" t="s">
        <v>4375</v>
      </c>
      <c r="T556" s="125"/>
      <c r="U556" s="202">
        <v>549</v>
      </c>
      <c r="V556" s="203" t="b">
        <v>1</v>
      </c>
      <c r="W556" s="204" t="s">
        <v>3285</v>
      </c>
      <c r="X556" s="128"/>
      <c r="Y556" s="128"/>
      <c r="Z556" s="128"/>
    </row>
    <row r="557" spans="1:26" ht="12.5">
      <c r="A557" s="138">
        <v>606</v>
      </c>
      <c r="B557" s="173" t="s">
        <v>4347</v>
      </c>
      <c r="C557" s="139">
        <v>44196</v>
      </c>
      <c r="D557" s="210" t="s">
        <v>4376</v>
      </c>
      <c r="E557" s="145" t="s">
        <v>4367</v>
      </c>
      <c r="F557" s="196"/>
      <c r="G557" s="148"/>
      <c r="H557" s="138" t="s">
        <v>249</v>
      </c>
      <c r="I557" s="138">
        <v>1</v>
      </c>
      <c r="J557" s="144">
        <v>700000</v>
      </c>
      <c r="K557" s="144">
        <v>700000</v>
      </c>
      <c r="L557" s="144">
        <v>700000</v>
      </c>
      <c r="M557" s="143">
        <v>100</v>
      </c>
      <c r="N557" s="143">
        <v>700000</v>
      </c>
      <c r="O557" s="143">
        <v>0</v>
      </c>
      <c r="P557" s="148"/>
      <c r="Q557" s="138" t="s">
        <v>20</v>
      </c>
      <c r="R557" s="138" t="s">
        <v>229</v>
      </c>
      <c r="S557" s="145" t="s">
        <v>4375</v>
      </c>
      <c r="T557" s="125"/>
      <c r="U557" s="202">
        <v>550</v>
      </c>
      <c r="V557" s="203" t="b">
        <v>1</v>
      </c>
      <c r="W557" s="204" t="s">
        <v>3285</v>
      </c>
      <c r="X557" s="128"/>
      <c r="Y557" s="128"/>
      <c r="Z557" s="128"/>
    </row>
    <row r="558" spans="1:26" ht="12.5">
      <c r="A558" s="138">
        <v>607</v>
      </c>
      <c r="B558" s="173" t="s">
        <v>4347</v>
      </c>
      <c r="C558" s="139">
        <v>44196</v>
      </c>
      <c r="D558" s="210" t="s">
        <v>4377</v>
      </c>
      <c r="E558" s="145" t="s">
        <v>4367</v>
      </c>
      <c r="F558" s="196"/>
      <c r="G558" s="148"/>
      <c r="H558" s="138" t="s">
        <v>249</v>
      </c>
      <c r="I558" s="138">
        <v>1</v>
      </c>
      <c r="J558" s="144">
        <v>700000</v>
      </c>
      <c r="K558" s="144">
        <v>700000</v>
      </c>
      <c r="L558" s="144">
        <v>700000</v>
      </c>
      <c r="M558" s="143">
        <v>100</v>
      </c>
      <c r="N558" s="143">
        <v>700000</v>
      </c>
      <c r="O558" s="143">
        <v>0</v>
      </c>
      <c r="P558" s="148"/>
      <c r="Q558" s="138" t="s">
        <v>20</v>
      </c>
      <c r="R558" s="138" t="s">
        <v>229</v>
      </c>
      <c r="S558" s="145" t="s">
        <v>4375</v>
      </c>
      <c r="T558" s="125"/>
      <c r="U558" s="202">
        <v>551</v>
      </c>
      <c r="V558" s="203" t="b">
        <v>1</v>
      </c>
      <c r="W558" s="204" t="s">
        <v>3285</v>
      </c>
      <c r="X558" s="128"/>
      <c r="Y558" s="128"/>
      <c r="Z558" s="128"/>
    </row>
    <row r="559" spans="1:26" ht="12.5">
      <c r="A559" s="138">
        <v>608</v>
      </c>
      <c r="B559" s="173" t="s">
        <v>4347</v>
      </c>
      <c r="C559" s="139">
        <v>44196</v>
      </c>
      <c r="D559" s="210" t="s">
        <v>4378</v>
      </c>
      <c r="E559" s="145" t="s">
        <v>4367</v>
      </c>
      <c r="F559" s="196"/>
      <c r="G559" s="148"/>
      <c r="H559" s="138" t="s">
        <v>249</v>
      </c>
      <c r="I559" s="138">
        <v>1</v>
      </c>
      <c r="J559" s="144">
        <v>700000</v>
      </c>
      <c r="K559" s="144">
        <v>700000</v>
      </c>
      <c r="L559" s="144">
        <v>700000</v>
      </c>
      <c r="M559" s="143">
        <v>100</v>
      </c>
      <c r="N559" s="143">
        <v>700000</v>
      </c>
      <c r="O559" s="143">
        <v>0</v>
      </c>
      <c r="P559" s="148"/>
      <c r="Q559" s="138" t="s">
        <v>20</v>
      </c>
      <c r="R559" s="138" t="s">
        <v>229</v>
      </c>
      <c r="S559" s="145" t="s">
        <v>4375</v>
      </c>
      <c r="T559" s="125"/>
      <c r="U559" s="202">
        <v>552</v>
      </c>
      <c r="V559" s="203" t="b">
        <v>1</v>
      </c>
      <c r="W559" s="204" t="s">
        <v>3285</v>
      </c>
      <c r="X559" s="128"/>
      <c r="Y559" s="128"/>
      <c r="Z559" s="128"/>
    </row>
    <row r="560" spans="1:26" ht="12.5">
      <c r="A560" s="138">
        <v>609</v>
      </c>
      <c r="B560" s="173" t="s">
        <v>4347</v>
      </c>
      <c r="C560" s="139">
        <v>44196</v>
      </c>
      <c r="D560" s="210" t="s">
        <v>4379</v>
      </c>
      <c r="E560" s="145" t="s">
        <v>4367</v>
      </c>
      <c r="F560" s="196"/>
      <c r="G560" s="148"/>
      <c r="H560" s="138" t="s">
        <v>249</v>
      </c>
      <c r="I560" s="138">
        <v>1</v>
      </c>
      <c r="J560" s="144">
        <v>700000</v>
      </c>
      <c r="K560" s="144">
        <v>700000</v>
      </c>
      <c r="L560" s="144">
        <v>700000</v>
      </c>
      <c r="M560" s="143">
        <v>100</v>
      </c>
      <c r="N560" s="143">
        <v>700000</v>
      </c>
      <c r="O560" s="143">
        <v>0</v>
      </c>
      <c r="P560" s="148"/>
      <c r="Q560" s="138" t="s">
        <v>20</v>
      </c>
      <c r="R560" s="138" t="s">
        <v>229</v>
      </c>
      <c r="S560" s="145" t="s">
        <v>4375</v>
      </c>
      <c r="T560" s="125"/>
      <c r="U560" s="202">
        <v>553</v>
      </c>
      <c r="V560" s="203" t="b">
        <v>1</v>
      </c>
      <c r="W560" s="204" t="s">
        <v>3285</v>
      </c>
      <c r="X560" s="128"/>
      <c r="Y560" s="128"/>
      <c r="Z560" s="128"/>
    </row>
    <row r="561" spans="1:26" ht="12.5">
      <c r="A561" s="138">
        <v>610</v>
      </c>
      <c r="B561" s="173" t="s">
        <v>4347</v>
      </c>
      <c r="C561" s="139">
        <v>44196</v>
      </c>
      <c r="D561" s="210" t="s">
        <v>4380</v>
      </c>
      <c r="E561" s="145" t="s">
        <v>4367</v>
      </c>
      <c r="F561" s="196"/>
      <c r="G561" s="148"/>
      <c r="H561" s="138" t="s">
        <v>249</v>
      </c>
      <c r="I561" s="138">
        <v>1</v>
      </c>
      <c r="J561" s="144">
        <v>700000</v>
      </c>
      <c r="K561" s="144">
        <v>700000</v>
      </c>
      <c r="L561" s="144">
        <v>700000</v>
      </c>
      <c r="M561" s="143">
        <v>100</v>
      </c>
      <c r="N561" s="143">
        <v>700000</v>
      </c>
      <c r="O561" s="143">
        <v>0</v>
      </c>
      <c r="P561" s="148"/>
      <c r="Q561" s="138" t="s">
        <v>20</v>
      </c>
      <c r="R561" s="138" t="s">
        <v>229</v>
      </c>
      <c r="S561" s="145" t="s">
        <v>4375</v>
      </c>
      <c r="T561" s="125"/>
      <c r="U561" s="202">
        <v>554</v>
      </c>
      <c r="V561" s="203" t="b">
        <v>1</v>
      </c>
      <c r="W561" s="204" t="s">
        <v>3285</v>
      </c>
      <c r="X561" s="128"/>
      <c r="Y561" s="128"/>
      <c r="Z561" s="128"/>
    </row>
    <row r="562" spans="1:26" ht="12.5" hidden="1">
      <c r="A562" s="138">
        <v>611</v>
      </c>
      <c r="B562" s="266" t="s">
        <v>4381</v>
      </c>
      <c r="C562" s="267">
        <v>44530</v>
      </c>
      <c r="D562" s="266" t="s">
        <v>4382</v>
      </c>
      <c r="E562" s="266" t="s">
        <v>4383</v>
      </c>
      <c r="F562" s="186"/>
      <c r="G562" s="266" t="s">
        <v>248</v>
      </c>
      <c r="H562" s="185" t="s">
        <v>249</v>
      </c>
      <c r="I562" s="166">
        <v>1</v>
      </c>
      <c r="J562" s="268">
        <v>662000</v>
      </c>
      <c r="K562" s="268">
        <v>662000</v>
      </c>
      <c r="L562" s="268">
        <v>662000</v>
      </c>
      <c r="M562" s="148"/>
      <c r="N562" s="148"/>
      <c r="O562" s="148"/>
      <c r="P562" s="148"/>
      <c r="Q562" s="138" t="s">
        <v>36</v>
      </c>
      <c r="R562" s="138" t="s">
        <v>3512</v>
      </c>
      <c r="S562" s="145" t="s">
        <v>4384</v>
      </c>
      <c r="T562" s="125"/>
      <c r="U562" s="202">
        <v>555</v>
      </c>
      <c r="V562" s="203" t="b">
        <v>1</v>
      </c>
      <c r="W562" s="204" t="s">
        <v>3285</v>
      </c>
      <c r="X562" s="128"/>
      <c r="Y562" s="128"/>
      <c r="Z562" s="128"/>
    </row>
    <row r="563" spans="1:26" ht="12.5" hidden="1">
      <c r="A563" s="138">
        <v>612</v>
      </c>
      <c r="B563" s="266" t="s">
        <v>4381</v>
      </c>
      <c r="C563" s="267">
        <v>44530</v>
      </c>
      <c r="D563" s="266" t="s">
        <v>4385</v>
      </c>
      <c r="E563" s="266" t="s">
        <v>4383</v>
      </c>
      <c r="F563" s="186"/>
      <c r="G563" s="266" t="s">
        <v>248</v>
      </c>
      <c r="H563" s="185" t="s">
        <v>249</v>
      </c>
      <c r="I563" s="166">
        <v>1</v>
      </c>
      <c r="J563" s="268">
        <v>662000</v>
      </c>
      <c r="K563" s="268">
        <v>662000</v>
      </c>
      <c r="L563" s="268">
        <v>662000</v>
      </c>
      <c r="M563" s="148"/>
      <c r="N563" s="148"/>
      <c r="O563" s="148"/>
      <c r="P563" s="148"/>
      <c r="Q563" s="138" t="s">
        <v>36</v>
      </c>
      <c r="R563" s="138" t="s">
        <v>4386</v>
      </c>
      <c r="S563" s="145" t="s">
        <v>4387</v>
      </c>
      <c r="T563" s="125"/>
      <c r="U563" s="202">
        <v>556</v>
      </c>
      <c r="V563" s="203" t="b">
        <v>1</v>
      </c>
      <c r="W563" s="204" t="s">
        <v>3285</v>
      </c>
      <c r="X563" s="128"/>
      <c r="Y563" s="128"/>
      <c r="Z563" s="128"/>
    </row>
    <row r="564" spans="1:26" ht="12.5" hidden="1">
      <c r="A564" s="138">
        <v>613</v>
      </c>
      <c r="B564" s="266" t="s">
        <v>4388</v>
      </c>
      <c r="C564" s="267">
        <v>44470</v>
      </c>
      <c r="D564" s="266" t="s">
        <v>4389</v>
      </c>
      <c r="E564" s="266" t="s">
        <v>4390</v>
      </c>
      <c r="F564" s="266">
        <v>4037289</v>
      </c>
      <c r="G564" s="266" t="s">
        <v>1435</v>
      </c>
      <c r="H564" s="185" t="s">
        <v>249</v>
      </c>
      <c r="I564" s="166">
        <v>1</v>
      </c>
      <c r="J564" s="268">
        <v>14454545</v>
      </c>
      <c r="K564" s="268">
        <v>14454545</v>
      </c>
      <c r="L564" s="268">
        <v>14454545</v>
      </c>
      <c r="M564" s="148"/>
      <c r="N564" s="148"/>
      <c r="O564" s="148"/>
      <c r="P564" s="148"/>
      <c r="Q564" s="138" t="s">
        <v>20</v>
      </c>
      <c r="R564" s="138" t="s">
        <v>3262</v>
      </c>
      <c r="S564" s="145" t="s">
        <v>4391</v>
      </c>
      <c r="T564" s="125"/>
      <c r="U564" s="202">
        <v>557</v>
      </c>
      <c r="V564" s="203" t="b">
        <v>1</v>
      </c>
      <c r="W564" s="204" t="s">
        <v>3285</v>
      </c>
      <c r="X564" s="128"/>
      <c r="Y564" s="128"/>
      <c r="Z564" s="128"/>
    </row>
    <row r="565" spans="1:26" ht="12.5">
      <c r="A565" s="138">
        <v>614</v>
      </c>
      <c r="B565" s="266" t="s">
        <v>4388</v>
      </c>
      <c r="C565" s="267">
        <v>44470</v>
      </c>
      <c r="D565" s="269" t="s">
        <v>4392</v>
      </c>
      <c r="E565" s="266" t="s">
        <v>4390</v>
      </c>
      <c r="F565" s="266">
        <v>4037288</v>
      </c>
      <c r="G565" s="266" t="s">
        <v>1435</v>
      </c>
      <c r="H565" s="185" t="s">
        <v>249</v>
      </c>
      <c r="I565" s="166">
        <v>1</v>
      </c>
      <c r="J565" s="268">
        <v>14454545</v>
      </c>
      <c r="K565" s="268">
        <v>14454545</v>
      </c>
      <c r="L565" s="268">
        <v>14454545</v>
      </c>
      <c r="M565" s="148"/>
      <c r="N565" s="148"/>
      <c r="O565" s="148"/>
      <c r="P565" s="148"/>
      <c r="Q565" s="138" t="s">
        <v>20</v>
      </c>
      <c r="R565" s="138" t="s">
        <v>229</v>
      </c>
      <c r="S565" s="145" t="s">
        <v>4393</v>
      </c>
      <c r="T565" s="125"/>
      <c r="U565" s="202">
        <v>558</v>
      </c>
      <c r="V565" s="203" t="b">
        <v>1</v>
      </c>
      <c r="W565" s="204" t="s">
        <v>3285</v>
      </c>
      <c r="X565" s="128"/>
      <c r="Y565" s="128"/>
      <c r="Z565" s="128"/>
    </row>
    <row r="566" spans="1:26" ht="12.5" hidden="1">
      <c r="A566" s="138">
        <v>615</v>
      </c>
      <c r="B566" s="266" t="s">
        <v>4388</v>
      </c>
      <c r="C566" s="267">
        <v>44470</v>
      </c>
      <c r="D566" s="266" t="s">
        <v>4394</v>
      </c>
      <c r="E566" s="266" t="s">
        <v>4390</v>
      </c>
      <c r="F566" s="266">
        <v>4034913</v>
      </c>
      <c r="G566" s="266" t="s">
        <v>1435</v>
      </c>
      <c r="H566" s="185" t="s">
        <v>249</v>
      </c>
      <c r="I566" s="166">
        <v>1</v>
      </c>
      <c r="J566" s="268">
        <v>14454545</v>
      </c>
      <c r="K566" s="268">
        <v>14454545</v>
      </c>
      <c r="L566" s="268">
        <v>14454545</v>
      </c>
      <c r="M566" s="148"/>
      <c r="N566" s="148"/>
      <c r="O566" s="148"/>
      <c r="P566" s="148"/>
      <c r="Q566" s="138" t="s">
        <v>20</v>
      </c>
      <c r="R566" s="138" t="s">
        <v>3262</v>
      </c>
      <c r="S566" s="145" t="s">
        <v>4395</v>
      </c>
      <c r="T566" s="125"/>
      <c r="U566" s="202">
        <v>559</v>
      </c>
      <c r="V566" s="203" t="b">
        <v>1</v>
      </c>
      <c r="W566" s="204" t="s">
        <v>3285</v>
      </c>
      <c r="X566" s="128"/>
      <c r="Y566" s="128"/>
      <c r="Z566" s="128"/>
    </row>
    <row r="567" spans="1:26" ht="12.5">
      <c r="A567" s="138">
        <v>616</v>
      </c>
      <c r="B567" s="266" t="s">
        <v>4388</v>
      </c>
      <c r="C567" s="267">
        <v>44470</v>
      </c>
      <c r="D567" s="269" t="s">
        <v>4396</v>
      </c>
      <c r="E567" s="266" t="s">
        <v>4390</v>
      </c>
      <c r="F567" s="266">
        <v>4034908</v>
      </c>
      <c r="G567" s="266" t="s">
        <v>1435</v>
      </c>
      <c r="H567" s="185" t="s">
        <v>249</v>
      </c>
      <c r="I567" s="166">
        <v>1</v>
      </c>
      <c r="J567" s="268">
        <v>14454547</v>
      </c>
      <c r="K567" s="268">
        <v>14454547</v>
      </c>
      <c r="L567" s="268">
        <v>14454547</v>
      </c>
      <c r="M567" s="148"/>
      <c r="N567" s="148"/>
      <c r="O567" s="148"/>
      <c r="P567" s="148"/>
      <c r="Q567" s="138" t="s">
        <v>20</v>
      </c>
      <c r="R567" s="138" t="s">
        <v>229</v>
      </c>
      <c r="S567" s="145" t="s">
        <v>4397</v>
      </c>
      <c r="T567" s="125"/>
      <c r="U567" s="202">
        <v>560</v>
      </c>
      <c r="V567" s="203" t="b">
        <v>1</v>
      </c>
      <c r="W567" s="204" t="s">
        <v>3285</v>
      </c>
      <c r="X567" s="128"/>
      <c r="Y567" s="128"/>
      <c r="Z567" s="128"/>
    </row>
    <row r="568" spans="1:26" ht="12.5" hidden="1">
      <c r="A568" s="138">
        <v>617</v>
      </c>
      <c r="B568" s="266" t="s">
        <v>4398</v>
      </c>
      <c r="C568" s="267">
        <v>44530</v>
      </c>
      <c r="D568" s="266" t="s">
        <v>4399</v>
      </c>
      <c r="E568" s="266" t="s">
        <v>4400</v>
      </c>
      <c r="F568" s="266" t="s">
        <v>4401</v>
      </c>
      <c r="G568" s="266" t="s">
        <v>1008</v>
      </c>
      <c r="H568" s="185" t="s">
        <v>249</v>
      </c>
      <c r="I568" s="166">
        <v>1</v>
      </c>
      <c r="J568" s="268">
        <v>12000000</v>
      </c>
      <c r="K568" s="268">
        <v>12000000</v>
      </c>
      <c r="L568" s="268">
        <v>12000000</v>
      </c>
      <c r="M568" s="148"/>
      <c r="N568" s="148"/>
      <c r="O568" s="148"/>
      <c r="P568" s="148"/>
      <c r="Q568" s="138" t="s">
        <v>206</v>
      </c>
      <c r="R568" s="138" t="s">
        <v>1040</v>
      </c>
      <c r="S568" s="196"/>
      <c r="T568" s="125"/>
      <c r="U568" s="202">
        <v>561</v>
      </c>
      <c r="V568" s="203" t="b">
        <v>1</v>
      </c>
      <c r="W568" s="204" t="s">
        <v>3285</v>
      </c>
      <c r="X568" s="128"/>
      <c r="Y568" s="128"/>
      <c r="Z568" s="128"/>
    </row>
    <row r="569" spans="1:26" ht="12.5" hidden="1">
      <c r="A569" s="138">
        <v>618</v>
      </c>
      <c r="B569" s="266" t="s">
        <v>4398</v>
      </c>
      <c r="C569" s="267">
        <v>44530</v>
      </c>
      <c r="D569" s="266" t="s">
        <v>4402</v>
      </c>
      <c r="E569" s="266" t="s">
        <v>4400</v>
      </c>
      <c r="F569" s="266" t="s">
        <v>4403</v>
      </c>
      <c r="G569" s="266" t="s">
        <v>1008</v>
      </c>
      <c r="H569" s="185" t="s">
        <v>249</v>
      </c>
      <c r="I569" s="166">
        <v>1</v>
      </c>
      <c r="J569" s="268">
        <v>12000000</v>
      </c>
      <c r="K569" s="268">
        <v>12000000</v>
      </c>
      <c r="L569" s="268">
        <v>12000000</v>
      </c>
      <c r="M569" s="148"/>
      <c r="N569" s="148"/>
      <c r="O569" s="148"/>
      <c r="P569" s="148"/>
      <c r="Q569" s="138" t="s">
        <v>206</v>
      </c>
      <c r="R569" s="138" t="s">
        <v>1040</v>
      </c>
      <c r="S569" s="196"/>
      <c r="T569" s="125"/>
      <c r="U569" s="202">
        <v>562</v>
      </c>
      <c r="V569" s="203" t="b">
        <v>1</v>
      </c>
      <c r="W569" s="204" t="s">
        <v>3285</v>
      </c>
      <c r="X569" s="128"/>
      <c r="Y569" s="128"/>
      <c r="Z569" s="128"/>
    </row>
    <row r="570" spans="1:26" ht="12.5" hidden="1">
      <c r="A570" s="138">
        <v>619</v>
      </c>
      <c r="B570" s="266" t="s">
        <v>4398</v>
      </c>
      <c r="C570" s="267">
        <v>44530</v>
      </c>
      <c r="D570" s="266" t="s">
        <v>4404</v>
      </c>
      <c r="E570" s="266" t="s">
        <v>4400</v>
      </c>
      <c r="F570" s="266" t="s">
        <v>4405</v>
      </c>
      <c r="G570" s="266" t="s">
        <v>1008</v>
      </c>
      <c r="H570" s="185" t="s">
        <v>249</v>
      </c>
      <c r="I570" s="166">
        <v>1</v>
      </c>
      <c r="J570" s="268">
        <v>12000000</v>
      </c>
      <c r="K570" s="268">
        <v>12000000</v>
      </c>
      <c r="L570" s="268">
        <v>12000000</v>
      </c>
      <c r="M570" s="148"/>
      <c r="N570" s="148"/>
      <c r="O570" s="148"/>
      <c r="P570" s="148"/>
      <c r="Q570" s="138" t="s">
        <v>206</v>
      </c>
      <c r="R570" s="138" t="s">
        <v>1040</v>
      </c>
      <c r="S570" s="196"/>
      <c r="T570" s="125"/>
      <c r="U570" s="202">
        <v>563</v>
      </c>
      <c r="V570" s="203" t="b">
        <v>1</v>
      </c>
      <c r="W570" s="204" t="s">
        <v>3285</v>
      </c>
      <c r="X570" s="128"/>
      <c r="Y570" s="128"/>
      <c r="Z570" s="128"/>
    </row>
    <row r="571" spans="1:26" ht="12.5" hidden="1">
      <c r="A571" s="138">
        <v>620</v>
      </c>
      <c r="B571" s="266" t="s">
        <v>4398</v>
      </c>
      <c r="C571" s="267">
        <v>44530</v>
      </c>
      <c r="D571" s="266" t="s">
        <v>4406</v>
      </c>
      <c r="E571" s="266" t="s">
        <v>4400</v>
      </c>
      <c r="F571" s="266" t="s">
        <v>4407</v>
      </c>
      <c r="G571" s="266" t="s">
        <v>1008</v>
      </c>
      <c r="H571" s="185" t="s">
        <v>249</v>
      </c>
      <c r="I571" s="166">
        <v>1</v>
      </c>
      <c r="J571" s="268">
        <v>12000000</v>
      </c>
      <c r="K571" s="268">
        <v>12000000</v>
      </c>
      <c r="L571" s="268">
        <v>12000000</v>
      </c>
      <c r="M571" s="148"/>
      <c r="N571" s="148"/>
      <c r="O571" s="148"/>
      <c r="P571" s="148"/>
      <c r="Q571" s="138" t="s">
        <v>206</v>
      </c>
      <c r="R571" s="138" t="s">
        <v>1040</v>
      </c>
      <c r="S571" s="196"/>
      <c r="T571" s="125"/>
      <c r="U571" s="202">
        <v>564</v>
      </c>
      <c r="V571" s="203" t="b">
        <v>1</v>
      </c>
      <c r="W571" s="204" t="s">
        <v>3285</v>
      </c>
      <c r="X571" s="128"/>
      <c r="Y571" s="128"/>
      <c r="Z571" s="128"/>
    </row>
    <row r="572" spans="1:26" ht="12.5" hidden="1">
      <c r="A572" s="138">
        <v>621</v>
      </c>
      <c r="B572" s="266" t="s">
        <v>4398</v>
      </c>
      <c r="C572" s="267">
        <v>44530</v>
      </c>
      <c r="D572" s="266" t="s">
        <v>4408</v>
      </c>
      <c r="E572" s="266" t="s">
        <v>4400</v>
      </c>
      <c r="F572" s="266" t="s">
        <v>4409</v>
      </c>
      <c r="G572" s="266" t="s">
        <v>1008</v>
      </c>
      <c r="H572" s="185" t="s">
        <v>249</v>
      </c>
      <c r="I572" s="166">
        <v>1</v>
      </c>
      <c r="J572" s="268">
        <v>12000000</v>
      </c>
      <c r="K572" s="268">
        <v>12000000</v>
      </c>
      <c r="L572" s="268">
        <v>12000000</v>
      </c>
      <c r="M572" s="148"/>
      <c r="N572" s="148"/>
      <c r="O572" s="148"/>
      <c r="P572" s="148"/>
      <c r="Q572" s="138" t="s">
        <v>206</v>
      </c>
      <c r="R572" s="138" t="s">
        <v>1040</v>
      </c>
      <c r="S572" s="196"/>
      <c r="T572" s="125"/>
      <c r="U572" s="202">
        <v>565</v>
      </c>
      <c r="V572" s="203" t="b">
        <v>1</v>
      </c>
      <c r="W572" s="204" t="s">
        <v>3285</v>
      </c>
      <c r="X572" s="128"/>
      <c r="Y572" s="128"/>
      <c r="Z572" s="128"/>
    </row>
    <row r="573" spans="1:26" ht="12.5" hidden="1">
      <c r="A573" s="138">
        <v>622</v>
      </c>
      <c r="B573" s="266" t="s">
        <v>4398</v>
      </c>
      <c r="C573" s="267">
        <v>44530</v>
      </c>
      <c r="D573" s="266" t="s">
        <v>4410</v>
      </c>
      <c r="E573" s="266" t="s">
        <v>4400</v>
      </c>
      <c r="F573" s="266" t="s">
        <v>4411</v>
      </c>
      <c r="G573" s="266" t="s">
        <v>1008</v>
      </c>
      <c r="H573" s="185" t="s">
        <v>249</v>
      </c>
      <c r="I573" s="166">
        <v>1</v>
      </c>
      <c r="J573" s="268">
        <v>12000000</v>
      </c>
      <c r="K573" s="268">
        <v>12000000</v>
      </c>
      <c r="L573" s="268">
        <v>12000000</v>
      </c>
      <c r="M573" s="148"/>
      <c r="N573" s="148"/>
      <c r="O573" s="148"/>
      <c r="P573" s="148"/>
      <c r="Q573" s="138" t="s">
        <v>206</v>
      </c>
      <c r="R573" s="138" t="s">
        <v>1040</v>
      </c>
      <c r="S573" s="196"/>
      <c r="T573" s="125"/>
      <c r="U573" s="202">
        <v>566</v>
      </c>
      <c r="V573" s="203" t="b">
        <v>1</v>
      </c>
      <c r="W573" s="204" t="s">
        <v>3285</v>
      </c>
      <c r="X573" s="128"/>
      <c r="Y573" s="128"/>
      <c r="Z573" s="128"/>
    </row>
    <row r="574" spans="1:26" ht="12.5" hidden="1">
      <c r="A574" s="138">
        <v>623</v>
      </c>
      <c r="B574" s="266" t="s">
        <v>4398</v>
      </c>
      <c r="C574" s="267">
        <v>44530</v>
      </c>
      <c r="D574" s="266" t="s">
        <v>4412</v>
      </c>
      <c r="E574" s="266" t="s">
        <v>4400</v>
      </c>
      <c r="F574" s="266" t="s">
        <v>4413</v>
      </c>
      <c r="G574" s="266" t="s">
        <v>1008</v>
      </c>
      <c r="H574" s="185" t="s">
        <v>249</v>
      </c>
      <c r="I574" s="166">
        <v>1</v>
      </c>
      <c r="J574" s="268">
        <v>12000000</v>
      </c>
      <c r="K574" s="268">
        <v>12000000</v>
      </c>
      <c r="L574" s="268">
        <v>12000000</v>
      </c>
      <c r="M574" s="148"/>
      <c r="N574" s="148"/>
      <c r="O574" s="148"/>
      <c r="P574" s="148"/>
      <c r="Q574" s="138" t="s">
        <v>206</v>
      </c>
      <c r="R574" s="138" t="s">
        <v>1040</v>
      </c>
      <c r="S574" s="196"/>
      <c r="T574" s="125"/>
      <c r="U574" s="202">
        <v>567</v>
      </c>
      <c r="V574" s="203" t="b">
        <v>1</v>
      </c>
      <c r="W574" s="204" t="s">
        <v>3285</v>
      </c>
      <c r="X574" s="128"/>
      <c r="Y574" s="128"/>
      <c r="Z574" s="128"/>
    </row>
    <row r="575" spans="1:26" ht="12.5" hidden="1">
      <c r="A575" s="138">
        <v>624</v>
      </c>
      <c r="B575" s="266" t="s">
        <v>4398</v>
      </c>
      <c r="C575" s="267">
        <v>44530</v>
      </c>
      <c r="D575" s="266" t="s">
        <v>4414</v>
      </c>
      <c r="E575" s="266" t="s">
        <v>4400</v>
      </c>
      <c r="F575" s="266" t="s">
        <v>4415</v>
      </c>
      <c r="G575" s="266" t="s">
        <v>1008</v>
      </c>
      <c r="H575" s="185" t="s">
        <v>249</v>
      </c>
      <c r="I575" s="166">
        <v>1</v>
      </c>
      <c r="J575" s="268">
        <v>12000000</v>
      </c>
      <c r="K575" s="268">
        <v>12000000</v>
      </c>
      <c r="L575" s="268">
        <v>12000000</v>
      </c>
      <c r="M575" s="148"/>
      <c r="N575" s="148"/>
      <c r="O575" s="148"/>
      <c r="P575" s="148"/>
      <c r="Q575" s="138" t="s">
        <v>206</v>
      </c>
      <c r="R575" s="138" t="s">
        <v>1040</v>
      </c>
      <c r="S575" s="196"/>
      <c r="T575" s="125"/>
      <c r="U575" s="202">
        <v>568</v>
      </c>
      <c r="V575" s="203" t="b">
        <v>1</v>
      </c>
      <c r="W575" s="204" t="s">
        <v>3285</v>
      </c>
      <c r="X575" s="128"/>
      <c r="Y575" s="128"/>
      <c r="Z575" s="128"/>
    </row>
    <row r="576" spans="1:26" ht="12.5" hidden="1">
      <c r="A576" s="270">
        <v>625</v>
      </c>
      <c r="B576" s="125"/>
      <c r="C576" s="267">
        <v>41502</v>
      </c>
      <c r="D576" s="266">
        <v>3010105012005</v>
      </c>
      <c r="E576" s="266" t="s">
        <v>4416</v>
      </c>
      <c r="F576" s="266" t="s">
        <v>4417</v>
      </c>
      <c r="G576" s="186"/>
      <c r="H576" s="185" t="s">
        <v>19</v>
      </c>
      <c r="I576" s="166">
        <v>1</v>
      </c>
      <c r="J576" s="186"/>
      <c r="K576" s="186"/>
      <c r="L576" s="186"/>
      <c r="M576" s="148"/>
      <c r="N576" s="148"/>
      <c r="O576" s="148"/>
      <c r="P576" s="148"/>
      <c r="Q576" s="138" t="s">
        <v>20</v>
      </c>
      <c r="R576" s="138" t="s">
        <v>3262</v>
      </c>
      <c r="S576" s="145" t="s">
        <v>4418</v>
      </c>
      <c r="T576" s="125"/>
      <c r="U576" s="202">
        <v>569</v>
      </c>
      <c r="V576" s="203" t="b">
        <v>1</v>
      </c>
      <c r="W576" s="204" t="s">
        <v>3285</v>
      </c>
      <c r="X576" s="128"/>
      <c r="Y576" s="128"/>
      <c r="Z576" s="128"/>
    </row>
    <row r="577" spans="1:26" ht="12.5" hidden="1">
      <c r="A577" s="138">
        <v>626</v>
      </c>
      <c r="B577" s="271" t="s">
        <v>4419</v>
      </c>
      <c r="C577" s="272">
        <v>45069</v>
      </c>
      <c r="D577" s="273" t="s">
        <v>4420</v>
      </c>
      <c r="E577" s="273" t="s">
        <v>4421</v>
      </c>
      <c r="F577" s="274"/>
      <c r="G577" s="274"/>
      <c r="H577" s="273" t="s">
        <v>249</v>
      </c>
      <c r="I577" s="275">
        <v>1</v>
      </c>
      <c r="J577" s="276">
        <v>5538000</v>
      </c>
      <c r="K577" s="276">
        <v>5538000</v>
      </c>
      <c r="L577" s="277">
        <v>5538000</v>
      </c>
      <c r="M577" s="278">
        <v>100</v>
      </c>
      <c r="N577" s="277">
        <v>5538000</v>
      </c>
      <c r="O577" s="278">
        <v>0</v>
      </c>
      <c r="P577" s="279"/>
      <c r="Q577" s="181" t="s">
        <v>206</v>
      </c>
      <c r="R577" s="181" t="s">
        <v>1310</v>
      </c>
      <c r="S577" s="280" t="s">
        <v>1009</v>
      </c>
      <c r="T577" s="281" t="s">
        <v>3349</v>
      </c>
      <c r="U577" s="202">
        <v>570</v>
      </c>
      <c r="V577" s="203" t="b">
        <v>1</v>
      </c>
      <c r="W577" s="204" t="s">
        <v>3285</v>
      </c>
      <c r="X577" s="128"/>
      <c r="Y577" s="128"/>
      <c r="Z577" s="128"/>
    </row>
    <row r="578" spans="1:26" ht="12.5" hidden="1">
      <c r="A578" s="270">
        <v>627</v>
      </c>
      <c r="B578" s="271" t="s">
        <v>4419</v>
      </c>
      <c r="C578" s="272">
        <v>45069</v>
      </c>
      <c r="D578" s="273" t="s">
        <v>4422</v>
      </c>
      <c r="E578" s="273" t="s">
        <v>4421</v>
      </c>
      <c r="F578" s="274"/>
      <c r="G578" s="274"/>
      <c r="H578" s="273" t="s">
        <v>249</v>
      </c>
      <c r="I578" s="275">
        <v>1</v>
      </c>
      <c r="J578" s="276">
        <v>5538000</v>
      </c>
      <c r="K578" s="276">
        <v>5538000</v>
      </c>
      <c r="L578" s="277">
        <v>5538000</v>
      </c>
      <c r="M578" s="278">
        <v>100</v>
      </c>
      <c r="N578" s="277">
        <v>5538000</v>
      </c>
      <c r="O578" s="278">
        <v>0</v>
      </c>
      <c r="P578" s="279"/>
      <c r="Q578" s="181" t="s">
        <v>206</v>
      </c>
      <c r="R578" s="181" t="s">
        <v>1310</v>
      </c>
      <c r="S578" s="280" t="s">
        <v>1009</v>
      </c>
      <c r="T578" s="281" t="s">
        <v>3349</v>
      </c>
      <c r="U578" s="202">
        <v>571</v>
      </c>
      <c r="V578" s="203" t="b">
        <v>1</v>
      </c>
      <c r="W578" s="204" t="s">
        <v>3285</v>
      </c>
      <c r="X578" s="128"/>
      <c r="Y578" s="128"/>
      <c r="Z578" s="128"/>
    </row>
    <row r="579" spans="1:26" ht="12.5" hidden="1">
      <c r="A579" s="138">
        <v>628</v>
      </c>
      <c r="B579" s="271" t="s">
        <v>4419</v>
      </c>
      <c r="C579" s="272">
        <v>45069</v>
      </c>
      <c r="D579" s="273" t="s">
        <v>4423</v>
      </c>
      <c r="E579" s="273" t="s">
        <v>4421</v>
      </c>
      <c r="F579" s="274"/>
      <c r="G579" s="274"/>
      <c r="H579" s="273" t="s">
        <v>249</v>
      </c>
      <c r="I579" s="275">
        <v>1</v>
      </c>
      <c r="J579" s="276">
        <v>5538000</v>
      </c>
      <c r="K579" s="276">
        <v>5538000</v>
      </c>
      <c r="L579" s="277">
        <v>5538000</v>
      </c>
      <c r="M579" s="278">
        <v>100</v>
      </c>
      <c r="N579" s="277">
        <v>5538000</v>
      </c>
      <c r="O579" s="278">
        <v>0</v>
      </c>
      <c r="P579" s="279"/>
      <c r="Q579" s="181" t="s">
        <v>206</v>
      </c>
      <c r="R579" s="181" t="s">
        <v>1310</v>
      </c>
      <c r="S579" s="280" t="s">
        <v>1009</v>
      </c>
      <c r="T579" s="281" t="s">
        <v>3349</v>
      </c>
      <c r="U579" s="202">
        <v>572</v>
      </c>
      <c r="V579" s="203" t="b">
        <v>1</v>
      </c>
      <c r="W579" s="204" t="s">
        <v>3285</v>
      </c>
      <c r="X579" s="128"/>
      <c r="Y579" s="128"/>
      <c r="Z579" s="128"/>
    </row>
    <row r="580" spans="1:26" ht="12.5" hidden="1">
      <c r="A580" s="270">
        <v>629</v>
      </c>
      <c r="B580" s="271" t="s">
        <v>4424</v>
      </c>
      <c r="C580" s="272">
        <v>45036</v>
      </c>
      <c r="D580" s="273" t="s">
        <v>4425</v>
      </c>
      <c r="E580" s="273" t="s">
        <v>4426</v>
      </c>
      <c r="F580" s="274"/>
      <c r="G580" s="274"/>
      <c r="H580" s="273" t="s">
        <v>249</v>
      </c>
      <c r="I580" s="275">
        <v>1</v>
      </c>
      <c r="J580" s="276">
        <v>696660</v>
      </c>
      <c r="K580" s="276">
        <v>696660</v>
      </c>
      <c r="L580" s="277">
        <v>696660</v>
      </c>
      <c r="M580" s="278">
        <v>100</v>
      </c>
      <c r="N580" s="277">
        <v>696660</v>
      </c>
      <c r="O580" s="278">
        <v>0</v>
      </c>
      <c r="P580" s="279"/>
      <c r="Q580" s="181" t="s">
        <v>206</v>
      </c>
      <c r="R580" s="181" t="s">
        <v>3404</v>
      </c>
      <c r="S580" s="279"/>
      <c r="T580" s="281" t="s">
        <v>3349</v>
      </c>
      <c r="U580" s="202">
        <v>573</v>
      </c>
      <c r="V580" s="203" t="b">
        <v>1</v>
      </c>
      <c r="W580" s="204" t="s">
        <v>3285</v>
      </c>
      <c r="X580" s="128"/>
      <c r="Y580" s="128"/>
      <c r="Z580" s="128"/>
    </row>
    <row r="581" spans="1:26" ht="12.5" hidden="1">
      <c r="A581" s="138">
        <v>630</v>
      </c>
      <c r="B581" s="271" t="s">
        <v>4424</v>
      </c>
      <c r="C581" s="272">
        <v>45036</v>
      </c>
      <c r="D581" s="273" t="s">
        <v>4427</v>
      </c>
      <c r="E581" s="273" t="s">
        <v>4426</v>
      </c>
      <c r="F581" s="274"/>
      <c r="G581" s="274"/>
      <c r="H581" s="273" t="s">
        <v>249</v>
      </c>
      <c r="I581" s="275">
        <v>1</v>
      </c>
      <c r="J581" s="276">
        <v>696660</v>
      </c>
      <c r="K581" s="276">
        <v>696660</v>
      </c>
      <c r="L581" s="277">
        <v>696660</v>
      </c>
      <c r="M581" s="278">
        <v>100</v>
      </c>
      <c r="N581" s="277">
        <v>696660</v>
      </c>
      <c r="O581" s="278">
        <v>0</v>
      </c>
      <c r="P581" s="279"/>
      <c r="Q581" s="181" t="s">
        <v>206</v>
      </c>
      <c r="R581" s="181" t="s">
        <v>3404</v>
      </c>
      <c r="S581" s="279"/>
      <c r="T581" s="281" t="s">
        <v>3349</v>
      </c>
      <c r="U581" s="202">
        <v>574</v>
      </c>
      <c r="V581" s="203" t="b">
        <v>1</v>
      </c>
      <c r="W581" s="204" t="s">
        <v>3285</v>
      </c>
      <c r="X581" s="128"/>
      <c r="Y581" s="128"/>
      <c r="Z581" s="128"/>
    </row>
    <row r="582" spans="1:26" ht="12.5" hidden="1">
      <c r="A582" s="270">
        <v>631</v>
      </c>
      <c r="B582" s="271" t="s">
        <v>4424</v>
      </c>
      <c r="C582" s="272">
        <v>45036</v>
      </c>
      <c r="D582" s="273" t="s">
        <v>4428</v>
      </c>
      <c r="E582" s="273" t="s">
        <v>4426</v>
      </c>
      <c r="F582" s="274"/>
      <c r="G582" s="274"/>
      <c r="H582" s="273" t="s">
        <v>249</v>
      </c>
      <c r="I582" s="275">
        <v>1</v>
      </c>
      <c r="J582" s="276">
        <v>696660</v>
      </c>
      <c r="K582" s="276">
        <v>696660</v>
      </c>
      <c r="L582" s="277">
        <v>696660</v>
      </c>
      <c r="M582" s="278">
        <v>100</v>
      </c>
      <c r="N582" s="277">
        <v>696660</v>
      </c>
      <c r="O582" s="278">
        <v>0</v>
      </c>
      <c r="P582" s="279"/>
      <c r="Q582" s="181" t="s">
        <v>206</v>
      </c>
      <c r="R582" s="181" t="s">
        <v>3404</v>
      </c>
      <c r="S582" s="279"/>
      <c r="T582" s="281" t="s">
        <v>3349</v>
      </c>
      <c r="U582" s="202">
        <v>575</v>
      </c>
      <c r="V582" s="203" t="b">
        <v>1</v>
      </c>
      <c r="W582" s="204" t="s">
        <v>3285</v>
      </c>
      <c r="X582" s="128"/>
      <c r="Y582" s="128"/>
      <c r="Z582" s="128"/>
    </row>
    <row r="583" spans="1:26" ht="12.5" hidden="1">
      <c r="A583" s="138">
        <v>632</v>
      </c>
      <c r="B583" s="271" t="s">
        <v>4424</v>
      </c>
      <c r="C583" s="272">
        <v>45036</v>
      </c>
      <c r="D583" s="273" t="s">
        <v>4429</v>
      </c>
      <c r="E583" s="273" t="s">
        <v>4426</v>
      </c>
      <c r="F583" s="274"/>
      <c r="G583" s="274"/>
      <c r="H583" s="273" t="s">
        <v>249</v>
      </c>
      <c r="I583" s="275">
        <v>1</v>
      </c>
      <c r="J583" s="276">
        <v>696660</v>
      </c>
      <c r="K583" s="276">
        <v>696660</v>
      </c>
      <c r="L583" s="277">
        <v>696660</v>
      </c>
      <c r="M583" s="278">
        <v>100</v>
      </c>
      <c r="N583" s="277">
        <v>696660</v>
      </c>
      <c r="O583" s="278">
        <v>0</v>
      </c>
      <c r="P583" s="279"/>
      <c r="Q583" s="181" t="s">
        <v>206</v>
      </c>
      <c r="R583" s="181" t="s">
        <v>3404</v>
      </c>
      <c r="S583" s="279"/>
      <c r="T583" s="281" t="s">
        <v>3349</v>
      </c>
      <c r="U583" s="202">
        <v>576</v>
      </c>
      <c r="V583" s="203" t="b">
        <v>1</v>
      </c>
      <c r="W583" s="204" t="s">
        <v>3285</v>
      </c>
      <c r="X583" s="128"/>
      <c r="Y583" s="128"/>
      <c r="Z583" s="128"/>
    </row>
    <row r="584" spans="1:26" ht="12.5" hidden="1">
      <c r="A584" s="270">
        <v>633</v>
      </c>
      <c r="B584" s="271" t="s">
        <v>4424</v>
      </c>
      <c r="C584" s="272">
        <v>45036</v>
      </c>
      <c r="D584" s="273" t="s">
        <v>4430</v>
      </c>
      <c r="E584" s="273" t="s">
        <v>4426</v>
      </c>
      <c r="F584" s="274"/>
      <c r="G584" s="274"/>
      <c r="H584" s="273" t="s">
        <v>249</v>
      </c>
      <c r="I584" s="275">
        <v>1</v>
      </c>
      <c r="J584" s="276">
        <v>696660</v>
      </c>
      <c r="K584" s="276">
        <v>696660</v>
      </c>
      <c r="L584" s="277">
        <v>696660</v>
      </c>
      <c r="M584" s="278">
        <v>100</v>
      </c>
      <c r="N584" s="277">
        <v>696660</v>
      </c>
      <c r="O584" s="278">
        <v>0</v>
      </c>
      <c r="P584" s="279"/>
      <c r="Q584" s="181" t="s">
        <v>206</v>
      </c>
      <c r="R584" s="181" t="s">
        <v>3404</v>
      </c>
      <c r="S584" s="279"/>
      <c r="T584" s="281" t="s">
        <v>3349</v>
      </c>
      <c r="U584" s="202">
        <v>577</v>
      </c>
      <c r="V584" s="203" t="b">
        <v>1</v>
      </c>
      <c r="W584" s="204" t="s">
        <v>3285</v>
      </c>
      <c r="X584" s="128"/>
      <c r="Y584" s="128"/>
      <c r="Z584" s="128"/>
    </row>
    <row r="585" spans="1:26" ht="12.5" hidden="1">
      <c r="A585" s="138">
        <v>634</v>
      </c>
      <c r="B585" s="271" t="s">
        <v>4424</v>
      </c>
      <c r="C585" s="272">
        <v>45036</v>
      </c>
      <c r="D585" s="273" t="s">
        <v>4431</v>
      </c>
      <c r="E585" s="273" t="s">
        <v>4426</v>
      </c>
      <c r="F585" s="274"/>
      <c r="G585" s="274"/>
      <c r="H585" s="273" t="s">
        <v>249</v>
      </c>
      <c r="I585" s="275">
        <v>1</v>
      </c>
      <c r="J585" s="276">
        <v>696660</v>
      </c>
      <c r="K585" s="276">
        <v>696660</v>
      </c>
      <c r="L585" s="277">
        <v>696660</v>
      </c>
      <c r="M585" s="278">
        <v>100</v>
      </c>
      <c r="N585" s="277">
        <v>696660</v>
      </c>
      <c r="O585" s="278">
        <v>0</v>
      </c>
      <c r="P585" s="279"/>
      <c r="Q585" s="181" t="s">
        <v>206</v>
      </c>
      <c r="R585" s="181" t="s">
        <v>3404</v>
      </c>
      <c r="S585" s="279"/>
      <c r="T585" s="281" t="s">
        <v>3349</v>
      </c>
      <c r="U585" s="202">
        <v>578</v>
      </c>
      <c r="V585" s="203" t="b">
        <v>1</v>
      </c>
      <c r="W585" s="204" t="s">
        <v>3285</v>
      </c>
      <c r="X585" s="128"/>
      <c r="Y585" s="128"/>
      <c r="Z585" s="128"/>
    </row>
    <row r="586" spans="1:26" ht="12.5" hidden="1">
      <c r="A586" s="270">
        <v>635</v>
      </c>
      <c r="B586" s="271" t="s">
        <v>4424</v>
      </c>
      <c r="C586" s="272">
        <v>45036</v>
      </c>
      <c r="D586" s="273" t="s">
        <v>4432</v>
      </c>
      <c r="E586" s="273" t="s">
        <v>4426</v>
      </c>
      <c r="F586" s="274"/>
      <c r="G586" s="274"/>
      <c r="H586" s="273" t="s">
        <v>249</v>
      </c>
      <c r="I586" s="275">
        <v>1</v>
      </c>
      <c r="J586" s="276">
        <v>696660</v>
      </c>
      <c r="K586" s="276">
        <v>696660</v>
      </c>
      <c r="L586" s="277">
        <v>696660</v>
      </c>
      <c r="M586" s="278">
        <v>100</v>
      </c>
      <c r="N586" s="277">
        <v>696660</v>
      </c>
      <c r="O586" s="278">
        <v>0</v>
      </c>
      <c r="P586" s="279"/>
      <c r="Q586" s="181" t="s">
        <v>206</v>
      </c>
      <c r="R586" s="181" t="s">
        <v>3404</v>
      </c>
      <c r="S586" s="279"/>
      <c r="T586" s="281" t="s">
        <v>3349</v>
      </c>
      <c r="U586" s="202">
        <v>579</v>
      </c>
      <c r="V586" s="203" t="b">
        <v>1</v>
      </c>
      <c r="W586" s="204" t="s">
        <v>3285</v>
      </c>
      <c r="X586" s="128"/>
      <c r="Y586" s="128"/>
      <c r="Z586" s="128"/>
    </row>
    <row r="587" spans="1:26" ht="12.5" hidden="1">
      <c r="A587" s="138">
        <v>636</v>
      </c>
      <c r="B587" s="271" t="s">
        <v>4424</v>
      </c>
      <c r="C587" s="272">
        <v>45036</v>
      </c>
      <c r="D587" s="273" t="s">
        <v>4433</v>
      </c>
      <c r="E587" s="273" t="s">
        <v>4426</v>
      </c>
      <c r="F587" s="274"/>
      <c r="G587" s="274"/>
      <c r="H587" s="273" t="s">
        <v>249</v>
      </c>
      <c r="I587" s="275">
        <v>1</v>
      </c>
      <c r="J587" s="276">
        <v>696660</v>
      </c>
      <c r="K587" s="276">
        <v>696660</v>
      </c>
      <c r="L587" s="277">
        <v>696660</v>
      </c>
      <c r="M587" s="278">
        <v>100</v>
      </c>
      <c r="N587" s="277">
        <v>696660</v>
      </c>
      <c r="O587" s="278">
        <v>0</v>
      </c>
      <c r="P587" s="279"/>
      <c r="Q587" s="181" t="s">
        <v>206</v>
      </c>
      <c r="R587" s="181" t="s">
        <v>3404</v>
      </c>
      <c r="S587" s="279"/>
      <c r="T587" s="281" t="s">
        <v>3349</v>
      </c>
      <c r="U587" s="202">
        <v>580</v>
      </c>
      <c r="V587" s="203" t="b">
        <v>1</v>
      </c>
      <c r="W587" s="204" t="s">
        <v>3285</v>
      </c>
      <c r="X587" s="128"/>
      <c r="Y587" s="128"/>
      <c r="Z587" s="128"/>
    </row>
    <row r="588" spans="1:26" ht="12.5" hidden="1">
      <c r="A588" s="270">
        <v>637</v>
      </c>
      <c r="B588" s="271" t="s">
        <v>4424</v>
      </c>
      <c r="C588" s="272">
        <v>45036</v>
      </c>
      <c r="D588" s="273" t="s">
        <v>4434</v>
      </c>
      <c r="E588" s="273" t="s">
        <v>4426</v>
      </c>
      <c r="F588" s="274"/>
      <c r="G588" s="274"/>
      <c r="H588" s="273" t="s">
        <v>249</v>
      </c>
      <c r="I588" s="275">
        <v>1</v>
      </c>
      <c r="J588" s="276">
        <v>696660</v>
      </c>
      <c r="K588" s="276">
        <v>696660</v>
      </c>
      <c r="L588" s="277">
        <v>696660</v>
      </c>
      <c r="M588" s="278">
        <v>100</v>
      </c>
      <c r="N588" s="277">
        <v>696660</v>
      </c>
      <c r="O588" s="278">
        <v>0</v>
      </c>
      <c r="P588" s="279"/>
      <c r="Q588" s="181" t="s">
        <v>206</v>
      </c>
      <c r="R588" s="181" t="s">
        <v>3404</v>
      </c>
      <c r="S588" s="279"/>
      <c r="T588" s="281" t="s">
        <v>3349</v>
      </c>
      <c r="U588" s="202">
        <v>581</v>
      </c>
      <c r="V588" s="203" t="b">
        <v>1</v>
      </c>
      <c r="W588" s="204" t="s">
        <v>3285</v>
      </c>
      <c r="X588" s="128"/>
      <c r="Y588" s="128"/>
      <c r="Z588" s="128"/>
    </row>
    <row r="589" spans="1:26" ht="12.5" hidden="1">
      <c r="A589" s="138">
        <v>638</v>
      </c>
      <c r="B589" s="271" t="s">
        <v>4424</v>
      </c>
      <c r="C589" s="272">
        <v>45036</v>
      </c>
      <c r="D589" s="273" t="s">
        <v>4435</v>
      </c>
      <c r="E589" s="273" t="s">
        <v>4426</v>
      </c>
      <c r="F589" s="274"/>
      <c r="G589" s="274"/>
      <c r="H589" s="273" t="s">
        <v>249</v>
      </c>
      <c r="I589" s="275">
        <v>1</v>
      </c>
      <c r="J589" s="276">
        <v>696660</v>
      </c>
      <c r="K589" s="276">
        <v>696660</v>
      </c>
      <c r="L589" s="277">
        <v>696660</v>
      </c>
      <c r="M589" s="278">
        <v>100</v>
      </c>
      <c r="N589" s="277">
        <v>696660</v>
      </c>
      <c r="O589" s="278">
        <v>0</v>
      </c>
      <c r="P589" s="279"/>
      <c r="Q589" s="181" t="s">
        <v>206</v>
      </c>
      <c r="R589" s="181" t="s">
        <v>3404</v>
      </c>
      <c r="S589" s="279"/>
      <c r="T589" s="281" t="s">
        <v>3349</v>
      </c>
      <c r="U589" s="202">
        <v>582</v>
      </c>
      <c r="V589" s="203" t="b">
        <v>1</v>
      </c>
      <c r="W589" s="204" t="s">
        <v>3285</v>
      </c>
      <c r="X589" s="128"/>
      <c r="Y589" s="128"/>
      <c r="Z589" s="128"/>
    </row>
    <row r="590" spans="1:26" ht="12.5" hidden="1">
      <c r="A590" s="270">
        <v>639</v>
      </c>
      <c r="B590" s="271" t="s">
        <v>4424</v>
      </c>
      <c r="C590" s="272">
        <v>45036</v>
      </c>
      <c r="D590" s="273" t="s">
        <v>4436</v>
      </c>
      <c r="E590" s="273" t="s">
        <v>4426</v>
      </c>
      <c r="F590" s="274"/>
      <c r="G590" s="274"/>
      <c r="H590" s="273" t="s">
        <v>249</v>
      </c>
      <c r="I590" s="275">
        <v>1</v>
      </c>
      <c r="J590" s="276">
        <v>696660</v>
      </c>
      <c r="K590" s="276">
        <v>696660</v>
      </c>
      <c r="L590" s="277">
        <v>696660</v>
      </c>
      <c r="M590" s="278">
        <v>100</v>
      </c>
      <c r="N590" s="277">
        <v>696660</v>
      </c>
      <c r="O590" s="278">
        <v>0</v>
      </c>
      <c r="P590" s="279"/>
      <c r="Q590" s="181" t="s">
        <v>206</v>
      </c>
      <c r="R590" s="181" t="s">
        <v>3404</v>
      </c>
      <c r="S590" s="279"/>
      <c r="T590" s="281" t="s">
        <v>3349</v>
      </c>
      <c r="U590" s="202">
        <v>583</v>
      </c>
      <c r="V590" s="203" t="b">
        <v>1</v>
      </c>
      <c r="W590" s="204" t="s">
        <v>3285</v>
      </c>
      <c r="X590" s="128"/>
      <c r="Y590" s="128"/>
      <c r="Z590" s="128"/>
    </row>
    <row r="591" spans="1:26" ht="12.5" hidden="1">
      <c r="A591" s="138">
        <v>640</v>
      </c>
      <c r="B591" s="271" t="s">
        <v>4424</v>
      </c>
      <c r="C591" s="272">
        <v>45036</v>
      </c>
      <c r="D591" s="273" t="s">
        <v>4437</v>
      </c>
      <c r="E591" s="273" t="s">
        <v>4426</v>
      </c>
      <c r="F591" s="274"/>
      <c r="G591" s="274"/>
      <c r="H591" s="273" t="s">
        <v>249</v>
      </c>
      <c r="I591" s="275">
        <v>1</v>
      </c>
      <c r="J591" s="276">
        <v>696660</v>
      </c>
      <c r="K591" s="276">
        <v>696660</v>
      </c>
      <c r="L591" s="277">
        <v>696660</v>
      </c>
      <c r="M591" s="278">
        <v>100</v>
      </c>
      <c r="N591" s="277">
        <v>696660</v>
      </c>
      <c r="O591" s="278">
        <v>0</v>
      </c>
      <c r="P591" s="279"/>
      <c r="Q591" s="181" t="s">
        <v>206</v>
      </c>
      <c r="R591" s="181" t="s">
        <v>3404</v>
      </c>
      <c r="S591" s="279"/>
      <c r="T591" s="281" t="s">
        <v>3349</v>
      </c>
      <c r="U591" s="202">
        <v>584</v>
      </c>
      <c r="V591" s="203" t="b">
        <v>1</v>
      </c>
      <c r="W591" s="204" t="s">
        <v>3285</v>
      </c>
      <c r="X591" s="128"/>
      <c r="Y591" s="128"/>
      <c r="Z591" s="128"/>
    </row>
    <row r="592" spans="1:26" ht="12.5" hidden="1">
      <c r="A592" s="270">
        <v>641</v>
      </c>
      <c r="B592" s="271" t="s">
        <v>4424</v>
      </c>
      <c r="C592" s="272">
        <v>45036</v>
      </c>
      <c r="D592" s="273" t="s">
        <v>4438</v>
      </c>
      <c r="E592" s="273" t="s">
        <v>4426</v>
      </c>
      <c r="F592" s="274"/>
      <c r="G592" s="274"/>
      <c r="H592" s="273" t="s">
        <v>249</v>
      </c>
      <c r="I592" s="275">
        <v>1</v>
      </c>
      <c r="J592" s="276">
        <v>696660</v>
      </c>
      <c r="K592" s="276">
        <v>696660</v>
      </c>
      <c r="L592" s="277">
        <v>696660</v>
      </c>
      <c r="M592" s="278">
        <v>100</v>
      </c>
      <c r="N592" s="277">
        <v>696660</v>
      </c>
      <c r="O592" s="278">
        <v>0</v>
      </c>
      <c r="P592" s="279"/>
      <c r="Q592" s="181" t="s">
        <v>206</v>
      </c>
      <c r="R592" s="181" t="s">
        <v>3404</v>
      </c>
      <c r="S592" s="279"/>
      <c r="T592" s="281" t="s">
        <v>3349</v>
      </c>
      <c r="U592" s="202">
        <v>585</v>
      </c>
      <c r="V592" s="203" t="b">
        <v>1</v>
      </c>
      <c r="W592" s="204" t="s">
        <v>3285</v>
      </c>
      <c r="X592" s="128"/>
      <c r="Y592" s="128"/>
      <c r="Z592" s="128"/>
    </row>
    <row r="593" spans="1:26" ht="12.5" hidden="1">
      <c r="A593" s="138">
        <v>642</v>
      </c>
      <c r="B593" s="271" t="s">
        <v>4424</v>
      </c>
      <c r="C593" s="272">
        <v>45036</v>
      </c>
      <c r="D593" s="273" t="s">
        <v>4439</v>
      </c>
      <c r="E593" s="273" t="s">
        <v>4426</v>
      </c>
      <c r="F593" s="274"/>
      <c r="G593" s="274"/>
      <c r="H593" s="273" t="s">
        <v>249</v>
      </c>
      <c r="I593" s="275">
        <v>1</v>
      </c>
      <c r="J593" s="276">
        <v>696660</v>
      </c>
      <c r="K593" s="276">
        <v>696660</v>
      </c>
      <c r="L593" s="277">
        <v>696660</v>
      </c>
      <c r="M593" s="278">
        <v>100</v>
      </c>
      <c r="N593" s="277">
        <v>696660</v>
      </c>
      <c r="O593" s="278">
        <v>0</v>
      </c>
      <c r="P593" s="279"/>
      <c r="Q593" s="181" t="s">
        <v>206</v>
      </c>
      <c r="R593" s="181" t="s">
        <v>3404</v>
      </c>
      <c r="S593" s="279"/>
      <c r="T593" s="281" t="s">
        <v>3349</v>
      </c>
      <c r="U593" s="202">
        <v>586</v>
      </c>
      <c r="V593" s="203" t="b">
        <v>1</v>
      </c>
      <c r="W593" s="204" t="s">
        <v>3285</v>
      </c>
      <c r="X593" s="128"/>
      <c r="Y593" s="128"/>
      <c r="Z593" s="128"/>
    </row>
    <row r="594" spans="1:26" ht="12.5" hidden="1">
      <c r="A594" s="270">
        <v>643</v>
      </c>
      <c r="B594" s="271" t="s">
        <v>4424</v>
      </c>
      <c r="C594" s="272">
        <v>45036</v>
      </c>
      <c r="D594" s="273" t="s">
        <v>4440</v>
      </c>
      <c r="E594" s="273" t="s">
        <v>4426</v>
      </c>
      <c r="F594" s="274"/>
      <c r="G594" s="274"/>
      <c r="H594" s="273" t="s">
        <v>249</v>
      </c>
      <c r="I594" s="275">
        <v>1</v>
      </c>
      <c r="J594" s="276">
        <v>696660</v>
      </c>
      <c r="K594" s="276">
        <v>696660</v>
      </c>
      <c r="L594" s="277">
        <v>696660</v>
      </c>
      <c r="M594" s="278">
        <v>100</v>
      </c>
      <c r="N594" s="277">
        <v>696660</v>
      </c>
      <c r="O594" s="278">
        <v>0</v>
      </c>
      <c r="P594" s="279"/>
      <c r="Q594" s="181" t="s">
        <v>206</v>
      </c>
      <c r="R594" s="181" t="s">
        <v>3404</v>
      </c>
      <c r="S594" s="279"/>
      <c r="T594" s="281" t="s">
        <v>3349</v>
      </c>
      <c r="U594" s="202">
        <v>587</v>
      </c>
      <c r="V594" s="203" t="b">
        <v>1</v>
      </c>
      <c r="W594" s="204" t="s">
        <v>3285</v>
      </c>
      <c r="X594" s="128"/>
      <c r="Y594" s="128"/>
      <c r="Z594" s="128"/>
    </row>
    <row r="595" spans="1:26" ht="12.5" hidden="1">
      <c r="A595" s="138">
        <v>644</v>
      </c>
      <c r="B595" s="271" t="s">
        <v>4424</v>
      </c>
      <c r="C595" s="272">
        <v>45036</v>
      </c>
      <c r="D595" s="273" t="s">
        <v>4441</v>
      </c>
      <c r="E595" s="273" t="s">
        <v>4426</v>
      </c>
      <c r="F595" s="274"/>
      <c r="G595" s="274"/>
      <c r="H595" s="273" t="s">
        <v>249</v>
      </c>
      <c r="I595" s="275">
        <v>1</v>
      </c>
      <c r="J595" s="276">
        <v>696660</v>
      </c>
      <c r="K595" s="276">
        <v>696660</v>
      </c>
      <c r="L595" s="277">
        <v>696660</v>
      </c>
      <c r="M595" s="278">
        <v>100</v>
      </c>
      <c r="N595" s="277">
        <v>696660</v>
      </c>
      <c r="O595" s="278">
        <v>0</v>
      </c>
      <c r="P595" s="279"/>
      <c r="Q595" s="181" t="s">
        <v>206</v>
      </c>
      <c r="R595" s="181" t="s">
        <v>3404</v>
      </c>
      <c r="S595" s="279"/>
      <c r="T595" s="281" t="s">
        <v>3349</v>
      </c>
      <c r="U595" s="202">
        <v>588</v>
      </c>
      <c r="V595" s="203" t="b">
        <v>1</v>
      </c>
      <c r="W595" s="204" t="s">
        <v>3285</v>
      </c>
      <c r="X595" s="128"/>
      <c r="Y595" s="128"/>
      <c r="Z595" s="128"/>
    </row>
    <row r="596" spans="1:26" ht="12.5" hidden="1">
      <c r="A596" s="270">
        <v>645</v>
      </c>
      <c r="B596" s="271" t="s">
        <v>4424</v>
      </c>
      <c r="C596" s="272">
        <v>45036</v>
      </c>
      <c r="D596" s="273" t="s">
        <v>4442</v>
      </c>
      <c r="E596" s="273" t="s">
        <v>4426</v>
      </c>
      <c r="F596" s="274"/>
      <c r="G596" s="274"/>
      <c r="H596" s="273" t="s">
        <v>249</v>
      </c>
      <c r="I596" s="275">
        <v>1</v>
      </c>
      <c r="J596" s="276">
        <v>696660</v>
      </c>
      <c r="K596" s="276">
        <v>696660</v>
      </c>
      <c r="L596" s="277">
        <v>696660</v>
      </c>
      <c r="M596" s="278">
        <v>100</v>
      </c>
      <c r="N596" s="277">
        <v>696660</v>
      </c>
      <c r="O596" s="278">
        <v>0</v>
      </c>
      <c r="P596" s="279"/>
      <c r="Q596" s="181" t="s">
        <v>206</v>
      </c>
      <c r="R596" s="181" t="s">
        <v>3404</v>
      </c>
      <c r="S596" s="279"/>
      <c r="T596" s="281" t="s">
        <v>3349</v>
      </c>
      <c r="U596" s="202">
        <v>589</v>
      </c>
      <c r="V596" s="203" t="b">
        <v>1</v>
      </c>
      <c r="W596" s="204" t="s">
        <v>3285</v>
      </c>
      <c r="X596" s="128"/>
      <c r="Y596" s="128"/>
      <c r="Z596" s="128"/>
    </row>
    <row r="597" spans="1:26" ht="12.5" hidden="1">
      <c r="A597" s="138">
        <v>646</v>
      </c>
      <c r="B597" s="271" t="s">
        <v>4424</v>
      </c>
      <c r="C597" s="272">
        <v>45036</v>
      </c>
      <c r="D597" s="273" t="s">
        <v>4443</v>
      </c>
      <c r="E597" s="273" t="s">
        <v>4426</v>
      </c>
      <c r="F597" s="274"/>
      <c r="G597" s="274"/>
      <c r="H597" s="273" t="s">
        <v>249</v>
      </c>
      <c r="I597" s="275">
        <v>1</v>
      </c>
      <c r="J597" s="276">
        <v>696660</v>
      </c>
      <c r="K597" s="276">
        <v>696660</v>
      </c>
      <c r="L597" s="277">
        <v>696660</v>
      </c>
      <c r="M597" s="278">
        <v>100</v>
      </c>
      <c r="N597" s="277">
        <v>696660</v>
      </c>
      <c r="O597" s="278">
        <v>0</v>
      </c>
      <c r="P597" s="279"/>
      <c r="Q597" s="181" t="s">
        <v>206</v>
      </c>
      <c r="R597" s="181" t="s">
        <v>3404</v>
      </c>
      <c r="S597" s="279"/>
      <c r="T597" s="281" t="s">
        <v>3349</v>
      </c>
      <c r="U597" s="202">
        <v>590</v>
      </c>
      <c r="V597" s="203" t="b">
        <v>1</v>
      </c>
      <c r="W597" s="204" t="s">
        <v>3285</v>
      </c>
      <c r="X597" s="128"/>
      <c r="Y597" s="128"/>
      <c r="Z597" s="128"/>
    </row>
    <row r="598" spans="1:26" ht="12.5" hidden="1">
      <c r="A598" s="270">
        <v>647</v>
      </c>
      <c r="B598" s="271" t="s">
        <v>4424</v>
      </c>
      <c r="C598" s="272">
        <v>45036</v>
      </c>
      <c r="D598" s="273" t="s">
        <v>4444</v>
      </c>
      <c r="E598" s="273" t="s">
        <v>4426</v>
      </c>
      <c r="F598" s="274"/>
      <c r="G598" s="274"/>
      <c r="H598" s="273" t="s">
        <v>249</v>
      </c>
      <c r="I598" s="275">
        <v>1</v>
      </c>
      <c r="J598" s="276">
        <v>696660</v>
      </c>
      <c r="K598" s="276">
        <v>696660</v>
      </c>
      <c r="L598" s="277">
        <v>696660</v>
      </c>
      <c r="M598" s="278">
        <v>100</v>
      </c>
      <c r="N598" s="277">
        <v>696660</v>
      </c>
      <c r="O598" s="278">
        <v>0</v>
      </c>
      <c r="P598" s="279"/>
      <c r="Q598" s="181" t="s">
        <v>206</v>
      </c>
      <c r="R598" s="181" t="s">
        <v>3404</v>
      </c>
      <c r="S598" s="279"/>
      <c r="T598" s="281" t="s">
        <v>3349</v>
      </c>
      <c r="U598" s="202">
        <v>591</v>
      </c>
      <c r="V598" s="203" t="b">
        <v>1</v>
      </c>
      <c r="W598" s="204" t="s">
        <v>3285</v>
      </c>
      <c r="X598" s="128"/>
      <c r="Y598" s="128"/>
      <c r="Z598" s="128"/>
    </row>
    <row r="599" spans="1:26" ht="12.5" hidden="1">
      <c r="A599" s="138">
        <v>648</v>
      </c>
      <c r="B599" s="271" t="s">
        <v>4424</v>
      </c>
      <c r="C599" s="272">
        <v>45036</v>
      </c>
      <c r="D599" s="273" t="s">
        <v>4445</v>
      </c>
      <c r="E599" s="273" t="s">
        <v>4426</v>
      </c>
      <c r="F599" s="274"/>
      <c r="G599" s="274"/>
      <c r="H599" s="273" t="s">
        <v>249</v>
      </c>
      <c r="I599" s="275">
        <v>1</v>
      </c>
      <c r="J599" s="276">
        <v>696660</v>
      </c>
      <c r="K599" s="276">
        <v>696660</v>
      </c>
      <c r="L599" s="277">
        <v>696660</v>
      </c>
      <c r="M599" s="278">
        <v>100</v>
      </c>
      <c r="N599" s="277">
        <v>696660</v>
      </c>
      <c r="O599" s="278">
        <v>0</v>
      </c>
      <c r="P599" s="279"/>
      <c r="Q599" s="181" t="s">
        <v>206</v>
      </c>
      <c r="R599" s="181" t="s">
        <v>3404</v>
      </c>
      <c r="S599" s="279"/>
      <c r="T599" s="281" t="s">
        <v>3349</v>
      </c>
      <c r="U599" s="202">
        <v>592</v>
      </c>
      <c r="V599" s="203" t="b">
        <v>1</v>
      </c>
      <c r="W599" s="204" t="s">
        <v>3285</v>
      </c>
      <c r="X599" s="128"/>
      <c r="Y599" s="128"/>
      <c r="Z599" s="128"/>
    </row>
    <row r="600" spans="1:26" ht="12.5" hidden="1">
      <c r="A600" s="270">
        <v>649</v>
      </c>
      <c r="B600" s="271" t="s">
        <v>4424</v>
      </c>
      <c r="C600" s="272">
        <v>45036</v>
      </c>
      <c r="D600" s="273" t="s">
        <v>4446</v>
      </c>
      <c r="E600" s="273" t="s">
        <v>4426</v>
      </c>
      <c r="F600" s="274"/>
      <c r="G600" s="274"/>
      <c r="H600" s="273" t="s">
        <v>249</v>
      </c>
      <c r="I600" s="275">
        <v>1</v>
      </c>
      <c r="J600" s="276">
        <v>696660</v>
      </c>
      <c r="K600" s="276">
        <v>696660</v>
      </c>
      <c r="L600" s="277">
        <v>696660</v>
      </c>
      <c r="M600" s="278">
        <v>100</v>
      </c>
      <c r="N600" s="277">
        <v>696660</v>
      </c>
      <c r="O600" s="278">
        <v>0</v>
      </c>
      <c r="P600" s="279"/>
      <c r="Q600" s="181" t="s">
        <v>206</v>
      </c>
      <c r="R600" s="181" t="s">
        <v>3404</v>
      </c>
      <c r="S600" s="279"/>
      <c r="T600" s="281" t="s">
        <v>3349</v>
      </c>
      <c r="U600" s="202">
        <v>593</v>
      </c>
      <c r="V600" s="203" t="b">
        <v>1</v>
      </c>
      <c r="W600" s="204" t="s">
        <v>3285</v>
      </c>
      <c r="X600" s="128"/>
      <c r="Y600" s="128"/>
      <c r="Z600" s="128"/>
    </row>
    <row r="601" spans="1:26" ht="12.5" hidden="1">
      <c r="A601" s="138">
        <v>650</v>
      </c>
      <c r="B601" s="271" t="s">
        <v>4424</v>
      </c>
      <c r="C601" s="272">
        <v>45036</v>
      </c>
      <c r="D601" s="273" t="s">
        <v>4447</v>
      </c>
      <c r="E601" s="273" t="s">
        <v>4426</v>
      </c>
      <c r="F601" s="274"/>
      <c r="G601" s="274"/>
      <c r="H601" s="273" t="s">
        <v>249</v>
      </c>
      <c r="I601" s="275">
        <v>1</v>
      </c>
      <c r="J601" s="276">
        <v>696660</v>
      </c>
      <c r="K601" s="276">
        <v>696660</v>
      </c>
      <c r="L601" s="277">
        <v>696660</v>
      </c>
      <c r="M601" s="278">
        <v>100</v>
      </c>
      <c r="N601" s="277">
        <v>696660</v>
      </c>
      <c r="O601" s="278">
        <v>0</v>
      </c>
      <c r="P601" s="279"/>
      <c r="Q601" s="181" t="s">
        <v>206</v>
      </c>
      <c r="R601" s="181" t="s">
        <v>3404</v>
      </c>
      <c r="S601" s="279"/>
      <c r="T601" s="281" t="s">
        <v>3349</v>
      </c>
      <c r="U601" s="202">
        <v>594</v>
      </c>
      <c r="V601" s="203" t="b">
        <v>1</v>
      </c>
      <c r="W601" s="204" t="s">
        <v>3285</v>
      </c>
      <c r="X601" s="128"/>
      <c r="Y601" s="128"/>
      <c r="Z601" s="128"/>
    </row>
    <row r="602" spans="1:26" ht="12.5" hidden="1">
      <c r="A602" s="270">
        <v>651</v>
      </c>
      <c r="B602" s="271" t="s">
        <v>4424</v>
      </c>
      <c r="C602" s="272">
        <v>45036</v>
      </c>
      <c r="D602" s="273" t="s">
        <v>4448</v>
      </c>
      <c r="E602" s="273" t="s">
        <v>4426</v>
      </c>
      <c r="F602" s="274"/>
      <c r="G602" s="274"/>
      <c r="H602" s="273" t="s">
        <v>249</v>
      </c>
      <c r="I602" s="275">
        <v>1</v>
      </c>
      <c r="J602" s="276">
        <v>696660</v>
      </c>
      <c r="K602" s="276">
        <v>696660</v>
      </c>
      <c r="L602" s="277">
        <v>696660</v>
      </c>
      <c r="M602" s="278">
        <v>100</v>
      </c>
      <c r="N602" s="277">
        <v>696660</v>
      </c>
      <c r="O602" s="278">
        <v>0</v>
      </c>
      <c r="P602" s="279"/>
      <c r="Q602" s="181" t="s">
        <v>206</v>
      </c>
      <c r="R602" s="181" t="s">
        <v>3404</v>
      </c>
      <c r="S602" s="279"/>
      <c r="T602" s="281" t="s">
        <v>3349</v>
      </c>
      <c r="U602" s="202">
        <v>595</v>
      </c>
      <c r="V602" s="203" t="b">
        <v>1</v>
      </c>
      <c r="W602" s="204" t="s">
        <v>3285</v>
      </c>
      <c r="X602" s="128"/>
      <c r="Y602" s="128"/>
      <c r="Z602" s="128"/>
    </row>
    <row r="603" spans="1:26" ht="12.5" hidden="1">
      <c r="A603" s="138">
        <v>652</v>
      </c>
      <c r="B603" s="271" t="s">
        <v>4424</v>
      </c>
      <c r="C603" s="272">
        <v>45036</v>
      </c>
      <c r="D603" s="273" t="s">
        <v>4449</v>
      </c>
      <c r="E603" s="273" t="s">
        <v>4426</v>
      </c>
      <c r="F603" s="274"/>
      <c r="G603" s="274"/>
      <c r="H603" s="273" t="s">
        <v>249</v>
      </c>
      <c r="I603" s="275">
        <v>1</v>
      </c>
      <c r="J603" s="276">
        <v>696660</v>
      </c>
      <c r="K603" s="276">
        <v>696660</v>
      </c>
      <c r="L603" s="277">
        <v>696660</v>
      </c>
      <c r="M603" s="278">
        <v>100</v>
      </c>
      <c r="N603" s="277">
        <v>696660</v>
      </c>
      <c r="O603" s="278">
        <v>0</v>
      </c>
      <c r="P603" s="279"/>
      <c r="Q603" s="181" t="s">
        <v>206</v>
      </c>
      <c r="R603" s="181" t="s">
        <v>3404</v>
      </c>
      <c r="S603" s="279"/>
      <c r="T603" s="281" t="s">
        <v>3349</v>
      </c>
      <c r="U603" s="202">
        <v>596</v>
      </c>
      <c r="V603" s="203" t="b">
        <v>1</v>
      </c>
      <c r="W603" s="204" t="s">
        <v>3285</v>
      </c>
      <c r="X603" s="128"/>
      <c r="Y603" s="128"/>
      <c r="Z603" s="128"/>
    </row>
    <row r="604" spans="1:26" ht="12.5" hidden="1">
      <c r="A604" s="270">
        <v>653</v>
      </c>
      <c r="B604" s="271" t="s">
        <v>4424</v>
      </c>
      <c r="C604" s="272">
        <v>45036</v>
      </c>
      <c r="D604" s="273" t="s">
        <v>4450</v>
      </c>
      <c r="E604" s="273" t="s">
        <v>4426</v>
      </c>
      <c r="F604" s="274"/>
      <c r="G604" s="274"/>
      <c r="H604" s="273" t="s">
        <v>249</v>
      </c>
      <c r="I604" s="275">
        <v>1</v>
      </c>
      <c r="J604" s="276">
        <v>696660</v>
      </c>
      <c r="K604" s="276">
        <v>696660</v>
      </c>
      <c r="L604" s="277">
        <v>696660</v>
      </c>
      <c r="M604" s="278">
        <v>100</v>
      </c>
      <c r="N604" s="277">
        <v>696660</v>
      </c>
      <c r="O604" s="278">
        <v>0</v>
      </c>
      <c r="P604" s="279"/>
      <c r="Q604" s="181" t="s">
        <v>206</v>
      </c>
      <c r="R604" s="181" t="s">
        <v>3404</v>
      </c>
      <c r="S604" s="279"/>
      <c r="T604" s="281" t="s">
        <v>3349</v>
      </c>
      <c r="U604" s="202">
        <v>597</v>
      </c>
      <c r="V604" s="203" t="b">
        <v>1</v>
      </c>
      <c r="W604" s="204" t="s">
        <v>3285</v>
      </c>
      <c r="X604" s="128"/>
      <c r="Y604" s="128"/>
      <c r="Z604" s="128"/>
    </row>
    <row r="605" spans="1:26" ht="12.5" hidden="1">
      <c r="A605" s="138">
        <v>654</v>
      </c>
      <c r="B605" s="271" t="s">
        <v>4424</v>
      </c>
      <c r="C605" s="272">
        <v>45036</v>
      </c>
      <c r="D605" s="273" t="s">
        <v>4451</v>
      </c>
      <c r="E605" s="273" t="s">
        <v>4426</v>
      </c>
      <c r="F605" s="274"/>
      <c r="G605" s="274"/>
      <c r="H605" s="273" t="s">
        <v>249</v>
      </c>
      <c r="I605" s="275">
        <v>1</v>
      </c>
      <c r="J605" s="276">
        <v>696660</v>
      </c>
      <c r="K605" s="276">
        <v>696660</v>
      </c>
      <c r="L605" s="277">
        <v>696660</v>
      </c>
      <c r="M605" s="278">
        <v>100</v>
      </c>
      <c r="N605" s="277">
        <v>696660</v>
      </c>
      <c r="O605" s="278">
        <v>0</v>
      </c>
      <c r="P605" s="279"/>
      <c r="Q605" s="181" t="s">
        <v>206</v>
      </c>
      <c r="R605" s="181" t="s">
        <v>3404</v>
      </c>
      <c r="S605" s="279"/>
      <c r="T605" s="281" t="s">
        <v>3349</v>
      </c>
      <c r="U605" s="202">
        <v>598</v>
      </c>
      <c r="V605" s="203" t="b">
        <v>1</v>
      </c>
      <c r="W605" s="204" t="s">
        <v>3285</v>
      </c>
      <c r="X605" s="128"/>
      <c r="Y605" s="128"/>
      <c r="Z605" s="128"/>
    </row>
    <row r="606" spans="1:26" ht="12.5" hidden="1">
      <c r="A606" s="270">
        <v>655</v>
      </c>
      <c r="B606" s="271" t="s">
        <v>4424</v>
      </c>
      <c r="C606" s="272">
        <v>45036</v>
      </c>
      <c r="D606" s="273" t="s">
        <v>4452</v>
      </c>
      <c r="E606" s="273" t="s">
        <v>4426</v>
      </c>
      <c r="F606" s="274"/>
      <c r="G606" s="274"/>
      <c r="H606" s="273" t="s">
        <v>249</v>
      </c>
      <c r="I606" s="275">
        <v>1</v>
      </c>
      <c r="J606" s="276">
        <v>696660</v>
      </c>
      <c r="K606" s="276">
        <v>696660</v>
      </c>
      <c r="L606" s="277">
        <v>696660</v>
      </c>
      <c r="M606" s="278">
        <v>100</v>
      </c>
      <c r="N606" s="277">
        <v>696660</v>
      </c>
      <c r="O606" s="278">
        <v>0</v>
      </c>
      <c r="P606" s="279"/>
      <c r="Q606" s="181" t="s">
        <v>206</v>
      </c>
      <c r="R606" s="181" t="s">
        <v>3404</v>
      </c>
      <c r="S606" s="279"/>
      <c r="T606" s="281" t="s">
        <v>3349</v>
      </c>
      <c r="U606" s="202">
        <v>599</v>
      </c>
      <c r="V606" s="203" t="b">
        <v>1</v>
      </c>
      <c r="W606" s="204" t="s">
        <v>3285</v>
      </c>
      <c r="X606" s="128"/>
      <c r="Y606" s="128"/>
      <c r="Z606" s="128"/>
    </row>
    <row r="607" spans="1:26" ht="12.5" hidden="1">
      <c r="A607" s="138">
        <v>656</v>
      </c>
      <c r="B607" s="271" t="s">
        <v>4424</v>
      </c>
      <c r="C607" s="272">
        <v>45036</v>
      </c>
      <c r="D607" s="273" t="s">
        <v>4453</v>
      </c>
      <c r="E607" s="273" t="s">
        <v>4426</v>
      </c>
      <c r="F607" s="274"/>
      <c r="G607" s="274"/>
      <c r="H607" s="273" t="s">
        <v>249</v>
      </c>
      <c r="I607" s="275">
        <v>1</v>
      </c>
      <c r="J607" s="276">
        <v>696660</v>
      </c>
      <c r="K607" s="276">
        <v>696660</v>
      </c>
      <c r="L607" s="277">
        <v>696660</v>
      </c>
      <c r="M607" s="278">
        <v>100</v>
      </c>
      <c r="N607" s="277">
        <v>696660</v>
      </c>
      <c r="O607" s="278">
        <v>0</v>
      </c>
      <c r="P607" s="279"/>
      <c r="Q607" s="181" t="s">
        <v>206</v>
      </c>
      <c r="R607" s="181" t="s">
        <v>3404</v>
      </c>
      <c r="S607" s="279"/>
      <c r="T607" s="281" t="s">
        <v>3349</v>
      </c>
      <c r="U607" s="202">
        <v>600</v>
      </c>
      <c r="V607" s="203" t="b">
        <v>1</v>
      </c>
      <c r="W607" s="204" t="s">
        <v>3285</v>
      </c>
      <c r="X607" s="128"/>
      <c r="Y607" s="128"/>
      <c r="Z607" s="128"/>
    </row>
    <row r="608" spans="1:26" ht="12.5" hidden="1">
      <c r="A608" s="270">
        <v>657</v>
      </c>
      <c r="B608" s="271" t="s">
        <v>4424</v>
      </c>
      <c r="C608" s="272">
        <v>45036</v>
      </c>
      <c r="D608" s="273" t="s">
        <v>4454</v>
      </c>
      <c r="E608" s="273" t="s">
        <v>4426</v>
      </c>
      <c r="F608" s="274"/>
      <c r="G608" s="274"/>
      <c r="H608" s="273" t="s">
        <v>249</v>
      </c>
      <c r="I608" s="275">
        <v>1</v>
      </c>
      <c r="J608" s="276">
        <v>696660</v>
      </c>
      <c r="K608" s="276">
        <v>696660</v>
      </c>
      <c r="L608" s="277">
        <v>696660</v>
      </c>
      <c r="M608" s="278">
        <v>100</v>
      </c>
      <c r="N608" s="277">
        <v>696660</v>
      </c>
      <c r="O608" s="278">
        <v>0</v>
      </c>
      <c r="P608" s="279"/>
      <c r="Q608" s="181" t="s">
        <v>206</v>
      </c>
      <c r="R608" s="181" t="s">
        <v>3404</v>
      </c>
      <c r="S608" s="279"/>
      <c r="T608" s="281" t="s">
        <v>3349</v>
      </c>
      <c r="U608" s="202">
        <v>601</v>
      </c>
      <c r="V608" s="203" t="b">
        <v>1</v>
      </c>
      <c r="W608" s="204" t="s">
        <v>3285</v>
      </c>
      <c r="X608" s="128"/>
      <c r="Y608" s="128"/>
      <c r="Z608" s="128"/>
    </row>
    <row r="609" spans="1:26" ht="12.5" hidden="1">
      <c r="A609" s="138">
        <v>658</v>
      </c>
      <c r="B609" s="271" t="s">
        <v>4424</v>
      </c>
      <c r="C609" s="272">
        <v>45036</v>
      </c>
      <c r="D609" s="273" t="s">
        <v>4455</v>
      </c>
      <c r="E609" s="273" t="s">
        <v>4426</v>
      </c>
      <c r="F609" s="274"/>
      <c r="G609" s="274"/>
      <c r="H609" s="273" t="s">
        <v>249</v>
      </c>
      <c r="I609" s="275">
        <v>1</v>
      </c>
      <c r="J609" s="276">
        <v>696860</v>
      </c>
      <c r="K609" s="276">
        <v>696860</v>
      </c>
      <c r="L609" s="277">
        <v>696860</v>
      </c>
      <c r="M609" s="278">
        <v>100</v>
      </c>
      <c r="N609" s="277">
        <v>696860</v>
      </c>
      <c r="O609" s="278">
        <v>0</v>
      </c>
      <c r="P609" s="279"/>
      <c r="Q609" s="181" t="s">
        <v>206</v>
      </c>
      <c r="R609" s="181" t="s">
        <v>3404</v>
      </c>
      <c r="S609" s="279"/>
      <c r="T609" s="281" t="s">
        <v>3349</v>
      </c>
      <c r="U609" s="202">
        <v>602</v>
      </c>
      <c r="V609" s="203" t="b">
        <v>1</v>
      </c>
      <c r="W609" s="204" t="s">
        <v>3285</v>
      </c>
      <c r="X609" s="128"/>
      <c r="Y609" s="128"/>
      <c r="Z609" s="128"/>
    </row>
    <row r="610" spans="1:26" ht="12.5" hidden="1">
      <c r="A610" s="270">
        <v>659</v>
      </c>
      <c r="B610" s="271" t="s">
        <v>4456</v>
      </c>
      <c r="C610" s="272">
        <v>45257</v>
      </c>
      <c r="D610" s="273" t="s">
        <v>4457</v>
      </c>
      <c r="E610" s="273" t="s">
        <v>4458</v>
      </c>
      <c r="F610" s="274"/>
      <c r="G610" s="274"/>
      <c r="H610" s="273" t="s">
        <v>249</v>
      </c>
      <c r="I610" s="275">
        <v>1</v>
      </c>
      <c r="J610" s="276">
        <v>2491000</v>
      </c>
      <c r="K610" s="276">
        <v>2491000</v>
      </c>
      <c r="L610" s="277">
        <v>2491000</v>
      </c>
      <c r="M610" s="278">
        <v>100</v>
      </c>
      <c r="N610" s="277">
        <v>2491000</v>
      </c>
      <c r="O610" s="278">
        <v>0</v>
      </c>
      <c r="P610" s="279"/>
      <c r="Q610" s="181" t="s">
        <v>36</v>
      </c>
      <c r="R610" s="181" t="s">
        <v>4386</v>
      </c>
      <c r="S610" s="279"/>
      <c r="T610" s="281" t="s">
        <v>3349</v>
      </c>
      <c r="U610" s="202">
        <v>603</v>
      </c>
      <c r="V610" s="203" t="b">
        <v>1</v>
      </c>
      <c r="W610" s="204" t="s">
        <v>3285</v>
      </c>
      <c r="X610" s="128"/>
      <c r="Y610" s="128"/>
      <c r="Z610" s="128"/>
    </row>
    <row r="611" spans="1:26" ht="12.5" hidden="1">
      <c r="A611" s="138">
        <v>660</v>
      </c>
      <c r="B611" s="271" t="s">
        <v>4456</v>
      </c>
      <c r="C611" s="272">
        <v>45257</v>
      </c>
      <c r="D611" s="273" t="s">
        <v>4459</v>
      </c>
      <c r="E611" s="273" t="s">
        <v>4458</v>
      </c>
      <c r="F611" s="274"/>
      <c r="G611" s="274"/>
      <c r="H611" s="273" t="s">
        <v>249</v>
      </c>
      <c r="I611" s="275">
        <v>1</v>
      </c>
      <c r="J611" s="276">
        <v>2491000</v>
      </c>
      <c r="K611" s="276">
        <v>2491000</v>
      </c>
      <c r="L611" s="277">
        <v>2491000</v>
      </c>
      <c r="M611" s="278">
        <v>100</v>
      </c>
      <c r="N611" s="277">
        <v>2491000</v>
      </c>
      <c r="O611" s="278">
        <v>0</v>
      </c>
      <c r="P611" s="279"/>
      <c r="Q611" s="181" t="s">
        <v>36</v>
      </c>
      <c r="R611" s="181" t="s">
        <v>4386</v>
      </c>
      <c r="S611" s="279"/>
      <c r="T611" s="281" t="s">
        <v>3349</v>
      </c>
      <c r="U611" s="202">
        <v>604</v>
      </c>
      <c r="V611" s="203" t="b">
        <v>1</v>
      </c>
      <c r="W611" s="204" t="s">
        <v>3285</v>
      </c>
      <c r="X611" s="128"/>
      <c r="Y611" s="128"/>
      <c r="Z611" s="128"/>
    </row>
    <row r="612" spans="1:26" ht="12.5" hidden="1">
      <c r="A612" s="270">
        <v>661</v>
      </c>
      <c r="B612" s="271" t="s">
        <v>4456</v>
      </c>
      <c r="C612" s="272">
        <v>45257</v>
      </c>
      <c r="D612" s="273" t="s">
        <v>4460</v>
      </c>
      <c r="E612" s="273" t="s">
        <v>4458</v>
      </c>
      <c r="F612" s="274"/>
      <c r="G612" s="274"/>
      <c r="H612" s="273" t="s">
        <v>249</v>
      </c>
      <c r="I612" s="275">
        <v>1</v>
      </c>
      <c r="J612" s="276">
        <v>2491000</v>
      </c>
      <c r="K612" s="276">
        <v>2491000</v>
      </c>
      <c r="L612" s="277">
        <v>2491000</v>
      </c>
      <c r="M612" s="278">
        <v>100</v>
      </c>
      <c r="N612" s="277">
        <v>2491000</v>
      </c>
      <c r="O612" s="278">
        <v>0</v>
      </c>
      <c r="P612" s="279"/>
      <c r="Q612" s="181" t="s">
        <v>36</v>
      </c>
      <c r="R612" s="181" t="s">
        <v>4386</v>
      </c>
      <c r="S612" s="279"/>
      <c r="T612" s="281" t="s">
        <v>3349</v>
      </c>
      <c r="U612" s="202">
        <v>605</v>
      </c>
      <c r="V612" s="203" t="b">
        <v>1</v>
      </c>
      <c r="W612" s="204" t="s">
        <v>3285</v>
      </c>
      <c r="X612" s="128"/>
      <c r="Y612" s="128"/>
      <c r="Z612" s="128"/>
    </row>
    <row r="613" spans="1:26" ht="12.5" hidden="1">
      <c r="A613" s="138">
        <v>662</v>
      </c>
      <c r="B613" s="271" t="s">
        <v>4456</v>
      </c>
      <c r="C613" s="272">
        <v>45257</v>
      </c>
      <c r="D613" s="273" t="s">
        <v>4461</v>
      </c>
      <c r="E613" s="273" t="s">
        <v>4458</v>
      </c>
      <c r="F613" s="274"/>
      <c r="G613" s="274"/>
      <c r="H613" s="273" t="s">
        <v>249</v>
      </c>
      <c r="I613" s="275">
        <v>1</v>
      </c>
      <c r="J613" s="276">
        <v>2491000</v>
      </c>
      <c r="K613" s="276">
        <v>2491000</v>
      </c>
      <c r="L613" s="277">
        <v>2491000</v>
      </c>
      <c r="M613" s="278">
        <v>100</v>
      </c>
      <c r="N613" s="277">
        <v>2491000</v>
      </c>
      <c r="O613" s="278">
        <v>0</v>
      </c>
      <c r="P613" s="279"/>
      <c r="Q613" s="282"/>
      <c r="R613" s="282"/>
      <c r="S613" s="280" t="s">
        <v>3446</v>
      </c>
      <c r="T613" s="281" t="s">
        <v>3349</v>
      </c>
      <c r="U613" s="202">
        <v>606</v>
      </c>
      <c r="V613" s="203" t="b">
        <v>1</v>
      </c>
      <c r="W613" s="204" t="s">
        <v>3285</v>
      </c>
      <c r="X613" s="128"/>
      <c r="Y613" s="128"/>
      <c r="Z613" s="128"/>
    </row>
    <row r="614" spans="1:26" ht="12.5" hidden="1">
      <c r="A614" s="270">
        <v>663</v>
      </c>
      <c r="B614" s="271" t="s">
        <v>4456</v>
      </c>
      <c r="C614" s="272">
        <v>45257</v>
      </c>
      <c r="D614" s="273" t="s">
        <v>4462</v>
      </c>
      <c r="E614" s="273" t="s">
        <v>4463</v>
      </c>
      <c r="F614" s="274"/>
      <c r="G614" s="274"/>
      <c r="H614" s="273" t="s">
        <v>249</v>
      </c>
      <c r="I614" s="275">
        <v>1</v>
      </c>
      <c r="J614" s="276">
        <v>2292000</v>
      </c>
      <c r="K614" s="276">
        <v>2292000</v>
      </c>
      <c r="L614" s="277">
        <v>2292000</v>
      </c>
      <c r="M614" s="278">
        <v>100</v>
      </c>
      <c r="N614" s="277">
        <v>2292000</v>
      </c>
      <c r="O614" s="278">
        <v>0</v>
      </c>
      <c r="P614" s="279"/>
      <c r="Q614" s="282"/>
      <c r="R614" s="282"/>
      <c r="S614" s="280" t="s">
        <v>3446</v>
      </c>
      <c r="T614" s="281" t="s">
        <v>3349</v>
      </c>
      <c r="U614" s="202">
        <v>607</v>
      </c>
      <c r="V614" s="203" t="b">
        <v>1</v>
      </c>
      <c r="W614" s="204" t="s">
        <v>3285</v>
      </c>
      <c r="X614" s="128"/>
      <c r="Y614" s="128"/>
      <c r="Z614" s="128"/>
    </row>
    <row r="615" spans="1:26" ht="12.5">
      <c r="A615" s="138">
        <v>664</v>
      </c>
      <c r="B615" s="283" t="s">
        <v>4456</v>
      </c>
      <c r="C615" s="272">
        <v>45257</v>
      </c>
      <c r="D615" s="284" t="s">
        <v>4464</v>
      </c>
      <c r="E615" s="273" t="s">
        <v>4463</v>
      </c>
      <c r="F615" s="274"/>
      <c r="G615" s="285"/>
      <c r="H615" s="273" t="s">
        <v>249</v>
      </c>
      <c r="I615" s="275">
        <v>1</v>
      </c>
      <c r="J615" s="286">
        <v>2292000</v>
      </c>
      <c r="K615" s="286">
        <v>2292000</v>
      </c>
      <c r="L615" s="287">
        <v>2292000</v>
      </c>
      <c r="M615" s="288">
        <v>100</v>
      </c>
      <c r="N615" s="287">
        <v>2292000</v>
      </c>
      <c r="O615" s="288">
        <v>0</v>
      </c>
      <c r="P615" s="279"/>
      <c r="Q615" s="181" t="s">
        <v>20</v>
      </c>
      <c r="R615" s="181" t="s">
        <v>229</v>
      </c>
      <c r="S615" s="280" t="s">
        <v>2183</v>
      </c>
      <c r="T615" s="189"/>
      <c r="U615" s="202">
        <v>608</v>
      </c>
      <c r="V615" s="203" t="b">
        <v>1</v>
      </c>
      <c r="W615" s="204" t="s">
        <v>3285</v>
      </c>
      <c r="X615" s="128"/>
      <c r="Y615" s="128"/>
      <c r="Z615" s="128"/>
    </row>
    <row r="616" spans="1:26" ht="12.5">
      <c r="A616" s="270">
        <v>665</v>
      </c>
      <c r="B616" s="283" t="s">
        <v>4456</v>
      </c>
      <c r="C616" s="272">
        <v>45257</v>
      </c>
      <c r="D616" s="284" t="s">
        <v>4465</v>
      </c>
      <c r="E616" s="273" t="s">
        <v>4463</v>
      </c>
      <c r="F616" s="274"/>
      <c r="G616" s="285"/>
      <c r="H616" s="273" t="s">
        <v>249</v>
      </c>
      <c r="I616" s="275">
        <v>1</v>
      </c>
      <c r="J616" s="286">
        <v>2292000</v>
      </c>
      <c r="K616" s="286">
        <v>2292000</v>
      </c>
      <c r="L616" s="287">
        <v>2292000</v>
      </c>
      <c r="M616" s="288">
        <v>100</v>
      </c>
      <c r="N616" s="287">
        <v>2292000</v>
      </c>
      <c r="O616" s="288">
        <v>0</v>
      </c>
      <c r="P616" s="279"/>
      <c r="Q616" s="181" t="s">
        <v>20</v>
      </c>
      <c r="R616" s="181" t="s">
        <v>229</v>
      </c>
      <c r="S616" s="173" t="s">
        <v>4466</v>
      </c>
      <c r="T616" s="189"/>
      <c r="U616" s="202">
        <v>609</v>
      </c>
      <c r="V616" s="203" t="b">
        <v>1</v>
      </c>
      <c r="W616" s="204" t="s">
        <v>3285</v>
      </c>
      <c r="X616" s="128"/>
      <c r="Y616" s="128"/>
      <c r="Z616" s="128"/>
    </row>
    <row r="617" spans="1:26" ht="12.5">
      <c r="A617" s="138">
        <v>666</v>
      </c>
      <c r="B617" s="283" t="s">
        <v>4456</v>
      </c>
      <c r="C617" s="272">
        <v>45257</v>
      </c>
      <c r="D617" s="284" t="s">
        <v>4467</v>
      </c>
      <c r="E617" s="273" t="s">
        <v>4463</v>
      </c>
      <c r="F617" s="274"/>
      <c r="G617" s="285"/>
      <c r="H617" s="273" t="s">
        <v>249</v>
      </c>
      <c r="I617" s="275">
        <v>1</v>
      </c>
      <c r="J617" s="286">
        <v>2292000</v>
      </c>
      <c r="K617" s="286">
        <v>2292000</v>
      </c>
      <c r="L617" s="287">
        <v>2292000</v>
      </c>
      <c r="M617" s="288">
        <v>100</v>
      </c>
      <c r="N617" s="287">
        <v>2292000</v>
      </c>
      <c r="O617" s="288">
        <v>0</v>
      </c>
      <c r="P617" s="279"/>
      <c r="Q617" s="181" t="s">
        <v>20</v>
      </c>
      <c r="R617" s="181" t="s">
        <v>229</v>
      </c>
      <c r="S617" s="173" t="s">
        <v>4466</v>
      </c>
      <c r="T617" s="189"/>
      <c r="U617" s="202">
        <v>610</v>
      </c>
      <c r="V617" s="203" t="b">
        <v>1</v>
      </c>
      <c r="W617" s="204" t="s">
        <v>3285</v>
      </c>
      <c r="X617" s="128"/>
      <c r="Y617" s="128"/>
      <c r="Z617" s="128"/>
    </row>
    <row r="618" spans="1:26" ht="12.5" hidden="1">
      <c r="A618" s="270">
        <v>667</v>
      </c>
      <c r="B618" s="271" t="s">
        <v>4456</v>
      </c>
      <c r="C618" s="272">
        <v>45257</v>
      </c>
      <c r="D618" s="273" t="s">
        <v>4468</v>
      </c>
      <c r="E618" s="273" t="s">
        <v>4463</v>
      </c>
      <c r="F618" s="274"/>
      <c r="G618" s="274"/>
      <c r="H618" s="273" t="s">
        <v>249</v>
      </c>
      <c r="I618" s="275">
        <v>1</v>
      </c>
      <c r="J618" s="276">
        <v>2292000</v>
      </c>
      <c r="K618" s="276">
        <v>2292000</v>
      </c>
      <c r="L618" s="277">
        <v>2292000</v>
      </c>
      <c r="M618" s="278">
        <v>100</v>
      </c>
      <c r="N618" s="277">
        <v>2292000</v>
      </c>
      <c r="O618" s="278">
        <v>0</v>
      </c>
      <c r="P618" s="279"/>
      <c r="Q618" s="181" t="s">
        <v>294</v>
      </c>
      <c r="R618" s="181" t="s">
        <v>1003</v>
      </c>
      <c r="S618" s="279"/>
      <c r="T618" s="281" t="s">
        <v>3349</v>
      </c>
      <c r="U618" s="202">
        <v>611</v>
      </c>
      <c r="V618" s="203" t="b">
        <v>1</v>
      </c>
      <c r="W618" s="204" t="s">
        <v>3285</v>
      </c>
      <c r="X618" s="128"/>
      <c r="Y618" s="128"/>
      <c r="Z618" s="128"/>
    </row>
    <row r="619" spans="1:26" ht="12.5" hidden="1">
      <c r="A619" s="138">
        <v>668</v>
      </c>
      <c r="B619" s="271" t="s">
        <v>4456</v>
      </c>
      <c r="C619" s="272">
        <v>45257</v>
      </c>
      <c r="D619" s="273" t="s">
        <v>4469</v>
      </c>
      <c r="E619" s="273" t="s">
        <v>4463</v>
      </c>
      <c r="F619" s="274"/>
      <c r="G619" s="274"/>
      <c r="H619" s="273" t="s">
        <v>249</v>
      </c>
      <c r="I619" s="275">
        <v>1</v>
      </c>
      <c r="J619" s="276">
        <v>2292000</v>
      </c>
      <c r="K619" s="276">
        <v>2292000</v>
      </c>
      <c r="L619" s="277">
        <v>2292000</v>
      </c>
      <c r="M619" s="278">
        <v>100</v>
      </c>
      <c r="N619" s="277">
        <v>2292000</v>
      </c>
      <c r="O619" s="278">
        <v>0</v>
      </c>
      <c r="P619" s="279"/>
      <c r="Q619" s="181" t="s">
        <v>206</v>
      </c>
      <c r="R619" s="181" t="s">
        <v>207</v>
      </c>
      <c r="S619" s="280" t="s">
        <v>206</v>
      </c>
      <c r="T619" s="281" t="s">
        <v>3349</v>
      </c>
      <c r="U619" s="202">
        <v>612</v>
      </c>
      <c r="V619" s="203" t="b">
        <v>1</v>
      </c>
      <c r="W619" s="204" t="s">
        <v>3285</v>
      </c>
      <c r="X619" s="128"/>
      <c r="Y619" s="128"/>
      <c r="Z619" s="128"/>
    </row>
    <row r="620" spans="1:26" ht="12.5" hidden="1">
      <c r="A620" s="270">
        <v>669</v>
      </c>
      <c r="B620" s="271" t="s">
        <v>4456</v>
      </c>
      <c r="C620" s="272">
        <v>45257</v>
      </c>
      <c r="D620" s="273" t="s">
        <v>4470</v>
      </c>
      <c r="E620" s="273" t="s">
        <v>4463</v>
      </c>
      <c r="F620" s="274"/>
      <c r="G620" s="274"/>
      <c r="H620" s="273" t="s">
        <v>249</v>
      </c>
      <c r="I620" s="275">
        <v>1</v>
      </c>
      <c r="J620" s="276">
        <v>2292000</v>
      </c>
      <c r="K620" s="276">
        <v>2292000</v>
      </c>
      <c r="L620" s="277">
        <v>2292000</v>
      </c>
      <c r="M620" s="278">
        <v>100</v>
      </c>
      <c r="N620" s="277">
        <v>2292000</v>
      </c>
      <c r="O620" s="278">
        <v>0</v>
      </c>
      <c r="P620" s="279"/>
      <c r="Q620" s="181" t="s">
        <v>206</v>
      </c>
      <c r="R620" s="181" t="s">
        <v>207</v>
      </c>
      <c r="S620" s="280" t="s">
        <v>206</v>
      </c>
      <c r="T620" s="281" t="s">
        <v>3349</v>
      </c>
      <c r="U620" s="202">
        <v>613</v>
      </c>
      <c r="V620" s="203" t="b">
        <v>1</v>
      </c>
      <c r="W620" s="204" t="s">
        <v>3285</v>
      </c>
      <c r="X620" s="128"/>
      <c r="Y620" s="128"/>
      <c r="Z620" s="128"/>
    </row>
    <row r="621" spans="1:26" ht="12.5" hidden="1">
      <c r="A621" s="138">
        <v>670</v>
      </c>
      <c r="B621" s="271" t="s">
        <v>4456</v>
      </c>
      <c r="C621" s="272">
        <v>45257</v>
      </c>
      <c r="D621" s="273" t="s">
        <v>4471</v>
      </c>
      <c r="E621" s="273" t="s">
        <v>4463</v>
      </c>
      <c r="F621" s="274"/>
      <c r="G621" s="274"/>
      <c r="H621" s="273" t="s">
        <v>249</v>
      </c>
      <c r="I621" s="275">
        <v>1</v>
      </c>
      <c r="J621" s="276">
        <v>2292000</v>
      </c>
      <c r="K621" s="276">
        <v>2292000</v>
      </c>
      <c r="L621" s="277">
        <v>2292000</v>
      </c>
      <c r="M621" s="278">
        <v>100</v>
      </c>
      <c r="N621" s="277">
        <v>2292000</v>
      </c>
      <c r="O621" s="278">
        <v>0</v>
      </c>
      <c r="P621" s="279"/>
      <c r="Q621" s="181" t="s">
        <v>206</v>
      </c>
      <c r="R621" s="181" t="s">
        <v>207</v>
      </c>
      <c r="S621" s="280" t="s">
        <v>3423</v>
      </c>
      <c r="T621" s="281" t="s">
        <v>3349</v>
      </c>
      <c r="U621" s="202">
        <v>614</v>
      </c>
      <c r="V621" s="203" t="b">
        <v>1</v>
      </c>
      <c r="W621" s="204" t="s">
        <v>3285</v>
      </c>
      <c r="X621" s="128"/>
      <c r="Y621" s="128"/>
      <c r="Z621" s="128"/>
    </row>
    <row r="622" spans="1:26" ht="12.5" hidden="1">
      <c r="A622" s="270">
        <v>671</v>
      </c>
      <c r="B622" s="271" t="s">
        <v>4472</v>
      </c>
      <c r="C622" s="272">
        <v>45260</v>
      </c>
      <c r="D622" s="273" t="s">
        <v>4473</v>
      </c>
      <c r="E622" s="273" t="s">
        <v>4474</v>
      </c>
      <c r="F622" s="274"/>
      <c r="G622" s="274"/>
      <c r="H622" s="273" t="s">
        <v>4475</v>
      </c>
      <c r="I622" s="275">
        <v>1</v>
      </c>
      <c r="J622" s="276">
        <v>26325000</v>
      </c>
      <c r="K622" s="276">
        <v>26325000</v>
      </c>
      <c r="L622" s="277">
        <v>26325000</v>
      </c>
      <c r="M622" s="278">
        <v>33</v>
      </c>
      <c r="N622" s="277">
        <v>8775000</v>
      </c>
      <c r="O622" s="277">
        <v>17550000</v>
      </c>
      <c r="P622" s="279"/>
      <c r="Q622" s="181" t="s">
        <v>294</v>
      </c>
      <c r="R622" s="181" t="s">
        <v>4476</v>
      </c>
      <c r="S622" s="279"/>
      <c r="T622" s="281" t="s">
        <v>3349</v>
      </c>
      <c r="U622" s="202">
        <v>615</v>
      </c>
      <c r="V622" s="203" t="b">
        <v>1</v>
      </c>
      <c r="W622" s="204" t="s">
        <v>3285</v>
      </c>
      <c r="X622" s="128"/>
      <c r="Y622" s="128"/>
      <c r="Z622" s="128"/>
    </row>
    <row r="623" spans="1:26" ht="12.5" hidden="1">
      <c r="A623" s="138">
        <v>672</v>
      </c>
      <c r="B623" s="271" t="s">
        <v>4477</v>
      </c>
      <c r="C623" s="272">
        <v>45168</v>
      </c>
      <c r="D623" s="273" t="s">
        <v>4478</v>
      </c>
      <c r="E623" s="273" t="s">
        <v>4479</v>
      </c>
      <c r="F623" s="273">
        <v>10784847</v>
      </c>
      <c r="G623" s="273" t="s">
        <v>307</v>
      </c>
      <c r="H623" s="273" t="s">
        <v>249</v>
      </c>
      <c r="I623" s="275">
        <v>1</v>
      </c>
      <c r="J623" s="276">
        <v>1900000</v>
      </c>
      <c r="K623" s="276">
        <v>1900000</v>
      </c>
      <c r="L623" s="277">
        <v>1900000</v>
      </c>
      <c r="M623" s="278">
        <v>100</v>
      </c>
      <c r="N623" s="277">
        <v>1900000</v>
      </c>
      <c r="O623" s="278">
        <v>0</v>
      </c>
      <c r="P623" s="279"/>
      <c r="Q623" s="181" t="s">
        <v>206</v>
      </c>
      <c r="R623" s="181" t="s">
        <v>1310</v>
      </c>
      <c r="S623" s="280" t="s">
        <v>1009</v>
      </c>
      <c r="T623" s="281" t="s">
        <v>3349</v>
      </c>
      <c r="U623" s="202">
        <v>616</v>
      </c>
      <c r="V623" s="203" t="b">
        <v>1</v>
      </c>
      <c r="W623" s="204" t="s">
        <v>3285</v>
      </c>
      <c r="X623" s="128"/>
      <c r="Y623" s="128"/>
      <c r="Z623" s="128"/>
    </row>
    <row r="624" spans="1:26" ht="12.5" hidden="1">
      <c r="A624" s="270">
        <v>673</v>
      </c>
      <c r="B624" s="271" t="s">
        <v>4477</v>
      </c>
      <c r="C624" s="272">
        <v>45168</v>
      </c>
      <c r="D624" s="273" t="s">
        <v>4480</v>
      </c>
      <c r="E624" s="273" t="s">
        <v>4479</v>
      </c>
      <c r="F624" s="273">
        <v>10784848</v>
      </c>
      <c r="G624" s="273" t="s">
        <v>307</v>
      </c>
      <c r="H624" s="273" t="s">
        <v>249</v>
      </c>
      <c r="I624" s="275">
        <v>1</v>
      </c>
      <c r="J624" s="276">
        <v>1900000</v>
      </c>
      <c r="K624" s="276">
        <v>1900000</v>
      </c>
      <c r="L624" s="277">
        <v>1900000</v>
      </c>
      <c r="M624" s="278">
        <v>100</v>
      </c>
      <c r="N624" s="277">
        <v>1900000</v>
      </c>
      <c r="O624" s="278">
        <v>0</v>
      </c>
      <c r="P624" s="279"/>
      <c r="Q624" s="181" t="s">
        <v>206</v>
      </c>
      <c r="R624" s="181" t="s">
        <v>1310</v>
      </c>
      <c r="S624" s="280" t="s">
        <v>1009</v>
      </c>
      <c r="T624" s="281" t="s">
        <v>3349</v>
      </c>
      <c r="U624" s="202">
        <v>617</v>
      </c>
      <c r="V624" s="203" t="b">
        <v>1</v>
      </c>
      <c r="W624" s="204" t="s">
        <v>3285</v>
      </c>
      <c r="X624" s="128"/>
      <c r="Y624" s="128"/>
      <c r="Z624" s="128"/>
    </row>
    <row r="625" spans="1:26" ht="12.5" hidden="1">
      <c r="A625" s="138">
        <v>674</v>
      </c>
      <c r="B625" s="271" t="s">
        <v>4477</v>
      </c>
      <c r="C625" s="272">
        <v>45168</v>
      </c>
      <c r="D625" s="273" t="s">
        <v>4481</v>
      </c>
      <c r="E625" s="273" t="s">
        <v>4479</v>
      </c>
      <c r="F625" s="273">
        <v>10784850</v>
      </c>
      <c r="G625" s="273" t="s">
        <v>307</v>
      </c>
      <c r="H625" s="273" t="s">
        <v>249</v>
      </c>
      <c r="I625" s="275">
        <v>1</v>
      </c>
      <c r="J625" s="276">
        <v>1900000</v>
      </c>
      <c r="K625" s="276">
        <v>1900000</v>
      </c>
      <c r="L625" s="277">
        <v>1900000</v>
      </c>
      <c r="M625" s="278">
        <v>100</v>
      </c>
      <c r="N625" s="277">
        <v>1900000</v>
      </c>
      <c r="O625" s="278">
        <v>0</v>
      </c>
      <c r="P625" s="279"/>
      <c r="Q625" s="181" t="s">
        <v>206</v>
      </c>
      <c r="R625" s="181" t="s">
        <v>1310</v>
      </c>
      <c r="S625" s="280" t="s">
        <v>1009</v>
      </c>
      <c r="T625" s="281" t="s">
        <v>3349</v>
      </c>
      <c r="U625" s="202">
        <v>618</v>
      </c>
      <c r="V625" s="203" t="b">
        <v>1</v>
      </c>
      <c r="W625" s="204" t="s">
        <v>3285</v>
      </c>
      <c r="X625" s="128"/>
      <c r="Y625" s="128"/>
      <c r="Z625" s="128"/>
    </row>
    <row r="626" spans="1:26" ht="12.5">
      <c r="A626" s="270">
        <v>675</v>
      </c>
      <c r="B626" s="283" t="s">
        <v>4482</v>
      </c>
      <c r="C626" s="272">
        <v>45040</v>
      </c>
      <c r="D626" s="284" t="s">
        <v>4483</v>
      </c>
      <c r="E626" s="289" t="s">
        <v>4484</v>
      </c>
      <c r="F626" s="273">
        <v>10717600</v>
      </c>
      <c r="G626" s="290" t="s">
        <v>307</v>
      </c>
      <c r="H626" s="273" t="s">
        <v>249</v>
      </c>
      <c r="I626" s="275">
        <v>1</v>
      </c>
      <c r="J626" s="286">
        <v>1974000</v>
      </c>
      <c r="K626" s="286">
        <v>1974000</v>
      </c>
      <c r="L626" s="287">
        <v>1974000</v>
      </c>
      <c r="M626" s="288">
        <v>100</v>
      </c>
      <c r="N626" s="287">
        <v>1974000</v>
      </c>
      <c r="O626" s="288">
        <v>0</v>
      </c>
      <c r="P626" s="279"/>
      <c r="Q626" s="181" t="s">
        <v>20</v>
      </c>
      <c r="R626" s="181" t="s">
        <v>229</v>
      </c>
      <c r="S626" s="173" t="s">
        <v>4466</v>
      </c>
      <c r="T626" s="189"/>
      <c r="U626" s="202">
        <v>619</v>
      </c>
      <c r="V626" s="203" t="b">
        <v>1</v>
      </c>
      <c r="W626" s="204" t="s">
        <v>3285</v>
      </c>
      <c r="X626" s="128"/>
      <c r="Y626" s="128"/>
      <c r="Z626" s="128"/>
    </row>
    <row r="627" spans="1:26" ht="12.5">
      <c r="A627" s="138">
        <v>676</v>
      </c>
      <c r="B627" s="283" t="s">
        <v>4482</v>
      </c>
      <c r="C627" s="272">
        <v>45040</v>
      </c>
      <c r="D627" s="284" t="s">
        <v>4485</v>
      </c>
      <c r="E627" s="289" t="s">
        <v>4484</v>
      </c>
      <c r="F627" s="273">
        <v>10717097</v>
      </c>
      <c r="G627" s="290" t="s">
        <v>307</v>
      </c>
      <c r="H627" s="273" t="s">
        <v>249</v>
      </c>
      <c r="I627" s="275">
        <v>1</v>
      </c>
      <c r="J627" s="286">
        <v>1974000</v>
      </c>
      <c r="K627" s="286">
        <v>1974000</v>
      </c>
      <c r="L627" s="287">
        <v>1974000</v>
      </c>
      <c r="M627" s="288">
        <v>100</v>
      </c>
      <c r="N627" s="287">
        <v>1974000</v>
      </c>
      <c r="O627" s="288">
        <v>0</v>
      </c>
      <c r="P627" s="279"/>
      <c r="Q627" s="181" t="s">
        <v>20</v>
      </c>
      <c r="R627" s="181" t="s">
        <v>229</v>
      </c>
      <c r="S627" s="145" t="s">
        <v>4486</v>
      </c>
      <c r="T627" s="189"/>
      <c r="U627" s="202">
        <v>620</v>
      </c>
      <c r="V627" s="203" t="b">
        <v>1</v>
      </c>
      <c r="W627" s="204" t="s">
        <v>3285</v>
      </c>
      <c r="X627" s="128"/>
      <c r="Y627" s="128"/>
      <c r="Z627" s="128"/>
    </row>
    <row r="628" spans="1:26" ht="12.5">
      <c r="A628" s="270">
        <v>677</v>
      </c>
      <c r="B628" s="283" t="s">
        <v>4482</v>
      </c>
      <c r="C628" s="272">
        <v>45040</v>
      </c>
      <c r="D628" s="284" t="s">
        <v>4487</v>
      </c>
      <c r="E628" s="289" t="s">
        <v>4484</v>
      </c>
      <c r="F628" s="273">
        <v>10717106</v>
      </c>
      <c r="G628" s="290" t="s">
        <v>307</v>
      </c>
      <c r="H628" s="273" t="s">
        <v>249</v>
      </c>
      <c r="I628" s="275">
        <v>1</v>
      </c>
      <c r="J628" s="286">
        <v>1974000</v>
      </c>
      <c r="K628" s="286">
        <v>1974000</v>
      </c>
      <c r="L628" s="287">
        <v>1974000</v>
      </c>
      <c r="M628" s="288">
        <v>100</v>
      </c>
      <c r="N628" s="287">
        <v>1974000</v>
      </c>
      <c r="O628" s="288">
        <v>0</v>
      </c>
      <c r="P628" s="279"/>
      <c r="Q628" s="181" t="s">
        <v>20</v>
      </c>
      <c r="R628" s="181" t="s">
        <v>229</v>
      </c>
      <c r="S628" s="145" t="s">
        <v>4488</v>
      </c>
      <c r="T628" s="189"/>
      <c r="U628" s="202">
        <v>621</v>
      </c>
      <c r="V628" s="203" t="b">
        <v>1</v>
      </c>
      <c r="W628" s="204" t="s">
        <v>3285</v>
      </c>
      <c r="X628" s="128"/>
      <c r="Y628" s="128"/>
      <c r="Z628" s="128"/>
    </row>
    <row r="629" spans="1:26" ht="12.5">
      <c r="A629" s="138">
        <v>678</v>
      </c>
      <c r="B629" s="283" t="s">
        <v>4482</v>
      </c>
      <c r="C629" s="272">
        <v>45040</v>
      </c>
      <c r="D629" s="284" t="s">
        <v>4489</v>
      </c>
      <c r="E629" s="289" t="s">
        <v>4484</v>
      </c>
      <c r="F629" s="273">
        <v>10717263</v>
      </c>
      <c r="G629" s="290" t="s">
        <v>307</v>
      </c>
      <c r="H629" s="273" t="s">
        <v>249</v>
      </c>
      <c r="I629" s="275">
        <v>1</v>
      </c>
      <c r="J629" s="286">
        <v>1974000</v>
      </c>
      <c r="K629" s="286">
        <v>1974000</v>
      </c>
      <c r="L629" s="287">
        <v>1974000</v>
      </c>
      <c r="M629" s="288">
        <v>100</v>
      </c>
      <c r="N629" s="287">
        <v>1974000</v>
      </c>
      <c r="O629" s="288">
        <v>0</v>
      </c>
      <c r="P629" s="279"/>
      <c r="Q629" s="181" t="s">
        <v>20</v>
      </c>
      <c r="R629" s="181" t="s">
        <v>229</v>
      </c>
      <c r="S629" s="145" t="s">
        <v>4490</v>
      </c>
      <c r="T629" s="189"/>
      <c r="U629" s="202">
        <v>622</v>
      </c>
      <c r="V629" s="203" t="b">
        <v>1</v>
      </c>
      <c r="W629" s="204" t="s">
        <v>3285</v>
      </c>
      <c r="X629" s="128"/>
      <c r="Y629" s="128"/>
      <c r="Z629" s="128"/>
    </row>
    <row r="630" spans="1:26" ht="12.5">
      <c r="A630" s="270">
        <v>679</v>
      </c>
      <c r="B630" s="283" t="s">
        <v>4482</v>
      </c>
      <c r="C630" s="272">
        <v>45040</v>
      </c>
      <c r="D630" s="284" t="s">
        <v>4491</v>
      </c>
      <c r="E630" s="289" t="s">
        <v>4484</v>
      </c>
      <c r="F630" s="273">
        <v>10812020</v>
      </c>
      <c r="G630" s="290" t="s">
        <v>307</v>
      </c>
      <c r="H630" s="273" t="s">
        <v>249</v>
      </c>
      <c r="I630" s="275">
        <v>1</v>
      </c>
      <c r="J630" s="286">
        <v>1974000</v>
      </c>
      <c r="K630" s="286">
        <v>1974000</v>
      </c>
      <c r="L630" s="287">
        <v>1974000</v>
      </c>
      <c r="M630" s="288">
        <v>100</v>
      </c>
      <c r="N630" s="287">
        <v>1974000</v>
      </c>
      <c r="O630" s="288">
        <v>0</v>
      </c>
      <c r="P630" s="279"/>
      <c r="Q630" s="181" t="s">
        <v>20</v>
      </c>
      <c r="R630" s="181" t="s">
        <v>229</v>
      </c>
      <c r="S630" s="145" t="s">
        <v>4492</v>
      </c>
      <c r="T630" s="189"/>
      <c r="U630" s="202">
        <v>623</v>
      </c>
      <c r="V630" s="203" t="b">
        <v>1</v>
      </c>
      <c r="W630" s="204" t="s">
        <v>3285</v>
      </c>
      <c r="X630" s="128"/>
      <c r="Y630" s="128"/>
      <c r="Z630" s="128"/>
    </row>
    <row r="631" spans="1:26" ht="12.5">
      <c r="A631" s="138">
        <v>680</v>
      </c>
      <c r="B631" s="283" t="s">
        <v>4482</v>
      </c>
      <c r="C631" s="272">
        <v>45040</v>
      </c>
      <c r="D631" s="284" t="s">
        <v>4493</v>
      </c>
      <c r="E631" s="289" t="s">
        <v>4484</v>
      </c>
      <c r="F631" s="273">
        <v>10812967</v>
      </c>
      <c r="G631" s="290" t="s">
        <v>307</v>
      </c>
      <c r="H631" s="273" t="s">
        <v>249</v>
      </c>
      <c r="I631" s="275">
        <v>1</v>
      </c>
      <c r="J631" s="286">
        <v>1974000</v>
      </c>
      <c r="K631" s="286">
        <v>1974000</v>
      </c>
      <c r="L631" s="287">
        <v>1974000</v>
      </c>
      <c r="M631" s="288">
        <v>100</v>
      </c>
      <c r="N631" s="287">
        <v>1974000</v>
      </c>
      <c r="O631" s="288">
        <v>0</v>
      </c>
      <c r="P631" s="279"/>
      <c r="Q631" s="181" t="s">
        <v>20</v>
      </c>
      <c r="R631" s="181" t="s">
        <v>229</v>
      </c>
      <c r="S631" s="145" t="s">
        <v>4494</v>
      </c>
      <c r="T631" s="189"/>
      <c r="U631" s="202">
        <v>624</v>
      </c>
      <c r="V631" s="203" t="b">
        <v>1</v>
      </c>
      <c r="W631" s="204" t="s">
        <v>3285</v>
      </c>
      <c r="X631" s="128"/>
      <c r="Y631" s="128"/>
      <c r="Z631" s="128"/>
    </row>
    <row r="632" spans="1:26" ht="12.5">
      <c r="A632" s="270">
        <v>681</v>
      </c>
      <c r="B632" s="283" t="s">
        <v>4482</v>
      </c>
      <c r="C632" s="272">
        <v>45040</v>
      </c>
      <c r="D632" s="284" t="s">
        <v>4495</v>
      </c>
      <c r="E632" s="289" t="s">
        <v>4484</v>
      </c>
      <c r="F632" s="273">
        <v>10812563</v>
      </c>
      <c r="G632" s="290" t="s">
        <v>307</v>
      </c>
      <c r="H632" s="273" t="s">
        <v>249</v>
      </c>
      <c r="I632" s="275">
        <v>1</v>
      </c>
      <c r="J632" s="286">
        <v>1974000</v>
      </c>
      <c r="K632" s="286">
        <v>1974000</v>
      </c>
      <c r="L632" s="287">
        <v>1974000</v>
      </c>
      <c r="M632" s="288">
        <v>100</v>
      </c>
      <c r="N632" s="287">
        <v>1974000</v>
      </c>
      <c r="O632" s="288">
        <v>0</v>
      </c>
      <c r="P632" s="279"/>
      <c r="Q632" s="181" t="s">
        <v>20</v>
      </c>
      <c r="R632" s="181" t="s">
        <v>229</v>
      </c>
      <c r="S632" s="173" t="s">
        <v>4466</v>
      </c>
      <c r="T632" s="189"/>
      <c r="U632" s="202">
        <v>625</v>
      </c>
      <c r="V632" s="203" t="b">
        <v>1</v>
      </c>
      <c r="W632" s="204" t="s">
        <v>3285</v>
      </c>
      <c r="X632" s="128"/>
      <c r="Y632" s="128"/>
      <c r="Z632" s="128"/>
    </row>
    <row r="633" spans="1:26" ht="12.5">
      <c r="A633" s="138">
        <v>682</v>
      </c>
      <c r="B633" s="283" t="s">
        <v>4482</v>
      </c>
      <c r="C633" s="272">
        <v>45040</v>
      </c>
      <c r="D633" s="284" t="s">
        <v>4496</v>
      </c>
      <c r="E633" s="289" t="s">
        <v>4484</v>
      </c>
      <c r="F633" s="273">
        <v>10812822</v>
      </c>
      <c r="G633" s="290" t="s">
        <v>307</v>
      </c>
      <c r="H633" s="273" t="s">
        <v>249</v>
      </c>
      <c r="I633" s="275">
        <v>1</v>
      </c>
      <c r="J633" s="286">
        <v>1974000</v>
      </c>
      <c r="K633" s="286">
        <v>1974000</v>
      </c>
      <c r="L633" s="287">
        <v>1974000</v>
      </c>
      <c r="M633" s="288">
        <v>100</v>
      </c>
      <c r="N633" s="287">
        <v>1974000</v>
      </c>
      <c r="O633" s="288">
        <v>0</v>
      </c>
      <c r="P633" s="279"/>
      <c r="Q633" s="181" t="s">
        <v>20</v>
      </c>
      <c r="R633" s="181" t="s">
        <v>229</v>
      </c>
      <c r="S633" s="145" t="s">
        <v>4497</v>
      </c>
      <c r="T633" s="189"/>
      <c r="U633" s="202">
        <v>626</v>
      </c>
      <c r="V633" s="203" t="b">
        <v>1</v>
      </c>
      <c r="W633" s="204" t="s">
        <v>3285</v>
      </c>
      <c r="X633" s="128"/>
      <c r="Y633" s="128"/>
      <c r="Z633" s="128"/>
    </row>
    <row r="634" spans="1:26" ht="12.5">
      <c r="A634" s="270">
        <v>683</v>
      </c>
      <c r="B634" s="283" t="s">
        <v>4482</v>
      </c>
      <c r="C634" s="272">
        <v>45040</v>
      </c>
      <c r="D634" s="284" t="s">
        <v>4498</v>
      </c>
      <c r="E634" s="289" t="s">
        <v>4499</v>
      </c>
      <c r="F634" s="273">
        <v>10691638</v>
      </c>
      <c r="G634" s="290" t="s">
        <v>307</v>
      </c>
      <c r="H634" s="273" t="s">
        <v>249</v>
      </c>
      <c r="I634" s="275">
        <v>1</v>
      </c>
      <c r="J634" s="286">
        <v>2130000</v>
      </c>
      <c r="K634" s="286">
        <v>2130000</v>
      </c>
      <c r="L634" s="287">
        <v>2130000</v>
      </c>
      <c r="M634" s="288">
        <v>100</v>
      </c>
      <c r="N634" s="287">
        <v>2130000</v>
      </c>
      <c r="O634" s="288">
        <v>0</v>
      </c>
      <c r="P634" s="279"/>
      <c r="Q634" s="181" t="s">
        <v>20</v>
      </c>
      <c r="R634" s="181" t="s">
        <v>229</v>
      </c>
      <c r="S634" s="145" t="s">
        <v>4500</v>
      </c>
      <c r="T634" s="189"/>
      <c r="U634" s="202">
        <v>627</v>
      </c>
      <c r="V634" s="203" t="b">
        <v>1</v>
      </c>
      <c r="W634" s="204" t="s">
        <v>3285</v>
      </c>
      <c r="X634" s="128"/>
      <c r="Y634" s="128"/>
      <c r="Z634" s="128"/>
    </row>
    <row r="635" spans="1:26" ht="12.5">
      <c r="A635" s="138">
        <v>684</v>
      </c>
      <c r="B635" s="283" t="s">
        <v>4482</v>
      </c>
      <c r="C635" s="272">
        <v>45040</v>
      </c>
      <c r="D635" s="284" t="s">
        <v>4501</v>
      </c>
      <c r="E635" s="289" t="s">
        <v>4499</v>
      </c>
      <c r="F635" s="273">
        <v>10691425</v>
      </c>
      <c r="G635" s="290" t="s">
        <v>307</v>
      </c>
      <c r="H635" s="273" t="s">
        <v>249</v>
      </c>
      <c r="I635" s="275">
        <v>1</v>
      </c>
      <c r="J635" s="286">
        <v>2130000</v>
      </c>
      <c r="K635" s="286">
        <v>2130000</v>
      </c>
      <c r="L635" s="287">
        <v>2130000</v>
      </c>
      <c r="M635" s="288">
        <v>100</v>
      </c>
      <c r="N635" s="287">
        <v>2130000</v>
      </c>
      <c r="O635" s="288">
        <v>0</v>
      </c>
      <c r="P635" s="279"/>
      <c r="Q635" s="181" t="s">
        <v>20</v>
      </c>
      <c r="R635" s="181" t="s">
        <v>229</v>
      </c>
      <c r="S635" s="145" t="s">
        <v>4502</v>
      </c>
      <c r="T635" s="189"/>
      <c r="U635" s="202">
        <v>628</v>
      </c>
      <c r="V635" s="203" t="b">
        <v>1</v>
      </c>
      <c r="W635" s="204" t="s">
        <v>3285</v>
      </c>
      <c r="X635" s="128"/>
      <c r="Y635" s="128"/>
      <c r="Z635" s="128"/>
    </row>
    <row r="636" spans="1:26" ht="12.5">
      <c r="A636" s="270">
        <v>685</v>
      </c>
      <c r="B636" s="283" t="s">
        <v>4482</v>
      </c>
      <c r="C636" s="272">
        <v>45040</v>
      </c>
      <c r="D636" s="284" t="s">
        <v>4503</v>
      </c>
      <c r="E636" s="289" t="s">
        <v>4499</v>
      </c>
      <c r="F636" s="273">
        <v>10691650</v>
      </c>
      <c r="G636" s="290" t="s">
        <v>307</v>
      </c>
      <c r="H636" s="273" t="s">
        <v>249</v>
      </c>
      <c r="I636" s="275">
        <v>1</v>
      </c>
      <c r="J636" s="286">
        <v>2130000</v>
      </c>
      <c r="K636" s="286">
        <v>2130000</v>
      </c>
      <c r="L636" s="287">
        <v>2130000</v>
      </c>
      <c r="M636" s="288">
        <v>100</v>
      </c>
      <c r="N636" s="287">
        <v>2130000</v>
      </c>
      <c r="O636" s="288">
        <v>0</v>
      </c>
      <c r="P636" s="279"/>
      <c r="Q636" s="181" t="s">
        <v>20</v>
      </c>
      <c r="R636" s="181" t="s">
        <v>229</v>
      </c>
      <c r="S636" s="145" t="s">
        <v>4504</v>
      </c>
      <c r="T636" s="189"/>
      <c r="U636" s="202">
        <v>629</v>
      </c>
      <c r="V636" s="203" t="b">
        <v>1</v>
      </c>
      <c r="W636" s="204" t="s">
        <v>3285</v>
      </c>
      <c r="X636" s="128"/>
      <c r="Y636" s="128"/>
      <c r="Z636" s="128"/>
    </row>
    <row r="637" spans="1:26" ht="12.5">
      <c r="A637" s="138">
        <v>686</v>
      </c>
      <c r="B637" s="283" t="s">
        <v>4482</v>
      </c>
      <c r="C637" s="272">
        <v>45040</v>
      </c>
      <c r="D637" s="284" t="s">
        <v>4505</v>
      </c>
      <c r="E637" s="289" t="s">
        <v>4499</v>
      </c>
      <c r="F637" s="273">
        <v>10691641</v>
      </c>
      <c r="G637" s="290" t="s">
        <v>307</v>
      </c>
      <c r="H637" s="273" t="s">
        <v>249</v>
      </c>
      <c r="I637" s="275">
        <v>1</v>
      </c>
      <c r="J637" s="286">
        <v>2130000</v>
      </c>
      <c r="K637" s="286">
        <v>2130000</v>
      </c>
      <c r="L637" s="287">
        <v>2130000</v>
      </c>
      <c r="M637" s="288">
        <v>100</v>
      </c>
      <c r="N637" s="287">
        <v>2130000</v>
      </c>
      <c r="O637" s="288">
        <v>0</v>
      </c>
      <c r="P637" s="279"/>
      <c r="Q637" s="181" t="s">
        <v>20</v>
      </c>
      <c r="R637" s="181" t="s">
        <v>229</v>
      </c>
      <c r="S637" s="173" t="s">
        <v>4506</v>
      </c>
      <c r="T637" s="189"/>
      <c r="U637" s="202">
        <v>630</v>
      </c>
      <c r="V637" s="203" t="b">
        <v>1</v>
      </c>
      <c r="W637" s="204" t="s">
        <v>3285</v>
      </c>
      <c r="X637" s="128"/>
      <c r="Y637" s="128"/>
      <c r="Z637" s="128"/>
    </row>
    <row r="638" spans="1:26" ht="12.5">
      <c r="A638" s="270">
        <v>687</v>
      </c>
      <c r="B638" s="283" t="s">
        <v>4482</v>
      </c>
      <c r="C638" s="272">
        <v>45040</v>
      </c>
      <c r="D638" s="284" t="s">
        <v>4507</v>
      </c>
      <c r="E638" s="289" t="s">
        <v>4499</v>
      </c>
      <c r="F638" s="273">
        <v>10691441</v>
      </c>
      <c r="G638" s="290" t="s">
        <v>307</v>
      </c>
      <c r="H638" s="273" t="s">
        <v>249</v>
      </c>
      <c r="I638" s="275">
        <v>1</v>
      </c>
      <c r="J638" s="286">
        <v>2130000</v>
      </c>
      <c r="K638" s="286">
        <v>2130000</v>
      </c>
      <c r="L638" s="287">
        <v>2130000</v>
      </c>
      <c r="M638" s="288">
        <v>100</v>
      </c>
      <c r="N638" s="287">
        <v>2130000</v>
      </c>
      <c r="O638" s="288">
        <v>0</v>
      </c>
      <c r="P638" s="279"/>
      <c r="Q638" s="181" t="s">
        <v>20</v>
      </c>
      <c r="R638" s="181" t="s">
        <v>229</v>
      </c>
      <c r="S638" s="145" t="s">
        <v>4508</v>
      </c>
      <c r="T638" s="189"/>
      <c r="U638" s="202">
        <v>631</v>
      </c>
      <c r="V638" s="203" t="b">
        <v>1</v>
      </c>
      <c r="W638" s="204" t="s">
        <v>3285</v>
      </c>
      <c r="X638" s="128"/>
      <c r="Y638" s="128"/>
      <c r="Z638" s="128"/>
    </row>
    <row r="639" spans="1:26" ht="12.5">
      <c r="A639" s="138">
        <v>688</v>
      </c>
      <c r="B639" s="283" t="s">
        <v>4482</v>
      </c>
      <c r="C639" s="272">
        <v>45040</v>
      </c>
      <c r="D639" s="284" t="s">
        <v>4509</v>
      </c>
      <c r="E639" s="289" t="s">
        <v>4499</v>
      </c>
      <c r="F639" s="273">
        <v>10691658</v>
      </c>
      <c r="G639" s="290" t="s">
        <v>307</v>
      </c>
      <c r="H639" s="273" t="s">
        <v>249</v>
      </c>
      <c r="I639" s="275">
        <v>1</v>
      </c>
      <c r="J639" s="286">
        <v>2130000</v>
      </c>
      <c r="K639" s="286">
        <v>2130000</v>
      </c>
      <c r="L639" s="287">
        <v>2130000</v>
      </c>
      <c r="M639" s="288">
        <v>100</v>
      </c>
      <c r="N639" s="287">
        <v>2130000</v>
      </c>
      <c r="O639" s="288">
        <v>0</v>
      </c>
      <c r="P639" s="279"/>
      <c r="Q639" s="181" t="s">
        <v>20</v>
      </c>
      <c r="R639" s="181" t="s">
        <v>229</v>
      </c>
      <c r="S639" s="145" t="s">
        <v>4510</v>
      </c>
      <c r="T639" s="189"/>
      <c r="U639" s="202">
        <v>632</v>
      </c>
      <c r="V639" s="203" t="b">
        <v>1</v>
      </c>
      <c r="W639" s="204" t="s">
        <v>3285</v>
      </c>
      <c r="X639" s="128"/>
      <c r="Y639" s="128"/>
      <c r="Z639" s="128"/>
    </row>
    <row r="640" spans="1:26" ht="12.5">
      <c r="A640" s="270">
        <v>689</v>
      </c>
      <c r="B640" s="283" t="s">
        <v>4482</v>
      </c>
      <c r="C640" s="272">
        <v>45040</v>
      </c>
      <c r="D640" s="284" t="s">
        <v>4511</v>
      </c>
      <c r="E640" s="289" t="s">
        <v>4499</v>
      </c>
      <c r="F640" s="273">
        <v>10691662</v>
      </c>
      <c r="G640" s="290" t="s">
        <v>307</v>
      </c>
      <c r="H640" s="273" t="s">
        <v>249</v>
      </c>
      <c r="I640" s="275">
        <v>1</v>
      </c>
      <c r="J640" s="286">
        <v>2130000</v>
      </c>
      <c r="K640" s="286">
        <v>2130000</v>
      </c>
      <c r="L640" s="287">
        <v>2130000</v>
      </c>
      <c r="M640" s="288">
        <v>100</v>
      </c>
      <c r="N640" s="287">
        <v>2130000</v>
      </c>
      <c r="O640" s="288">
        <v>0</v>
      </c>
      <c r="P640" s="279"/>
      <c r="Q640" s="181" t="s">
        <v>20</v>
      </c>
      <c r="R640" s="181" t="s">
        <v>229</v>
      </c>
      <c r="S640" s="145" t="s">
        <v>4512</v>
      </c>
      <c r="T640" s="189"/>
      <c r="U640" s="202">
        <v>633</v>
      </c>
      <c r="V640" s="203" t="b">
        <v>1</v>
      </c>
      <c r="W640" s="204" t="s">
        <v>3285</v>
      </c>
      <c r="X640" s="128"/>
      <c r="Y640" s="128"/>
      <c r="Z640" s="128"/>
    </row>
    <row r="641" spans="1:26" ht="12.5">
      <c r="A641" s="138">
        <v>690</v>
      </c>
      <c r="B641" s="283" t="s">
        <v>4482</v>
      </c>
      <c r="C641" s="272">
        <v>45040</v>
      </c>
      <c r="D641" s="284" t="s">
        <v>4513</v>
      </c>
      <c r="E641" s="289" t="s">
        <v>4499</v>
      </c>
      <c r="F641" s="273">
        <v>10691428</v>
      </c>
      <c r="G641" s="290" t="s">
        <v>307</v>
      </c>
      <c r="H641" s="273" t="s">
        <v>249</v>
      </c>
      <c r="I641" s="275">
        <v>1</v>
      </c>
      <c r="J641" s="286">
        <v>2130000</v>
      </c>
      <c r="K641" s="286">
        <v>2130000</v>
      </c>
      <c r="L641" s="287">
        <v>2130000</v>
      </c>
      <c r="M641" s="288">
        <v>100</v>
      </c>
      <c r="N641" s="287">
        <v>2130000</v>
      </c>
      <c r="O641" s="288">
        <v>0</v>
      </c>
      <c r="P641" s="279"/>
      <c r="Q641" s="181" t="s">
        <v>20</v>
      </c>
      <c r="R641" s="181" t="s">
        <v>229</v>
      </c>
      <c r="S641" s="145" t="s">
        <v>4514</v>
      </c>
      <c r="T641" s="189"/>
      <c r="U641" s="202">
        <v>634</v>
      </c>
      <c r="V641" s="203" t="b">
        <v>1</v>
      </c>
      <c r="W641" s="204" t="s">
        <v>3285</v>
      </c>
      <c r="X641" s="128"/>
      <c r="Y641" s="128"/>
      <c r="Z641" s="128"/>
    </row>
    <row r="642" spans="1:26" ht="12.5" hidden="1">
      <c r="A642" s="270">
        <v>691</v>
      </c>
      <c r="B642" s="271" t="s">
        <v>4515</v>
      </c>
      <c r="C642" s="272">
        <v>45069</v>
      </c>
      <c r="D642" s="273" t="s">
        <v>4516</v>
      </c>
      <c r="E642" s="273" t="s">
        <v>4517</v>
      </c>
      <c r="F642" s="273">
        <v>8619320</v>
      </c>
      <c r="G642" s="273" t="s">
        <v>35</v>
      </c>
      <c r="H642" s="273" t="s">
        <v>249</v>
      </c>
      <c r="I642" s="275">
        <v>1</v>
      </c>
      <c r="J642" s="276">
        <v>7450000</v>
      </c>
      <c r="K642" s="276">
        <v>7450000</v>
      </c>
      <c r="L642" s="277">
        <v>7450000</v>
      </c>
      <c r="M642" s="278">
        <v>100</v>
      </c>
      <c r="N642" s="277">
        <v>7450000</v>
      </c>
      <c r="O642" s="278">
        <v>0</v>
      </c>
      <c r="P642" s="279"/>
      <c r="Q642" s="181" t="s">
        <v>36</v>
      </c>
      <c r="R642" s="291" t="s">
        <v>3626</v>
      </c>
      <c r="S642" s="292" t="s">
        <v>4518</v>
      </c>
      <c r="T642" s="189"/>
      <c r="U642" s="202">
        <v>635</v>
      </c>
      <c r="V642" s="203" t="b">
        <v>1</v>
      </c>
      <c r="W642" s="204" t="s">
        <v>3285</v>
      </c>
      <c r="X642" s="128"/>
      <c r="Y642" s="128"/>
      <c r="Z642" s="128"/>
    </row>
    <row r="643" spans="1:26" ht="12.5" hidden="1">
      <c r="A643" s="138">
        <v>692</v>
      </c>
      <c r="B643" s="271" t="s">
        <v>4515</v>
      </c>
      <c r="C643" s="272">
        <v>45069</v>
      </c>
      <c r="D643" s="273" t="s">
        <v>4519</v>
      </c>
      <c r="E643" s="273" t="s">
        <v>4517</v>
      </c>
      <c r="F643" s="273">
        <v>8619326</v>
      </c>
      <c r="G643" s="273" t="s">
        <v>35</v>
      </c>
      <c r="H643" s="273" t="s">
        <v>249</v>
      </c>
      <c r="I643" s="275">
        <v>1</v>
      </c>
      <c r="J643" s="276">
        <v>7450000</v>
      </c>
      <c r="K643" s="276">
        <v>7450000</v>
      </c>
      <c r="L643" s="277">
        <v>7450000</v>
      </c>
      <c r="M643" s="278">
        <v>100</v>
      </c>
      <c r="N643" s="277">
        <v>7450000</v>
      </c>
      <c r="O643" s="278">
        <v>0</v>
      </c>
      <c r="P643" s="279"/>
      <c r="Q643" s="181" t="s">
        <v>206</v>
      </c>
      <c r="R643" s="181" t="s">
        <v>2427</v>
      </c>
      <c r="S643" s="280" t="s">
        <v>4520</v>
      </c>
      <c r="T643" s="189"/>
      <c r="U643" s="202">
        <v>636</v>
      </c>
      <c r="V643" s="203" t="b">
        <v>1</v>
      </c>
      <c r="W643" s="204" t="s">
        <v>3285</v>
      </c>
      <c r="X643" s="128"/>
      <c r="Y643" s="128"/>
      <c r="Z643" s="128"/>
    </row>
    <row r="644" spans="1:26" ht="12.5" hidden="1">
      <c r="A644" s="270">
        <v>693</v>
      </c>
      <c r="B644" s="271" t="s">
        <v>4515</v>
      </c>
      <c r="C644" s="272">
        <v>45069</v>
      </c>
      <c r="D644" s="273" t="s">
        <v>4521</v>
      </c>
      <c r="E644" s="273" t="s">
        <v>4517</v>
      </c>
      <c r="F644" s="273">
        <v>8619318</v>
      </c>
      <c r="G644" s="273" t="s">
        <v>35</v>
      </c>
      <c r="H644" s="273" t="s">
        <v>249</v>
      </c>
      <c r="I644" s="275">
        <v>1</v>
      </c>
      <c r="J644" s="276">
        <v>7450000</v>
      </c>
      <c r="K644" s="276">
        <v>7450000</v>
      </c>
      <c r="L644" s="277">
        <v>7450000</v>
      </c>
      <c r="M644" s="278">
        <v>100</v>
      </c>
      <c r="N644" s="277">
        <v>7450000</v>
      </c>
      <c r="O644" s="278">
        <v>0</v>
      </c>
      <c r="P644" s="279"/>
      <c r="Q644" s="181" t="s">
        <v>36</v>
      </c>
      <c r="R644" s="291" t="s">
        <v>3626</v>
      </c>
      <c r="S644" s="292" t="s">
        <v>4522</v>
      </c>
      <c r="T644" s="189"/>
      <c r="U644" s="202">
        <v>637</v>
      </c>
      <c r="V644" s="203" t="b">
        <v>1</v>
      </c>
      <c r="W644" s="204" t="s">
        <v>3285</v>
      </c>
      <c r="X644" s="128"/>
      <c r="Y644" s="128"/>
      <c r="Z644" s="128"/>
    </row>
    <row r="645" spans="1:26" ht="12.5" hidden="1">
      <c r="A645" s="138">
        <v>694</v>
      </c>
      <c r="B645" s="271" t="s">
        <v>4515</v>
      </c>
      <c r="C645" s="272">
        <v>45069</v>
      </c>
      <c r="D645" s="273" t="s">
        <v>4523</v>
      </c>
      <c r="E645" s="273" t="s">
        <v>4517</v>
      </c>
      <c r="F645" s="273">
        <v>8619327</v>
      </c>
      <c r="G645" s="273" t="s">
        <v>35</v>
      </c>
      <c r="H645" s="273" t="s">
        <v>249</v>
      </c>
      <c r="I645" s="275">
        <v>1</v>
      </c>
      <c r="J645" s="276">
        <v>7450000</v>
      </c>
      <c r="K645" s="276">
        <v>7450000</v>
      </c>
      <c r="L645" s="277">
        <v>7450000</v>
      </c>
      <c r="M645" s="278">
        <v>100</v>
      </c>
      <c r="N645" s="277">
        <v>7450000</v>
      </c>
      <c r="O645" s="278">
        <v>0</v>
      </c>
      <c r="P645" s="279"/>
      <c r="Q645" s="181" t="s">
        <v>36</v>
      </c>
      <c r="R645" s="291" t="s">
        <v>3626</v>
      </c>
      <c r="S645" s="292" t="s">
        <v>4524</v>
      </c>
      <c r="T645" s="189"/>
      <c r="U645" s="202">
        <v>638</v>
      </c>
      <c r="V645" s="203" t="b">
        <v>1</v>
      </c>
      <c r="W645" s="204" t="s">
        <v>3285</v>
      </c>
      <c r="X645" s="128"/>
      <c r="Y645" s="128"/>
      <c r="Z645" s="128"/>
    </row>
    <row r="646" spans="1:26" ht="12.5" hidden="1">
      <c r="A646" s="270">
        <v>695</v>
      </c>
      <c r="B646" s="271" t="s">
        <v>4515</v>
      </c>
      <c r="C646" s="272">
        <v>45069</v>
      </c>
      <c r="D646" s="273" t="s">
        <v>4525</v>
      </c>
      <c r="E646" s="273" t="s">
        <v>4517</v>
      </c>
      <c r="F646" s="273">
        <v>8619319</v>
      </c>
      <c r="G646" s="273" t="s">
        <v>35</v>
      </c>
      <c r="H646" s="273" t="s">
        <v>249</v>
      </c>
      <c r="I646" s="275">
        <v>1</v>
      </c>
      <c r="J646" s="276">
        <v>7450000</v>
      </c>
      <c r="K646" s="276">
        <v>7450000</v>
      </c>
      <c r="L646" s="277">
        <v>7450000</v>
      </c>
      <c r="M646" s="278">
        <v>100</v>
      </c>
      <c r="N646" s="277">
        <v>7450000</v>
      </c>
      <c r="O646" s="278">
        <v>0</v>
      </c>
      <c r="P646" s="279"/>
      <c r="Q646" s="181" t="s">
        <v>206</v>
      </c>
      <c r="R646" s="181" t="s">
        <v>2427</v>
      </c>
      <c r="S646" s="280" t="s">
        <v>4526</v>
      </c>
      <c r="T646" s="189"/>
      <c r="U646" s="202">
        <v>639</v>
      </c>
      <c r="V646" s="203" t="b">
        <v>1</v>
      </c>
      <c r="W646" s="204" t="s">
        <v>3285</v>
      </c>
      <c r="X646" s="128"/>
      <c r="Y646" s="128"/>
      <c r="Z646" s="128"/>
    </row>
    <row r="647" spans="1:26" ht="12.5" hidden="1">
      <c r="A647" s="138">
        <v>696</v>
      </c>
      <c r="B647" s="271" t="s">
        <v>4477</v>
      </c>
      <c r="C647" s="272">
        <v>45168</v>
      </c>
      <c r="D647" s="273" t="s">
        <v>4527</v>
      </c>
      <c r="E647" s="273" t="s">
        <v>4517</v>
      </c>
      <c r="F647" s="273">
        <v>8602899</v>
      </c>
      <c r="G647" s="273" t="s">
        <v>35</v>
      </c>
      <c r="H647" s="273" t="s">
        <v>249</v>
      </c>
      <c r="I647" s="275">
        <v>1</v>
      </c>
      <c r="J647" s="276">
        <v>7450000</v>
      </c>
      <c r="K647" s="276">
        <v>7450000</v>
      </c>
      <c r="L647" s="277">
        <v>7450000</v>
      </c>
      <c r="M647" s="278">
        <v>100</v>
      </c>
      <c r="N647" s="277">
        <v>7450000</v>
      </c>
      <c r="O647" s="278">
        <v>0</v>
      </c>
      <c r="P647" s="279"/>
      <c r="Q647" s="181" t="s">
        <v>294</v>
      </c>
      <c r="R647" s="181" t="s">
        <v>4528</v>
      </c>
      <c r="S647" s="280" t="s">
        <v>4529</v>
      </c>
      <c r="T647" s="189"/>
      <c r="U647" s="202">
        <v>640</v>
      </c>
      <c r="V647" s="203" t="b">
        <v>1</v>
      </c>
      <c r="W647" s="204" t="s">
        <v>3285</v>
      </c>
      <c r="X647" s="128"/>
      <c r="Y647" s="128"/>
      <c r="Z647" s="128"/>
    </row>
    <row r="648" spans="1:26" ht="12.5" hidden="1">
      <c r="A648" s="270">
        <v>697</v>
      </c>
      <c r="B648" s="271" t="s">
        <v>4477</v>
      </c>
      <c r="C648" s="272">
        <v>45168</v>
      </c>
      <c r="D648" s="273" t="s">
        <v>4530</v>
      </c>
      <c r="E648" s="273" t="s">
        <v>4517</v>
      </c>
      <c r="F648" s="273">
        <v>8624784</v>
      </c>
      <c r="G648" s="273" t="s">
        <v>35</v>
      </c>
      <c r="H648" s="273" t="s">
        <v>249</v>
      </c>
      <c r="I648" s="275">
        <v>1</v>
      </c>
      <c r="J648" s="276">
        <v>7450000</v>
      </c>
      <c r="K648" s="276">
        <v>7450000</v>
      </c>
      <c r="L648" s="277">
        <v>7450000</v>
      </c>
      <c r="M648" s="278">
        <v>100</v>
      </c>
      <c r="N648" s="277">
        <v>7450000</v>
      </c>
      <c r="O648" s="278">
        <v>0</v>
      </c>
      <c r="P648" s="279"/>
      <c r="Q648" s="181" t="s">
        <v>36</v>
      </c>
      <c r="R648" s="181" t="s">
        <v>37</v>
      </c>
      <c r="S648" s="293" t="s">
        <v>4531</v>
      </c>
      <c r="T648" s="189"/>
      <c r="U648" s="202">
        <v>641</v>
      </c>
      <c r="V648" s="203" t="b">
        <v>1</v>
      </c>
      <c r="W648" s="204" t="s">
        <v>3285</v>
      </c>
      <c r="X648" s="128"/>
      <c r="Y648" s="128"/>
      <c r="Z648" s="128"/>
    </row>
    <row r="649" spans="1:26" ht="12.5" hidden="1">
      <c r="A649" s="138">
        <v>698</v>
      </c>
      <c r="B649" s="271" t="s">
        <v>4477</v>
      </c>
      <c r="C649" s="272">
        <v>45168</v>
      </c>
      <c r="D649" s="273" t="s">
        <v>4532</v>
      </c>
      <c r="E649" s="273" t="s">
        <v>4517</v>
      </c>
      <c r="F649" s="273">
        <v>8624785</v>
      </c>
      <c r="G649" s="273" t="s">
        <v>35</v>
      </c>
      <c r="H649" s="273" t="s">
        <v>249</v>
      </c>
      <c r="I649" s="275">
        <v>1</v>
      </c>
      <c r="J649" s="276">
        <v>7450000</v>
      </c>
      <c r="K649" s="276">
        <v>7450000</v>
      </c>
      <c r="L649" s="277">
        <v>7450000</v>
      </c>
      <c r="M649" s="278">
        <v>100</v>
      </c>
      <c r="N649" s="277">
        <v>7450000</v>
      </c>
      <c r="O649" s="278">
        <v>0</v>
      </c>
      <c r="P649" s="279"/>
      <c r="Q649" s="181" t="s">
        <v>206</v>
      </c>
      <c r="R649" s="181" t="s">
        <v>1514</v>
      </c>
      <c r="S649" s="293" t="s">
        <v>4533</v>
      </c>
      <c r="T649" s="189"/>
      <c r="U649" s="202">
        <v>642</v>
      </c>
      <c r="V649" s="203" t="b">
        <v>1</v>
      </c>
      <c r="W649" s="204" t="s">
        <v>3285</v>
      </c>
      <c r="X649" s="128"/>
      <c r="Y649" s="128"/>
      <c r="Z649" s="128"/>
    </row>
    <row r="650" spans="1:26" ht="12.5" hidden="1">
      <c r="A650" s="270">
        <v>699</v>
      </c>
      <c r="B650" s="283" t="s">
        <v>4534</v>
      </c>
      <c r="C650" s="272">
        <v>45069</v>
      </c>
      <c r="D650" s="273" t="s">
        <v>4535</v>
      </c>
      <c r="E650" s="273" t="s">
        <v>4536</v>
      </c>
      <c r="F650" s="273">
        <v>10904474</v>
      </c>
      <c r="G650" s="290" t="s">
        <v>307</v>
      </c>
      <c r="H650" s="273" t="s">
        <v>249</v>
      </c>
      <c r="I650" s="275">
        <v>1</v>
      </c>
      <c r="J650" s="286">
        <v>21168000</v>
      </c>
      <c r="K650" s="286">
        <v>21168000</v>
      </c>
      <c r="L650" s="287">
        <v>21168000</v>
      </c>
      <c r="M650" s="288">
        <v>33</v>
      </c>
      <c r="N650" s="287">
        <v>7056000</v>
      </c>
      <c r="O650" s="287">
        <v>14112000</v>
      </c>
      <c r="P650" s="279"/>
      <c r="Q650" s="181" t="s">
        <v>20</v>
      </c>
      <c r="R650" s="181" t="s">
        <v>423</v>
      </c>
      <c r="S650" s="280" t="s">
        <v>4537</v>
      </c>
      <c r="T650" s="189"/>
      <c r="U650" s="202">
        <v>643</v>
      </c>
      <c r="V650" s="203" t="b">
        <v>1</v>
      </c>
      <c r="W650" s="204" t="s">
        <v>3285</v>
      </c>
      <c r="X650" s="128"/>
      <c r="Y650" s="128"/>
      <c r="Z650" s="128"/>
    </row>
    <row r="651" spans="1:26" ht="12.5" hidden="1">
      <c r="A651" s="138">
        <v>700</v>
      </c>
      <c r="B651" s="283" t="s">
        <v>4534</v>
      </c>
      <c r="C651" s="272">
        <v>45069</v>
      </c>
      <c r="D651" s="273" t="s">
        <v>4538</v>
      </c>
      <c r="E651" s="273" t="s">
        <v>4536</v>
      </c>
      <c r="F651" s="273">
        <v>10976113</v>
      </c>
      <c r="G651" s="290" t="s">
        <v>307</v>
      </c>
      <c r="H651" s="273" t="s">
        <v>249</v>
      </c>
      <c r="I651" s="275">
        <v>1</v>
      </c>
      <c r="J651" s="286">
        <v>21168000</v>
      </c>
      <c r="K651" s="286">
        <v>21168000</v>
      </c>
      <c r="L651" s="287">
        <v>21168000</v>
      </c>
      <c r="M651" s="288">
        <v>33</v>
      </c>
      <c r="N651" s="287">
        <v>7056000</v>
      </c>
      <c r="O651" s="287">
        <v>14112000</v>
      </c>
      <c r="P651" s="279"/>
      <c r="Q651" s="181" t="s">
        <v>20</v>
      </c>
      <c r="R651" s="181" t="s">
        <v>423</v>
      </c>
      <c r="S651" s="280" t="s">
        <v>4539</v>
      </c>
      <c r="T651" s="189"/>
      <c r="U651" s="202">
        <v>644</v>
      </c>
      <c r="V651" s="203" t="b">
        <v>1</v>
      </c>
      <c r="W651" s="204" t="s">
        <v>3285</v>
      </c>
      <c r="X651" s="128"/>
      <c r="Y651" s="128"/>
      <c r="Z651" s="128"/>
    </row>
    <row r="652" spans="1:26" ht="12.5" hidden="1">
      <c r="A652" s="270">
        <v>701</v>
      </c>
      <c r="B652" s="271" t="s">
        <v>4419</v>
      </c>
      <c r="C652" s="272">
        <v>45069</v>
      </c>
      <c r="D652" s="273" t="s">
        <v>4540</v>
      </c>
      <c r="E652" s="273" t="s">
        <v>4541</v>
      </c>
      <c r="F652" s="274"/>
      <c r="G652" s="273" t="s">
        <v>248</v>
      </c>
      <c r="H652" s="273" t="s">
        <v>249</v>
      </c>
      <c r="I652" s="275">
        <v>1</v>
      </c>
      <c r="J652" s="276">
        <v>1781000</v>
      </c>
      <c r="K652" s="276">
        <v>1781000</v>
      </c>
      <c r="L652" s="277">
        <v>1781000</v>
      </c>
      <c r="M652" s="278">
        <v>100</v>
      </c>
      <c r="N652" s="277">
        <v>1781000</v>
      </c>
      <c r="O652" s="278">
        <v>0</v>
      </c>
      <c r="P652" s="279"/>
      <c r="Q652" s="181" t="s">
        <v>206</v>
      </c>
      <c r="R652" s="181" t="s">
        <v>207</v>
      </c>
      <c r="S652" s="280" t="s">
        <v>1009</v>
      </c>
      <c r="T652" s="189"/>
      <c r="U652" s="202">
        <v>645</v>
      </c>
      <c r="V652" s="203" t="b">
        <v>1</v>
      </c>
      <c r="W652" s="204" t="s">
        <v>3285</v>
      </c>
      <c r="X652" s="128"/>
      <c r="Y652" s="128"/>
      <c r="Z652" s="128"/>
    </row>
    <row r="653" spans="1:26" ht="12.5" hidden="1">
      <c r="A653" s="138">
        <v>702</v>
      </c>
      <c r="B653" s="271" t="s">
        <v>4419</v>
      </c>
      <c r="C653" s="272">
        <v>45069</v>
      </c>
      <c r="D653" s="273" t="s">
        <v>4542</v>
      </c>
      <c r="E653" s="273" t="s">
        <v>4541</v>
      </c>
      <c r="F653" s="274"/>
      <c r="G653" s="273" t="s">
        <v>248</v>
      </c>
      <c r="H653" s="273" t="s">
        <v>249</v>
      </c>
      <c r="I653" s="275">
        <v>1</v>
      </c>
      <c r="J653" s="276">
        <v>1781000</v>
      </c>
      <c r="K653" s="276">
        <v>1781000</v>
      </c>
      <c r="L653" s="277">
        <v>1781000</v>
      </c>
      <c r="M653" s="278">
        <v>100</v>
      </c>
      <c r="N653" s="277">
        <v>1781000</v>
      </c>
      <c r="O653" s="278">
        <v>0</v>
      </c>
      <c r="P653" s="279"/>
      <c r="Q653" s="181" t="s">
        <v>206</v>
      </c>
      <c r="R653" s="181" t="s">
        <v>207</v>
      </c>
      <c r="S653" s="280" t="s">
        <v>1009</v>
      </c>
      <c r="T653" s="189"/>
      <c r="U653" s="202">
        <v>646</v>
      </c>
      <c r="V653" s="203" t="b">
        <v>1</v>
      </c>
      <c r="W653" s="204" t="s">
        <v>3285</v>
      </c>
      <c r="X653" s="128"/>
      <c r="Y653" s="128"/>
      <c r="Z653" s="128"/>
    </row>
    <row r="654" spans="1:26" ht="12.5" hidden="1">
      <c r="A654" s="270">
        <v>703</v>
      </c>
      <c r="B654" s="271" t="s">
        <v>4419</v>
      </c>
      <c r="C654" s="272">
        <v>45069</v>
      </c>
      <c r="D654" s="273" t="s">
        <v>4543</v>
      </c>
      <c r="E654" s="273" t="s">
        <v>4541</v>
      </c>
      <c r="F654" s="274"/>
      <c r="G654" s="273" t="s">
        <v>248</v>
      </c>
      <c r="H654" s="273" t="s">
        <v>249</v>
      </c>
      <c r="I654" s="275">
        <v>1</v>
      </c>
      <c r="J654" s="276">
        <v>1781000</v>
      </c>
      <c r="K654" s="276">
        <v>1781000</v>
      </c>
      <c r="L654" s="277">
        <v>1781000</v>
      </c>
      <c r="M654" s="278">
        <v>100</v>
      </c>
      <c r="N654" s="277">
        <v>1781000</v>
      </c>
      <c r="O654" s="278">
        <v>0</v>
      </c>
      <c r="P654" s="279"/>
      <c r="Q654" s="181" t="s">
        <v>206</v>
      </c>
      <c r="R654" s="181" t="s">
        <v>207</v>
      </c>
      <c r="S654" s="280" t="s">
        <v>1009</v>
      </c>
      <c r="T654" s="189"/>
      <c r="U654" s="202">
        <v>647</v>
      </c>
      <c r="V654" s="203" t="b">
        <v>1</v>
      </c>
      <c r="W654" s="204" t="s">
        <v>3285</v>
      </c>
      <c r="X654" s="128"/>
      <c r="Y654" s="128"/>
      <c r="Z654" s="128"/>
    </row>
    <row r="655" spans="1:26" ht="12.5" hidden="1">
      <c r="A655" s="138">
        <v>704</v>
      </c>
      <c r="B655" s="271" t="s">
        <v>4419</v>
      </c>
      <c r="C655" s="272">
        <v>45069</v>
      </c>
      <c r="D655" s="273" t="s">
        <v>4544</v>
      </c>
      <c r="E655" s="273" t="s">
        <v>4545</v>
      </c>
      <c r="F655" s="274"/>
      <c r="G655" s="273" t="s">
        <v>1008</v>
      </c>
      <c r="H655" s="273" t="s">
        <v>249</v>
      </c>
      <c r="I655" s="275">
        <v>1</v>
      </c>
      <c r="J655" s="276">
        <v>4100000</v>
      </c>
      <c r="K655" s="276">
        <v>4100000</v>
      </c>
      <c r="L655" s="277">
        <v>4100000</v>
      </c>
      <c r="M655" s="278">
        <v>100</v>
      </c>
      <c r="N655" s="277">
        <v>4100000</v>
      </c>
      <c r="O655" s="278">
        <v>0</v>
      </c>
      <c r="P655" s="279"/>
      <c r="Q655" s="181" t="s">
        <v>887</v>
      </c>
      <c r="R655" s="181" t="s">
        <v>4546</v>
      </c>
      <c r="S655" s="293" t="s">
        <v>3423</v>
      </c>
      <c r="T655" s="189"/>
      <c r="U655" s="202">
        <v>648</v>
      </c>
      <c r="V655" s="203" t="b">
        <v>1</v>
      </c>
      <c r="W655" s="204" t="s">
        <v>3285</v>
      </c>
      <c r="X655" s="128"/>
      <c r="Y655" s="128"/>
      <c r="Z655" s="128"/>
    </row>
    <row r="656" spans="1:26" ht="12.5" hidden="1">
      <c r="A656" s="270">
        <v>705</v>
      </c>
      <c r="B656" s="128"/>
      <c r="C656" s="272">
        <v>45370</v>
      </c>
      <c r="D656" s="273" t="s">
        <v>4547</v>
      </c>
      <c r="E656" s="273" t="s">
        <v>4548</v>
      </c>
      <c r="F656" s="273">
        <v>12104112</v>
      </c>
      <c r="G656" s="128"/>
      <c r="H656" s="273" t="s">
        <v>249</v>
      </c>
      <c r="I656" s="278">
        <v>1</v>
      </c>
      <c r="J656" s="128"/>
      <c r="K656" s="273">
        <v>12104112</v>
      </c>
      <c r="L656" s="411" t="s">
        <v>2015</v>
      </c>
      <c r="M656" s="412"/>
      <c r="N656" s="413"/>
      <c r="O656" s="273" t="s">
        <v>249</v>
      </c>
      <c r="P656" s="294"/>
      <c r="Q656" s="181" t="s">
        <v>36</v>
      </c>
      <c r="R656" s="181" t="s">
        <v>674</v>
      </c>
      <c r="S656" s="280" t="s">
        <v>4549</v>
      </c>
      <c r="T656" s="295"/>
      <c r="U656" s="202">
        <v>649</v>
      </c>
      <c r="V656" s="203" t="b">
        <v>1</v>
      </c>
      <c r="W656" s="204" t="s">
        <v>3285</v>
      </c>
      <c r="X656" s="128"/>
      <c r="Y656" s="128"/>
      <c r="Z656" s="128"/>
    </row>
    <row r="657" spans="1:26" ht="13">
      <c r="A657" s="138">
        <v>706</v>
      </c>
      <c r="B657" s="128"/>
      <c r="C657" s="272">
        <v>45314</v>
      </c>
      <c r="D657" s="284" t="s">
        <v>4550</v>
      </c>
      <c r="E657" s="273" t="s">
        <v>4551</v>
      </c>
      <c r="F657" s="273" t="s">
        <v>4552</v>
      </c>
      <c r="G657" s="128"/>
      <c r="H657" s="273" t="s">
        <v>249</v>
      </c>
      <c r="I657" s="278">
        <v>1</v>
      </c>
      <c r="J657" s="128"/>
      <c r="K657" s="273" t="s">
        <v>4552</v>
      </c>
      <c r="L657" s="411" t="s">
        <v>1435</v>
      </c>
      <c r="M657" s="412"/>
      <c r="N657" s="413"/>
      <c r="O657" s="273" t="s">
        <v>19</v>
      </c>
      <c r="P657" s="294"/>
      <c r="Q657" s="181" t="s">
        <v>20</v>
      </c>
      <c r="R657" s="296" t="s">
        <v>229</v>
      </c>
      <c r="S657" s="280" t="s">
        <v>4553</v>
      </c>
      <c r="T657" s="297">
        <v>2024</v>
      </c>
      <c r="U657" s="202">
        <v>650</v>
      </c>
      <c r="V657" s="203" t="b">
        <v>1</v>
      </c>
      <c r="W657" s="204" t="s">
        <v>3285</v>
      </c>
      <c r="X657" s="128"/>
      <c r="Y657" s="128"/>
      <c r="Z657" s="128"/>
    </row>
    <row r="658" spans="1:26" ht="12.5" hidden="1">
      <c r="A658" s="270">
        <v>707</v>
      </c>
      <c r="B658" s="128"/>
      <c r="C658" s="272">
        <v>45594</v>
      </c>
      <c r="D658" s="273" t="s">
        <v>4554</v>
      </c>
      <c r="E658" s="273" t="s">
        <v>4555</v>
      </c>
      <c r="F658" s="273">
        <v>8711998</v>
      </c>
      <c r="G658" s="128"/>
      <c r="H658" s="273" t="s">
        <v>249</v>
      </c>
      <c r="I658" s="278">
        <v>1</v>
      </c>
      <c r="J658" s="128"/>
      <c r="K658" s="273">
        <v>8711998</v>
      </c>
      <c r="L658" s="411" t="s">
        <v>35</v>
      </c>
      <c r="M658" s="412"/>
      <c r="N658" s="413"/>
      <c r="O658" s="273" t="s">
        <v>249</v>
      </c>
      <c r="P658" s="294"/>
      <c r="Q658" s="181" t="s">
        <v>20</v>
      </c>
      <c r="R658" s="181" t="s">
        <v>4556</v>
      </c>
      <c r="S658" s="280" t="s">
        <v>4557</v>
      </c>
      <c r="T658" s="297">
        <v>2024</v>
      </c>
      <c r="U658" s="202">
        <v>651</v>
      </c>
      <c r="V658" s="203" t="b">
        <v>1</v>
      </c>
      <c r="W658" s="204" t="s">
        <v>3285</v>
      </c>
      <c r="X658" s="128"/>
      <c r="Y658" s="128"/>
      <c r="Z658" s="128"/>
    </row>
    <row r="659" spans="1:26" ht="12.5" hidden="1">
      <c r="A659" s="138">
        <v>708</v>
      </c>
      <c r="B659" s="128"/>
      <c r="C659" s="272">
        <v>45594</v>
      </c>
      <c r="D659" s="273" t="s">
        <v>4558</v>
      </c>
      <c r="E659" s="273" t="s">
        <v>4555</v>
      </c>
      <c r="F659" s="273">
        <v>8713831</v>
      </c>
      <c r="G659" s="128"/>
      <c r="H659" s="273" t="s">
        <v>249</v>
      </c>
      <c r="I659" s="278">
        <v>1</v>
      </c>
      <c r="J659" s="128"/>
      <c r="K659" s="273">
        <v>8713831</v>
      </c>
      <c r="L659" s="411" t="s">
        <v>35</v>
      </c>
      <c r="M659" s="412"/>
      <c r="N659" s="413"/>
      <c r="O659" s="273" t="s">
        <v>249</v>
      </c>
      <c r="P659" s="294"/>
      <c r="Q659" s="181" t="s">
        <v>20</v>
      </c>
      <c r="R659" s="181" t="s">
        <v>4556</v>
      </c>
      <c r="S659" s="280" t="s">
        <v>4559</v>
      </c>
      <c r="T659" s="297">
        <v>2024</v>
      </c>
      <c r="U659" s="202">
        <v>652</v>
      </c>
      <c r="V659" s="203" t="b">
        <v>1</v>
      </c>
      <c r="W659" s="204" t="s">
        <v>3285</v>
      </c>
      <c r="X659" s="128"/>
      <c r="Y659" s="128"/>
      <c r="Z659" s="128"/>
    </row>
    <row r="660" spans="1:26" ht="12.5" hidden="1">
      <c r="A660" s="270">
        <v>709</v>
      </c>
      <c r="B660" s="128"/>
      <c r="C660" s="272">
        <v>45594</v>
      </c>
      <c r="D660" s="273" t="s">
        <v>4560</v>
      </c>
      <c r="E660" s="273" t="s">
        <v>4555</v>
      </c>
      <c r="F660" s="273">
        <v>8713898</v>
      </c>
      <c r="G660" s="128"/>
      <c r="H660" s="273" t="s">
        <v>249</v>
      </c>
      <c r="I660" s="278">
        <v>1</v>
      </c>
      <c r="J660" s="128"/>
      <c r="K660" s="273">
        <v>8713898</v>
      </c>
      <c r="L660" s="411" t="s">
        <v>35</v>
      </c>
      <c r="M660" s="412"/>
      <c r="N660" s="413"/>
      <c r="O660" s="273" t="s">
        <v>249</v>
      </c>
      <c r="P660" s="294"/>
      <c r="Q660" s="181" t="s">
        <v>20</v>
      </c>
      <c r="R660" s="181" t="s">
        <v>3262</v>
      </c>
      <c r="S660" s="280" t="s">
        <v>4561</v>
      </c>
      <c r="T660" s="297">
        <v>2024</v>
      </c>
      <c r="U660" s="202">
        <v>653</v>
      </c>
      <c r="V660" s="203" t="b">
        <v>1</v>
      </c>
      <c r="W660" s="204" t="s">
        <v>3285</v>
      </c>
      <c r="X660" s="128"/>
      <c r="Y660" s="128"/>
      <c r="Z660" s="128"/>
    </row>
    <row r="661" spans="1:26" ht="12.5">
      <c r="A661" s="138">
        <v>710</v>
      </c>
      <c r="B661" s="128"/>
      <c r="C661" s="272">
        <v>45594</v>
      </c>
      <c r="D661" s="284" t="s">
        <v>4562</v>
      </c>
      <c r="E661" s="273" t="s">
        <v>4563</v>
      </c>
      <c r="F661" s="273">
        <v>12332021</v>
      </c>
      <c r="G661" s="128"/>
      <c r="H661" s="273" t="s">
        <v>249</v>
      </c>
      <c r="I661" s="278">
        <v>1</v>
      </c>
      <c r="J661" s="128"/>
      <c r="K661" s="273">
        <v>12332021</v>
      </c>
      <c r="L661" s="411" t="s">
        <v>307</v>
      </c>
      <c r="M661" s="412"/>
      <c r="N661" s="413"/>
      <c r="O661" s="273" t="s">
        <v>249</v>
      </c>
      <c r="P661" s="294"/>
      <c r="Q661" s="181" t="s">
        <v>20</v>
      </c>
      <c r="R661" s="138" t="s">
        <v>229</v>
      </c>
      <c r="S661" s="280" t="s">
        <v>4564</v>
      </c>
      <c r="T661" s="297">
        <v>2024</v>
      </c>
      <c r="U661" s="202">
        <v>654</v>
      </c>
      <c r="V661" s="203" t="b">
        <v>1</v>
      </c>
      <c r="W661" s="204" t="s">
        <v>3285</v>
      </c>
      <c r="X661" s="128"/>
      <c r="Y661" s="128"/>
      <c r="Z661" s="128"/>
    </row>
    <row r="662" spans="1:26" ht="12.5" hidden="1">
      <c r="A662" s="270">
        <v>711</v>
      </c>
      <c r="B662" s="128"/>
      <c r="C662" s="272">
        <v>45594</v>
      </c>
      <c r="D662" s="273" t="s">
        <v>4565</v>
      </c>
      <c r="E662" s="273" t="s">
        <v>4563</v>
      </c>
      <c r="F662" s="273">
        <v>12332024</v>
      </c>
      <c r="G662" s="128"/>
      <c r="H662" s="273" t="s">
        <v>249</v>
      </c>
      <c r="I662" s="278">
        <v>1</v>
      </c>
      <c r="J662" s="128"/>
      <c r="K662" s="273">
        <v>12332024</v>
      </c>
      <c r="L662" s="411" t="s">
        <v>307</v>
      </c>
      <c r="M662" s="412"/>
      <c r="N662" s="413"/>
      <c r="O662" s="273" t="s">
        <v>249</v>
      </c>
      <c r="P662" s="294"/>
      <c r="Q662" s="181" t="s">
        <v>20</v>
      </c>
      <c r="R662" s="181" t="s">
        <v>4566</v>
      </c>
      <c r="S662" s="280" t="s">
        <v>4567</v>
      </c>
      <c r="T662" s="297">
        <v>2024</v>
      </c>
      <c r="U662" s="202">
        <v>655</v>
      </c>
      <c r="V662" s="203" t="b">
        <v>1</v>
      </c>
      <c r="W662" s="204" t="s">
        <v>3285</v>
      </c>
      <c r="X662" s="128"/>
      <c r="Y662" s="128"/>
      <c r="Z662" s="128"/>
    </row>
    <row r="663" spans="1:26" ht="12.5" hidden="1">
      <c r="A663" s="298">
        <v>712</v>
      </c>
      <c r="B663" s="128"/>
      <c r="C663" s="299">
        <v>45594</v>
      </c>
      <c r="D663" s="300" t="s">
        <v>4568</v>
      </c>
      <c r="E663" s="300" t="s">
        <v>4563</v>
      </c>
      <c r="F663" s="300">
        <v>12858633</v>
      </c>
      <c r="G663" s="128"/>
      <c r="H663" s="300" t="s">
        <v>249</v>
      </c>
      <c r="I663" s="301">
        <v>1</v>
      </c>
      <c r="J663" s="128"/>
      <c r="K663" s="300">
        <v>12858633</v>
      </c>
      <c r="L663" s="414" t="s">
        <v>307</v>
      </c>
      <c r="M663" s="406"/>
      <c r="N663" s="415"/>
      <c r="O663" s="300" t="s">
        <v>249</v>
      </c>
      <c r="P663" s="303"/>
      <c r="Q663" s="304" t="s">
        <v>20</v>
      </c>
      <c r="R663" s="181" t="s">
        <v>4566</v>
      </c>
      <c r="S663" s="280" t="s">
        <v>4567</v>
      </c>
      <c r="T663" s="297">
        <v>2024</v>
      </c>
      <c r="U663" s="202">
        <v>656</v>
      </c>
      <c r="V663" s="203" t="b">
        <v>1</v>
      </c>
      <c r="W663" s="204" t="s">
        <v>3285</v>
      </c>
      <c r="X663" s="128"/>
      <c r="Y663" s="128"/>
      <c r="Z663" s="128"/>
    </row>
    <row r="664" spans="1:26" ht="12.5" hidden="1">
      <c r="A664" s="138">
        <v>713</v>
      </c>
      <c r="B664" s="279"/>
      <c r="C664" s="305">
        <v>45839</v>
      </c>
      <c r="D664" s="306" t="s">
        <v>4569</v>
      </c>
      <c r="E664" s="306" t="s">
        <v>4570</v>
      </c>
      <c r="F664" s="306" t="s">
        <v>4571</v>
      </c>
      <c r="G664" s="279"/>
      <c r="H664" s="306" t="s">
        <v>19</v>
      </c>
      <c r="I664" s="307">
        <v>1</v>
      </c>
      <c r="J664" s="279"/>
      <c r="K664" s="308"/>
      <c r="L664" s="308"/>
      <c r="M664" s="279"/>
      <c r="N664" s="279"/>
      <c r="O664" s="308"/>
      <c r="P664" s="309"/>
      <c r="Q664" s="181" t="s">
        <v>206</v>
      </c>
      <c r="R664" s="181" t="s">
        <v>1040</v>
      </c>
      <c r="S664" s="279"/>
      <c r="T664" s="297">
        <v>2025</v>
      </c>
      <c r="U664" s="202">
        <v>657</v>
      </c>
      <c r="V664" s="203" t="b">
        <v>1</v>
      </c>
      <c r="W664" s="204" t="s">
        <v>3285</v>
      </c>
      <c r="X664" s="128"/>
      <c r="Y664" s="128"/>
      <c r="Z664" s="128"/>
    </row>
    <row r="665" spans="1:26" ht="12.5" hidden="1">
      <c r="A665" s="138">
        <v>714</v>
      </c>
      <c r="B665" s="279"/>
      <c r="C665" s="305">
        <v>45839</v>
      </c>
      <c r="D665" s="306" t="s">
        <v>4572</v>
      </c>
      <c r="E665" s="306" t="s">
        <v>4570</v>
      </c>
      <c r="F665" s="306" t="s">
        <v>4573</v>
      </c>
      <c r="G665" s="279"/>
      <c r="H665" s="306" t="s">
        <v>19</v>
      </c>
      <c r="I665" s="307">
        <v>1</v>
      </c>
      <c r="J665" s="279"/>
      <c r="K665" s="308"/>
      <c r="L665" s="308"/>
      <c r="M665" s="279"/>
      <c r="N665" s="279"/>
      <c r="O665" s="308"/>
      <c r="P665" s="309"/>
      <c r="Q665" s="181" t="s">
        <v>36</v>
      </c>
      <c r="R665" s="181" t="s">
        <v>141</v>
      </c>
      <c r="S665" s="280" t="s">
        <v>4574</v>
      </c>
      <c r="T665" s="297">
        <v>2025</v>
      </c>
      <c r="U665" s="202">
        <v>658</v>
      </c>
      <c r="V665" s="203" t="b">
        <v>1</v>
      </c>
      <c r="W665" s="204" t="s">
        <v>3285</v>
      </c>
      <c r="X665" s="128"/>
      <c r="Y665" s="128"/>
      <c r="Z665" s="128"/>
    </row>
    <row r="666" spans="1:26" ht="12.5">
      <c r="A666" s="138">
        <v>715</v>
      </c>
      <c r="B666" s="279"/>
      <c r="C666" s="305">
        <v>45839</v>
      </c>
      <c r="D666" s="310" t="s">
        <v>4575</v>
      </c>
      <c r="E666" s="306" t="s">
        <v>4570</v>
      </c>
      <c r="F666" s="306" t="s">
        <v>4576</v>
      </c>
      <c r="G666" s="279"/>
      <c r="H666" s="306" t="s">
        <v>19</v>
      </c>
      <c r="I666" s="307">
        <v>1</v>
      </c>
      <c r="J666" s="279"/>
      <c r="K666" s="308"/>
      <c r="L666" s="308"/>
      <c r="M666" s="279"/>
      <c r="N666" s="279"/>
      <c r="O666" s="308"/>
      <c r="P666" s="309"/>
      <c r="Q666" s="181" t="s">
        <v>20</v>
      </c>
      <c r="R666" s="181" t="s">
        <v>229</v>
      </c>
      <c r="S666" s="280" t="s">
        <v>4577</v>
      </c>
      <c r="T666" s="297">
        <v>2025</v>
      </c>
      <c r="U666" s="202">
        <v>659</v>
      </c>
      <c r="V666" s="203" t="b">
        <v>1</v>
      </c>
      <c r="W666" s="204" t="s">
        <v>3285</v>
      </c>
      <c r="X666" s="128"/>
      <c r="Y666" s="128"/>
      <c r="Z666" s="128"/>
    </row>
    <row r="667" spans="1:26" ht="12.5" hidden="1">
      <c r="A667" s="138">
        <v>716</v>
      </c>
      <c r="B667" s="279"/>
      <c r="C667" s="305">
        <v>45839</v>
      </c>
      <c r="D667" s="306" t="s">
        <v>4578</v>
      </c>
      <c r="E667" s="306" t="s">
        <v>4570</v>
      </c>
      <c r="F667" s="306" t="s">
        <v>4579</v>
      </c>
      <c r="G667" s="279"/>
      <c r="H667" s="306" t="s">
        <v>19</v>
      </c>
      <c r="I667" s="307">
        <v>1</v>
      </c>
      <c r="J667" s="279"/>
      <c r="K667" s="308"/>
      <c r="L667" s="308"/>
      <c r="M667" s="279"/>
      <c r="N667" s="279"/>
      <c r="O667" s="308"/>
      <c r="P667" s="309"/>
      <c r="Q667" s="181" t="s">
        <v>20</v>
      </c>
      <c r="R667" s="181" t="s">
        <v>4566</v>
      </c>
      <c r="S667" s="266" t="s">
        <v>4580</v>
      </c>
      <c r="T667" s="297">
        <v>2025</v>
      </c>
      <c r="U667" s="202">
        <v>660</v>
      </c>
      <c r="V667" s="203" t="b">
        <v>1</v>
      </c>
      <c r="W667" s="204" t="s">
        <v>3285</v>
      </c>
      <c r="X667" s="128"/>
      <c r="Y667" s="128"/>
      <c r="Z667" s="128"/>
    </row>
    <row r="668" spans="1:26" ht="12.5" hidden="1">
      <c r="A668" s="138">
        <v>717</v>
      </c>
      <c r="B668" s="279"/>
      <c r="C668" s="305">
        <v>45716</v>
      </c>
      <c r="D668" s="306" t="s">
        <v>4581</v>
      </c>
      <c r="E668" s="306" t="s">
        <v>4517</v>
      </c>
      <c r="F668" s="306">
        <v>8634559</v>
      </c>
      <c r="G668" s="279"/>
      <c r="H668" s="306" t="s">
        <v>249</v>
      </c>
      <c r="I668" s="307">
        <v>1</v>
      </c>
      <c r="J668" s="279"/>
      <c r="K668" s="308"/>
      <c r="L668" s="308"/>
      <c r="M668" s="279"/>
      <c r="N668" s="279"/>
      <c r="O668" s="308"/>
      <c r="P668" s="309"/>
      <c r="Q668" s="181" t="s">
        <v>206</v>
      </c>
      <c r="R668" s="181" t="s">
        <v>3404</v>
      </c>
      <c r="S668" s="279"/>
      <c r="T668" s="297">
        <v>2025</v>
      </c>
      <c r="U668" s="202">
        <v>661</v>
      </c>
      <c r="V668" s="203" t="b">
        <v>1</v>
      </c>
      <c r="W668" s="204" t="s">
        <v>3285</v>
      </c>
      <c r="X668" s="128"/>
      <c r="Y668" s="128"/>
      <c r="Z668" s="128"/>
    </row>
    <row r="669" spans="1:26" ht="12.5" hidden="1">
      <c r="A669" s="138">
        <v>718</v>
      </c>
      <c r="B669" s="279"/>
      <c r="C669" s="305">
        <v>45716</v>
      </c>
      <c r="D669" s="306" t="s">
        <v>4582</v>
      </c>
      <c r="E669" s="306" t="s">
        <v>4517</v>
      </c>
      <c r="F669" s="306">
        <v>8634178</v>
      </c>
      <c r="G669" s="279"/>
      <c r="H669" s="306" t="s">
        <v>249</v>
      </c>
      <c r="I669" s="307">
        <v>1</v>
      </c>
      <c r="J669" s="279"/>
      <c r="K669" s="308"/>
      <c r="L669" s="308"/>
      <c r="M669" s="279"/>
      <c r="N669" s="279"/>
      <c r="O669" s="308"/>
      <c r="P669" s="309"/>
      <c r="Q669" s="181" t="s">
        <v>206</v>
      </c>
      <c r="R669" s="181" t="s">
        <v>3404</v>
      </c>
      <c r="S669" s="279"/>
      <c r="T669" s="297">
        <v>2025</v>
      </c>
      <c r="U669" s="202">
        <v>662</v>
      </c>
      <c r="V669" s="203" t="b">
        <v>1</v>
      </c>
      <c r="W669" s="204" t="s">
        <v>3285</v>
      </c>
      <c r="X669" s="128"/>
      <c r="Y669" s="128"/>
      <c r="Z669" s="128"/>
    </row>
    <row r="670" spans="1:26" ht="12.5" hidden="1">
      <c r="A670" s="138">
        <v>719</v>
      </c>
      <c r="B670" s="279"/>
      <c r="C670" s="305">
        <v>45559</v>
      </c>
      <c r="D670" s="306" t="s">
        <v>4583</v>
      </c>
      <c r="E670" s="306" t="s">
        <v>4584</v>
      </c>
      <c r="F670" s="311"/>
      <c r="G670" s="279"/>
      <c r="H670" s="306" t="s">
        <v>569</v>
      </c>
      <c r="I670" s="307">
        <v>1</v>
      </c>
      <c r="J670" s="279"/>
      <c r="K670" s="308"/>
      <c r="L670" s="308"/>
      <c r="M670" s="279"/>
      <c r="N670" s="279"/>
      <c r="O670" s="308"/>
      <c r="P670" s="309"/>
      <c r="Q670" s="181" t="s">
        <v>206</v>
      </c>
      <c r="R670" s="181" t="s">
        <v>3404</v>
      </c>
      <c r="S670" s="279"/>
      <c r="T670" s="297">
        <v>2025</v>
      </c>
      <c r="U670" s="202">
        <v>663</v>
      </c>
      <c r="V670" s="203" t="b">
        <v>1</v>
      </c>
      <c r="W670" s="204" t="s">
        <v>3285</v>
      </c>
      <c r="X670" s="128"/>
      <c r="Y670" s="128"/>
      <c r="Z670" s="128"/>
    </row>
    <row r="671" spans="1:26" ht="12.5" hidden="1">
      <c r="A671" s="138">
        <v>720</v>
      </c>
      <c r="B671" s="279"/>
      <c r="C671" s="305">
        <v>45694</v>
      </c>
      <c r="D671" s="306" t="s">
        <v>4585</v>
      </c>
      <c r="E671" s="306" t="s">
        <v>4586</v>
      </c>
      <c r="F671" s="311"/>
      <c r="G671" s="279"/>
      <c r="H671" s="306" t="s">
        <v>249</v>
      </c>
      <c r="I671" s="307">
        <v>1</v>
      </c>
      <c r="J671" s="279"/>
      <c r="K671" s="308"/>
      <c r="L671" s="308"/>
      <c r="M671" s="279"/>
      <c r="N671" s="279"/>
      <c r="O671" s="308"/>
      <c r="P671" s="309"/>
      <c r="Q671" s="181" t="s">
        <v>206</v>
      </c>
      <c r="R671" s="181" t="s">
        <v>2427</v>
      </c>
      <c r="S671" s="279"/>
      <c r="T671" s="297">
        <v>2025</v>
      </c>
      <c r="U671" s="202">
        <v>664</v>
      </c>
      <c r="V671" s="203" t="b">
        <v>1</v>
      </c>
      <c r="W671" s="204" t="s">
        <v>3285</v>
      </c>
      <c r="X671" s="128"/>
      <c r="Y671" s="128"/>
      <c r="Z671" s="128"/>
    </row>
    <row r="672" spans="1:26" ht="12.5" hidden="1">
      <c r="A672" s="138">
        <v>721</v>
      </c>
      <c r="B672" s="279"/>
      <c r="C672" s="305">
        <v>45694</v>
      </c>
      <c r="D672" s="306" t="s">
        <v>4587</v>
      </c>
      <c r="E672" s="306" t="s">
        <v>4586</v>
      </c>
      <c r="F672" s="311"/>
      <c r="G672" s="279"/>
      <c r="H672" s="306" t="s">
        <v>249</v>
      </c>
      <c r="I672" s="307">
        <v>1</v>
      </c>
      <c r="J672" s="279"/>
      <c r="K672" s="308"/>
      <c r="L672" s="308"/>
      <c r="M672" s="279"/>
      <c r="N672" s="279"/>
      <c r="O672" s="308"/>
      <c r="P672" s="309"/>
      <c r="Q672" s="181" t="s">
        <v>206</v>
      </c>
      <c r="R672" s="181" t="s">
        <v>2427</v>
      </c>
      <c r="S672" s="279"/>
      <c r="T672" s="297">
        <v>2025</v>
      </c>
      <c r="U672" s="202">
        <v>665</v>
      </c>
      <c r="V672" s="203" t="b">
        <v>1</v>
      </c>
      <c r="W672" s="204" t="s">
        <v>3285</v>
      </c>
      <c r="X672" s="128"/>
      <c r="Y672" s="128"/>
      <c r="Z672" s="128"/>
    </row>
    <row r="673" spans="1:26" ht="12.5" hidden="1">
      <c r="A673" s="138">
        <v>722</v>
      </c>
      <c r="B673" s="279"/>
      <c r="C673" s="305">
        <v>45694</v>
      </c>
      <c r="D673" s="306" t="s">
        <v>4588</v>
      </c>
      <c r="E673" s="306" t="s">
        <v>4589</v>
      </c>
      <c r="F673" s="273" t="s">
        <v>4590</v>
      </c>
      <c r="G673" s="279"/>
      <c r="H673" s="306" t="s">
        <v>249</v>
      </c>
      <c r="I673" s="307">
        <v>1</v>
      </c>
      <c r="J673" s="279"/>
      <c r="K673" s="308"/>
      <c r="L673" s="308"/>
      <c r="M673" s="279"/>
      <c r="N673" s="279"/>
      <c r="O673" s="308"/>
      <c r="P673" s="309"/>
      <c r="Q673" s="181" t="s">
        <v>206</v>
      </c>
      <c r="R673" s="181" t="s">
        <v>2427</v>
      </c>
      <c r="S673" s="279"/>
      <c r="T673" s="297">
        <v>2025</v>
      </c>
      <c r="U673" s="202">
        <v>666</v>
      </c>
      <c r="V673" s="203" t="b">
        <v>1</v>
      </c>
      <c r="W673" s="204" t="s">
        <v>3285</v>
      </c>
      <c r="X673" s="128"/>
      <c r="Y673" s="128"/>
      <c r="Z673" s="128"/>
    </row>
    <row r="674" spans="1:26" ht="12.5" hidden="1">
      <c r="A674" s="138">
        <v>723</v>
      </c>
      <c r="B674" s="279"/>
      <c r="C674" s="305">
        <v>45694</v>
      </c>
      <c r="D674" s="306" t="s">
        <v>4591</v>
      </c>
      <c r="E674" s="306" t="s">
        <v>4589</v>
      </c>
      <c r="F674" s="273" t="s">
        <v>4592</v>
      </c>
      <c r="G674" s="279"/>
      <c r="H674" s="306" t="s">
        <v>249</v>
      </c>
      <c r="I674" s="307">
        <v>1</v>
      </c>
      <c r="J674" s="279"/>
      <c r="K674" s="308"/>
      <c r="L674" s="308"/>
      <c r="M674" s="279"/>
      <c r="N674" s="279"/>
      <c r="O674" s="308"/>
      <c r="P674" s="309"/>
      <c r="Q674" s="181" t="s">
        <v>206</v>
      </c>
      <c r="R674" s="181" t="s">
        <v>2427</v>
      </c>
      <c r="S674" s="279"/>
      <c r="T674" s="297">
        <v>2025</v>
      </c>
      <c r="U674" s="202">
        <v>667</v>
      </c>
      <c r="V674" s="203" t="b">
        <v>1</v>
      </c>
      <c r="W674" s="204" t="s">
        <v>3285</v>
      </c>
      <c r="X674" s="128"/>
      <c r="Y674" s="128"/>
      <c r="Z674" s="128"/>
    </row>
    <row r="675" spans="1:26" ht="12.5" hidden="1">
      <c r="A675" s="138">
        <v>724</v>
      </c>
      <c r="B675" s="128"/>
      <c r="C675" s="305">
        <v>45694</v>
      </c>
      <c r="D675" s="302" t="s">
        <v>4593</v>
      </c>
      <c r="E675" s="273" t="s">
        <v>4594</v>
      </c>
      <c r="F675" s="312"/>
      <c r="G675" s="128"/>
      <c r="H675" s="306" t="s">
        <v>249</v>
      </c>
      <c r="I675" s="278">
        <v>1</v>
      </c>
      <c r="J675" s="279"/>
      <c r="K675" s="308"/>
      <c r="L675" s="308"/>
      <c r="M675" s="279"/>
      <c r="N675" s="279"/>
      <c r="O675" s="308"/>
      <c r="P675" s="309"/>
      <c r="Q675" s="181" t="s">
        <v>206</v>
      </c>
      <c r="R675" s="181" t="s">
        <v>2427</v>
      </c>
      <c r="S675" s="279"/>
      <c r="T675" s="297">
        <v>2025</v>
      </c>
      <c r="U675" s="202">
        <v>668</v>
      </c>
      <c r="V675" s="203" t="b">
        <v>1</v>
      </c>
      <c r="W675" s="204" t="s">
        <v>3285</v>
      </c>
      <c r="X675" s="128"/>
      <c r="Y675" s="128"/>
      <c r="Z675" s="128"/>
    </row>
    <row r="676" spans="1:26" ht="12.5" hidden="1">
      <c r="A676" s="138">
        <v>725</v>
      </c>
      <c r="B676" s="128"/>
      <c r="C676" s="305">
        <v>45694</v>
      </c>
      <c r="D676" s="302" t="s">
        <v>4595</v>
      </c>
      <c r="E676" s="273" t="s">
        <v>4594</v>
      </c>
      <c r="F676" s="312"/>
      <c r="G676" s="128"/>
      <c r="H676" s="306" t="s">
        <v>249</v>
      </c>
      <c r="I676" s="307">
        <v>1</v>
      </c>
      <c r="J676" s="279"/>
      <c r="K676" s="308"/>
      <c r="L676" s="308"/>
      <c r="M676" s="279"/>
      <c r="N676" s="279"/>
      <c r="O676" s="308"/>
      <c r="P676" s="309"/>
      <c r="Q676" s="181" t="s">
        <v>206</v>
      </c>
      <c r="R676" s="181" t="s">
        <v>2427</v>
      </c>
      <c r="S676" s="279"/>
      <c r="T676" s="297">
        <v>2025</v>
      </c>
      <c r="U676" s="202">
        <v>669</v>
      </c>
      <c r="V676" s="203" t="b">
        <v>1</v>
      </c>
      <c r="W676" s="204" t="s">
        <v>3285</v>
      </c>
      <c r="X676" s="128"/>
      <c r="Y676" s="128"/>
      <c r="Z676" s="128"/>
    </row>
    <row r="677" spans="1:26" ht="12.5" hidden="1">
      <c r="A677" s="313">
        <v>726</v>
      </c>
      <c r="B677" s="128"/>
      <c r="C677" s="314">
        <v>45728</v>
      </c>
      <c r="D677" s="302" t="s">
        <v>4596</v>
      </c>
      <c r="E677" s="302" t="s">
        <v>4597</v>
      </c>
      <c r="F677" s="302" t="s">
        <v>4598</v>
      </c>
      <c r="G677" s="128"/>
      <c r="H677" s="315" t="s">
        <v>249</v>
      </c>
      <c r="I677" s="301">
        <v>1</v>
      </c>
      <c r="J677" s="316"/>
      <c r="K677" s="317"/>
      <c r="L677" s="317"/>
      <c r="M677" s="316"/>
      <c r="N677" s="316"/>
      <c r="O677" s="317"/>
      <c r="P677" s="303"/>
      <c r="Q677" s="304" t="s">
        <v>206</v>
      </c>
      <c r="R677" s="304" t="s">
        <v>2427</v>
      </c>
      <c r="S677" s="316"/>
      <c r="T677" s="297">
        <v>2025</v>
      </c>
      <c r="U677" s="202">
        <v>670</v>
      </c>
      <c r="V677" s="203" t="b">
        <v>1</v>
      </c>
      <c r="W677" s="204" t="s">
        <v>3285</v>
      </c>
      <c r="X677" s="128"/>
      <c r="Y677" s="128"/>
      <c r="Z677" s="128"/>
    </row>
    <row r="678" spans="1:26" ht="12.5" hidden="1">
      <c r="A678" s="138">
        <v>727</v>
      </c>
      <c r="B678" s="279"/>
      <c r="C678" s="305">
        <v>45716</v>
      </c>
      <c r="D678" s="306" t="s">
        <v>4599</v>
      </c>
      <c r="E678" s="318" t="s">
        <v>4600</v>
      </c>
      <c r="F678" s="306">
        <v>119101800109</v>
      </c>
      <c r="G678" s="279"/>
      <c r="H678" s="306" t="s">
        <v>19</v>
      </c>
      <c r="I678" s="307">
        <v>1</v>
      </c>
      <c r="J678" s="279"/>
      <c r="K678" s="308"/>
      <c r="L678" s="308"/>
      <c r="M678" s="279"/>
      <c r="N678" s="279"/>
      <c r="O678" s="308"/>
      <c r="P678" s="309"/>
      <c r="Q678" s="181" t="s">
        <v>206</v>
      </c>
      <c r="R678" s="181" t="s">
        <v>841</v>
      </c>
      <c r="S678" s="279"/>
      <c r="T678" s="319">
        <v>2025</v>
      </c>
      <c r="U678" s="202">
        <v>671</v>
      </c>
      <c r="V678" s="203" t="b">
        <v>1</v>
      </c>
      <c r="W678" s="280" t="s">
        <v>3285</v>
      </c>
      <c r="X678" s="279"/>
      <c r="Y678" s="279"/>
      <c r="Z678" s="279"/>
    </row>
    <row r="679" spans="1:26" ht="12.5" hidden="1">
      <c r="A679" s="138">
        <v>728</v>
      </c>
      <c r="B679" s="279"/>
      <c r="C679" s="305">
        <v>45716</v>
      </c>
      <c r="D679" s="306" t="s">
        <v>4601</v>
      </c>
      <c r="E679" s="318" t="s">
        <v>4600</v>
      </c>
      <c r="F679" s="306">
        <v>119101800110</v>
      </c>
      <c r="G679" s="279"/>
      <c r="H679" s="306" t="s">
        <v>19</v>
      </c>
      <c r="I679" s="307">
        <v>1</v>
      </c>
      <c r="J679" s="279"/>
      <c r="K679" s="308"/>
      <c r="L679" s="308"/>
      <c r="M679" s="279"/>
      <c r="N679" s="279"/>
      <c r="O679" s="308"/>
      <c r="P679" s="309"/>
      <c r="Q679" s="181" t="s">
        <v>206</v>
      </c>
      <c r="R679" s="181" t="s">
        <v>841</v>
      </c>
      <c r="S679" s="279"/>
      <c r="T679" s="319">
        <v>2025</v>
      </c>
      <c r="U679" s="202">
        <v>672</v>
      </c>
      <c r="V679" s="203" t="b">
        <v>1</v>
      </c>
      <c r="W679" s="280" t="s">
        <v>3285</v>
      </c>
      <c r="X679" s="279"/>
      <c r="Y679" s="279"/>
      <c r="Z679" s="279"/>
    </row>
    <row r="680" spans="1:26" ht="12.5" hidden="1">
      <c r="A680" s="138">
        <v>729</v>
      </c>
      <c r="B680" s="279"/>
      <c r="C680" s="305">
        <v>45716</v>
      </c>
      <c r="D680" s="306" t="s">
        <v>4602</v>
      </c>
      <c r="E680" s="318" t="s">
        <v>4600</v>
      </c>
      <c r="F680" s="306">
        <v>119100300320</v>
      </c>
      <c r="G680" s="279"/>
      <c r="H680" s="306" t="s">
        <v>19</v>
      </c>
      <c r="I680" s="307">
        <v>1</v>
      </c>
      <c r="J680" s="279"/>
      <c r="K680" s="308"/>
      <c r="L680" s="308"/>
      <c r="M680" s="279"/>
      <c r="N680" s="279"/>
      <c r="O680" s="308"/>
      <c r="P680" s="309"/>
      <c r="Q680" s="181" t="s">
        <v>206</v>
      </c>
      <c r="R680" s="181" t="s">
        <v>841</v>
      </c>
      <c r="S680" s="279"/>
      <c r="T680" s="319">
        <v>2025</v>
      </c>
      <c r="U680" s="202">
        <v>673</v>
      </c>
      <c r="V680" s="203" t="b">
        <v>1</v>
      </c>
      <c r="W680" s="280" t="s">
        <v>3285</v>
      </c>
      <c r="X680" s="279"/>
      <c r="Y680" s="279"/>
      <c r="Z680" s="279"/>
    </row>
    <row r="681" spans="1:26" ht="12.5" hidden="1">
      <c r="A681" s="138">
        <v>730</v>
      </c>
      <c r="B681" s="279"/>
      <c r="C681" s="305">
        <v>45716</v>
      </c>
      <c r="D681" s="306" t="s">
        <v>4603</v>
      </c>
      <c r="E681" s="318" t="s">
        <v>4600</v>
      </c>
      <c r="F681" s="306">
        <v>222080400309</v>
      </c>
      <c r="G681" s="279"/>
      <c r="H681" s="306" t="s">
        <v>19</v>
      </c>
      <c r="I681" s="307">
        <v>1</v>
      </c>
      <c r="J681" s="279"/>
      <c r="K681" s="308"/>
      <c r="L681" s="308"/>
      <c r="M681" s="279"/>
      <c r="N681" s="279"/>
      <c r="O681" s="308"/>
      <c r="P681" s="309"/>
      <c r="Q681" s="181" t="s">
        <v>206</v>
      </c>
      <c r="R681" s="181" t="s">
        <v>841</v>
      </c>
      <c r="S681" s="279"/>
      <c r="T681" s="319">
        <v>2025</v>
      </c>
      <c r="U681" s="202">
        <v>674</v>
      </c>
      <c r="V681" s="203" t="b">
        <v>1</v>
      </c>
      <c r="W681" s="280" t="s">
        <v>3285</v>
      </c>
      <c r="X681" s="279"/>
      <c r="Y681" s="279"/>
      <c r="Z681" s="279"/>
    </row>
    <row r="682" spans="1:26" ht="12.5" hidden="1">
      <c r="A682" s="138">
        <v>731</v>
      </c>
      <c r="B682" s="279"/>
      <c r="C682" s="305">
        <v>45716</v>
      </c>
      <c r="D682" s="306" t="s">
        <v>4604</v>
      </c>
      <c r="E682" s="318" t="s">
        <v>4605</v>
      </c>
      <c r="F682" s="306" t="s">
        <v>4606</v>
      </c>
      <c r="G682" s="279"/>
      <c r="H682" s="306" t="s">
        <v>19</v>
      </c>
      <c r="I682" s="307">
        <v>1</v>
      </c>
      <c r="J682" s="279"/>
      <c r="K682" s="308"/>
      <c r="L682" s="308"/>
      <c r="M682" s="279"/>
      <c r="N682" s="279"/>
      <c r="O682" s="308"/>
      <c r="P682" s="309"/>
      <c r="Q682" s="181" t="s">
        <v>36</v>
      </c>
      <c r="R682" s="291" t="s">
        <v>37</v>
      </c>
      <c r="S682" s="292" t="s">
        <v>4607</v>
      </c>
      <c r="T682" s="319">
        <v>2025</v>
      </c>
      <c r="U682" s="202">
        <v>675</v>
      </c>
      <c r="V682" s="203" t="b">
        <v>1</v>
      </c>
      <c r="W682" s="204" t="s">
        <v>3285</v>
      </c>
      <c r="X682" s="128"/>
      <c r="Y682" s="128"/>
      <c r="Z682" s="128"/>
    </row>
    <row r="683" spans="1:26" ht="12.5" hidden="1">
      <c r="A683" s="138">
        <v>732</v>
      </c>
      <c r="B683" s="279"/>
      <c r="C683" s="305">
        <v>45716</v>
      </c>
      <c r="D683" s="306" t="s">
        <v>4608</v>
      </c>
      <c r="E683" s="318" t="s">
        <v>4605</v>
      </c>
      <c r="F683" s="306" t="s">
        <v>4609</v>
      </c>
      <c r="G683" s="279"/>
      <c r="H683" s="306" t="s">
        <v>19</v>
      </c>
      <c r="I683" s="307">
        <v>1</v>
      </c>
      <c r="J683" s="279"/>
      <c r="K683" s="308"/>
      <c r="L683" s="308"/>
      <c r="M683" s="279"/>
      <c r="N683" s="279"/>
      <c r="O683" s="308"/>
      <c r="P683" s="309"/>
      <c r="Q683" s="181" t="s">
        <v>36</v>
      </c>
      <c r="R683" s="181" t="s">
        <v>37</v>
      </c>
      <c r="S683" s="280" t="s">
        <v>4610</v>
      </c>
      <c r="T683" s="319">
        <v>2025</v>
      </c>
      <c r="U683" s="202">
        <v>676</v>
      </c>
      <c r="V683" s="203" t="b">
        <v>1</v>
      </c>
      <c r="W683" s="204" t="s">
        <v>3285</v>
      </c>
      <c r="X683" s="128"/>
      <c r="Y683" s="128"/>
      <c r="Z683" s="128"/>
    </row>
    <row r="684" spans="1:26" ht="12.5" hidden="1">
      <c r="A684" s="138">
        <v>733</v>
      </c>
      <c r="B684" s="279"/>
      <c r="C684" s="305">
        <v>45716</v>
      </c>
      <c r="D684" s="306" t="s">
        <v>4611</v>
      </c>
      <c r="E684" s="318" t="s">
        <v>4612</v>
      </c>
      <c r="F684" s="306">
        <v>12064585</v>
      </c>
      <c r="G684" s="279"/>
      <c r="H684" s="306" t="s">
        <v>19</v>
      </c>
      <c r="I684" s="307">
        <v>1</v>
      </c>
      <c r="J684" s="279"/>
      <c r="K684" s="308"/>
      <c r="L684" s="308"/>
      <c r="M684" s="279"/>
      <c r="N684" s="279"/>
      <c r="O684" s="308"/>
      <c r="P684" s="309"/>
      <c r="Q684" s="181" t="s">
        <v>36</v>
      </c>
      <c r="R684" s="181" t="s">
        <v>37</v>
      </c>
      <c r="S684" s="279"/>
      <c r="T684" s="319">
        <v>2025</v>
      </c>
      <c r="U684" s="202">
        <v>677</v>
      </c>
      <c r="V684" s="203" t="b">
        <v>1</v>
      </c>
      <c r="W684" s="204" t="s">
        <v>3285</v>
      </c>
      <c r="X684" s="128"/>
      <c r="Y684" s="128"/>
      <c r="Z684" s="128"/>
    </row>
    <row r="685" spans="1:26" ht="12.5" hidden="1">
      <c r="A685" s="138">
        <v>734</v>
      </c>
      <c r="B685" s="279"/>
      <c r="C685" s="305">
        <v>45716</v>
      </c>
      <c r="D685" s="306" t="s">
        <v>4613</v>
      </c>
      <c r="E685" s="318" t="s">
        <v>4612</v>
      </c>
      <c r="F685" s="306">
        <v>12064608</v>
      </c>
      <c r="G685" s="279"/>
      <c r="H685" s="306" t="s">
        <v>19</v>
      </c>
      <c r="I685" s="307">
        <v>1</v>
      </c>
      <c r="J685" s="279"/>
      <c r="K685" s="308"/>
      <c r="L685" s="308"/>
      <c r="M685" s="279"/>
      <c r="N685" s="279"/>
      <c r="O685" s="308"/>
      <c r="P685" s="309"/>
      <c r="Q685" s="181" t="s">
        <v>36</v>
      </c>
      <c r="R685" s="181" t="s">
        <v>37</v>
      </c>
      <c r="S685" s="280" t="s">
        <v>4607</v>
      </c>
      <c r="T685" s="319">
        <v>2025</v>
      </c>
      <c r="U685" s="202">
        <v>678</v>
      </c>
      <c r="V685" s="203" t="b">
        <v>1</v>
      </c>
      <c r="W685" s="204" t="s">
        <v>3285</v>
      </c>
      <c r="X685" s="128"/>
      <c r="Y685" s="128"/>
      <c r="Z685" s="128"/>
    </row>
    <row r="686" spans="1:26" ht="12.5">
      <c r="A686" s="138">
        <v>735</v>
      </c>
      <c r="B686" s="279"/>
      <c r="C686" s="305">
        <v>45716</v>
      </c>
      <c r="D686" s="310" t="s">
        <v>4614</v>
      </c>
      <c r="E686" s="318" t="s">
        <v>4615</v>
      </c>
      <c r="F686" s="306" t="s">
        <v>4616</v>
      </c>
      <c r="G686" s="279"/>
      <c r="H686" s="306" t="s">
        <v>19</v>
      </c>
      <c r="I686" s="307">
        <v>1</v>
      </c>
      <c r="J686" s="279"/>
      <c r="K686" s="308"/>
      <c r="L686" s="308"/>
      <c r="M686" s="279"/>
      <c r="N686" s="279"/>
      <c r="O686" s="308"/>
      <c r="P686" s="309"/>
      <c r="Q686" s="181" t="s">
        <v>20</v>
      </c>
      <c r="R686" s="181" t="s">
        <v>229</v>
      </c>
      <c r="S686" s="280" t="s">
        <v>4617</v>
      </c>
      <c r="T686" s="319">
        <v>2025</v>
      </c>
      <c r="U686" s="202">
        <v>679</v>
      </c>
      <c r="V686" s="203" t="b">
        <v>1</v>
      </c>
      <c r="W686" s="204" t="s">
        <v>3285</v>
      </c>
      <c r="X686" s="128"/>
      <c r="Y686" s="128"/>
      <c r="Z686" s="128"/>
    </row>
    <row r="687" spans="1:26" ht="12.5">
      <c r="A687" s="138">
        <v>736</v>
      </c>
      <c r="B687" s="279"/>
      <c r="C687" s="305">
        <v>45716</v>
      </c>
      <c r="D687" s="310" t="s">
        <v>4618</v>
      </c>
      <c r="E687" s="318" t="s">
        <v>4615</v>
      </c>
      <c r="F687" s="306" t="s">
        <v>4619</v>
      </c>
      <c r="G687" s="279"/>
      <c r="H687" s="306" t="s">
        <v>19</v>
      </c>
      <c r="I687" s="307">
        <v>1</v>
      </c>
      <c r="J687" s="279"/>
      <c r="K687" s="308"/>
      <c r="L687" s="308"/>
      <c r="M687" s="279"/>
      <c r="N687" s="279"/>
      <c r="O687" s="308"/>
      <c r="P687" s="309"/>
      <c r="Q687" s="181" t="s">
        <v>20</v>
      </c>
      <c r="R687" s="181" t="s">
        <v>229</v>
      </c>
      <c r="S687" s="280" t="s">
        <v>4617</v>
      </c>
      <c r="T687" s="297">
        <v>2025</v>
      </c>
      <c r="U687" s="202">
        <v>680</v>
      </c>
      <c r="V687" s="203" t="b">
        <v>1</v>
      </c>
      <c r="W687" s="204" t="s">
        <v>3285</v>
      </c>
      <c r="X687" s="128"/>
      <c r="Y687" s="128"/>
      <c r="Z687" s="128"/>
    </row>
    <row r="688" spans="1:26" ht="12.5">
      <c r="A688" s="138">
        <v>737</v>
      </c>
      <c r="B688" s="279"/>
      <c r="C688" s="305">
        <v>45716</v>
      </c>
      <c r="D688" s="310" t="s">
        <v>4620</v>
      </c>
      <c r="E688" s="318" t="s">
        <v>4615</v>
      </c>
      <c r="F688" s="306" t="s">
        <v>4621</v>
      </c>
      <c r="G688" s="279"/>
      <c r="H688" s="306" t="s">
        <v>19</v>
      </c>
      <c r="I688" s="307">
        <v>1</v>
      </c>
      <c r="J688" s="279"/>
      <c r="K688" s="308"/>
      <c r="L688" s="308"/>
      <c r="M688" s="279"/>
      <c r="N688" s="279"/>
      <c r="O688" s="308"/>
      <c r="P688" s="309"/>
      <c r="Q688" s="181" t="s">
        <v>20</v>
      </c>
      <c r="R688" s="181" t="s">
        <v>229</v>
      </c>
      <c r="S688" s="280" t="s">
        <v>4617</v>
      </c>
      <c r="T688" s="297">
        <v>2025</v>
      </c>
      <c r="U688" s="202">
        <v>681</v>
      </c>
      <c r="V688" s="203" t="b">
        <v>1</v>
      </c>
      <c r="W688" s="204" t="s">
        <v>3285</v>
      </c>
      <c r="X688" s="128"/>
      <c r="Y688" s="128"/>
      <c r="Z688" s="128"/>
    </row>
    <row r="689" spans="1:26" ht="12.5">
      <c r="A689" s="138">
        <v>738</v>
      </c>
      <c r="B689" s="279"/>
      <c r="C689" s="305">
        <v>45716</v>
      </c>
      <c r="D689" s="310" t="s">
        <v>4622</v>
      </c>
      <c r="E689" s="318" t="s">
        <v>4615</v>
      </c>
      <c r="F689" s="273" t="s">
        <v>4623</v>
      </c>
      <c r="G689" s="279"/>
      <c r="H689" s="306" t="s">
        <v>19</v>
      </c>
      <c r="I689" s="307">
        <v>1</v>
      </c>
      <c r="J689" s="279"/>
      <c r="K689" s="308"/>
      <c r="L689" s="308"/>
      <c r="M689" s="279"/>
      <c r="N689" s="279"/>
      <c r="O689" s="308"/>
      <c r="P689" s="309"/>
      <c r="Q689" s="181" t="s">
        <v>20</v>
      </c>
      <c r="R689" s="181" t="s">
        <v>229</v>
      </c>
      <c r="S689" s="280" t="s">
        <v>4617</v>
      </c>
      <c r="T689" s="297">
        <v>2025</v>
      </c>
      <c r="U689" s="202">
        <v>682</v>
      </c>
      <c r="V689" s="203" t="b">
        <v>1</v>
      </c>
      <c r="W689" s="204" t="s">
        <v>3285</v>
      </c>
      <c r="X689" s="128"/>
      <c r="Y689" s="128"/>
      <c r="Z689" s="128"/>
    </row>
    <row r="690" spans="1:26" ht="12.5">
      <c r="A690" s="138">
        <v>739</v>
      </c>
      <c r="B690" s="279"/>
      <c r="C690" s="305">
        <v>45716</v>
      </c>
      <c r="D690" s="310" t="s">
        <v>4624</v>
      </c>
      <c r="E690" s="318" t="s">
        <v>4625</v>
      </c>
      <c r="F690" s="273" t="s">
        <v>4626</v>
      </c>
      <c r="G690" s="128"/>
      <c r="H690" s="306" t="s">
        <v>19</v>
      </c>
      <c r="I690" s="307">
        <v>1</v>
      </c>
      <c r="J690" s="279"/>
      <c r="K690" s="308"/>
      <c r="L690" s="308"/>
      <c r="M690" s="279"/>
      <c r="N690" s="279"/>
      <c r="O690" s="308"/>
      <c r="P690" s="309"/>
      <c r="Q690" s="181" t="s">
        <v>20</v>
      </c>
      <c r="R690" s="181" t="s">
        <v>229</v>
      </c>
      <c r="S690" s="280" t="s">
        <v>4617</v>
      </c>
      <c r="T690" s="297">
        <v>2025</v>
      </c>
      <c r="U690" s="202">
        <v>683</v>
      </c>
      <c r="V690" s="203" t="b">
        <v>1</v>
      </c>
      <c r="W690" s="204" t="s">
        <v>3285</v>
      </c>
      <c r="X690" s="128"/>
      <c r="Y690" s="128"/>
      <c r="Z690" s="128"/>
    </row>
    <row r="691" spans="1:26" ht="12.5">
      <c r="A691" s="138">
        <v>740</v>
      </c>
      <c r="B691" s="279"/>
      <c r="C691" s="305">
        <v>45716</v>
      </c>
      <c r="D691" s="310" t="s">
        <v>4627</v>
      </c>
      <c r="E691" s="318" t="s">
        <v>4625</v>
      </c>
      <c r="F691" s="273" t="s">
        <v>4628</v>
      </c>
      <c r="G691" s="128"/>
      <c r="H691" s="306" t="s">
        <v>19</v>
      </c>
      <c r="I691" s="307">
        <v>1</v>
      </c>
      <c r="J691" s="279"/>
      <c r="K691" s="308"/>
      <c r="L691" s="308"/>
      <c r="M691" s="279"/>
      <c r="N691" s="279"/>
      <c r="O691" s="308"/>
      <c r="P691" s="309"/>
      <c r="Q691" s="181" t="s">
        <v>20</v>
      </c>
      <c r="R691" s="181" t="s">
        <v>229</v>
      </c>
      <c r="S691" s="280" t="s">
        <v>4617</v>
      </c>
      <c r="T691" s="297">
        <v>2025</v>
      </c>
      <c r="U691" s="202">
        <v>684</v>
      </c>
      <c r="V691" s="203" t="b">
        <v>1</v>
      </c>
      <c r="W691" s="204" t="s">
        <v>3285</v>
      </c>
      <c r="X691" s="128"/>
      <c r="Y691" s="128"/>
      <c r="Z691" s="128"/>
    </row>
    <row r="692" spans="1:26" ht="12.5">
      <c r="A692" s="138">
        <v>741</v>
      </c>
      <c r="B692" s="279"/>
      <c r="C692" s="305">
        <v>45716</v>
      </c>
      <c r="D692" s="310" t="s">
        <v>4629</v>
      </c>
      <c r="E692" s="318" t="s">
        <v>4625</v>
      </c>
      <c r="F692" s="273" t="s">
        <v>4630</v>
      </c>
      <c r="G692" s="128"/>
      <c r="H692" s="306" t="s">
        <v>19</v>
      </c>
      <c r="I692" s="307">
        <v>1</v>
      </c>
      <c r="J692" s="279"/>
      <c r="K692" s="308"/>
      <c r="L692" s="308"/>
      <c r="M692" s="279"/>
      <c r="N692" s="279"/>
      <c r="O692" s="308"/>
      <c r="P692" s="309"/>
      <c r="Q692" s="181" t="s">
        <v>20</v>
      </c>
      <c r="R692" s="181" t="s">
        <v>229</v>
      </c>
      <c r="S692" s="280" t="s">
        <v>4617</v>
      </c>
      <c r="T692" s="297">
        <v>2025</v>
      </c>
      <c r="U692" s="202">
        <v>685</v>
      </c>
      <c r="V692" s="203" t="b">
        <v>1</v>
      </c>
      <c r="W692" s="204" t="s">
        <v>3285</v>
      </c>
      <c r="X692" s="128"/>
      <c r="Y692" s="128"/>
      <c r="Z692" s="128"/>
    </row>
    <row r="693" spans="1:26" ht="12.5">
      <c r="A693" s="313">
        <v>742</v>
      </c>
      <c r="B693" s="316"/>
      <c r="C693" s="299">
        <v>45716</v>
      </c>
      <c r="D693" s="320" t="s">
        <v>4631</v>
      </c>
      <c r="E693" s="321" t="s">
        <v>4625</v>
      </c>
      <c r="F693" s="300" t="s">
        <v>4632</v>
      </c>
      <c r="G693" s="128"/>
      <c r="H693" s="315" t="s">
        <v>19</v>
      </c>
      <c r="I693" s="301">
        <v>1</v>
      </c>
      <c r="J693" s="316"/>
      <c r="K693" s="317"/>
      <c r="L693" s="317"/>
      <c r="M693" s="316"/>
      <c r="N693" s="316"/>
      <c r="O693" s="317"/>
      <c r="P693" s="303"/>
      <c r="Q693" s="304" t="s">
        <v>20</v>
      </c>
      <c r="R693" s="181" t="s">
        <v>229</v>
      </c>
      <c r="S693" s="280" t="s">
        <v>4617</v>
      </c>
      <c r="T693" s="297">
        <v>2025</v>
      </c>
      <c r="U693" s="202">
        <v>686</v>
      </c>
      <c r="V693" s="203" t="b">
        <v>1</v>
      </c>
      <c r="W693" s="204" t="s">
        <v>3285</v>
      </c>
      <c r="X693" s="128"/>
      <c r="Y693" s="128"/>
      <c r="Z693" s="128"/>
    </row>
    <row r="694" spans="1:26" ht="12.5" hidden="1">
      <c r="A694" s="138">
        <v>743</v>
      </c>
      <c r="B694" s="279"/>
      <c r="C694" s="305">
        <v>45716</v>
      </c>
      <c r="D694" s="306" t="s">
        <v>4633</v>
      </c>
      <c r="E694" s="318" t="s">
        <v>4634</v>
      </c>
      <c r="F694" s="306">
        <v>11230065500117</v>
      </c>
      <c r="G694" s="279"/>
      <c r="H694" s="306" t="s">
        <v>19</v>
      </c>
      <c r="I694" s="307">
        <v>1</v>
      </c>
      <c r="J694" s="279"/>
      <c r="K694" s="308"/>
      <c r="L694" s="308"/>
      <c r="M694" s="279"/>
      <c r="N694" s="279"/>
      <c r="O694" s="308"/>
      <c r="P694" s="309"/>
      <c r="Q694" s="181" t="s">
        <v>20</v>
      </c>
      <c r="R694" s="181" t="s">
        <v>4635</v>
      </c>
      <c r="S694" s="280" t="s">
        <v>4636</v>
      </c>
      <c r="T694" s="297">
        <v>2025</v>
      </c>
      <c r="U694" s="202">
        <v>687</v>
      </c>
      <c r="V694" s="203" t="b">
        <v>1</v>
      </c>
      <c r="W694" s="204" t="s">
        <v>3285</v>
      </c>
      <c r="X694" s="128"/>
      <c r="Y694" s="128"/>
      <c r="Z694" s="128"/>
    </row>
    <row r="695" spans="1:26" ht="12.5" hidden="1">
      <c r="A695" s="138">
        <v>744</v>
      </c>
      <c r="B695" s="279"/>
      <c r="C695" s="305">
        <v>45716</v>
      </c>
      <c r="D695" s="306" t="s">
        <v>4637</v>
      </c>
      <c r="E695" s="318" t="s">
        <v>4634</v>
      </c>
      <c r="F695" s="306">
        <v>11230065500112</v>
      </c>
      <c r="G695" s="279"/>
      <c r="H695" s="306" t="s">
        <v>19</v>
      </c>
      <c r="I695" s="307">
        <v>1</v>
      </c>
      <c r="J695" s="279"/>
      <c r="K695" s="308"/>
      <c r="L695" s="308"/>
      <c r="M695" s="279"/>
      <c r="N695" s="279"/>
      <c r="O695" s="308"/>
      <c r="P695" s="309"/>
      <c r="Q695" s="181" t="s">
        <v>20</v>
      </c>
      <c r="R695" s="181" t="s">
        <v>4635</v>
      </c>
      <c r="S695" s="280" t="s">
        <v>4638</v>
      </c>
      <c r="T695" s="297">
        <v>2025</v>
      </c>
      <c r="U695" s="202">
        <v>688</v>
      </c>
      <c r="V695" s="203" t="b">
        <v>1</v>
      </c>
      <c r="W695" s="204" t="s">
        <v>3285</v>
      </c>
      <c r="X695" s="128"/>
      <c r="Y695" s="128"/>
      <c r="Z695" s="128"/>
    </row>
    <row r="696" spans="1:26" ht="12.5" hidden="1">
      <c r="A696" s="138">
        <v>745</v>
      </c>
      <c r="B696" s="148"/>
      <c r="C696" s="305">
        <v>45785</v>
      </c>
      <c r="D696" s="306" t="s">
        <v>4639</v>
      </c>
      <c r="E696" s="318" t="s">
        <v>4640</v>
      </c>
      <c r="F696" s="306" t="s">
        <v>4641</v>
      </c>
      <c r="G696" s="279"/>
      <c r="H696" s="306" t="s">
        <v>4642</v>
      </c>
      <c r="I696" s="307">
        <v>1</v>
      </c>
      <c r="J696" s="279"/>
      <c r="K696" s="279"/>
      <c r="L696" s="279"/>
      <c r="M696" s="279"/>
      <c r="N696" s="279"/>
      <c r="O696" s="279"/>
      <c r="P696" s="279"/>
      <c r="Q696" s="181" t="s">
        <v>36</v>
      </c>
      <c r="R696" s="181" t="s">
        <v>37</v>
      </c>
      <c r="S696" s="280" t="s">
        <v>4643</v>
      </c>
      <c r="T696" s="297">
        <v>2025</v>
      </c>
      <c r="U696" s="202">
        <v>689</v>
      </c>
      <c r="V696" s="203" t="b">
        <v>1</v>
      </c>
      <c r="W696" s="204" t="s">
        <v>3285</v>
      </c>
      <c r="X696" s="128"/>
      <c r="Y696" s="128"/>
      <c r="Z696" s="128"/>
    </row>
    <row r="697" spans="1:26" ht="12.5">
      <c r="A697" s="322"/>
      <c r="B697" s="125"/>
      <c r="C697" s="125"/>
      <c r="D697" s="130"/>
      <c r="E697" s="124"/>
      <c r="F697" s="124"/>
      <c r="G697" s="125"/>
      <c r="H697" s="126"/>
      <c r="I697" s="126"/>
      <c r="J697" s="125"/>
      <c r="K697" s="125"/>
      <c r="L697" s="125"/>
      <c r="M697" s="125"/>
      <c r="N697" s="125"/>
      <c r="O697" s="125"/>
      <c r="P697" s="125"/>
      <c r="Q697" s="126"/>
      <c r="R697" s="126"/>
      <c r="S697" s="124"/>
      <c r="T697" s="125"/>
      <c r="U697" s="128"/>
      <c r="V697" s="128"/>
      <c r="W697" s="128"/>
      <c r="X697" s="128"/>
      <c r="Y697" s="128"/>
      <c r="Z697" s="128"/>
    </row>
    <row r="698" spans="1:26" ht="12.5">
      <c r="A698" s="216"/>
      <c r="B698" s="125"/>
      <c r="C698" s="125"/>
      <c r="D698" s="130"/>
      <c r="E698" s="124"/>
      <c r="F698" s="124"/>
      <c r="G698" s="125"/>
      <c r="H698" s="126"/>
      <c r="I698" s="126"/>
      <c r="J698" s="125"/>
      <c r="K698" s="125"/>
      <c r="L698" s="125"/>
      <c r="M698" s="125"/>
      <c r="N698" s="125"/>
      <c r="O698" s="125"/>
      <c r="P698" s="125"/>
      <c r="Q698" s="126"/>
      <c r="R698" s="129" t="s">
        <v>4644</v>
      </c>
      <c r="S698" s="124"/>
      <c r="T698" s="125"/>
      <c r="U698" s="128"/>
      <c r="V698" s="128"/>
      <c r="W698" s="128"/>
      <c r="X698" s="128"/>
      <c r="Y698" s="128"/>
      <c r="Z698" s="128"/>
    </row>
    <row r="699" spans="1:26" ht="12.5">
      <c r="A699" s="126"/>
      <c r="B699" s="125"/>
      <c r="C699" s="125"/>
      <c r="D699" s="130"/>
      <c r="E699" s="124"/>
      <c r="F699" s="124"/>
      <c r="G699" s="125"/>
      <c r="H699" s="126"/>
      <c r="I699" s="126"/>
      <c r="J699" s="125"/>
      <c r="K699" s="125"/>
      <c r="L699" s="125"/>
      <c r="M699" s="125"/>
      <c r="N699" s="125"/>
      <c r="O699" s="125"/>
      <c r="P699" s="125"/>
      <c r="Q699" s="126"/>
      <c r="R699" s="129" t="s">
        <v>3351</v>
      </c>
      <c r="S699" s="124"/>
      <c r="T699" s="125"/>
      <c r="U699" s="128"/>
      <c r="V699" s="128"/>
      <c r="W699" s="128"/>
      <c r="X699" s="128"/>
      <c r="Y699" s="128"/>
      <c r="Z699" s="128"/>
    </row>
    <row r="700" spans="1:26" ht="12.5">
      <c r="A700" s="126"/>
      <c r="B700" s="125"/>
      <c r="C700" s="125"/>
      <c r="D700" s="130"/>
      <c r="E700" s="124"/>
      <c r="F700" s="124"/>
      <c r="G700" s="125"/>
      <c r="H700" s="126"/>
      <c r="I700" s="126"/>
      <c r="J700" s="125"/>
      <c r="K700" s="125"/>
      <c r="L700" s="125"/>
      <c r="M700" s="125"/>
      <c r="N700" s="125"/>
      <c r="O700" s="125"/>
      <c r="P700" s="125"/>
      <c r="Q700" s="126"/>
      <c r="R700" s="126"/>
      <c r="S700" s="124"/>
      <c r="T700" s="125"/>
      <c r="U700" s="128"/>
      <c r="V700" s="128"/>
      <c r="W700" s="128"/>
      <c r="X700" s="128"/>
      <c r="Y700" s="128"/>
      <c r="Z700" s="128"/>
    </row>
    <row r="701" spans="1:26" ht="13">
      <c r="A701" s="126"/>
      <c r="B701" s="125"/>
      <c r="C701" s="125"/>
      <c r="D701" s="323"/>
      <c r="E701" s="124"/>
      <c r="F701" s="324"/>
      <c r="G701" s="125"/>
      <c r="H701" s="126"/>
      <c r="I701" s="126"/>
      <c r="J701" s="125"/>
      <c r="K701" s="125"/>
      <c r="L701" s="125"/>
      <c r="M701" s="125"/>
      <c r="N701" s="125"/>
      <c r="O701" s="125"/>
      <c r="P701" s="128"/>
      <c r="Q701" s="126"/>
      <c r="R701" s="324"/>
      <c r="S701" s="124"/>
      <c r="T701" s="125"/>
      <c r="U701" s="128"/>
      <c r="V701" s="128"/>
      <c r="W701" s="128"/>
      <c r="X701" s="128"/>
      <c r="Y701" s="128"/>
      <c r="Z701" s="128"/>
    </row>
    <row r="702" spans="1:26" ht="12.5">
      <c r="A702" s="126"/>
      <c r="B702" s="125"/>
      <c r="C702" s="125"/>
      <c r="D702" s="130"/>
      <c r="E702" s="124"/>
      <c r="F702" s="124"/>
      <c r="G702" s="125"/>
      <c r="H702" s="126"/>
      <c r="I702" s="126"/>
      <c r="J702" s="125"/>
      <c r="K702" s="125"/>
      <c r="L702" s="125"/>
      <c r="M702" s="125"/>
      <c r="N702" s="125"/>
      <c r="O702" s="125"/>
      <c r="P702" s="125"/>
      <c r="Q702" s="126"/>
      <c r="R702" s="126"/>
      <c r="S702" s="124"/>
      <c r="T702" s="125"/>
      <c r="U702" s="128"/>
      <c r="V702" s="128"/>
      <c r="W702" s="128"/>
      <c r="X702" s="128"/>
      <c r="Y702" s="128"/>
      <c r="Z702" s="128"/>
    </row>
    <row r="703" spans="1:26" ht="12.5">
      <c r="A703" s="126"/>
      <c r="B703" s="125"/>
      <c r="C703" s="125"/>
      <c r="D703" s="130"/>
      <c r="E703" s="124"/>
      <c r="F703" s="124"/>
      <c r="G703" s="125"/>
      <c r="H703" s="126"/>
      <c r="I703" s="126"/>
      <c r="J703" s="125"/>
      <c r="K703" s="125"/>
      <c r="L703" s="125"/>
      <c r="M703" s="125"/>
      <c r="N703" s="125"/>
      <c r="O703" s="125"/>
      <c r="P703" s="125"/>
      <c r="Q703" s="126"/>
      <c r="R703" s="126"/>
      <c r="S703" s="124"/>
      <c r="T703" s="125"/>
      <c r="U703" s="128"/>
      <c r="V703" s="128"/>
      <c r="W703" s="128"/>
      <c r="X703" s="128"/>
      <c r="Y703" s="128"/>
      <c r="Z703" s="128"/>
    </row>
    <row r="704" spans="1:26" ht="12.5">
      <c r="A704" s="126"/>
      <c r="B704" s="125"/>
      <c r="C704" s="125"/>
      <c r="D704" s="130"/>
      <c r="E704" s="124"/>
      <c r="F704" s="124"/>
      <c r="G704" s="125"/>
      <c r="H704" s="126"/>
      <c r="I704" s="126"/>
      <c r="J704" s="125"/>
      <c r="K704" s="125"/>
      <c r="L704" s="125"/>
      <c r="M704" s="125"/>
      <c r="N704" s="125"/>
      <c r="O704" s="125"/>
      <c r="P704" s="125"/>
      <c r="Q704" s="126"/>
      <c r="R704" s="126"/>
      <c r="S704" s="124"/>
      <c r="T704" s="125"/>
      <c r="U704" s="128"/>
      <c r="V704" s="128"/>
      <c r="W704" s="128"/>
      <c r="X704" s="128"/>
      <c r="Y704" s="128"/>
      <c r="Z704" s="128"/>
    </row>
    <row r="705" spans="1:26" ht="12.5">
      <c r="A705" s="126"/>
      <c r="B705" s="125"/>
      <c r="C705" s="125"/>
      <c r="D705" s="130"/>
      <c r="E705" s="124"/>
      <c r="F705" s="124"/>
      <c r="G705" s="125"/>
      <c r="H705" s="126"/>
      <c r="I705" s="126"/>
      <c r="J705" s="125"/>
      <c r="K705" s="125"/>
      <c r="L705" s="125"/>
      <c r="M705" s="125"/>
      <c r="N705" s="125"/>
      <c r="O705" s="125"/>
      <c r="P705" s="125"/>
      <c r="Q705" s="126"/>
      <c r="R705" s="126"/>
      <c r="S705" s="124"/>
      <c r="T705" s="125"/>
      <c r="U705" s="128"/>
      <c r="V705" s="128"/>
      <c r="W705" s="128"/>
      <c r="X705" s="128"/>
      <c r="Y705" s="128"/>
      <c r="Z705" s="128"/>
    </row>
    <row r="706" spans="1:26" ht="12.5">
      <c r="A706" s="126"/>
      <c r="B706" s="125"/>
      <c r="C706" s="125"/>
      <c r="D706" s="130"/>
      <c r="E706" s="124"/>
      <c r="F706" s="124"/>
      <c r="G706" s="125"/>
      <c r="H706" s="126"/>
      <c r="I706" s="126"/>
      <c r="J706" s="125"/>
      <c r="K706" s="125"/>
      <c r="L706" s="125"/>
      <c r="M706" s="125"/>
      <c r="N706" s="125"/>
      <c r="O706" s="125"/>
      <c r="P706" s="125"/>
      <c r="Q706" s="126"/>
      <c r="R706" s="126"/>
      <c r="S706" s="124"/>
      <c r="T706" s="125"/>
      <c r="U706" s="128"/>
      <c r="V706" s="128"/>
      <c r="W706" s="128"/>
      <c r="X706" s="128"/>
      <c r="Y706" s="128"/>
      <c r="Z706" s="128"/>
    </row>
    <row r="707" spans="1:26" ht="13">
      <c r="A707" s="126"/>
      <c r="B707" s="125"/>
      <c r="C707" s="125"/>
      <c r="D707" s="130"/>
      <c r="E707" s="124"/>
      <c r="F707" s="325"/>
      <c r="G707" s="125"/>
      <c r="H707" s="126"/>
      <c r="I707" s="126"/>
      <c r="J707" s="125"/>
      <c r="K707" s="125"/>
      <c r="L707" s="125"/>
      <c r="M707" s="125"/>
      <c r="N707" s="125"/>
      <c r="O707" s="125"/>
      <c r="P707" s="125"/>
      <c r="Q707" s="126"/>
      <c r="R707" s="126"/>
      <c r="S707" s="124"/>
      <c r="T707" s="125"/>
      <c r="U707" s="128"/>
      <c r="V707" s="128"/>
      <c r="W707" s="128"/>
      <c r="X707" s="128"/>
      <c r="Y707" s="128"/>
      <c r="Z707" s="128"/>
    </row>
    <row r="708" spans="1:26" ht="12.5">
      <c r="A708" s="126"/>
      <c r="B708" s="125"/>
      <c r="C708" s="125"/>
      <c r="D708" s="130"/>
      <c r="E708" s="124"/>
      <c r="F708" s="124"/>
      <c r="G708" s="125"/>
      <c r="H708" s="126"/>
      <c r="I708" s="126"/>
      <c r="J708" s="125"/>
      <c r="K708" s="125"/>
      <c r="L708" s="125"/>
      <c r="M708" s="125"/>
      <c r="N708" s="125"/>
      <c r="O708" s="125"/>
      <c r="P708" s="125"/>
      <c r="Q708" s="126"/>
      <c r="R708" s="126"/>
      <c r="S708" s="124"/>
      <c r="T708" s="125"/>
      <c r="U708" s="128"/>
      <c r="V708" s="128"/>
      <c r="W708" s="128"/>
      <c r="X708" s="128"/>
      <c r="Y708" s="128"/>
      <c r="Z708" s="128"/>
    </row>
    <row r="709" spans="1:26" ht="12.5">
      <c r="A709" s="126"/>
      <c r="B709" s="125"/>
      <c r="C709" s="125"/>
      <c r="D709" s="130"/>
      <c r="E709" s="124"/>
      <c r="F709" s="124"/>
      <c r="G709" s="125"/>
      <c r="H709" s="126"/>
      <c r="I709" s="126"/>
      <c r="J709" s="125"/>
      <c r="K709" s="125"/>
      <c r="L709" s="125"/>
      <c r="M709" s="125"/>
      <c r="N709" s="125"/>
      <c r="O709" s="125"/>
      <c r="P709" s="125"/>
      <c r="Q709" s="126"/>
      <c r="R709" s="126"/>
      <c r="S709" s="124"/>
      <c r="T709" s="125"/>
      <c r="U709" s="128"/>
      <c r="V709" s="128"/>
      <c r="W709" s="128"/>
      <c r="X709" s="128"/>
      <c r="Y709" s="128"/>
      <c r="Z709" s="128"/>
    </row>
    <row r="710" spans="1:26" ht="12.5">
      <c r="A710" s="126"/>
      <c r="B710" s="125"/>
      <c r="C710" s="125"/>
      <c r="D710" s="130"/>
      <c r="E710" s="124"/>
      <c r="F710" s="124"/>
      <c r="G710" s="125"/>
      <c r="H710" s="126"/>
      <c r="I710" s="126"/>
      <c r="J710" s="125"/>
      <c r="K710" s="125"/>
      <c r="L710" s="125"/>
      <c r="M710" s="125"/>
      <c r="N710" s="125"/>
      <c r="O710" s="125"/>
      <c r="P710" s="125"/>
      <c r="Q710" s="126"/>
      <c r="R710" s="126"/>
      <c r="S710" s="124"/>
      <c r="T710" s="125"/>
      <c r="U710" s="128"/>
      <c r="V710" s="128"/>
      <c r="W710" s="128"/>
      <c r="X710" s="128"/>
      <c r="Y710" s="128"/>
      <c r="Z710" s="128"/>
    </row>
    <row r="711" spans="1:26" ht="12.5">
      <c r="A711" s="126"/>
      <c r="B711" s="125"/>
      <c r="C711" s="125"/>
      <c r="D711" s="130"/>
      <c r="E711" s="124"/>
      <c r="F711" s="124"/>
      <c r="G711" s="125"/>
      <c r="H711" s="126"/>
      <c r="I711" s="126"/>
      <c r="J711" s="125"/>
      <c r="K711" s="125"/>
      <c r="L711" s="125"/>
      <c r="M711" s="125"/>
      <c r="N711" s="125"/>
      <c r="O711" s="125"/>
      <c r="P711" s="125"/>
      <c r="Q711" s="126"/>
      <c r="R711" s="126"/>
      <c r="S711" s="124"/>
      <c r="T711" s="125"/>
      <c r="U711" s="128"/>
      <c r="V711" s="128"/>
      <c r="W711" s="128"/>
      <c r="X711" s="128"/>
      <c r="Y711" s="128"/>
      <c r="Z711" s="128"/>
    </row>
    <row r="712" spans="1:26" ht="12.5">
      <c r="A712" s="126"/>
      <c r="B712" s="125"/>
      <c r="C712" s="125"/>
      <c r="D712" s="130"/>
      <c r="E712" s="124"/>
      <c r="F712" s="124"/>
      <c r="G712" s="125"/>
      <c r="H712" s="126"/>
      <c r="I712" s="126"/>
      <c r="J712" s="125"/>
      <c r="K712" s="125"/>
      <c r="L712" s="125"/>
      <c r="M712" s="125"/>
      <c r="N712" s="125"/>
      <c r="O712" s="125"/>
      <c r="P712" s="125"/>
      <c r="Q712" s="126"/>
      <c r="R712" s="126"/>
      <c r="S712" s="124"/>
      <c r="T712" s="125"/>
      <c r="U712" s="128"/>
      <c r="V712" s="128"/>
      <c r="W712" s="128"/>
      <c r="X712" s="128"/>
      <c r="Y712" s="128"/>
      <c r="Z712" s="128"/>
    </row>
    <row r="713" spans="1:26" ht="12.5">
      <c r="A713" s="126"/>
      <c r="B713" s="125"/>
      <c r="C713" s="125"/>
      <c r="D713" s="130"/>
      <c r="E713" s="124"/>
      <c r="F713" s="124"/>
      <c r="G713" s="125"/>
      <c r="H713" s="126"/>
      <c r="I713" s="126"/>
      <c r="J713" s="125"/>
      <c r="K713" s="125"/>
      <c r="L713" s="125"/>
      <c r="M713" s="125"/>
      <c r="N713" s="125"/>
      <c r="O713" s="125"/>
      <c r="P713" s="125"/>
      <c r="Q713" s="126"/>
      <c r="R713" s="126"/>
      <c r="S713" s="124"/>
      <c r="T713" s="125"/>
      <c r="U713" s="128"/>
      <c r="V713" s="128"/>
      <c r="W713" s="128"/>
      <c r="X713" s="128"/>
      <c r="Y713" s="128"/>
      <c r="Z713" s="128"/>
    </row>
    <row r="714" spans="1:26" ht="12.5">
      <c r="A714" s="126"/>
      <c r="B714" s="125"/>
      <c r="C714" s="125"/>
      <c r="D714" s="130"/>
      <c r="E714" s="124"/>
      <c r="F714" s="124"/>
      <c r="G714" s="125"/>
      <c r="H714" s="126"/>
      <c r="I714" s="126"/>
      <c r="J714" s="125"/>
      <c r="K714" s="125"/>
      <c r="L714" s="125"/>
      <c r="M714" s="125"/>
      <c r="N714" s="125"/>
      <c r="O714" s="125"/>
      <c r="P714" s="125"/>
      <c r="Q714" s="126"/>
      <c r="R714" s="126"/>
      <c r="S714" s="124"/>
      <c r="T714" s="125"/>
      <c r="U714" s="128"/>
      <c r="V714" s="128"/>
      <c r="W714" s="128"/>
      <c r="X714" s="128"/>
      <c r="Y714" s="128"/>
      <c r="Z714" s="128"/>
    </row>
    <row r="715" spans="1:26" ht="12.5">
      <c r="A715" s="126"/>
      <c r="B715" s="125"/>
      <c r="C715" s="125"/>
      <c r="D715" s="130"/>
      <c r="E715" s="124"/>
      <c r="F715" s="124"/>
      <c r="G715" s="125"/>
      <c r="H715" s="126"/>
      <c r="I715" s="126"/>
      <c r="J715" s="125"/>
      <c r="K715" s="125"/>
      <c r="L715" s="125"/>
      <c r="M715" s="125"/>
      <c r="N715" s="125"/>
      <c r="O715" s="125"/>
      <c r="P715" s="125"/>
      <c r="Q715" s="126"/>
      <c r="R715" s="126"/>
      <c r="S715" s="124"/>
      <c r="T715" s="125"/>
      <c r="U715" s="128"/>
      <c r="V715" s="128"/>
      <c r="W715" s="128"/>
      <c r="X715" s="128"/>
      <c r="Y715" s="128"/>
      <c r="Z715" s="128"/>
    </row>
    <row r="716" spans="1:26" ht="12.5">
      <c r="A716" s="126"/>
      <c r="B716" s="125"/>
      <c r="C716" s="125"/>
      <c r="D716" s="130"/>
      <c r="E716" s="124"/>
      <c r="F716" s="124"/>
      <c r="G716" s="125"/>
      <c r="H716" s="126"/>
      <c r="I716" s="126"/>
      <c r="J716" s="125"/>
      <c r="K716" s="125"/>
      <c r="L716" s="125"/>
      <c r="M716" s="125"/>
      <c r="N716" s="125"/>
      <c r="O716" s="125"/>
      <c r="P716" s="125"/>
      <c r="Q716" s="126"/>
      <c r="R716" s="126"/>
      <c r="S716" s="124"/>
      <c r="T716" s="125"/>
      <c r="U716" s="128"/>
      <c r="V716" s="128"/>
      <c r="W716" s="128"/>
      <c r="X716" s="128"/>
      <c r="Y716" s="128"/>
      <c r="Z716" s="128"/>
    </row>
    <row r="717" spans="1:26" ht="12.5">
      <c r="A717" s="126"/>
      <c r="B717" s="125"/>
      <c r="C717" s="125"/>
      <c r="D717" s="130"/>
      <c r="E717" s="124"/>
      <c r="F717" s="124"/>
      <c r="G717" s="125"/>
      <c r="H717" s="126"/>
      <c r="I717" s="126"/>
      <c r="J717" s="125"/>
      <c r="K717" s="125"/>
      <c r="L717" s="125"/>
      <c r="M717" s="125"/>
      <c r="N717" s="125"/>
      <c r="O717" s="125"/>
      <c r="P717" s="125"/>
      <c r="Q717" s="126"/>
      <c r="R717" s="126"/>
      <c r="S717" s="124"/>
      <c r="T717" s="125"/>
      <c r="U717" s="128"/>
      <c r="V717" s="128"/>
      <c r="W717" s="128"/>
      <c r="X717" s="128"/>
      <c r="Y717" s="128"/>
      <c r="Z717" s="128"/>
    </row>
    <row r="718" spans="1:26" ht="12.5">
      <c r="A718" s="126"/>
      <c r="B718" s="125"/>
      <c r="C718" s="125"/>
      <c r="D718" s="130"/>
      <c r="E718" s="124"/>
      <c r="F718" s="124"/>
      <c r="G718" s="125"/>
      <c r="H718" s="126"/>
      <c r="I718" s="126"/>
      <c r="J718" s="125"/>
      <c r="K718" s="125"/>
      <c r="L718" s="125"/>
      <c r="M718" s="125"/>
      <c r="N718" s="125"/>
      <c r="O718" s="125"/>
      <c r="P718" s="125"/>
      <c r="Q718" s="126"/>
      <c r="R718" s="126"/>
      <c r="S718" s="124"/>
      <c r="T718" s="125"/>
      <c r="U718" s="128"/>
      <c r="V718" s="128"/>
      <c r="W718" s="128"/>
      <c r="X718" s="128"/>
      <c r="Y718" s="128"/>
      <c r="Z718" s="128"/>
    </row>
    <row r="719" spans="1:26" ht="12.5">
      <c r="A719" s="126"/>
      <c r="B719" s="125"/>
      <c r="C719" s="125"/>
      <c r="D719" s="130"/>
      <c r="E719" s="124"/>
      <c r="F719" s="124"/>
      <c r="G719" s="125"/>
      <c r="H719" s="126"/>
      <c r="I719" s="126"/>
      <c r="J719" s="125"/>
      <c r="K719" s="125"/>
      <c r="L719" s="125"/>
      <c r="M719" s="125"/>
      <c r="N719" s="125"/>
      <c r="O719" s="125"/>
      <c r="P719" s="125"/>
      <c r="Q719" s="126"/>
      <c r="R719" s="126"/>
      <c r="S719" s="124"/>
      <c r="T719" s="125"/>
      <c r="U719" s="128"/>
      <c r="V719" s="128"/>
      <c r="W719" s="128"/>
      <c r="X719" s="128"/>
      <c r="Y719" s="128"/>
      <c r="Z719" s="128"/>
    </row>
    <row r="720" spans="1:26" ht="12.5">
      <c r="A720" s="126"/>
      <c r="B720" s="125"/>
      <c r="C720" s="125"/>
      <c r="D720" s="130"/>
      <c r="E720" s="124"/>
      <c r="F720" s="124"/>
      <c r="G720" s="125"/>
      <c r="H720" s="126"/>
      <c r="I720" s="126"/>
      <c r="J720" s="125"/>
      <c r="K720" s="125"/>
      <c r="L720" s="125"/>
      <c r="M720" s="125"/>
      <c r="N720" s="125"/>
      <c r="O720" s="125"/>
      <c r="P720" s="125"/>
      <c r="Q720" s="126"/>
      <c r="R720" s="126"/>
      <c r="S720" s="124"/>
      <c r="T720" s="125"/>
      <c r="U720" s="128"/>
      <c r="V720" s="128"/>
      <c r="W720" s="128"/>
      <c r="X720" s="128"/>
      <c r="Y720" s="128"/>
      <c r="Z720" s="128"/>
    </row>
    <row r="721" spans="1:26" ht="12.5">
      <c r="A721" s="126"/>
      <c r="B721" s="125"/>
      <c r="C721" s="125"/>
      <c r="D721" s="130"/>
      <c r="E721" s="124"/>
      <c r="F721" s="124"/>
      <c r="G721" s="125"/>
      <c r="H721" s="126"/>
      <c r="I721" s="126"/>
      <c r="J721" s="125"/>
      <c r="K721" s="125"/>
      <c r="L721" s="125"/>
      <c r="M721" s="125"/>
      <c r="N721" s="125"/>
      <c r="O721" s="125"/>
      <c r="P721" s="125"/>
      <c r="Q721" s="126"/>
      <c r="R721" s="126"/>
      <c r="S721" s="124"/>
      <c r="T721" s="125"/>
      <c r="U721" s="128"/>
      <c r="V721" s="128"/>
      <c r="W721" s="128"/>
      <c r="X721" s="128"/>
      <c r="Y721" s="128"/>
      <c r="Z721" s="128"/>
    </row>
    <row r="722" spans="1:26" ht="12.5">
      <c r="A722" s="126"/>
      <c r="B722" s="125"/>
      <c r="C722" s="125"/>
      <c r="D722" s="130"/>
      <c r="E722" s="124"/>
      <c r="F722" s="124"/>
      <c r="G722" s="125"/>
      <c r="H722" s="126"/>
      <c r="I722" s="126"/>
      <c r="J722" s="125"/>
      <c r="K722" s="125"/>
      <c r="L722" s="125"/>
      <c r="M722" s="125"/>
      <c r="N722" s="125"/>
      <c r="O722" s="125"/>
      <c r="P722" s="125"/>
      <c r="Q722" s="126"/>
      <c r="R722" s="126"/>
      <c r="S722" s="124"/>
      <c r="T722" s="125"/>
      <c r="U722" s="128"/>
      <c r="V722" s="128"/>
      <c r="W722" s="128"/>
      <c r="X722" s="128"/>
      <c r="Y722" s="128"/>
      <c r="Z722" s="128"/>
    </row>
    <row r="723" spans="1:26" ht="12.5">
      <c r="A723" s="126"/>
      <c r="B723" s="125"/>
      <c r="C723" s="125"/>
      <c r="D723" s="130"/>
      <c r="E723" s="124"/>
      <c r="F723" s="124"/>
      <c r="G723" s="125"/>
      <c r="H723" s="126"/>
      <c r="I723" s="126"/>
      <c r="J723" s="125"/>
      <c r="K723" s="125"/>
      <c r="L723" s="125"/>
      <c r="M723" s="125"/>
      <c r="N723" s="125"/>
      <c r="O723" s="125"/>
      <c r="P723" s="125"/>
      <c r="Q723" s="126"/>
      <c r="R723" s="126"/>
      <c r="S723" s="124"/>
      <c r="T723" s="125"/>
      <c r="U723" s="128"/>
      <c r="V723" s="128"/>
      <c r="W723" s="128"/>
      <c r="X723" s="128"/>
      <c r="Y723" s="128"/>
      <c r="Z723" s="128"/>
    </row>
    <row r="724" spans="1:26" ht="12.5">
      <c r="A724" s="126"/>
      <c r="B724" s="125"/>
      <c r="C724" s="125"/>
      <c r="D724" s="130"/>
      <c r="E724" s="124"/>
      <c r="F724" s="124"/>
      <c r="G724" s="125"/>
      <c r="H724" s="126"/>
      <c r="I724" s="126"/>
      <c r="J724" s="125"/>
      <c r="K724" s="125"/>
      <c r="L724" s="125"/>
      <c r="M724" s="125"/>
      <c r="N724" s="125"/>
      <c r="O724" s="125"/>
      <c r="P724" s="125"/>
      <c r="Q724" s="126"/>
      <c r="R724" s="126"/>
      <c r="S724" s="124"/>
      <c r="T724" s="125"/>
      <c r="U724" s="128"/>
      <c r="V724" s="128"/>
      <c r="W724" s="128"/>
      <c r="X724" s="128"/>
      <c r="Y724" s="128"/>
      <c r="Z724" s="128"/>
    </row>
    <row r="725" spans="1:26" ht="12.5">
      <c r="A725" s="126"/>
      <c r="B725" s="125"/>
      <c r="C725" s="125"/>
      <c r="D725" s="130"/>
      <c r="E725" s="124"/>
      <c r="F725" s="124"/>
      <c r="G725" s="125"/>
      <c r="H725" s="126"/>
      <c r="I725" s="126"/>
      <c r="J725" s="125"/>
      <c r="K725" s="125"/>
      <c r="L725" s="125"/>
      <c r="M725" s="125"/>
      <c r="N725" s="125"/>
      <c r="O725" s="125"/>
      <c r="P725" s="125"/>
      <c r="Q725" s="126"/>
      <c r="R725" s="126"/>
      <c r="S725" s="124"/>
      <c r="T725" s="125"/>
      <c r="U725" s="128"/>
      <c r="V725" s="128"/>
      <c r="W725" s="128"/>
      <c r="X725" s="128"/>
      <c r="Y725" s="128"/>
      <c r="Z725" s="128"/>
    </row>
    <row r="726" spans="1:26" ht="12.5">
      <c r="A726" s="126"/>
      <c r="B726" s="125"/>
      <c r="C726" s="125"/>
      <c r="D726" s="130"/>
      <c r="E726" s="124"/>
      <c r="F726" s="124"/>
      <c r="G726" s="125"/>
      <c r="H726" s="126"/>
      <c r="I726" s="126"/>
      <c r="J726" s="125"/>
      <c r="K726" s="125"/>
      <c r="L726" s="125"/>
      <c r="M726" s="125"/>
      <c r="N726" s="125"/>
      <c r="O726" s="125"/>
      <c r="P726" s="125"/>
      <c r="Q726" s="126"/>
      <c r="R726" s="126"/>
      <c r="S726" s="124"/>
      <c r="T726" s="125"/>
      <c r="U726" s="128"/>
      <c r="V726" s="128"/>
      <c r="W726" s="128"/>
      <c r="X726" s="128"/>
      <c r="Y726" s="128"/>
      <c r="Z726" s="128"/>
    </row>
    <row r="727" spans="1:26" ht="12.5">
      <c r="A727" s="126"/>
      <c r="B727" s="125"/>
      <c r="C727" s="125"/>
      <c r="D727" s="130"/>
      <c r="E727" s="124"/>
      <c r="F727" s="124"/>
      <c r="G727" s="125"/>
      <c r="H727" s="126"/>
      <c r="I727" s="126"/>
      <c r="J727" s="125"/>
      <c r="K727" s="125"/>
      <c r="L727" s="125"/>
      <c r="M727" s="125"/>
      <c r="N727" s="125"/>
      <c r="O727" s="125"/>
      <c r="P727" s="125"/>
      <c r="Q727" s="126"/>
      <c r="R727" s="126"/>
      <c r="S727" s="124"/>
      <c r="T727" s="125"/>
      <c r="U727" s="128"/>
      <c r="V727" s="128"/>
      <c r="W727" s="128"/>
      <c r="X727" s="128"/>
      <c r="Y727" s="128"/>
      <c r="Z727" s="128"/>
    </row>
    <row r="728" spans="1:26" ht="12.5">
      <c r="A728" s="126"/>
      <c r="B728" s="125"/>
      <c r="C728" s="125"/>
      <c r="D728" s="130"/>
      <c r="E728" s="124"/>
      <c r="F728" s="124"/>
      <c r="G728" s="125"/>
      <c r="H728" s="126"/>
      <c r="I728" s="126"/>
      <c r="J728" s="125"/>
      <c r="K728" s="125"/>
      <c r="L728" s="125"/>
      <c r="M728" s="125"/>
      <c r="N728" s="125"/>
      <c r="O728" s="125"/>
      <c r="P728" s="125"/>
      <c r="Q728" s="126"/>
      <c r="R728" s="126"/>
      <c r="S728" s="124"/>
      <c r="T728" s="125"/>
      <c r="U728" s="128"/>
      <c r="V728" s="128"/>
      <c r="W728" s="128"/>
      <c r="X728" s="128"/>
      <c r="Y728" s="128"/>
      <c r="Z728" s="128"/>
    </row>
    <row r="729" spans="1:26" ht="12.5">
      <c r="A729" s="126"/>
      <c r="B729" s="125"/>
      <c r="C729" s="125"/>
      <c r="D729" s="130"/>
      <c r="E729" s="124"/>
      <c r="F729" s="124"/>
      <c r="G729" s="125"/>
      <c r="H729" s="126"/>
      <c r="I729" s="126"/>
      <c r="J729" s="125"/>
      <c r="K729" s="125"/>
      <c r="L729" s="125"/>
      <c r="M729" s="125"/>
      <c r="N729" s="125"/>
      <c r="O729" s="125"/>
      <c r="P729" s="125"/>
      <c r="Q729" s="126"/>
      <c r="R729" s="126"/>
      <c r="S729" s="124"/>
      <c r="T729" s="125"/>
      <c r="U729" s="128"/>
      <c r="V729" s="128"/>
      <c r="W729" s="128"/>
      <c r="X729" s="128"/>
      <c r="Y729" s="128"/>
      <c r="Z729" s="128"/>
    </row>
    <row r="730" spans="1:26" ht="12.5">
      <c r="A730" s="126"/>
      <c r="B730" s="125"/>
      <c r="C730" s="125"/>
      <c r="D730" s="130"/>
      <c r="E730" s="124"/>
      <c r="F730" s="124"/>
      <c r="G730" s="125"/>
      <c r="H730" s="126"/>
      <c r="I730" s="126"/>
      <c r="J730" s="125"/>
      <c r="K730" s="125"/>
      <c r="L730" s="125"/>
      <c r="M730" s="125"/>
      <c r="N730" s="125"/>
      <c r="O730" s="125"/>
      <c r="P730" s="125"/>
      <c r="Q730" s="126"/>
      <c r="R730" s="126"/>
      <c r="S730" s="124"/>
      <c r="T730" s="125"/>
      <c r="U730" s="128"/>
      <c r="V730" s="128"/>
      <c r="W730" s="128"/>
      <c r="X730" s="128"/>
      <c r="Y730" s="128"/>
      <c r="Z730" s="128"/>
    </row>
    <row r="731" spans="1:26" ht="12.5">
      <c r="A731" s="126"/>
      <c r="B731" s="125"/>
      <c r="C731" s="125"/>
      <c r="D731" s="130"/>
      <c r="E731" s="124"/>
      <c r="F731" s="124"/>
      <c r="G731" s="125"/>
      <c r="H731" s="126"/>
      <c r="I731" s="126"/>
      <c r="J731" s="125"/>
      <c r="K731" s="125"/>
      <c r="L731" s="125"/>
      <c r="M731" s="125"/>
      <c r="N731" s="125"/>
      <c r="O731" s="125"/>
      <c r="P731" s="125"/>
      <c r="Q731" s="126"/>
      <c r="R731" s="126"/>
      <c r="S731" s="124"/>
      <c r="T731" s="125"/>
      <c r="U731" s="128"/>
      <c r="V731" s="128"/>
      <c r="W731" s="128"/>
      <c r="X731" s="128"/>
      <c r="Y731" s="128"/>
      <c r="Z731" s="128"/>
    </row>
    <row r="732" spans="1:26" ht="12.5">
      <c r="A732" s="126"/>
      <c r="B732" s="125"/>
      <c r="C732" s="125"/>
      <c r="D732" s="130"/>
      <c r="E732" s="124"/>
      <c r="F732" s="124"/>
      <c r="G732" s="125"/>
      <c r="H732" s="126"/>
      <c r="I732" s="126"/>
      <c r="J732" s="125"/>
      <c r="K732" s="125"/>
      <c r="L732" s="125"/>
      <c r="M732" s="125"/>
      <c r="N732" s="125"/>
      <c r="O732" s="125"/>
      <c r="P732" s="125"/>
      <c r="Q732" s="126"/>
      <c r="R732" s="126"/>
      <c r="S732" s="124"/>
      <c r="T732" s="125"/>
      <c r="U732" s="128"/>
      <c r="V732" s="128"/>
      <c r="W732" s="128"/>
      <c r="X732" s="128"/>
      <c r="Y732" s="128"/>
      <c r="Z732" s="128"/>
    </row>
    <row r="733" spans="1:26" ht="12.5">
      <c r="A733" s="126"/>
      <c r="B733" s="125"/>
      <c r="C733" s="125"/>
      <c r="D733" s="130"/>
      <c r="E733" s="124"/>
      <c r="F733" s="124"/>
      <c r="G733" s="125"/>
      <c r="H733" s="126"/>
      <c r="I733" s="126"/>
      <c r="J733" s="125"/>
      <c r="K733" s="125"/>
      <c r="L733" s="125"/>
      <c r="M733" s="125"/>
      <c r="N733" s="125"/>
      <c r="O733" s="125"/>
      <c r="P733" s="125"/>
      <c r="Q733" s="126"/>
      <c r="R733" s="126"/>
      <c r="S733" s="124"/>
      <c r="T733" s="125"/>
      <c r="U733" s="128"/>
      <c r="V733" s="128"/>
      <c r="W733" s="128"/>
      <c r="X733" s="128"/>
      <c r="Y733" s="128"/>
      <c r="Z733" s="128"/>
    </row>
    <row r="734" spans="1:26" ht="12.5">
      <c r="A734" s="126"/>
      <c r="B734" s="125"/>
      <c r="C734" s="125"/>
      <c r="D734" s="130"/>
      <c r="E734" s="124"/>
      <c r="F734" s="124"/>
      <c r="G734" s="125"/>
      <c r="H734" s="126"/>
      <c r="I734" s="126"/>
      <c r="J734" s="125"/>
      <c r="K734" s="125"/>
      <c r="L734" s="125"/>
      <c r="M734" s="125"/>
      <c r="N734" s="125"/>
      <c r="O734" s="125"/>
      <c r="P734" s="125"/>
      <c r="Q734" s="126"/>
      <c r="R734" s="126"/>
      <c r="S734" s="124"/>
      <c r="T734" s="125"/>
      <c r="U734" s="128"/>
      <c r="V734" s="128"/>
      <c r="W734" s="128"/>
      <c r="X734" s="128"/>
      <c r="Y734" s="128"/>
      <c r="Z734" s="128"/>
    </row>
    <row r="735" spans="1:26" ht="12.5">
      <c r="A735" s="126"/>
      <c r="B735" s="125"/>
      <c r="C735" s="125"/>
      <c r="D735" s="130"/>
      <c r="E735" s="124"/>
      <c r="F735" s="124"/>
      <c r="G735" s="125"/>
      <c r="H735" s="126"/>
      <c r="I735" s="126"/>
      <c r="J735" s="125"/>
      <c r="K735" s="125"/>
      <c r="L735" s="125"/>
      <c r="M735" s="125"/>
      <c r="N735" s="125"/>
      <c r="O735" s="125"/>
      <c r="P735" s="125"/>
      <c r="Q735" s="126"/>
      <c r="R735" s="126"/>
      <c r="S735" s="124"/>
      <c r="T735" s="125"/>
      <c r="U735" s="128"/>
      <c r="V735" s="128"/>
      <c r="W735" s="128"/>
      <c r="X735" s="128"/>
      <c r="Y735" s="128"/>
      <c r="Z735" s="128"/>
    </row>
    <row r="736" spans="1:26" ht="12.5">
      <c r="A736" s="126"/>
      <c r="B736" s="125"/>
      <c r="C736" s="125"/>
      <c r="D736" s="130"/>
      <c r="E736" s="124"/>
      <c r="F736" s="124"/>
      <c r="G736" s="125"/>
      <c r="H736" s="126"/>
      <c r="I736" s="126"/>
      <c r="J736" s="125"/>
      <c r="K736" s="125"/>
      <c r="L736" s="125"/>
      <c r="M736" s="125"/>
      <c r="N736" s="125"/>
      <c r="O736" s="125"/>
      <c r="P736" s="125"/>
      <c r="Q736" s="126"/>
      <c r="R736" s="126"/>
      <c r="S736" s="124"/>
      <c r="T736" s="125"/>
      <c r="U736" s="128"/>
      <c r="V736" s="128"/>
      <c r="W736" s="128"/>
      <c r="X736" s="128"/>
      <c r="Y736" s="128"/>
      <c r="Z736" s="128"/>
    </row>
    <row r="737" spans="1:26" ht="12.5">
      <c r="A737" s="126"/>
      <c r="B737" s="125"/>
      <c r="C737" s="125"/>
      <c r="D737" s="130"/>
      <c r="E737" s="124"/>
      <c r="F737" s="124"/>
      <c r="G737" s="125"/>
      <c r="H737" s="126"/>
      <c r="I737" s="126"/>
      <c r="J737" s="125"/>
      <c r="K737" s="125"/>
      <c r="L737" s="125"/>
      <c r="M737" s="125"/>
      <c r="N737" s="125"/>
      <c r="O737" s="125"/>
      <c r="P737" s="125"/>
      <c r="Q737" s="126"/>
      <c r="R737" s="126"/>
      <c r="S737" s="124"/>
      <c r="T737" s="125"/>
      <c r="U737" s="128"/>
      <c r="V737" s="128"/>
      <c r="W737" s="128"/>
      <c r="X737" s="128"/>
      <c r="Y737" s="128"/>
      <c r="Z737" s="128"/>
    </row>
    <row r="738" spans="1:26" ht="12.5">
      <c r="A738" s="126"/>
      <c r="B738" s="125"/>
      <c r="C738" s="125"/>
      <c r="D738" s="130"/>
      <c r="E738" s="124"/>
      <c r="F738" s="124"/>
      <c r="G738" s="125"/>
      <c r="H738" s="126"/>
      <c r="I738" s="126"/>
      <c r="J738" s="125"/>
      <c r="K738" s="125"/>
      <c r="L738" s="125"/>
      <c r="M738" s="125"/>
      <c r="N738" s="125"/>
      <c r="O738" s="125"/>
      <c r="P738" s="125"/>
      <c r="Q738" s="126"/>
      <c r="R738" s="126"/>
      <c r="S738" s="124"/>
      <c r="T738" s="125"/>
      <c r="U738" s="128"/>
      <c r="V738" s="128"/>
      <c r="W738" s="128"/>
      <c r="X738" s="128"/>
      <c r="Y738" s="128"/>
      <c r="Z738" s="128"/>
    </row>
    <row r="739" spans="1:26" ht="12.5">
      <c r="A739" s="126"/>
      <c r="B739" s="125"/>
      <c r="C739" s="125"/>
      <c r="D739" s="130"/>
      <c r="E739" s="124"/>
      <c r="F739" s="124"/>
      <c r="G739" s="125"/>
      <c r="H739" s="126"/>
      <c r="I739" s="126"/>
      <c r="J739" s="125"/>
      <c r="K739" s="125"/>
      <c r="L739" s="125"/>
      <c r="M739" s="125"/>
      <c r="N739" s="125"/>
      <c r="O739" s="125"/>
      <c r="P739" s="125"/>
      <c r="Q739" s="126"/>
      <c r="R739" s="126"/>
      <c r="S739" s="124"/>
      <c r="T739" s="125"/>
      <c r="U739" s="128"/>
      <c r="V739" s="128"/>
      <c r="W739" s="128"/>
      <c r="X739" s="128"/>
      <c r="Y739" s="128"/>
      <c r="Z739" s="128"/>
    </row>
    <row r="740" spans="1:26" ht="12.5">
      <c r="A740" s="126"/>
      <c r="B740" s="125"/>
      <c r="C740" s="125"/>
      <c r="D740" s="130"/>
      <c r="E740" s="124"/>
      <c r="F740" s="124"/>
      <c r="G740" s="125"/>
      <c r="H740" s="126"/>
      <c r="I740" s="126"/>
      <c r="J740" s="125"/>
      <c r="K740" s="125"/>
      <c r="L740" s="125"/>
      <c r="M740" s="125"/>
      <c r="N740" s="125"/>
      <c r="O740" s="125"/>
      <c r="P740" s="125"/>
      <c r="Q740" s="126"/>
      <c r="R740" s="126"/>
      <c r="S740" s="124"/>
      <c r="T740" s="125"/>
      <c r="U740" s="128"/>
      <c r="V740" s="128"/>
      <c r="W740" s="128"/>
      <c r="X740" s="128"/>
      <c r="Y740" s="128"/>
      <c r="Z740" s="128"/>
    </row>
    <row r="741" spans="1:26" ht="12.5">
      <c r="A741" s="126"/>
      <c r="B741" s="125"/>
      <c r="C741" s="125"/>
      <c r="D741" s="130"/>
      <c r="E741" s="124"/>
      <c r="F741" s="124"/>
      <c r="G741" s="125"/>
      <c r="H741" s="126"/>
      <c r="I741" s="126"/>
      <c r="J741" s="125"/>
      <c r="K741" s="125"/>
      <c r="L741" s="125"/>
      <c r="M741" s="125"/>
      <c r="N741" s="125"/>
      <c r="O741" s="125"/>
      <c r="P741" s="125"/>
      <c r="Q741" s="126"/>
      <c r="R741" s="126"/>
      <c r="S741" s="124"/>
      <c r="T741" s="125"/>
      <c r="U741" s="128"/>
      <c r="V741" s="128"/>
      <c r="W741" s="128"/>
      <c r="X741" s="128"/>
      <c r="Y741" s="128"/>
      <c r="Z741" s="128"/>
    </row>
    <row r="742" spans="1:26" ht="12.5">
      <c r="A742" s="126"/>
      <c r="B742" s="125"/>
      <c r="C742" s="125"/>
      <c r="D742" s="130"/>
      <c r="E742" s="124"/>
      <c r="F742" s="124"/>
      <c r="G742" s="125"/>
      <c r="H742" s="126"/>
      <c r="I742" s="126"/>
      <c r="J742" s="125"/>
      <c r="K742" s="125"/>
      <c r="L742" s="125"/>
      <c r="M742" s="125"/>
      <c r="N742" s="125"/>
      <c r="O742" s="125"/>
      <c r="P742" s="125"/>
      <c r="Q742" s="126"/>
      <c r="R742" s="126"/>
      <c r="S742" s="124"/>
      <c r="T742" s="125"/>
      <c r="U742" s="128"/>
      <c r="V742" s="128"/>
      <c r="W742" s="128"/>
      <c r="X742" s="128"/>
      <c r="Y742" s="128"/>
      <c r="Z742" s="128"/>
    </row>
    <row r="743" spans="1:26" ht="12.5">
      <c r="A743" s="126"/>
      <c r="B743" s="125"/>
      <c r="C743" s="125"/>
      <c r="D743" s="130"/>
      <c r="E743" s="124"/>
      <c r="F743" s="124"/>
      <c r="G743" s="125"/>
      <c r="H743" s="126"/>
      <c r="I743" s="126"/>
      <c r="J743" s="125"/>
      <c r="K743" s="125"/>
      <c r="L743" s="125"/>
      <c r="M743" s="125"/>
      <c r="N743" s="125"/>
      <c r="O743" s="125"/>
      <c r="P743" s="125"/>
      <c r="Q743" s="126"/>
      <c r="R743" s="126"/>
      <c r="S743" s="124"/>
      <c r="T743" s="125"/>
      <c r="U743" s="128"/>
      <c r="V743" s="128"/>
      <c r="W743" s="128"/>
      <c r="X743" s="128"/>
      <c r="Y743" s="128"/>
      <c r="Z743" s="128"/>
    </row>
    <row r="744" spans="1:26" ht="12.5">
      <c r="A744" s="126"/>
      <c r="B744" s="125"/>
      <c r="C744" s="125"/>
      <c r="D744" s="130"/>
      <c r="E744" s="124"/>
      <c r="F744" s="124"/>
      <c r="G744" s="125"/>
      <c r="H744" s="126"/>
      <c r="I744" s="126"/>
      <c r="J744" s="125"/>
      <c r="K744" s="125"/>
      <c r="L744" s="125"/>
      <c r="M744" s="125"/>
      <c r="N744" s="125"/>
      <c r="O744" s="125"/>
      <c r="P744" s="125"/>
      <c r="Q744" s="126"/>
      <c r="R744" s="126"/>
      <c r="S744" s="124"/>
      <c r="T744" s="125"/>
      <c r="U744" s="128"/>
      <c r="V744" s="128"/>
      <c r="W744" s="128"/>
      <c r="X744" s="128"/>
      <c r="Y744" s="128"/>
      <c r="Z744" s="128"/>
    </row>
    <row r="745" spans="1:26" ht="12.5">
      <c r="A745" s="126"/>
      <c r="B745" s="125"/>
      <c r="C745" s="125"/>
      <c r="D745" s="130"/>
      <c r="E745" s="124"/>
      <c r="F745" s="124"/>
      <c r="G745" s="125"/>
      <c r="H745" s="126"/>
      <c r="I745" s="126"/>
      <c r="J745" s="125"/>
      <c r="K745" s="125"/>
      <c r="L745" s="125"/>
      <c r="M745" s="125"/>
      <c r="N745" s="125"/>
      <c r="O745" s="125"/>
      <c r="P745" s="125"/>
      <c r="Q745" s="126"/>
      <c r="R745" s="126"/>
      <c r="S745" s="124"/>
      <c r="T745" s="125"/>
      <c r="U745" s="128"/>
      <c r="V745" s="128"/>
      <c r="W745" s="128"/>
      <c r="X745" s="128"/>
      <c r="Y745" s="128"/>
      <c r="Z745" s="128"/>
    </row>
    <row r="746" spans="1:26" ht="12.5">
      <c r="A746" s="126"/>
      <c r="B746" s="125"/>
      <c r="C746" s="125"/>
      <c r="D746" s="130"/>
      <c r="E746" s="124"/>
      <c r="F746" s="124"/>
      <c r="G746" s="125"/>
      <c r="H746" s="126"/>
      <c r="I746" s="126"/>
      <c r="J746" s="125"/>
      <c r="K746" s="125"/>
      <c r="L746" s="125"/>
      <c r="M746" s="125"/>
      <c r="N746" s="125"/>
      <c r="O746" s="125"/>
      <c r="P746" s="125"/>
      <c r="Q746" s="126"/>
      <c r="R746" s="126"/>
      <c r="S746" s="124"/>
      <c r="T746" s="125"/>
      <c r="U746" s="128"/>
      <c r="V746" s="128"/>
      <c r="W746" s="128"/>
      <c r="X746" s="128"/>
      <c r="Y746" s="128"/>
      <c r="Z746" s="128"/>
    </row>
    <row r="747" spans="1:26" ht="12.5">
      <c r="A747" s="126"/>
      <c r="B747" s="125"/>
      <c r="C747" s="125"/>
      <c r="D747" s="130"/>
      <c r="E747" s="124"/>
      <c r="F747" s="124"/>
      <c r="G747" s="125"/>
      <c r="H747" s="126"/>
      <c r="I747" s="126"/>
      <c r="J747" s="125"/>
      <c r="K747" s="125"/>
      <c r="L747" s="125"/>
      <c r="M747" s="125"/>
      <c r="N747" s="125"/>
      <c r="O747" s="125"/>
      <c r="P747" s="125"/>
      <c r="Q747" s="126"/>
      <c r="R747" s="126"/>
      <c r="S747" s="124"/>
      <c r="T747" s="125"/>
      <c r="U747" s="128"/>
      <c r="V747" s="128"/>
      <c r="W747" s="128"/>
      <c r="X747" s="128"/>
      <c r="Y747" s="128"/>
      <c r="Z747" s="128"/>
    </row>
    <row r="748" spans="1:26" ht="12.5">
      <c r="A748" s="126"/>
      <c r="B748" s="125"/>
      <c r="C748" s="125"/>
      <c r="D748" s="130"/>
      <c r="E748" s="124"/>
      <c r="F748" s="124"/>
      <c r="G748" s="125"/>
      <c r="H748" s="126"/>
      <c r="I748" s="126"/>
      <c r="J748" s="125"/>
      <c r="K748" s="125"/>
      <c r="L748" s="125"/>
      <c r="M748" s="125"/>
      <c r="N748" s="125"/>
      <c r="O748" s="125"/>
      <c r="P748" s="125"/>
      <c r="Q748" s="126"/>
      <c r="R748" s="126"/>
      <c r="S748" s="124"/>
      <c r="T748" s="125"/>
      <c r="U748" s="128"/>
      <c r="V748" s="128"/>
      <c r="W748" s="128"/>
      <c r="X748" s="128"/>
      <c r="Y748" s="128"/>
      <c r="Z748" s="128"/>
    </row>
    <row r="749" spans="1:26" ht="12.5">
      <c r="A749" s="126"/>
      <c r="B749" s="125"/>
      <c r="C749" s="125"/>
      <c r="D749" s="130"/>
      <c r="E749" s="124"/>
      <c r="F749" s="124"/>
      <c r="G749" s="125"/>
      <c r="H749" s="126"/>
      <c r="I749" s="126"/>
      <c r="J749" s="125"/>
      <c r="K749" s="125"/>
      <c r="L749" s="125"/>
      <c r="M749" s="125"/>
      <c r="N749" s="125"/>
      <c r="O749" s="125"/>
      <c r="P749" s="125"/>
      <c r="Q749" s="126"/>
      <c r="R749" s="126"/>
      <c r="S749" s="124"/>
      <c r="T749" s="125"/>
      <c r="U749" s="128"/>
      <c r="V749" s="128"/>
      <c r="W749" s="128"/>
      <c r="X749" s="128"/>
      <c r="Y749" s="128"/>
      <c r="Z749" s="128"/>
    </row>
    <row r="750" spans="1:26" ht="12.5">
      <c r="A750" s="126"/>
      <c r="B750" s="125"/>
      <c r="C750" s="125"/>
      <c r="D750" s="130"/>
      <c r="E750" s="124"/>
      <c r="F750" s="124"/>
      <c r="G750" s="125"/>
      <c r="H750" s="126"/>
      <c r="I750" s="126"/>
      <c r="J750" s="125"/>
      <c r="K750" s="125"/>
      <c r="L750" s="125"/>
      <c r="M750" s="125"/>
      <c r="N750" s="125"/>
      <c r="O750" s="125"/>
      <c r="P750" s="125"/>
      <c r="Q750" s="126"/>
      <c r="R750" s="126"/>
      <c r="S750" s="124"/>
      <c r="T750" s="125"/>
      <c r="U750" s="128"/>
      <c r="V750" s="128"/>
      <c r="W750" s="128"/>
      <c r="X750" s="128"/>
      <c r="Y750" s="128"/>
      <c r="Z750" s="128"/>
    </row>
    <row r="751" spans="1:26" ht="12.5">
      <c r="A751" s="126"/>
      <c r="B751" s="125"/>
      <c r="C751" s="125"/>
      <c r="D751" s="130"/>
      <c r="E751" s="124"/>
      <c r="F751" s="124"/>
      <c r="G751" s="125"/>
      <c r="H751" s="126"/>
      <c r="I751" s="126"/>
      <c r="J751" s="125"/>
      <c r="K751" s="125"/>
      <c r="L751" s="125"/>
      <c r="M751" s="125"/>
      <c r="N751" s="125"/>
      <c r="O751" s="125"/>
      <c r="P751" s="125"/>
      <c r="Q751" s="126"/>
      <c r="R751" s="126"/>
      <c r="S751" s="124"/>
      <c r="T751" s="125"/>
      <c r="U751" s="128"/>
      <c r="V751" s="128"/>
      <c r="W751" s="128"/>
      <c r="X751" s="128"/>
      <c r="Y751" s="128"/>
      <c r="Z751" s="128"/>
    </row>
    <row r="752" spans="1:26" ht="12.5">
      <c r="A752" s="126"/>
      <c r="B752" s="125"/>
      <c r="C752" s="125"/>
      <c r="D752" s="130"/>
      <c r="E752" s="124"/>
      <c r="F752" s="124"/>
      <c r="G752" s="125"/>
      <c r="H752" s="126"/>
      <c r="I752" s="126"/>
      <c r="J752" s="125"/>
      <c r="K752" s="125"/>
      <c r="L752" s="125"/>
      <c r="M752" s="125"/>
      <c r="N752" s="125"/>
      <c r="O752" s="125"/>
      <c r="P752" s="125"/>
      <c r="Q752" s="126"/>
      <c r="R752" s="126"/>
      <c r="S752" s="124"/>
      <c r="T752" s="125"/>
      <c r="U752" s="128"/>
      <c r="V752" s="128"/>
      <c r="W752" s="128"/>
      <c r="X752" s="128"/>
      <c r="Y752" s="128"/>
      <c r="Z752" s="128"/>
    </row>
    <row r="753" spans="1:26" ht="12.5">
      <c r="A753" s="126"/>
      <c r="B753" s="125"/>
      <c r="C753" s="125"/>
      <c r="D753" s="130"/>
      <c r="E753" s="124"/>
      <c r="F753" s="124"/>
      <c r="G753" s="125"/>
      <c r="H753" s="126"/>
      <c r="I753" s="126"/>
      <c r="J753" s="125"/>
      <c r="K753" s="125"/>
      <c r="L753" s="125"/>
      <c r="M753" s="125"/>
      <c r="N753" s="125"/>
      <c r="O753" s="125"/>
      <c r="P753" s="125"/>
      <c r="Q753" s="126"/>
      <c r="R753" s="126"/>
      <c r="S753" s="124"/>
      <c r="T753" s="125"/>
      <c r="U753" s="128"/>
      <c r="V753" s="128"/>
      <c r="W753" s="128"/>
      <c r="X753" s="128"/>
      <c r="Y753" s="128"/>
      <c r="Z753" s="128"/>
    </row>
    <row r="754" spans="1:26" ht="12.5">
      <c r="A754" s="126"/>
      <c r="B754" s="125"/>
      <c r="C754" s="125"/>
      <c r="D754" s="130"/>
      <c r="E754" s="124"/>
      <c r="F754" s="124"/>
      <c r="G754" s="125"/>
      <c r="H754" s="126"/>
      <c r="I754" s="126"/>
      <c r="J754" s="125"/>
      <c r="K754" s="125"/>
      <c r="L754" s="125"/>
      <c r="M754" s="125"/>
      <c r="N754" s="125"/>
      <c r="O754" s="125"/>
      <c r="P754" s="125"/>
      <c r="Q754" s="126"/>
      <c r="R754" s="126"/>
      <c r="S754" s="124"/>
      <c r="T754" s="125"/>
      <c r="U754" s="128"/>
      <c r="V754" s="128"/>
      <c r="W754" s="128"/>
      <c r="X754" s="128"/>
      <c r="Y754" s="128"/>
      <c r="Z754" s="128"/>
    </row>
    <row r="755" spans="1:26" ht="12.5">
      <c r="A755" s="126"/>
      <c r="B755" s="125"/>
      <c r="C755" s="125"/>
      <c r="D755" s="130"/>
      <c r="E755" s="124"/>
      <c r="F755" s="124"/>
      <c r="G755" s="125"/>
      <c r="H755" s="126"/>
      <c r="I755" s="126"/>
      <c r="J755" s="125"/>
      <c r="K755" s="125"/>
      <c r="L755" s="125"/>
      <c r="M755" s="125"/>
      <c r="N755" s="125"/>
      <c r="O755" s="125"/>
      <c r="P755" s="125"/>
      <c r="Q755" s="126"/>
      <c r="R755" s="126"/>
      <c r="S755" s="124"/>
      <c r="T755" s="125"/>
      <c r="U755" s="128"/>
      <c r="V755" s="128"/>
      <c r="W755" s="128"/>
      <c r="X755" s="128"/>
      <c r="Y755" s="128"/>
      <c r="Z755" s="128"/>
    </row>
    <row r="756" spans="1:26" ht="12.5">
      <c r="A756" s="126"/>
      <c r="B756" s="125"/>
      <c r="C756" s="125"/>
      <c r="D756" s="130"/>
      <c r="E756" s="124"/>
      <c r="F756" s="124"/>
      <c r="G756" s="125"/>
      <c r="H756" s="126"/>
      <c r="I756" s="126"/>
      <c r="J756" s="125"/>
      <c r="K756" s="125"/>
      <c r="L756" s="125"/>
      <c r="M756" s="125"/>
      <c r="N756" s="125"/>
      <c r="O756" s="125"/>
      <c r="P756" s="125"/>
      <c r="Q756" s="126"/>
      <c r="R756" s="126"/>
      <c r="S756" s="124"/>
      <c r="T756" s="125"/>
      <c r="U756" s="128"/>
      <c r="V756" s="128"/>
      <c r="W756" s="128"/>
      <c r="X756" s="128"/>
      <c r="Y756" s="128"/>
      <c r="Z756" s="128"/>
    </row>
    <row r="757" spans="1:26" ht="12.5">
      <c r="A757" s="126"/>
      <c r="B757" s="125"/>
      <c r="C757" s="125"/>
      <c r="D757" s="130"/>
      <c r="E757" s="124"/>
      <c r="F757" s="124"/>
      <c r="G757" s="125"/>
      <c r="H757" s="126"/>
      <c r="I757" s="126"/>
      <c r="J757" s="125"/>
      <c r="K757" s="125"/>
      <c r="L757" s="125"/>
      <c r="M757" s="125"/>
      <c r="N757" s="125"/>
      <c r="O757" s="125"/>
      <c r="P757" s="125"/>
      <c r="Q757" s="126"/>
      <c r="R757" s="126"/>
      <c r="S757" s="124"/>
      <c r="T757" s="125"/>
      <c r="U757" s="128"/>
      <c r="V757" s="128"/>
      <c r="W757" s="128"/>
      <c r="X757" s="128"/>
      <c r="Y757" s="128"/>
      <c r="Z757" s="128"/>
    </row>
    <row r="758" spans="1:26" ht="12.5">
      <c r="A758" s="126"/>
      <c r="B758" s="125"/>
      <c r="C758" s="125"/>
      <c r="D758" s="130"/>
      <c r="E758" s="124"/>
      <c r="F758" s="124"/>
      <c r="G758" s="125"/>
      <c r="H758" s="126"/>
      <c r="I758" s="126"/>
      <c r="J758" s="125"/>
      <c r="K758" s="125"/>
      <c r="L758" s="125"/>
      <c r="M758" s="125"/>
      <c r="N758" s="125"/>
      <c r="O758" s="125"/>
      <c r="P758" s="125"/>
      <c r="Q758" s="126"/>
      <c r="R758" s="126"/>
      <c r="S758" s="124"/>
      <c r="T758" s="125"/>
      <c r="U758" s="128"/>
      <c r="V758" s="128"/>
      <c r="W758" s="128"/>
      <c r="X758" s="128"/>
      <c r="Y758" s="128"/>
      <c r="Z758" s="128"/>
    </row>
    <row r="759" spans="1:26" ht="12.5">
      <c r="A759" s="126"/>
      <c r="B759" s="125"/>
      <c r="C759" s="125"/>
      <c r="D759" s="130"/>
      <c r="E759" s="124"/>
      <c r="F759" s="124"/>
      <c r="G759" s="125"/>
      <c r="H759" s="126"/>
      <c r="I759" s="126"/>
      <c r="J759" s="125"/>
      <c r="K759" s="125"/>
      <c r="L759" s="125"/>
      <c r="M759" s="125"/>
      <c r="N759" s="125"/>
      <c r="O759" s="125"/>
      <c r="P759" s="125"/>
      <c r="Q759" s="126"/>
      <c r="R759" s="126"/>
      <c r="S759" s="124"/>
      <c r="T759" s="125"/>
      <c r="U759" s="128"/>
      <c r="V759" s="128"/>
      <c r="W759" s="128"/>
      <c r="X759" s="128"/>
      <c r="Y759" s="128"/>
      <c r="Z759" s="128"/>
    </row>
    <row r="760" spans="1:26" ht="12.5">
      <c r="A760" s="126"/>
      <c r="B760" s="125"/>
      <c r="C760" s="125"/>
      <c r="D760" s="130"/>
      <c r="E760" s="124"/>
      <c r="F760" s="124"/>
      <c r="G760" s="125"/>
      <c r="H760" s="126"/>
      <c r="I760" s="126"/>
      <c r="J760" s="125"/>
      <c r="K760" s="125"/>
      <c r="L760" s="125"/>
      <c r="M760" s="125"/>
      <c r="N760" s="125"/>
      <c r="O760" s="125"/>
      <c r="P760" s="125"/>
      <c r="Q760" s="126"/>
      <c r="R760" s="126"/>
      <c r="S760" s="124"/>
      <c r="T760" s="125"/>
      <c r="U760" s="128"/>
      <c r="V760" s="128"/>
      <c r="W760" s="128"/>
      <c r="X760" s="128"/>
      <c r="Y760" s="128"/>
      <c r="Z760" s="128"/>
    </row>
    <row r="761" spans="1:26" ht="12.5">
      <c r="A761" s="126"/>
      <c r="B761" s="125"/>
      <c r="C761" s="125"/>
      <c r="D761" s="130"/>
      <c r="E761" s="124"/>
      <c r="F761" s="124"/>
      <c r="G761" s="125"/>
      <c r="H761" s="126"/>
      <c r="I761" s="126"/>
      <c r="J761" s="125"/>
      <c r="K761" s="125"/>
      <c r="L761" s="125"/>
      <c r="M761" s="125"/>
      <c r="N761" s="125"/>
      <c r="O761" s="125"/>
      <c r="P761" s="125"/>
      <c r="Q761" s="126"/>
      <c r="R761" s="126"/>
      <c r="S761" s="124"/>
      <c r="T761" s="125"/>
      <c r="U761" s="128"/>
      <c r="V761" s="128"/>
      <c r="W761" s="128"/>
      <c r="X761" s="128"/>
      <c r="Y761" s="128"/>
      <c r="Z761" s="128"/>
    </row>
    <row r="762" spans="1:26" ht="12.5">
      <c r="A762" s="126"/>
      <c r="B762" s="125"/>
      <c r="C762" s="125"/>
      <c r="D762" s="130"/>
      <c r="E762" s="124"/>
      <c r="F762" s="124"/>
      <c r="G762" s="125"/>
      <c r="H762" s="126"/>
      <c r="I762" s="126"/>
      <c r="J762" s="125"/>
      <c r="K762" s="125"/>
      <c r="L762" s="125"/>
      <c r="M762" s="125"/>
      <c r="N762" s="125"/>
      <c r="O762" s="125"/>
      <c r="P762" s="125"/>
      <c r="Q762" s="126"/>
      <c r="R762" s="126"/>
      <c r="S762" s="124"/>
      <c r="T762" s="125"/>
      <c r="U762" s="128"/>
      <c r="V762" s="128"/>
      <c r="W762" s="128"/>
      <c r="X762" s="128"/>
      <c r="Y762" s="128"/>
      <c r="Z762" s="128"/>
    </row>
    <row r="763" spans="1:26" ht="12.5">
      <c r="A763" s="126"/>
      <c r="B763" s="125"/>
      <c r="C763" s="125"/>
      <c r="D763" s="130"/>
      <c r="E763" s="124"/>
      <c r="F763" s="124"/>
      <c r="G763" s="125"/>
      <c r="H763" s="126"/>
      <c r="I763" s="126"/>
      <c r="J763" s="125"/>
      <c r="K763" s="125"/>
      <c r="L763" s="125"/>
      <c r="M763" s="125"/>
      <c r="N763" s="125"/>
      <c r="O763" s="125"/>
      <c r="P763" s="125"/>
      <c r="Q763" s="126"/>
      <c r="R763" s="126"/>
      <c r="S763" s="124"/>
      <c r="T763" s="125"/>
      <c r="U763" s="128"/>
      <c r="V763" s="128"/>
      <c r="W763" s="128"/>
      <c r="X763" s="128"/>
      <c r="Y763" s="128"/>
      <c r="Z763" s="128"/>
    </row>
    <row r="764" spans="1:26" ht="12.5">
      <c r="A764" s="126"/>
      <c r="B764" s="125"/>
      <c r="C764" s="125"/>
      <c r="D764" s="130"/>
      <c r="E764" s="124"/>
      <c r="F764" s="124"/>
      <c r="G764" s="125"/>
      <c r="H764" s="126"/>
      <c r="I764" s="126"/>
      <c r="J764" s="125"/>
      <c r="K764" s="125"/>
      <c r="L764" s="125"/>
      <c r="M764" s="125"/>
      <c r="N764" s="125"/>
      <c r="O764" s="125"/>
      <c r="P764" s="125"/>
      <c r="Q764" s="126"/>
      <c r="R764" s="126"/>
      <c r="S764" s="124"/>
      <c r="T764" s="125"/>
      <c r="U764" s="128"/>
      <c r="V764" s="128"/>
      <c r="W764" s="128"/>
      <c r="X764" s="128"/>
      <c r="Y764" s="128"/>
      <c r="Z764" s="128"/>
    </row>
    <row r="765" spans="1:26" ht="12.5">
      <c r="A765" s="126"/>
      <c r="B765" s="125"/>
      <c r="C765" s="125"/>
      <c r="D765" s="130"/>
      <c r="E765" s="124"/>
      <c r="F765" s="124"/>
      <c r="G765" s="125"/>
      <c r="H765" s="126"/>
      <c r="I765" s="126"/>
      <c r="J765" s="125"/>
      <c r="K765" s="125"/>
      <c r="L765" s="125"/>
      <c r="M765" s="125"/>
      <c r="N765" s="125"/>
      <c r="O765" s="125"/>
      <c r="P765" s="125"/>
      <c r="Q765" s="126"/>
      <c r="R765" s="126"/>
      <c r="S765" s="124"/>
      <c r="T765" s="125"/>
      <c r="U765" s="128"/>
      <c r="V765" s="128"/>
      <c r="W765" s="128"/>
      <c r="X765" s="128"/>
      <c r="Y765" s="128"/>
      <c r="Z765" s="128"/>
    </row>
    <row r="766" spans="1:26" ht="12.5">
      <c r="A766" s="126"/>
      <c r="B766" s="125"/>
      <c r="C766" s="125"/>
      <c r="D766" s="130"/>
      <c r="E766" s="124"/>
      <c r="F766" s="124"/>
      <c r="G766" s="125"/>
      <c r="H766" s="126"/>
      <c r="I766" s="126"/>
      <c r="J766" s="125"/>
      <c r="K766" s="125"/>
      <c r="L766" s="125"/>
      <c r="M766" s="125"/>
      <c r="N766" s="125"/>
      <c r="O766" s="125"/>
      <c r="P766" s="125"/>
      <c r="Q766" s="126"/>
      <c r="R766" s="126"/>
      <c r="S766" s="124"/>
      <c r="T766" s="125"/>
      <c r="U766" s="128"/>
      <c r="V766" s="128"/>
      <c r="W766" s="128"/>
      <c r="X766" s="128"/>
      <c r="Y766" s="128"/>
      <c r="Z766" s="128"/>
    </row>
    <row r="767" spans="1:26" ht="12.5">
      <c r="A767" s="126"/>
      <c r="B767" s="125"/>
      <c r="C767" s="125"/>
      <c r="D767" s="130"/>
      <c r="E767" s="124"/>
      <c r="F767" s="124"/>
      <c r="G767" s="125"/>
      <c r="H767" s="126"/>
      <c r="I767" s="126"/>
      <c r="J767" s="125"/>
      <c r="K767" s="125"/>
      <c r="L767" s="125"/>
      <c r="M767" s="125"/>
      <c r="N767" s="125"/>
      <c r="O767" s="125"/>
      <c r="P767" s="125"/>
      <c r="Q767" s="126"/>
      <c r="R767" s="126"/>
      <c r="S767" s="124"/>
      <c r="T767" s="125"/>
      <c r="U767" s="128"/>
      <c r="V767" s="128"/>
      <c r="W767" s="128"/>
      <c r="X767" s="128"/>
      <c r="Y767" s="128"/>
      <c r="Z767" s="128"/>
    </row>
    <row r="768" spans="1:26" ht="12.5">
      <c r="A768" s="126"/>
      <c r="B768" s="125"/>
      <c r="C768" s="125"/>
      <c r="D768" s="130"/>
      <c r="E768" s="124"/>
      <c r="F768" s="124"/>
      <c r="G768" s="125"/>
      <c r="H768" s="126"/>
      <c r="I768" s="126"/>
      <c r="J768" s="125"/>
      <c r="K768" s="125"/>
      <c r="L768" s="125"/>
      <c r="M768" s="125"/>
      <c r="N768" s="125"/>
      <c r="O768" s="125"/>
      <c r="P768" s="125"/>
      <c r="Q768" s="126"/>
      <c r="R768" s="126"/>
      <c r="S768" s="124"/>
      <c r="T768" s="125"/>
      <c r="U768" s="128"/>
      <c r="V768" s="128"/>
      <c r="W768" s="128"/>
      <c r="X768" s="128"/>
      <c r="Y768" s="128"/>
      <c r="Z768" s="128"/>
    </row>
    <row r="769" spans="1:26" ht="12.5">
      <c r="A769" s="126"/>
      <c r="B769" s="125"/>
      <c r="C769" s="125"/>
      <c r="D769" s="130"/>
      <c r="E769" s="124"/>
      <c r="F769" s="124"/>
      <c r="G769" s="125"/>
      <c r="H769" s="126"/>
      <c r="I769" s="126"/>
      <c r="J769" s="125"/>
      <c r="K769" s="125"/>
      <c r="L769" s="125"/>
      <c r="M769" s="125"/>
      <c r="N769" s="125"/>
      <c r="O769" s="125"/>
      <c r="P769" s="125"/>
      <c r="Q769" s="126"/>
      <c r="R769" s="126"/>
      <c r="S769" s="124"/>
      <c r="T769" s="125"/>
      <c r="U769" s="128"/>
      <c r="V769" s="128"/>
      <c r="W769" s="128"/>
      <c r="X769" s="128"/>
      <c r="Y769" s="128"/>
      <c r="Z769" s="128"/>
    </row>
    <row r="770" spans="1:26" ht="12.5">
      <c r="A770" s="126"/>
      <c r="B770" s="125"/>
      <c r="C770" s="125"/>
      <c r="D770" s="130"/>
      <c r="E770" s="124"/>
      <c r="F770" s="124"/>
      <c r="G770" s="125"/>
      <c r="H770" s="126"/>
      <c r="I770" s="126"/>
      <c r="J770" s="125"/>
      <c r="K770" s="125"/>
      <c r="L770" s="125"/>
      <c r="M770" s="125"/>
      <c r="N770" s="125"/>
      <c r="O770" s="125"/>
      <c r="P770" s="125"/>
      <c r="Q770" s="126"/>
      <c r="R770" s="126"/>
      <c r="S770" s="124"/>
      <c r="T770" s="125"/>
      <c r="U770" s="128"/>
      <c r="V770" s="128"/>
      <c r="W770" s="128"/>
      <c r="X770" s="128"/>
      <c r="Y770" s="128"/>
      <c r="Z770" s="128"/>
    </row>
    <row r="771" spans="1:26" ht="12.5">
      <c r="A771" s="126"/>
      <c r="B771" s="125"/>
      <c r="C771" s="125"/>
      <c r="D771" s="130"/>
      <c r="E771" s="124"/>
      <c r="F771" s="124"/>
      <c r="G771" s="125"/>
      <c r="H771" s="126"/>
      <c r="I771" s="126"/>
      <c r="J771" s="125"/>
      <c r="K771" s="125"/>
      <c r="L771" s="125"/>
      <c r="M771" s="125"/>
      <c r="N771" s="125"/>
      <c r="O771" s="125"/>
      <c r="P771" s="125"/>
      <c r="Q771" s="126"/>
      <c r="R771" s="126"/>
      <c r="S771" s="124"/>
      <c r="T771" s="125"/>
      <c r="U771" s="128"/>
      <c r="V771" s="128"/>
      <c r="W771" s="128"/>
      <c r="X771" s="128"/>
      <c r="Y771" s="128"/>
      <c r="Z771" s="128"/>
    </row>
    <row r="772" spans="1:26" ht="12.5">
      <c r="A772" s="126"/>
      <c r="B772" s="125"/>
      <c r="C772" s="125"/>
      <c r="D772" s="130"/>
      <c r="E772" s="124"/>
      <c r="F772" s="124"/>
      <c r="G772" s="125"/>
      <c r="H772" s="126"/>
      <c r="I772" s="126"/>
      <c r="J772" s="125"/>
      <c r="K772" s="125"/>
      <c r="L772" s="125"/>
      <c r="M772" s="125"/>
      <c r="N772" s="125"/>
      <c r="O772" s="125"/>
      <c r="P772" s="125"/>
      <c r="Q772" s="126"/>
      <c r="R772" s="126"/>
      <c r="S772" s="124"/>
      <c r="T772" s="125"/>
      <c r="U772" s="128"/>
      <c r="V772" s="128"/>
      <c r="W772" s="128"/>
      <c r="X772" s="128"/>
      <c r="Y772" s="128"/>
      <c r="Z772" s="128"/>
    </row>
    <row r="773" spans="1:26" ht="12.5">
      <c r="A773" s="126"/>
      <c r="B773" s="125"/>
      <c r="C773" s="125"/>
      <c r="D773" s="130"/>
      <c r="E773" s="124"/>
      <c r="F773" s="124"/>
      <c r="G773" s="125"/>
      <c r="H773" s="126"/>
      <c r="I773" s="126"/>
      <c r="J773" s="125"/>
      <c r="K773" s="125"/>
      <c r="L773" s="125"/>
      <c r="M773" s="125"/>
      <c r="N773" s="125"/>
      <c r="O773" s="125"/>
      <c r="P773" s="125"/>
      <c r="Q773" s="126"/>
      <c r="R773" s="126"/>
      <c r="S773" s="124"/>
      <c r="T773" s="125"/>
      <c r="U773" s="128"/>
      <c r="V773" s="128"/>
      <c r="W773" s="128"/>
      <c r="X773" s="128"/>
      <c r="Y773" s="128"/>
      <c r="Z773" s="128"/>
    </row>
    <row r="774" spans="1:26" ht="12.5">
      <c r="A774" s="126"/>
      <c r="B774" s="125"/>
      <c r="C774" s="125"/>
      <c r="D774" s="130"/>
      <c r="E774" s="124"/>
      <c r="F774" s="124"/>
      <c r="G774" s="125"/>
      <c r="H774" s="126"/>
      <c r="I774" s="126"/>
      <c r="J774" s="125"/>
      <c r="K774" s="125"/>
      <c r="L774" s="125"/>
      <c r="M774" s="125"/>
      <c r="N774" s="125"/>
      <c r="O774" s="125"/>
      <c r="P774" s="125"/>
      <c r="Q774" s="126"/>
      <c r="R774" s="126"/>
      <c r="S774" s="124"/>
      <c r="T774" s="125"/>
      <c r="U774" s="128"/>
      <c r="V774" s="128"/>
      <c r="W774" s="128"/>
      <c r="X774" s="128"/>
      <c r="Y774" s="128"/>
      <c r="Z774" s="128"/>
    </row>
    <row r="775" spans="1:26" ht="12.5">
      <c r="A775" s="126"/>
      <c r="B775" s="125"/>
      <c r="C775" s="125"/>
      <c r="D775" s="130"/>
      <c r="E775" s="124"/>
      <c r="F775" s="124"/>
      <c r="G775" s="125"/>
      <c r="H775" s="126"/>
      <c r="I775" s="126"/>
      <c r="J775" s="125"/>
      <c r="K775" s="125"/>
      <c r="L775" s="125"/>
      <c r="M775" s="125"/>
      <c r="N775" s="125"/>
      <c r="O775" s="125"/>
      <c r="P775" s="125"/>
      <c r="Q775" s="126"/>
      <c r="R775" s="126"/>
      <c r="S775" s="124"/>
      <c r="T775" s="125"/>
      <c r="U775" s="128"/>
      <c r="V775" s="128"/>
      <c r="W775" s="128"/>
      <c r="X775" s="128"/>
      <c r="Y775" s="128"/>
      <c r="Z775" s="128"/>
    </row>
    <row r="776" spans="1:26" ht="12.5">
      <c r="A776" s="126"/>
      <c r="B776" s="125"/>
      <c r="C776" s="125"/>
      <c r="D776" s="130"/>
      <c r="E776" s="124"/>
      <c r="F776" s="124"/>
      <c r="G776" s="125"/>
      <c r="H776" s="126"/>
      <c r="I776" s="126"/>
      <c r="J776" s="125"/>
      <c r="K776" s="125"/>
      <c r="L776" s="125"/>
      <c r="M776" s="125"/>
      <c r="N776" s="125"/>
      <c r="O776" s="125"/>
      <c r="P776" s="125"/>
      <c r="Q776" s="126"/>
      <c r="R776" s="126"/>
      <c r="S776" s="124"/>
      <c r="T776" s="125"/>
      <c r="U776" s="128"/>
      <c r="V776" s="128"/>
      <c r="W776" s="128"/>
      <c r="X776" s="128"/>
      <c r="Y776" s="128"/>
      <c r="Z776" s="128"/>
    </row>
    <row r="777" spans="1:26" ht="12.5">
      <c r="A777" s="126"/>
      <c r="B777" s="125"/>
      <c r="C777" s="125"/>
      <c r="D777" s="130"/>
      <c r="E777" s="124"/>
      <c r="F777" s="124"/>
      <c r="G777" s="125"/>
      <c r="H777" s="126"/>
      <c r="I777" s="126"/>
      <c r="J777" s="125"/>
      <c r="K777" s="125"/>
      <c r="L777" s="125"/>
      <c r="M777" s="125"/>
      <c r="N777" s="125"/>
      <c r="O777" s="125"/>
      <c r="P777" s="125"/>
      <c r="Q777" s="126"/>
      <c r="R777" s="126"/>
      <c r="S777" s="124"/>
      <c r="T777" s="125"/>
      <c r="U777" s="128"/>
      <c r="V777" s="128"/>
      <c r="W777" s="128"/>
      <c r="X777" s="128"/>
      <c r="Y777" s="128"/>
      <c r="Z777" s="128"/>
    </row>
    <row r="778" spans="1:26" ht="12.5">
      <c r="A778" s="126"/>
      <c r="B778" s="125"/>
      <c r="C778" s="125"/>
      <c r="D778" s="130"/>
      <c r="E778" s="124"/>
      <c r="F778" s="124"/>
      <c r="G778" s="125"/>
      <c r="H778" s="126"/>
      <c r="I778" s="126"/>
      <c r="J778" s="125"/>
      <c r="K778" s="125"/>
      <c r="L778" s="125"/>
      <c r="M778" s="125"/>
      <c r="N778" s="125"/>
      <c r="O778" s="125"/>
      <c r="P778" s="125"/>
      <c r="Q778" s="126"/>
      <c r="R778" s="126"/>
      <c r="S778" s="124"/>
      <c r="T778" s="125"/>
      <c r="U778" s="128"/>
      <c r="V778" s="128"/>
      <c r="W778" s="128"/>
      <c r="X778" s="128"/>
      <c r="Y778" s="128"/>
      <c r="Z778" s="128"/>
    </row>
    <row r="779" spans="1:26" ht="12.5">
      <c r="A779" s="126"/>
      <c r="B779" s="125"/>
      <c r="C779" s="125"/>
      <c r="D779" s="130"/>
      <c r="E779" s="124"/>
      <c r="F779" s="124"/>
      <c r="G779" s="125"/>
      <c r="H779" s="126"/>
      <c r="I779" s="126"/>
      <c r="J779" s="125"/>
      <c r="K779" s="125"/>
      <c r="L779" s="125"/>
      <c r="M779" s="125"/>
      <c r="N779" s="125"/>
      <c r="O779" s="125"/>
      <c r="P779" s="125"/>
      <c r="Q779" s="126"/>
      <c r="R779" s="126"/>
      <c r="S779" s="124"/>
      <c r="T779" s="125"/>
      <c r="U779" s="128"/>
      <c r="V779" s="128"/>
      <c r="W779" s="128"/>
      <c r="X779" s="128"/>
      <c r="Y779" s="128"/>
      <c r="Z779" s="128"/>
    </row>
    <row r="780" spans="1:26" ht="12.5">
      <c r="A780" s="126"/>
      <c r="B780" s="125"/>
      <c r="C780" s="125"/>
      <c r="D780" s="130"/>
      <c r="E780" s="124"/>
      <c r="F780" s="124"/>
      <c r="G780" s="125"/>
      <c r="H780" s="126"/>
      <c r="I780" s="126"/>
      <c r="J780" s="125"/>
      <c r="K780" s="125"/>
      <c r="L780" s="125"/>
      <c r="M780" s="125"/>
      <c r="N780" s="125"/>
      <c r="O780" s="125"/>
      <c r="P780" s="125"/>
      <c r="Q780" s="126"/>
      <c r="R780" s="126"/>
      <c r="S780" s="124"/>
      <c r="T780" s="125"/>
      <c r="U780" s="128"/>
      <c r="V780" s="128"/>
      <c r="W780" s="128"/>
      <c r="X780" s="128"/>
      <c r="Y780" s="128"/>
      <c r="Z780" s="128"/>
    </row>
    <row r="781" spans="1:26" ht="12.5">
      <c r="A781" s="126"/>
      <c r="B781" s="125"/>
      <c r="C781" s="125"/>
      <c r="D781" s="130"/>
      <c r="E781" s="124"/>
      <c r="F781" s="124"/>
      <c r="G781" s="125"/>
      <c r="H781" s="126"/>
      <c r="I781" s="126"/>
      <c r="J781" s="125"/>
      <c r="K781" s="125"/>
      <c r="L781" s="125"/>
      <c r="M781" s="125"/>
      <c r="N781" s="125"/>
      <c r="O781" s="125"/>
      <c r="P781" s="125"/>
      <c r="Q781" s="126"/>
      <c r="R781" s="126"/>
      <c r="S781" s="124"/>
      <c r="T781" s="125"/>
      <c r="U781" s="128"/>
      <c r="V781" s="128"/>
      <c r="W781" s="128"/>
      <c r="X781" s="128"/>
      <c r="Y781" s="128"/>
      <c r="Z781" s="128"/>
    </row>
    <row r="782" spans="1:26" ht="12.5">
      <c r="A782" s="126"/>
      <c r="B782" s="125"/>
      <c r="C782" s="125"/>
      <c r="D782" s="130"/>
      <c r="E782" s="124"/>
      <c r="F782" s="124"/>
      <c r="G782" s="125"/>
      <c r="H782" s="126"/>
      <c r="I782" s="126"/>
      <c r="J782" s="125"/>
      <c r="K782" s="125"/>
      <c r="L782" s="125"/>
      <c r="M782" s="125"/>
      <c r="N782" s="125"/>
      <c r="O782" s="125"/>
      <c r="P782" s="125"/>
      <c r="Q782" s="126"/>
      <c r="R782" s="126"/>
      <c r="S782" s="124"/>
      <c r="T782" s="125"/>
      <c r="U782" s="128"/>
      <c r="V782" s="128"/>
      <c r="W782" s="128"/>
      <c r="X782" s="128"/>
      <c r="Y782" s="128"/>
      <c r="Z782" s="128"/>
    </row>
    <row r="783" spans="1:26" ht="12.5">
      <c r="A783" s="126"/>
      <c r="B783" s="125"/>
      <c r="C783" s="125"/>
      <c r="D783" s="130"/>
      <c r="E783" s="124"/>
      <c r="F783" s="124"/>
      <c r="G783" s="125"/>
      <c r="H783" s="126"/>
      <c r="I783" s="126"/>
      <c r="J783" s="125"/>
      <c r="K783" s="125"/>
      <c r="L783" s="125"/>
      <c r="M783" s="125"/>
      <c r="N783" s="125"/>
      <c r="O783" s="125"/>
      <c r="P783" s="125"/>
      <c r="Q783" s="126"/>
      <c r="R783" s="126"/>
      <c r="S783" s="124"/>
      <c r="T783" s="125"/>
      <c r="U783" s="128"/>
      <c r="V783" s="128"/>
      <c r="W783" s="128"/>
      <c r="X783" s="128"/>
      <c r="Y783" s="128"/>
      <c r="Z783" s="128"/>
    </row>
    <row r="784" spans="1:26" ht="12.5">
      <c r="A784" s="126"/>
      <c r="B784" s="125"/>
      <c r="C784" s="125"/>
      <c r="D784" s="130"/>
      <c r="E784" s="124"/>
      <c r="F784" s="124"/>
      <c r="G784" s="125"/>
      <c r="H784" s="126"/>
      <c r="I784" s="126"/>
      <c r="J784" s="125"/>
      <c r="K784" s="125"/>
      <c r="L784" s="125"/>
      <c r="M784" s="125"/>
      <c r="N784" s="125"/>
      <c r="O784" s="125"/>
      <c r="P784" s="125"/>
      <c r="Q784" s="126"/>
      <c r="R784" s="126"/>
      <c r="S784" s="124"/>
      <c r="T784" s="125"/>
      <c r="U784" s="128"/>
      <c r="V784" s="128"/>
      <c r="W784" s="128"/>
      <c r="X784" s="128"/>
      <c r="Y784" s="128"/>
      <c r="Z784" s="128"/>
    </row>
    <row r="785" spans="1:26" ht="12.5">
      <c r="A785" s="126"/>
      <c r="B785" s="125"/>
      <c r="C785" s="125"/>
      <c r="D785" s="130"/>
      <c r="E785" s="124"/>
      <c r="F785" s="124"/>
      <c r="G785" s="125"/>
      <c r="H785" s="126"/>
      <c r="I785" s="126"/>
      <c r="J785" s="125"/>
      <c r="K785" s="125"/>
      <c r="L785" s="125"/>
      <c r="M785" s="125"/>
      <c r="N785" s="125"/>
      <c r="O785" s="125"/>
      <c r="P785" s="125"/>
      <c r="Q785" s="126"/>
      <c r="R785" s="126"/>
      <c r="S785" s="124"/>
      <c r="T785" s="125"/>
      <c r="U785" s="128"/>
      <c r="V785" s="128"/>
      <c r="W785" s="128"/>
      <c r="X785" s="128"/>
      <c r="Y785" s="128"/>
      <c r="Z785" s="128"/>
    </row>
    <row r="786" spans="1:26" ht="12.5">
      <c r="A786" s="126"/>
      <c r="B786" s="125"/>
      <c r="C786" s="125"/>
      <c r="D786" s="130"/>
      <c r="E786" s="124"/>
      <c r="F786" s="124"/>
      <c r="G786" s="125"/>
      <c r="H786" s="126"/>
      <c r="I786" s="126"/>
      <c r="J786" s="125"/>
      <c r="K786" s="125"/>
      <c r="L786" s="125"/>
      <c r="M786" s="125"/>
      <c r="N786" s="125"/>
      <c r="O786" s="125"/>
      <c r="P786" s="125"/>
      <c r="Q786" s="126"/>
      <c r="R786" s="126"/>
      <c r="S786" s="124"/>
      <c r="T786" s="125"/>
      <c r="U786" s="128"/>
      <c r="V786" s="128"/>
      <c r="W786" s="128"/>
      <c r="X786" s="128"/>
      <c r="Y786" s="128"/>
      <c r="Z786" s="128"/>
    </row>
    <row r="787" spans="1:26" ht="12.5">
      <c r="A787" s="126"/>
      <c r="B787" s="125"/>
      <c r="C787" s="125"/>
      <c r="D787" s="130"/>
      <c r="E787" s="124"/>
      <c r="F787" s="124"/>
      <c r="G787" s="125"/>
      <c r="H787" s="126"/>
      <c r="I787" s="126"/>
      <c r="J787" s="125"/>
      <c r="K787" s="125"/>
      <c r="L787" s="125"/>
      <c r="M787" s="125"/>
      <c r="N787" s="125"/>
      <c r="O787" s="125"/>
      <c r="P787" s="125"/>
      <c r="Q787" s="126"/>
      <c r="R787" s="126"/>
      <c r="S787" s="124"/>
      <c r="T787" s="125"/>
      <c r="U787" s="128"/>
      <c r="V787" s="128"/>
      <c r="W787" s="128"/>
      <c r="X787" s="128"/>
      <c r="Y787" s="128"/>
      <c r="Z787" s="128"/>
    </row>
    <row r="788" spans="1:26" ht="12.5">
      <c r="A788" s="126"/>
      <c r="B788" s="125"/>
      <c r="C788" s="125"/>
      <c r="D788" s="130"/>
      <c r="E788" s="124"/>
      <c r="F788" s="124"/>
      <c r="G788" s="125"/>
      <c r="H788" s="126"/>
      <c r="I788" s="126"/>
      <c r="J788" s="125"/>
      <c r="K788" s="125"/>
      <c r="L788" s="125"/>
      <c r="M788" s="125"/>
      <c r="N788" s="125"/>
      <c r="O788" s="125"/>
      <c r="P788" s="125"/>
      <c r="Q788" s="126"/>
      <c r="R788" s="126"/>
      <c r="S788" s="124"/>
      <c r="T788" s="125"/>
      <c r="U788" s="128"/>
      <c r="V788" s="128"/>
      <c r="W788" s="128"/>
      <c r="X788" s="128"/>
      <c r="Y788" s="128"/>
      <c r="Z788" s="128"/>
    </row>
    <row r="789" spans="1:26" ht="12.5">
      <c r="A789" s="126"/>
      <c r="B789" s="125"/>
      <c r="C789" s="125"/>
      <c r="D789" s="130"/>
      <c r="E789" s="124"/>
      <c r="F789" s="124"/>
      <c r="G789" s="125"/>
      <c r="H789" s="126"/>
      <c r="I789" s="126"/>
      <c r="J789" s="125"/>
      <c r="K789" s="125"/>
      <c r="L789" s="125"/>
      <c r="M789" s="125"/>
      <c r="N789" s="125"/>
      <c r="O789" s="125"/>
      <c r="P789" s="125"/>
      <c r="Q789" s="126"/>
      <c r="R789" s="126"/>
      <c r="S789" s="124"/>
      <c r="T789" s="125"/>
      <c r="U789" s="128"/>
      <c r="V789" s="128"/>
      <c r="W789" s="128"/>
      <c r="X789" s="128"/>
      <c r="Y789" s="128"/>
      <c r="Z789" s="128"/>
    </row>
    <row r="790" spans="1:26" ht="12.5">
      <c r="A790" s="126"/>
      <c r="B790" s="125"/>
      <c r="C790" s="125"/>
      <c r="D790" s="130"/>
      <c r="E790" s="124"/>
      <c r="F790" s="124"/>
      <c r="G790" s="125"/>
      <c r="H790" s="126"/>
      <c r="I790" s="126"/>
      <c r="J790" s="125"/>
      <c r="K790" s="125"/>
      <c r="L790" s="125"/>
      <c r="M790" s="125"/>
      <c r="N790" s="125"/>
      <c r="O790" s="125"/>
      <c r="P790" s="125"/>
      <c r="Q790" s="126"/>
      <c r="R790" s="126"/>
      <c r="S790" s="124"/>
      <c r="T790" s="125"/>
      <c r="U790" s="128"/>
      <c r="V790" s="128"/>
      <c r="W790" s="128"/>
      <c r="X790" s="128"/>
      <c r="Y790" s="128"/>
      <c r="Z790" s="128"/>
    </row>
    <row r="791" spans="1:26" ht="12.5">
      <c r="A791" s="126"/>
      <c r="B791" s="125"/>
      <c r="C791" s="125"/>
      <c r="D791" s="130"/>
      <c r="E791" s="124"/>
      <c r="F791" s="124"/>
      <c r="G791" s="125"/>
      <c r="H791" s="126"/>
      <c r="I791" s="126"/>
      <c r="J791" s="125"/>
      <c r="K791" s="125"/>
      <c r="L791" s="125"/>
      <c r="M791" s="125"/>
      <c r="N791" s="125"/>
      <c r="O791" s="125"/>
      <c r="P791" s="125"/>
      <c r="Q791" s="126"/>
      <c r="R791" s="126"/>
      <c r="S791" s="124"/>
      <c r="T791" s="125"/>
      <c r="U791" s="128"/>
      <c r="V791" s="128"/>
      <c r="W791" s="128"/>
      <c r="X791" s="128"/>
      <c r="Y791" s="128"/>
      <c r="Z791" s="128"/>
    </row>
    <row r="792" spans="1:26" ht="12.5">
      <c r="A792" s="126"/>
      <c r="B792" s="125"/>
      <c r="C792" s="125"/>
      <c r="D792" s="130"/>
      <c r="E792" s="124"/>
      <c r="F792" s="124"/>
      <c r="G792" s="125"/>
      <c r="H792" s="126"/>
      <c r="I792" s="126"/>
      <c r="J792" s="125"/>
      <c r="K792" s="125"/>
      <c r="L792" s="125"/>
      <c r="M792" s="125"/>
      <c r="N792" s="125"/>
      <c r="O792" s="125"/>
      <c r="P792" s="125"/>
      <c r="Q792" s="126"/>
      <c r="R792" s="126"/>
      <c r="S792" s="124"/>
      <c r="T792" s="125"/>
      <c r="U792" s="128"/>
      <c r="V792" s="128"/>
      <c r="W792" s="128"/>
      <c r="X792" s="128"/>
      <c r="Y792" s="128"/>
      <c r="Z792" s="128"/>
    </row>
    <row r="793" spans="1:26" ht="12.5">
      <c r="A793" s="126"/>
      <c r="B793" s="125"/>
      <c r="C793" s="125"/>
      <c r="D793" s="130"/>
      <c r="E793" s="124"/>
      <c r="F793" s="124"/>
      <c r="G793" s="125"/>
      <c r="H793" s="126"/>
      <c r="I793" s="126"/>
      <c r="J793" s="125"/>
      <c r="K793" s="125"/>
      <c r="L793" s="125"/>
      <c r="M793" s="125"/>
      <c r="N793" s="125"/>
      <c r="O793" s="125"/>
      <c r="P793" s="125"/>
      <c r="Q793" s="126"/>
      <c r="R793" s="126"/>
      <c r="S793" s="124"/>
      <c r="T793" s="125"/>
      <c r="U793" s="128"/>
      <c r="V793" s="128"/>
      <c r="W793" s="128"/>
      <c r="X793" s="128"/>
      <c r="Y793" s="128"/>
      <c r="Z793" s="128"/>
    </row>
    <row r="794" spans="1:26" ht="12.5">
      <c r="A794" s="126"/>
      <c r="B794" s="125"/>
      <c r="C794" s="125"/>
      <c r="D794" s="130"/>
      <c r="E794" s="124"/>
      <c r="F794" s="124"/>
      <c r="G794" s="125"/>
      <c r="H794" s="126"/>
      <c r="I794" s="126"/>
      <c r="J794" s="125"/>
      <c r="K794" s="125"/>
      <c r="L794" s="125"/>
      <c r="M794" s="125"/>
      <c r="N794" s="125"/>
      <c r="O794" s="125"/>
      <c r="P794" s="125"/>
      <c r="Q794" s="126"/>
      <c r="R794" s="126"/>
      <c r="S794" s="124"/>
      <c r="T794" s="125"/>
      <c r="U794" s="128"/>
      <c r="V794" s="128"/>
      <c r="W794" s="128"/>
      <c r="X794" s="128"/>
      <c r="Y794" s="128"/>
      <c r="Z794" s="128"/>
    </row>
    <row r="795" spans="1:26" ht="12.5">
      <c r="A795" s="126"/>
      <c r="B795" s="125"/>
      <c r="C795" s="125"/>
      <c r="D795" s="130"/>
      <c r="E795" s="124"/>
      <c r="F795" s="124"/>
      <c r="G795" s="125"/>
      <c r="H795" s="126"/>
      <c r="I795" s="126"/>
      <c r="J795" s="125"/>
      <c r="K795" s="125"/>
      <c r="L795" s="125"/>
      <c r="M795" s="125"/>
      <c r="N795" s="125"/>
      <c r="O795" s="125"/>
      <c r="P795" s="125"/>
      <c r="Q795" s="126"/>
      <c r="R795" s="126"/>
      <c r="S795" s="124"/>
      <c r="T795" s="125"/>
      <c r="U795" s="128"/>
      <c r="V795" s="128"/>
      <c r="W795" s="128"/>
      <c r="X795" s="128"/>
      <c r="Y795" s="128"/>
      <c r="Z795" s="128"/>
    </row>
    <row r="796" spans="1:26" ht="12.5">
      <c r="A796" s="126"/>
      <c r="B796" s="125"/>
      <c r="C796" s="125"/>
      <c r="D796" s="130"/>
      <c r="E796" s="124"/>
      <c r="F796" s="124"/>
      <c r="G796" s="125"/>
      <c r="H796" s="126"/>
      <c r="I796" s="126"/>
      <c r="J796" s="125"/>
      <c r="K796" s="125"/>
      <c r="L796" s="125"/>
      <c r="M796" s="125"/>
      <c r="N796" s="125"/>
      <c r="O796" s="125"/>
      <c r="P796" s="125"/>
      <c r="Q796" s="126"/>
      <c r="R796" s="126"/>
      <c r="S796" s="124"/>
      <c r="T796" s="125"/>
      <c r="U796" s="128"/>
      <c r="V796" s="128"/>
      <c r="W796" s="128"/>
      <c r="X796" s="128"/>
      <c r="Y796" s="128"/>
      <c r="Z796" s="128"/>
    </row>
    <row r="797" spans="1:26" ht="12.5">
      <c r="A797" s="126"/>
      <c r="B797" s="125"/>
      <c r="C797" s="125"/>
      <c r="D797" s="130"/>
      <c r="E797" s="124"/>
      <c r="F797" s="124"/>
      <c r="G797" s="125"/>
      <c r="H797" s="126"/>
      <c r="I797" s="126"/>
      <c r="J797" s="125"/>
      <c r="K797" s="125"/>
      <c r="L797" s="125"/>
      <c r="M797" s="125"/>
      <c r="N797" s="125"/>
      <c r="O797" s="125"/>
      <c r="P797" s="125"/>
      <c r="Q797" s="126"/>
      <c r="R797" s="126"/>
      <c r="S797" s="124"/>
      <c r="T797" s="125"/>
      <c r="U797" s="128"/>
      <c r="V797" s="128"/>
      <c r="W797" s="128"/>
      <c r="X797" s="128"/>
      <c r="Y797" s="128"/>
      <c r="Z797" s="128"/>
    </row>
    <row r="798" spans="1:26" ht="12.5">
      <c r="A798" s="126"/>
      <c r="B798" s="125"/>
      <c r="C798" s="125"/>
      <c r="D798" s="130"/>
      <c r="E798" s="124"/>
      <c r="F798" s="124"/>
      <c r="G798" s="125"/>
      <c r="H798" s="126"/>
      <c r="I798" s="126"/>
      <c r="J798" s="125"/>
      <c r="K798" s="125"/>
      <c r="L798" s="125"/>
      <c r="M798" s="125"/>
      <c r="N798" s="125"/>
      <c r="O798" s="125"/>
      <c r="P798" s="125"/>
      <c r="Q798" s="126"/>
      <c r="R798" s="126"/>
      <c r="S798" s="124"/>
      <c r="T798" s="125"/>
      <c r="U798" s="128"/>
      <c r="V798" s="128"/>
      <c r="W798" s="128"/>
      <c r="X798" s="128"/>
      <c r="Y798" s="128"/>
      <c r="Z798" s="128"/>
    </row>
    <row r="799" spans="1:26" ht="12.5">
      <c r="A799" s="126"/>
      <c r="B799" s="125"/>
      <c r="C799" s="125"/>
      <c r="D799" s="130"/>
      <c r="E799" s="124"/>
      <c r="F799" s="124"/>
      <c r="G799" s="125"/>
      <c r="H799" s="126"/>
      <c r="I799" s="126"/>
      <c r="J799" s="125"/>
      <c r="K799" s="125"/>
      <c r="L799" s="125"/>
      <c r="M799" s="125"/>
      <c r="N799" s="125"/>
      <c r="O799" s="125"/>
      <c r="P799" s="125"/>
      <c r="Q799" s="126"/>
      <c r="R799" s="126"/>
      <c r="S799" s="124"/>
      <c r="T799" s="125"/>
      <c r="U799" s="128"/>
      <c r="V799" s="128"/>
      <c r="W799" s="128"/>
      <c r="X799" s="128"/>
      <c r="Y799" s="128"/>
      <c r="Z799" s="128"/>
    </row>
    <row r="800" spans="1:26" ht="12.5">
      <c r="A800" s="126"/>
      <c r="B800" s="125"/>
      <c r="C800" s="125"/>
      <c r="D800" s="130"/>
      <c r="E800" s="124"/>
      <c r="F800" s="124"/>
      <c r="G800" s="125"/>
      <c r="H800" s="126"/>
      <c r="I800" s="126"/>
      <c r="J800" s="125"/>
      <c r="K800" s="125"/>
      <c r="L800" s="125"/>
      <c r="M800" s="125"/>
      <c r="N800" s="125"/>
      <c r="O800" s="125"/>
      <c r="P800" s="125"/>
      <c r="Q800" s="126"/>
      <c r="R800" s="126"/>
      <c r="S800" s="124"/>
      <c r="T800" s="125"/>
      <c r="U800" s="128"/>
      <c r="V800" s="128"/>
      <c r="W800" s="128"/>
      <c r="X800" s="128"/>
      <c r="Y800" s="128"/>
      <c r="Z800" s="128"/>
    </row>
    <row r="801" spans="1:26" ht="12.5">
      <c r="A801" s="126"/>
      <c r="B801" s="125"/>
      <c r="C801" s="125"/>
      <c r="D801" s="130"/>
      <c r="E801" s="124"/>
      <c r="F801" s="124"/>
      <c r="G801" s="125"/>
      <c r="H801" s="126"/>
      <c r="I801" s="126"/>
      <c r="J801" s="125"/>
      <c r="K801" s="125"/>
      <c r="L801" s="125"/>
      <c r="M801" s="125"/>
      <c r="N801" s="125"/>
      <c r="O801" s="125"/>
      <c r="P801" s="125"/>
      <c r="Q801" s="126"/>
      <c r="R801" s="126"/>
      <c r="S801" s="124"/>
      <c r="T801" s="125"/>
      <c r="U801" s="128"/>
      <c r="V801" s="128"/>
      <c r="W801" s="128"/>
      <c r="X801" s="128"/>
      <c r="Y801" s="128"/>
      <c r="Z801" s="128"/>
    </row>
    <row r="802" spans="1:26" ht="12.5">
      <c r="A802" s="126"/>
      <c r="B802" s="125"/>
      <c r="C802" s="125"/>
      <c r="D802" s="130"/>
      <c r="E802" s="124"/>
      <c r="F802" s="124"/>
      <c r="G802" s="125"/>
      <c r="H802" s="126"/>
      <c r="I802" s="126"/>
      <c r="J802" s="125"/>
      <c r="K802" s="125"/>
      <c r="L802" s="125"/>
      <c r="M802" s="125"/>
      <c r="N802" s="125"/>
      <c r="O802" s="125"/>
      <c r="P802" s="125"/>
      <c r="Q802" s="126"/>
      <c r="R802" s="126"/>
      <c r="S802" s="124"/>
      <c r="T802" s="125"/>
      <c r="U802" s="128"/>
      <c r="V802" s="128"/>
      <c r="W802" s="128"/>
      <c r="X802" s="128"/>
      <c r="Y802" s="128"/>
      <c r="Z802" s="128"/>
    </row>
    <row r="803" spans="1:26" ht="12.5">
      <c r="A803" s="126"/>
      <c r="B803" s="125"/>
      <c r="C803" s="125"/>
      <c r="D803" s="130"/>
      <c r="E803" s="124"/>
      <c r="F803" s="124"/>
      <c r="G803" s="125"/>
      <c r="H803" s="126"/>
      <c r="I803" s="126"/>
      <c r="J803" s="125"/>
      <c r="K803" s="125"/>
      <c r="L803" s="125"/>
      <c r="M803" s="125"/>
      <c r="N803" s="125"/>
      <c r="O803" s="125"/>
      <c r="P803" s="125"/>
      <c r="Q803" s="126"/>
      <c r="R803" s="126"/>
      <c r="S803" s="124"/>
      <c r="T803" s="125"/>
      <c r="U803" s="128"/>
      <c r="V803" s="128"/>
      <c r="W803" s="128"/>
      <c r="X803" s="128"/>
      <c r="Y803" s="128"/>
      <c r="Z803" s="128"/>
    </row>
    <row r="804" spans="1:26" ht="12.5">
      <c r="A804" s="126"/>
      <c r="B804" s="125"/>
      <c r="C804" s="125"/>
      <c r="D804" s="130"/>
      <c r="E804" s="124"/>
      <c r="F804" s="124"/>
      <c r="G804" s="125"/>
      <c r="H804" s="126"/>
      <c r="I804" s="126"/>
      <c r="J804" s="125"/>
      <c r="K804" s="125"/>
      <c r="L804" s="125"/>
      <c r="M804" s="125"/>
      <c r="N804" s="125"/>
      <c r="O804" s="125"/>
      <c r="P804" s="125"/>
      <c r="Q804" s="126"/>
      <c r="R804" s="126"/>
      <c r="S804" s="124"/>
      <c r="T804" s="125"/>
      <c r="U804" s="128"/>
      <c r="V804" s="128"/>
      <c r="W804" s="128"/>
      <c r="X804" s="128"/>
      <c r="Y804" s="128"/>
      <c r="Z804" s="128"/>
    </row>
    <row r="805" spans="1:26" ht="12.5">
      <c r="A805" s="126"/>
      <c r="B805" s="125"/>
      <c r="C805" s="125"/>
      <c r="D805" s="130"/>
      <c r="E805" s="124"/>
      <c r="F805" s="124"/>
      <c r="G805" s="125"/>
      <c r="H805" s="126"/>
      <c r="I805" s="126"/>
      <c r="J805" s="125"/>
      <c r="K805" s="125"/>
      <c r="L805" s="125"/>
      <c r="M805" s="125"/>
      <c r="N805" s="125"/>
      <c r="O805" s="125"/>
      <c r="P805" s="125"/>
      <c r="Q805" s="126"/>
      <c r="R805" s="126"/>
      <c r="S805" s="124"/>
      <c r="T805" s="125"/>
      <c r="U805" s="128"/>
      <c r="V805" s="128"/>
      <c r="W805" s="128"/>
      <c r="X805" s="128"/>
      <c r="Y805" s="128"/>
      <c r="Z805" s="128"/>
    </row>
    <row r="806" spans="1:26" ht="12.5">
      <c r="A806" s="126"/>
      <c r="B806" s="125"/>
      <c r="C806" s="125"/>
      <c r="D806" s="130"/>
      <c r="E806" s="124"/>
      <c r="F806" s="124"/>
      <c r="G806" s="125"/>
      <c r="H806" s="126"/>
      <c r="I806" s="126"/>
      <c r="J806" s="125"/>
      <c r="K806" s="125"/>
      <c r="L806" s="125"/>
      <c r="M806" s="125"/>
      <c r="N806" s="125"/>
      <c r="O806" s="125"/>
      <c r="P806" s="125"/>
      <c r="Q806" s="126"/>
      <c r="R806" s="126"/>
      <c r="S806" s="124"/>
      <c r="T806" s="125"/>
      <c r="U806" s="128"/>
      <c r="V806" s="128"/>
      <c r="W806" s="128"/>
      <c r="X806" s="128"/>
      <c r="Y806" s="128"/>
      <c r="Z806" s="128"/>
    </row>
    <row r="807" spans="1:26" ht="12.5">
      <c r="A807" s="126"/>
      <c r="B807" s="125"/>
      <c r="C807" s="125"/>
      <c r="D807" s="130"/>
      <c r="E807" s="124"/>
      <c r="F807" s="124"/>
      <c r="G807" s="125"/>
      <c r="H807" s="126"/>
      <c r="I807" s="126"/>
      <c r="J807" s="125"/>
      <c r="K807" s="125"/>
      <c r="L807" s="125"/>
      <c r="M807" s="125"/>
      <c r="N807" s="125"/>
      <c r="O807" s="125"/>
      <c r="P807" s="125"/>
      <c r="Q807" s="126"/>
      <c r="R807" s="126"/>
      <c r="S807" s="124"/>
      <c r="T807" s="125"/>
      <c r="U807" s="128"/>
      <c r="V807" s="128"/>
      <c r="W807" s="128"/>
      <c r="X807" s="128"/>
      <c r="Y807" s="128"/>
      <c r="Z807" s="128"/>
    </row>
    <row r="808" spans="1:26" ht="12.5">
      <c r="A808" s="126"/>
      <c r="B808" s="125"/>
      <c r="C808" s="125"/>
      <c r="D808" s="130"/>
      <c r="E808" s="124"/>
      <c r="F808" s="124"/>
      <c r="G808" s="125"/>
      <c r="H808" s="126"/>
      <c r="I808" s="126"/>
      <c r="J808" s="125"/>
      <c r="K808" s="125"/>
      <c r="L808" s="125"/>
      <c r="M808" s="125"/>
      <c r="N808" s="125"/>
      <c r="O808" s="125"/>
      <c r="P808" s="125"/>
      <c r="Q808" s="126"/>
      <c r="R808" s="126"/>
      <c r="S808" s="124"/>
      <c r="T808" s="125"/>
      <c r="U808" s="128"/>
      <c r="V808" s="128"/>
      <c r="W808" s="128"/>
      <c r="X808" s="128"/>
      <c r="Y808" s="128"/>
      <c r="Z808" s="128"/>
    </row>
    <row r="809" spans="1:26" ht="12.5">
      <c r="A809" s="126"/>
      <c r="B809" s="125"/>
      <c r="C809" s="125"/>
      <c r="D809" s="130"/>
      <c r="E809" s="124"/>
      <c r="F809" s="124"/>
      <c r="G809" s="125"/>
      <c r="H809" s="126"/>
      <c r="I809" s="126"/>
      <c r="J809" s="125"/>
      <c r="K809" s="125"/>
      <c r="L809" s="125"/>
      <c r="M809" s="125"/>
      <c r="N809" s="125"/>
      <c r="O809" s="125"/>
      <c r="P809" s="125"/>
      <c r="Q809" s="126"/>
      <c r="R809" s="126"/>
      <c r="S809" s="124"/>
      <c r="T809" s="125"/>
      <c r="U809" s="128"/>
      <c r="V809" s="128"/>
      <c r="W809" s="128"/>
      <c r="X809" s="128"/>
      <c r="Y809" s="128"/>
      <c r="Z809" s="128"/>
    </row>
    <row r="810" spans="1:26" ht="12.5">
      <c r="A810" s="126"/>
      <c r="B810" s="125"/>
      <c r="C810" s="125"/>
      <c r="D810" s="130"/>
      <c r="E810" s="124"/>
      <c r="F810" s="124"/>
      <c r="G810" s="125"/>
      <c r="H810" s="126"/>
      <c r="I810" s="126"/>
      <c r="J810" s="125"/>
      <c r="K810" s="125"/>
      <c r="L810" s="125"/>
      <c r="M810" s="125"/>
      <c r="N810" s="125"/>
      <c r="O810" s="125"/>
      <c r="P810" s="125"/>
      <c r="Q810" s="126"/>
      <c r="R810" s="126"/>
      <c r="S810" s="124"/>
      <c r="T810" s="125"/>
      <c r="U810" s="128"/>
      <c r="V810" s="128"/>
      <c r="W810" s="128"/>
      <c r="X810" s="128"/>
      <c r="Y810" s="128"/>
      <c r="Z810" s="128"/>
    </row>
    <row r="811" spans="1:26" ht="12.5">
      <c r="A811" s="126"/>
      <c r="B811" s="125"/>
      <c r="C811" s="125"/>
      <c r="D811" s="130"/>
      <c r="E811" s="124"/>
      <c r="F811" s="124"/>
      <c r="G811" s="125"/>
      <c r="H811" s="126"/>
      <c r="I811" s="126"/>
      <c r="J811" s="125"/>
      <c r="K811" s="125"/>
      <c r="L811" s="125"/>
      <c r="M811" s="125"/>
      <c r="N811" s="125"/>
      <c r="O811" s="125"/>
      <c r="P811" s="125"/>
      <c r="Q811" s="126"/>
      <c r="R811" s="126"/>
      <c r="S811" s="124"/>
      <c r="T811" s="125"/>
      <c r="U811" s="128"/>
      <c r="V811" s="128"/>
      <c r="W811" s="128"/>
      <c r="X811" s="128"/>
      <c r="Y811" s="128"/>
      <c r="Z811" s="128"/>
    </row>
    <row r="812" spans="1:26" ht="12.5">
      <c r="A812" s="126"/>
      <c r="B812" s="125"/>
      <c r="C812" s="125"/>
      <c r="D812" s="130"/>
      <c r="E812" s="124"/>
      <c r="F812" s="124"/>
      <c r="G812" s="125"/>
      <c r="H812" s="126"/>
      <c r="I812" s="126"/>
      <c r="J812" s="125"/>
      <c r="K812" s="125"/>
      <c r="L812" s="125"/>
      <c r="M812" s="125"/>
      <c r="N812" s="125"/>
      <c r="O812" s="125"/>
      <c r="P812" s="125"/>
      <c r="Q812" s="126"/>
      <c r="R812" s="126"/>
      <c r="S812" s="124"/>
      <c r="T812" s="125"/>
      <c r="U812" s="128"/>
      <c r="V812" s="128"/>
      <c r="W812" s="128"/>
      <c r="X812" s="128"/>
      <c r="Y812" s="128"/>
      <c r="Z812" s="128"/>
    </row>
    <row r="813" spans="1:26" ht="12.5">
      <c r="A813" s="126"/>
      <c r="B813" s="125"/>
      <c r="C813" s="125"/>
      <c r="D813" s="130"/>
      <c r="E813" s="124"/>
      <c r="F813" s="124"/>
      <c r="G813" s="125"/>
      <c r="H813" s="126"/>
      <c r="I813" s="126"/>
      <c r="J813" s="125"/>
      <c r="K813" s="125"/>
      <c r="L813" s="125"/>
      <c r="M813" s="125"/>
      <c r="N813" s="125"/>
      <c r="O813" s="125"/>
      <c r="P813" s="125"/>
      <c r="Q813" s="126"/>
      <c r="R813" s="126"/>
      <c r="S813" s="124"/>
      <c r="T813" s="125"/>
      <c r="U813" s="128"/>
      <c r="V813" s="128"/>
      <c r="W813" s="128"/>
      <c r="X813" s="128"/>
      <c r="Y813" s="128"/>
      <c r="Z813" s="128"/>
    </row>
    <row r="814" spans="1:26" ht="12.5">
      <c r="A814" s="126"/>
      <c r="B814" s="125"/>
      <c r="C814" s="125"/>
      <c r="D814" s="130"/>
      <c r="E814" s="124"/>
      <c r="F814" s="124"/>
      <c r="G814" s="125"/>
      <c r="H814" s="126"/>
      <c r="I814" s="126"/>
      <c r="J814" s="125"/>
      <c r="K814" s="125"/>
      <c r="L814" s="125"/>
      <c r="M814" s="125"/>
      <c r="N814" s="125"/>
      <c r="O814" s="125"/>
      <c r="P814" s="125"/>
      <c r="Q814" s="126"/>
      <c r="R814" s="126"/>
      <c r="S814" s="124"/>
      <c r="T814" s="125"/>
      <c r="U814" s="128"/>
      <c r="V814" s="128"/>
      <c r="W814" s="128"/>
      <c r="X814" s="128"/>
      <c r="Y814" s="128"/>
      <c r="Z814" s="128"/>
    </row>
    <row r="815" spans="1:26" ht="12.5">
      <c r="A815" s="126"/>
      <c r="B815" s="125"/>
      <c r="C815" s="125"/>
      <c r="D815" s="130"/>
      <c r="E815" s="124"/>
      <c r="F815" s="124"/>
      <c r="G815" s="125"/>
      <c r="H815" s="126"/>
      <c r="I815" s="126"/>
      <c r="J815" s="125"/>
      <c r="K815" s="125"/>
      <c r="L815" s="125"/>
      <c r="M815" s="125"/>
      <c r="N815" s="125"/>
      <c r="O815" s="125"/>
      <c r="P815" s="125"/>
      <c r="Q815" s="126"/>
      <c r="R815" s="126"/>
      <c r="S815" s="124"/>
      <c r="T815" s="125"/>
      <c r="U815" s="128"/>
      <c r="V815" s="128"/>
      <c r="W815" s="128"/>
      <c r="X815" s="128"/>
      <c r="Y815" s="128"/>
      <c r="Z815" s="128"/>
    </row>
    <row r="816" spans="1:26" ht="12.5">
      <c r="A816" s="126"/>
      <c r="B816" s="125"/>
      <c r="C816" s="125"/>
      <c r="D816" s="130"/>
      <c r="E816" s="124"/>
      <c r="F816" s="124"/>
      <c r="G816" s="125"/>
      <c r="H816" s="126"/>
      <c r="I816" s="126"/>
      <c r="J816" s="125"/>
      <c r="K816" s="125"/>
      <c r="L816" s="125"/>
      <c r="M816" s="125"/>
      <c r="N816" s="125"/>
      <c r="O816" s="125"/>
      <c r="P816" s="125"/>
      <c r="Q816" s="126"/>
      <c r="R816" s="126"/>
      <c r="S816" s="124"/>
      <c r="T816" s="125"/>
      <c r="U816" s="128"/>
      <c r="V816" s="128"/>
      <c r="W816" s="128"/>
      <c r="X816" s="128"/>
      <c r="Y816" s="128"/>
      <c r="Z816" s="128"/>
    </row>
    <row r="817" spans="1:26" ht="12.5">
      <c r="A817" s="126"/>
      <c r="B817" s="125"/>
      <c r="C817" s="125"/>
      <c r="D817" s="130"/>
      <c r="E817" s="124"/>
      <c r="F817" s="124"/>
      <c r="G817" s="125"/>
      <c r="H817" s="126"/>
      <c r="I817" s="126"/>
      <c r="J817" s="125"/>
      <c r="K817" s="125"/>
      <c r="L817" s="125"/>
      <c r="M817" s="125"/>
      <c r="N817" s="125"/>
      <c r="O817" s="125"/>
      <c r="P817" s="125"/>
      <c r="Q817" s="126"/>
      <c r="R817" s="126"/>
      <c r="S817" s="124"/>
      <c r="T817" s="125"/>
      <c r="U817" s="128"/>
      <c r="V817" s="128"/>
      <c r="W817" s="128"/>
      <c r="X817" s="128"/>
      <c r="Y817" s="128"/>
      <c r="Z817" s="128"/>
    </row>
    <row r="818" spans="1:26" ht="12.5">
      <c r="A818" s="126"/>
      <c r="B818" s="125"/>
      <c r="C818" s="125"/>
      <c r="D818" s="130"/>
      <c r="E818" s="124"/>
      <c r="F818" s="124"/>
      <c r="G818" s="125"/>
      <c r="H818" s="126"/>
      <c r="I818" s="126"/>
      <c r="J818" s="125"/>
      <c r="K818" s="125"/>
      <c r="L818" s="125"/>
      <c r="M818" s="125"/>
      <c r="N818" s="125"/>
      <c r="O818" s="125"/>
      <c r="P818" s="125"/>
      <c r="Q818" s="126"/>
      <c r="R818" s="126"/>
      <c r="S818" s="124"/>
      <c r="T818" s="125"/>
      <c r="U818" s="128"/>
      <c r="V818" s="128"/>
      <c r="W818" s="128"/>
      <c r="X818" s="128"/>
      <c r="Y818" s="128"/>
      <c r="Z818" s="128"/>
    </row>
    <row r="819" spans="1:26" ht="12.5">
      <c r="A819" s="126"/>
      <c r="B819" s="125"/>
      <c r="C819" s="125"/>
      <c r="D819" s="130"/>
      <c r="E819" s="124"/>
      <c r="F819" s="124"/>
      <c r="G819" s="125"/>
      <c r="H819" s="126"/>
      <c r="I819" s="126"/>
      <c r="J819" s="125"/>
      <c r="K819" s="125"/>
      <c r="L819" s="125"/>
      <c r="M819" s="125"/>
      <c r="N819" s="125"/>
      <c r="O819" s="125"/>
      <c r="P819" s="125"/>
      <c r="Q819" s="126"/>
      <c r="R819" s="126"/>
      <c r="S819" s="124"/>
      <c r="T819" s="125"/>
      <c r="U819" s="128"/>
      <c r="V819" s="128"/>
      <c r="W819" s="128"/>
      <c r="X819" s="128"/>
      <c r="Y819" s="128"/>
      <c r="Z819" s="128"/>
    </row>
    <row r="820" spans="1:26" ht="12.5">
      <c r="A820" s="126"/>
      <c r="B820" s="125"/>
      <c r="C820" s="125"/>
      <c r="D820" s="130"/>
      <c r="E820" s="124"/>
      <c r="F820" s="124"/>
      <c r="G820" s="125"/>
      <c r="H820" s="126"/>
      <c r="I820" s="126"/>
      <c r="J820" s="125"/>
      <c r="K820" s="125"/>
      <c r="L820" s="125"/>
      <c r="M820" s="125"/>
      <c r="N820" s="125"/>
      <c r="O820" s="125"/>
      <c r="P820" s="125"/>
      <c r="Q820" s="126"/>
      <c r="R820" s="126"/>
      <c r="S820" s="124"/>
      <c r="T820" s="125"/>
      <c r="U820" s="128"/>
      <c r="V820" s="128"/>
      <c r="W820" s="128"/>
      <c r="X820" s="128"/>
      <c r="Y820" s="128"/>
      <c r="Z820" s="128"/>
    </row>
    <row r="821" spans="1:26" ht="12.5">
      <c r="A821" s="126"/>
      <c r="B821" s="125"/>
      <c r="C821" s="125"/>
      <c r="D821" s="130"/>
      <c r="E821" s="124"/>
      <c r="F821" s="124"/>
      <c r="G821" s="125"/>
      <c r="H821" s="126"/>
      <c r="I821" s="126"/>
      <c r="J821" s="125"/>
      <c r="K821" s="125"/>
      <c r="L821" s="125"/>
      <c r="M821" s="125"/>
      <c r="N821" s="125"/>
      <c r="O821" s="125"/>
      <c r="P821" s="125"/>
      <c r="Q821" s="126"/>
      <c r="R821" s="126"/>
      <c r="S821" s="124"/>
      <c r="T821" s="125"/>
      <c r="U821" s="128"/>
      <c r="V821" s="128"/>
      <c r="W821" s="128"/>
      <c r="X821" s="128"/>
      <c r="Y821" s="128"/>
      <c r="Z821" s="128"/>
    </row>
    <row r="822" spans="1:26" ht="12.5">
      <c r="A822" s="126"/>
      <c r="B822" s="125"/>
      <c r="C822" s="125"/>
      <c r="D822" s="130"/>
      <c r="E822" s="124"/>
      <c r="F822" s="124"/>
      <c r="G822" s="125"/>
      <c r="H822" s="126"/>
      <c r="I822" s="126"/>
      <c r="J822" s="125"/>
      <c r="K822" s="125"/>
      <c r="L822" s="125"/>
      <c r="M822" s="125"/>
      <c r="N822" s="125"/>
      <c r="O822" s="125"/>
      <c r="P822" s="125"/>
      <c r="Q822" s="126"/>
      <c r="R822" s="126"/>
      <c r="S822" s="124"/>
      <c r="T822" s="125"/>
      <c r="U822" s="128"/>
      <c r="V822" s="128"/>
      <c r="W822" s="128"/>
      <c r="X822" s="128"/>
      <c r="Y822" s="128"/>
      <c r="Z822" s="128"/>
    </row>
    <row r="823" spans="1:26" ht="12.5">
      <c r="A823" s="126"/>
      <c r="B823" s="125"/>
      <c r="C823" s="125"/>
      <c r="D823" s="130"/>
      <c r="E823" s="124"/>
      <c r="F823" s="124"/>
      <c r="G823" s="125"/>
      <c r="H823" s="126"/>
      <c r="I823" s="126"/>
      <c r="J823" s="125"/>
      <c r="K823" s="125"/>
      <c r="L823" s="125"/>
      <c r="M823" s="125"/>
      <c r="N823" s="125"/>
      <c r="O823" s="125"/>
      <c r="P823" s="125"/>
      <c r="Q823" s="126"/>
      <c r="R823" s="126"/>
      <c r="S823" s="124"/>
      <c r="T823" s="125"/>
      <c r="U823" s="128"/>
      <c r="V823" s="128"/>
      <c r="W823" s="128"/>
      <c r="X823" s="128"/>
      <c r="Y823" s="128"/>
      <c r="Z823" s="128"/>
    </row>
    <row r="824" spans="1:26" ht="12.5">
      <c r="A824" s="126"/>
      <c r="B824" s="125"/>
      <c r="C824" s="125"/>
      <c r="D824" s="130"/>
      <c r="E824" s="124"/>
      <c r="F824" s="124"/>
      <c r="G824" s="125"/>
      <c r="H824" s="126"/>
      <c r="I824" s="126"/>
      <c r="J824" s="125"/>
      <c r="K824" s="125"/>
      <c r="L824" s="125"/>
      <c r="M824" s="125"/>
      <c r="N824" s="125"/>
      <c r="O824" s="125"/>
      <c r="P824" s="125"/>
      <c r="Q824" s="126"/>
      <c r="R824" s="126"/>
      <c r="S824" s="124"/>
      <c r="T824" s="125"/>
      <c r="U824" s="128"/>
      <c r="V824" s="128"/>
      <c r="W824" s="128"/>
      <c r="X824" s="128"/>
      <c r="Y824" s="128"/>
      <c r="Z824" s="128"/>
    </row>
    <row r="825" spans="1:26" ht="12.5">
      <c r="A825" s="126"/>
      <c r="B825" s="125"/>
      <c r="C825" s="125"/>
      <c r="D825" s="130"/>
      <c r="E825" s="124"/>
      <c r="F825" s="124"/>
      <c r="G825" s="125"/>
      <c r="H825" s="126"/>
      <c r="I825" s="126"/>
      <c r="J825" s="125"/>
      <c r="K825" s="125"/>
      <c r="L825" s="125"/>
      <c r="M825" s="125"/>
      <c r="N825" s="125"/>
      <c r="O825" s="125"/>
      <c r="P825" s="125"/>
      <c r="Q825" s="126"/>
      <c r="R825" s="126"/>
      <c r="S825" s="124"/>
      <c r="T825" s="125"/>
      <c r="U825" s="128"/>
      <c r="V825" s="128"/>
      <c r="W825" s="128"/>
      <c r="X825" s="128"/>
      <c r="Y825" s="128"/>
      <c r="Z825" s="128"/>
    </row>
    <row r="826" spans="1:26" ht="12.5">
      <c r="A826" s="126"/>
      <c r="B826" s="125"/>
      <c r="C826" s="125"/>
      <c r="D826" s="130"/>
      <c r="E826" s="124"/>
      <c r="F826" s="124"/>
      <c r="G826" s="125"/>
      <c r="H826" s="126"/>
      <c r="I826" s="126"/>
      <c r="J826" s="125"/>
      <c r="K826" s="125"/>
      <c r="L826" s="125"/>
      <c r="M826" s="125"/>
      <c r="N826" s="125"/>
      <c r="O826" s="125"/>
      <c r="P826" s="125"/>
      <c r="Q826" s="126"/>
      <c r="R826" s="126"/>
      <c r="S826" s="124"/>
      <c r="T826" s="125"/>
      <c r="U826" s="128"/>
      <c r="V826" s="128"/>
      <c r="W826" s="128"/>
      <c r="X826" s="128"/>
      <c r="Y826" s="128"/>
      <c r="Z826" s="128"/>
    </row>
    <row r="827" spans="1:26" ht="12.5">
      <c r="A827" s="126"/>
      <c r="B827" s="125"/>
      <c r="C827" s="125"/>
      <c r="D827" s="130"/>
      <c r="E827" s="124"/>
      <c r="F827" s="124"/>
      <c r="G827" s="125"/>
      <c r="H827" s="126"/>
      <c r="I827" s="126"/>
      <c r="J827" s="125"/>
      <c r="K827" s="125"/>
      <c r="L827" s="125"/>
      <c r="M827" s="125"/>
      <c r="N827" s="125"/>
      <c r="O827" s="125"/>
      <c r="P827" s="125"/>
      <c r="Q827" s="126"/>
      <c r="R827" s="126"/>
      <c r="S827" s="124"/>
      <c r="T827" s="125"/>
      <c r="U827" s="128"/>
      <c r="V827" s="128"/>
      <c r="W827" s="128"/>
      <c r="X827" s="128"/>
      <c r="Y827" s="128"/>
      <c r="Z827" s="128"/>
    </row>
    <row r="828" spans="1:26" ht="12.5">
      <c r="A828" s="126"/>
      <c r="B828" s="125"/>
      <c r="C828" s="125"/>
      <c r="D828" s="130"/>
      <c r="E828" s="124"/>
      <c r="F828" s="124"/>
      <c r="G828" s="125"/>
      <c r="H828" s="126"/>
      <c r="I828" s="126"/>
      <c r="J828" s="125"/>
      <c r="K828" s="125"/>
      <c r="L828" s="125"/>
      <c r="M828" s="125"/>
      <c r="N828" s="125"/>
      <c r="O828" s="125"/>
      <c r="P828" s="125"/>
      <c r="Q828" s="126"/>
      <c r="R828" s="126"/>
      <c r="S828" s="124"/>
      <c r="T828" s="125"/>
      <c r="U828" s="128"/>
      <c r="V828" s="128"/>
      <c r="W828" s="128"/>
      <c r="X828" s="128"/>
      <c r="Y828" s="128"/>
      <c r="Z828" s="128"/>
    </row>
    <row r="829" spans="1:26" ht="12.5">
      <c r="A829" s="126"/>
      <c r="B829" s="125"/>
      <c r="C829" s="125"/>
      <c r="D829" s="130"/>
      <c r="E829" s="124"/>
      <c r="F829" s="124"/>
      <c r="G829" s="125"/>
      <c r="H829" s="126"/>
      <c r="I829" s="126"/>
      <c r="J829" s="125"/>
      <c r="K829" s="125"/>
      <c r="L829" s="125"/>
      <c r="M829" s="125"/>
      <c r="N829" s="125"/>
      <c r="O829" s="125"/>
      <c r="P829" s="125"/>
      <c r="Q829" s="126"/>
      <c r="R829" s="126"/>
      <c r="S829" s="124"/>
      <c r="T829" s="125"/>
      <c r="U829" s="128"/>
      <c r="V829" s="128"/>
      <c r="W829" s="128"/>
      <c r="X829" s="128"/>
      <c r="Y829" s="128"/>
      <c r="Z829" s="128"/>
    </row>
    <row r="830" spans="1:26" ht="12.5">
      <c r="A830" s="126"/>
      <c r="B830" s="125"/>
      <c r="C830" s="125"/>
      <c r="D830" s="130"/>
      <c r="E830" s="124"/>
      <c r="F830" s="124"/>
      <c r="G830" s="125"/>
      <c r="H830" s="126"/>
      <c r="I830" s="126"/>
      <c r="J830" s="125"/>
      <c r="K830" s="125"/>
      <c r="L830" s="125"/>
      <c r="M830" s="125"/>
      <c r="N830" s="125"/>
      <c r="O830" s="125"/>
      <c r="P830" s="125"/>
      <c r="Q830" s="126"/>
      <c r="R830" s="126"/>
      <c r="S830" s="124"/>
      <c r="T830" s="125"/>
      <c r="U830" s="128"/>
      <c r="V830" s="128"/>
      <c r="W830" s="128"/>
      <c r="X830" s="128"/>
      <c r="Y830" s="128"/>
      <c r="Z830" s="128"/>
    </row>
    <row r="831" spans="1:26" ht="12.5">
      <c r="A831" s="126"/>
      <c r="B831" s="125"/>
      <c r="C831" s="125"/>
      <c r="D831" s="130"/>
      <c r="E831" s="124"/>
      <c r="F831" s="124"/>
      <c r="G831" s="125"/>
      <c r="H831" s="126"/>
      <c r="I831" s="126"/>
      <c r="J831" s="125"/>
      <c r="K831" s="125"/>
      <c r="L831" s="125"/>
      <c r="M831" s="125"/>
      <c r="N831" s="125"/>
      <c r="O831" s="125"/>
      <c r="P831" s="125"/>
      <c r="Q831" s="126"/>
      <c r="R831" s="126"/>
      <c r="S831" s="124"/>
      <c r="T831" s="125"/>
      <c r="U831" s="128"/>
      <c r="V831" s="128"/>
      <c r="W831" s="128"/>
      <c r="X831" s="128"/>
      <c r="Y831" s="128"/>
      <c r="Z831" s="128"/>
    </row>
    <row r="832" spans="1:26" ht="12.5">
      <c r="A832" s="126"/>
      <c r="B832" s="125"/>
      <c r="C832" s="125"/>
      <c r="D832" s="130"/>
      <c r="E832" s="124"/>
      <c r="F832" s="124"/>
      <c r="G832" s="125"/>
      <c r="H832" s="126"/>
      <c r="I832" s="126"/>
      <c r="J832" s="125"/>
      <c r="K832" s="125"/>
      <c r="L832" s="125"/>
      <c r="M832" s="125"/>
      <c r="N832" s="125"/>
      <c r="O832" s="125"/>
      <c r="P832" s="125"/>
      <c r="Q832" s="126"/>
      <c r="R832" s="126"/>
      <c r="S832" s="124"/>
      <c r="T832" s="125"/>
      <c r="U832" s="128"/>
      <c r="V832" s="128"/>
      <c r="W832" s="128"/>
      <c r="X832" s="128"/>
      <c r="Y832" s="128"/>
      <c r="Z832" s="128"/>
    </row>
    <row r="833" spans="1:26" ht="12.5">
      <c r="A833" s="126"/>
      <c r="B833" s="125"/>
      <c r="C833" s="125"/>
      <c r="D833" s="130"/>
      <c r="E833" s="124"/>
      <c r="F833" s="124"/>
      <c r="G833" s="125"/>
      <c r="H833" s="126"/>
      <c r="I833" s="126"/>
      <c r="J833" s="125"/>
      <c r="K833" s="125"/>
      <c r="L833" s="125"/>
      <c r="M833" s="125"/>
      <c r="N833" s="125"/>
      <c r="O833" s="125"/>
      <c r="P833" s="125"/>
      <c r="Q833" s="126"/>
      <c r="R833" s="126"/>
      <c r="S833" s="124"/>
      <c r="T833" s="125"/>
      <c r="U833" s="128"/>
      <c r="V833" s="128"/>
      <c r="W833" s="128"/>
      <c r="X833" s="128"/>
      <c r="Y833" s="128"/>
      <c r="Z833" s="128"/>
    </row>
    <row r="834" spans="1:26" ht="12.5">
      <c r="A834" s="126"/>
      <c r="B834" s="125"/>
      <c r="C834" s="125"/>
      <c r="D834" s="130"/>
      <c r="E834" s="124"/>
      <c r="F834" s="124"/>
      <c r="G834" s="125"/>
      <c r="H834" s="126"/>
      <c r="I834" s="126"/>
      <c r="J834" s="125"/>
      <c r="K834" s="125"/>
      <c r="L834" s="125"/>
      <c r="M834" s="125"/>
      <c r="N834" s="125"/>
      <c r="O834" s="125"/>
      <c r="P834" s="125"/>
      <c r="Q834" s="126"/>
      <c r="R834" s="126"/>
      <c r="S834" s="124"/>
      <c r="T834" s="125"/>
      <c r="U834" s="128"/>
      <c r="V834" s="128"/>
      <c r="W834" s="128"/>
      <c r="X834" s="128"/>
      <c r="Y834" s="128"/>
      <c r="Z834" s="128"/>
    </row>
    <row r="835" spans="1:26" ht="12.5">
      <c r="A835" s="126"/>
      <c r="B835" s="125"/>
      <c r="C835" s="125"/>
      <c r="D835" s="130"/>
      <c r="E835" s="124"/>
      <c r="F835" s="124"/>
      <c r="G835" s="125"/>
      <c r="H835" s="126"/>
      <c r="I835" s="126"/>
      <c r="J835" s="125"/>
      <c r="K835" s="125"/>
      <c r="L835" s="125"/>
      <c r="M835" s="125"/>
      <c r="N835" s="125"/>
      <c r="O835" s="125"/>
      <c r="P835" s="125"/>
      <c r="Q835" s="126"/>
      <c r="R835" s="126"/>
      <c r="S835" s="124"/>
      <c r="T835" s="125"/>
      <c r="U835" s="128"/>
      <c r="V835" s="128"/>
      <c r="W835" s="128"/>
      <c r="X835" s="128"/>
      <c r="Y835" s="128"/>
      <c r="Z835" s="128"/>
    </row>
    <row r="836" spans="1:26" ht="12.5">
      <c r="A836" s="126"/>
      <c r="B836" s="125"/>
      <c r="C836" s="125"/>
      <c r="D836" s="130"/>
      <c r="E836" s="124"/>
      <c r="F836" s="124"/>
      <c r="G836" s="125"/>
      <c r="H836" s="126"/>
      <c r="I836" s="126"/>
      <c r="J836" s="125"/>
      <c r="K836" s="125"/>
      <c r="L836" s="125"/>
      <c r="M836" s="125"/>
      <c r="N836" s="125"/>
      <c r="O836" s="125"/>
      <c r="P836" s="125"/>
      <c r="Q836" s="126"/>
      <c r="R836" s="126"/>
      <c r="S836" s="124"/>
      <c r="T836" s="125"/>
      <c r="U836" s="128"/>
      <c r="V836" s="128"/>
      <c r="W836" s="128"/>
      <c r="X836" s="128"/>
      <c r="Y836" s="128"/>
      <c r="Z836" s="128"/>
    </row>
    <row r="837" spans="1:26" ht="12.5">
      <c r="A837" s="126"/>
      <c r="B837" s="125"/>
      <c r="C837" s="125"/>
      <c r="D837" s="130"/>
      <c r="E837" s="124"/>
      <c r="F837" s="124"/>
      <c r="G837" s="125"/>
      <c r="H837" s="126"/>
      <c r="I837" s="126"/>
      <c r="J837" s="125"/>
      <c r="K837" s="125"/>
      <c r="L837" s="125"/>
      <c r="M837" s="125"/>
      <c r="N837" s="125"/>
      <c r="O837" s="125"/>
      <c r="P837" s="125"/>
      <c r="Q837" s="126"/>
      <c r="R837" s="126"/>
      <c r="S837" s="124"/>
      <c r="T837" s="125"/>
      <c r="U837" s="128"/>
      <c r="V837" s="128"/>
      <c r="W837" s="128"/>
      <c r="X837" s="128"/>
      <c r="Y837" s="128"/>
      <c r="Z837" s="128"/>
    </row>
    <row r="838" spans="1:26" ht="12.5">
      <c r="A838" s="126"/>
      <c r="B838" s="125"/>
      <c r="C838" s="125"/>
      <c r="D838" s="130"/>
      <c r="E838" s="124"/>
      <c r="F838" s="124"/>
      <c r="G838" s="125"/>
      <c r="H838" s="126"/>
      <c r="I838" s="126"/>
      <c r="J838" s="125"/>
      <c r="K838" s="125"/>
      <c r="L838" s="125"/>
      <c r="M838" s="125"/>
      <c r="N838" s="125"/>
      <c r="O838" s="125"/>
      <c r="P838" s="125"/>
      <c r="Q838" s="126"/>
      <c r="R838" s="126"/>
      <c r="S838" s="124"/>
      <c r="T838" s="125"/>
      <c r="U838" s="128"/>
      <c r="V838" s="128"/>
      <c r="W838" s="128"/>
      <c r="X838" s="128"/>
      <c r="Y838" s="128"/>
      <c r="Z838" s="128"/>
    </row>
    <row r="839" spans="1:26" ht="12.5">
      <c r="A839" s="126"/>
      <c r="B839" s="125"/>
      <c r="C839" s="125"/>
      <c r="D839" s="130"/>
      <c r="E839" s="124"/>
      <c r="F839" s="124"/>
      <c r="G839" s="125"/>
      <c r="H839" s="126"/>
      <c r="I839" s="126"/>
      <c r="J839" s="125"/>
      <c r="K839" s="125"/>
      <c r="L839" s="125"/>
      <c r="M839" s="125"/>
      <c r="N839" s="125"/>
      <c r="O839" s="125"/>
      <c r="P839" s="125"/>
      <c r="Q839" s="126"/>
      <c r="R839" s="126"/>
      <c r="S839" s="124"/>
      <c r="T839" s="125"/>
      <c r="U839" s="128"/>
      <c r="V839" s="128"/>
      <c r="W839" s="128"/>
      <c r="X839" s="128"/>
      <c r="Y839" s="128"/>
      <c r="Z839" s="128"/>
    </row>
    <row r="840" spans="1:26" ht="12.5">
      <c r="A840" s="126"/>
      <c r="B840" s="125"/>
      <c r="C840" s="125"/>
      <c r="D840" s="130"/>
      <c r="E840" s="124"/>
      <c r="F840" s="124"/>
      <c r="G840" s="125"/>
      <c r="H840" s="126"/>
      <c r="I840" s="126"/>
      <c r="J840" s="125"/>
      <c r="K840" s="125"/>
      <c r="L840" s="125"/>
      <c r="M840" s="125"/>
      <c r="N840" s="125"/>
      <c r="O840" s="125"/>
      <c r="P840" s="125"/>
      <c r="Q840" s="126"/>
      <c r="R840" s="126"/>
      <c r="S840" s="124"/>
      <c r="T840" s="125"/>
      <c r="U840" s="128"/>
      <c r="V840" s="128"/>
      <c r="W840" s="128"/>
      <c r="X840" s="128"/>
      <c r="Y840" s="128"/>
      <c r="Z840" s="128"/>
    </row>
    <row r="841" spans="1:26" ht="12.5">
      <c r="A841" s="126"/>
      <c r="B841" s="125"/>
      <c r="C841" s="125"/>
      <c r="D841" s="130"/>
      <c r="E841" s="124"/>
      <c r="F841" s="124"/>
      <c r="G841" s="125"/>
      <c r="H841" s="126"/>
      <c r="I841" s="126"/>
      <c r="J841" s="125"/>
      <c r="K841" s="125"/>
      <c r="L841" s="125"/>
      <c r="M841" s="125"/>
      <c r="N841" s="125"/>
      <c r="O841" s="125"/>
      <c r="P841" s="125"/>
      <c r="Q841" s="126"/>
      <c r="R841" s="126"/>
      <c r="S841" s="124"/>
      <c r="T841" s="125"/>
      <c r="U841" s="128"/>
      <c r="V841" s="128"/>
      <c r="W841" s="128"/>
      <c r="X841" s="128"/>
      <c r="Y841" s="128"/>
      <c r="Z841" s="128"/>
    </row>
    <row r="842" spans="1:26" ht="12.5">
      <c r="A842" s="126"/>
      <c r="B842" s="125"/>
      <c r="C842" s="125"/>
      <c r="D842" s="130"/>
      <c r="E842" s="124"/>
      <c r="F842" s="124"/>
      <c r="G842" s="125"/>
      <c r="H842" s="126"/>
      <c r="I842" s="126"/>
      <c r="J842" s="125"/>
      <c r="K842" s="125"/>
      <c r="L842" s="125"/>
      <c r="M842" s="125"/>
      <c r="N842" s="125"/>
      <c r="O842" s="125"/>
      <c r="P842" s="125"/>
      <c r="Q842" s="126"/>
      <c r="R842" s="126"/>
      <c r="S842" s="124"/>
      <c r="T842" s="125"/>
      <c r="U842" s="128"/>
      <c r="V842" s="128"/>
      <c r="W842" s="128"/>
      <c r="X842" s="128"/>
      <c r="Y842" s="128"/>
      <c r="Z842" s="128"/>
    </row>
    <row r="843" spans="1:26" ht="12.5">
      <c r="A843" s="126"/>
      <c r="B843" s="125"/>
      <c r="C843" s="125"/>
      <c r="D843" s="130"/>
      <c r="E843" s="124"/>
      <c r="F843" s="124"/>
      <c r="G843" s="125"/>
      <c r="H843" s="126"/>
      <c r="I843" s="126"/>
      <c r="J843" s="125"/>
      <c r="K843" s="125"/>
      <c r="L843" s="125"/>
      <c r="M843" s="125"/>
      <c r="N843" s="125"/>
      <c r="O843" s="125"/>
      <c r="P843" s="125"/>
      <c r="Q843" s="126"/>
      <c r="R843" s="126"/>
      <c r="S843" s="124"/>
      <c r="T843" s="125"/>
      <c r="U843" s="128"/>
      <c r="V843" s="128"/>
      <c r="W843" s="128"/>
      <c r="X843" s="128"/>
      <c r="Y843" s="128"/>
      <c r="Z843" s="128"/>
    </row>
    <row r="844" spans="1:26" ht="12.5">
      <c r="A844" s="126"/>
      <c r="B844" s="125"/>
      <c r="C844" s="125"/>
      <c r="D844" s="130"/>
      <c r="E844" s="124"/>
      <c r="F844" s="124"/>
      <c r="G844" s="125"/>
      <c r="H844" s="126"/>
      <c r="I844" s="126"/>
      <c r="J844" s="125"/>
      <c r="K844" s="125"/>
      <c r="L844" s="125"/>
      <c r="M844" s="125"/>
      <c r="N844" s="125"/>
      <c r="O844" s="125"/>
      <c r="P844" s="125"/>
      <c r="Q844" s="126"/>
      <c r="R844" s="126"/>
      <c r="S844" s="124"/>
      <c r="T844" s="125"/>
      <c r="U844" s="128"/>
      <c r="V844" s="128"/>
      <c r="W844" s="128"/>
      <c r="X844" s="128"/>
      <c r="Y844" s="128"/>
      <c r="Z844" s="128"/>
    </row>
    <row r="845" spans="1:26" ht="12.5">
      <c r="A845" s="126"/>
      <c r="B845" s="125"/>
      <c r="C845" s="125"/>
      <c r="D845" s="130"/>
      <c r="E845" s="124"/>
      <c r="F845" s="124"/>
      <c r="G845" s="125"/>
      <c r="H845" s="126"/>
      <c r="I845" s="126"/>
      <c r="J845" s="125"/>
      <c r="K845" s="125"/>
      <c r="L845" s="125"/>
      <c r="M845" s="125"/>
      <c r="N845" s="125"/>
      <c r="O845" s="125"/>
      <c r="P845" s="125"/>
      <c r="Q845" s="126"/>
      <c r="R845" s="126"/>
      <c r="S845" s="124"/>
      <c r="T845" s="125"/>
      <c r="U845" s="128"/>
      <c r="V845" s="128"/>
      <c r="W845" s="128"/>
      <c r="X845" s="128"/>
      <c r="Y845" s="128"/>
      <c r="Z845" s="128"/>
    </row>
    <row r="846" spans="1:26" ht="12.5">
      <c r="A846" s="126"/>
      <c r="B846" s="125"/>
      <c r="C846" s="125"/>
      <c r="D846" s="130"/>
      <c r="E846" s="124"/>
      <c r="F846" s="124"/>
      <c r="G846" s="125"/>
      <c r="H846" s="126"/>
      <c r="I846" s="126"/>
      <c r="J846" s="125"/>
      <c r="K846" s="125"/>
      <c r="L846" s="125"/>
      <c r="M846" s="125"/>
      <c r="N846" s="125"/>
      <c r="O846" s="125"/>
      <c r="P846" s="125"/>
      <c r="Q846" s="126"/>
      <c r="R846" s="126"/>
      <c r="S846" s="124"/>
      <c r="T846" s="125"/>
      <c r="U846" s="128"/>
      <c r="V846" s="128"/>
      <c r="W846" s="128"/>
      <c r="X846" s="128"/>
      <c r="Y846" s="128"/>
      <c r="Z846" s="128"/>
    </row>
    <row r="847" spans="1:26" ht="12.5">
      <c r="A847" s="126"/>
      <c r="B847" s="125"/>
      <c r="C847" s="125"/>
      <c r="D847" s="130"/>
      <c r="E847" s="124"/>
      <c r="F847" s="124"/>
      <c r="G847" s="125"/>
      <c r="H847" s="126"/>
      <c r="I847" s="126"/>
      <c r="J847" s="125"/>
      <c r="K847" s="125"/>
      <c r="L847" s="125"/>
      <c r="M847" s="125"/>
      <c r="N847" s="125"/>
      <c r="O847" s="125"/>
      <c r="P847" s="125"/>
      <c r="Q847" s="126"/>
      <c r="R847" s="126"/>
      <c r="S847" s="124"/>
      <c r="T847" s="125"/>
      <c r="U847" s="128"/>
      <c r="V847" s="128"/>
      <c r="W847" s="128"/>
      <c r="X847" s="128"/>
      <c r="Y847" s="128"/>
      <c r="Z847" s="128"/>
    </row>
    <row r="848" spans="1:26" ht="12.5">
      <c r="A848" s="126"/>
      <c r="B848" s="125"/>
      <c r="C848" s="125"/>
      <c r="D848" s="130"/>
      <c r="E848" s="124"/>
      <c r="F848" s="124"/>
      <c r="G848" s="125"/>
      <c r="H848" s="126"/>
      <c r="I848" s="126"/>
      <c r="J848" s="125"/>
      <c r="K848" s="125"/>
      <c r="L848" s="125"/>
      <c r="M848" s="125"/>
      <c r="N848" s="125"/>
      <c r="O848" s="125"/>
      <c r="P848" s="125"/>
      <c r="Q848" s="126"/>
      <c r="R848" s="126"/>
      <c r="S848" s="124"/>
      <c r="T848" s="125"/>
      <c r="U848" s="128"/>
      <c r="V848" s="128"/>
      <c r="W848" s="128"/>
      <c r="X848" s="128"/>
      <c r="Y848" s="128"/>
      <c r="Z848" s="128"/>
    </row>
    <row r="849" spans="1:26" ht="12.5">
      <c r="A849" s="126"/>
      <c r="B849" s="125"/>
      <c r="C849" s="125"/>
      <c r="D849" s="130"/>
      <c r="E849" s="124"/>
      <c r="F849" s="124"/>
      <c r="G849" s="125"/>
      <c r="H849" s="126"/>
      <c r="I849" s="126"/>
      <c r="J849" s="125"/>
      <c r="K849" s="125"/>
      <c r="L849" s="125"/>
      <c r="M849" s="125"/>
      <c r="N849" s="125"/>
      <c r="O849" s="125"/>
      <c r="P849" s="125"/>
      <c r="Q849" s="126"/>
      <c r="R849" s="126"/>
      <c r="S849" s="124"/>
      <c r="T849" s="125"/>
      <c r="U849" s="128"/>
      <c r="V849" s="128"/>
      <c r="W849" s="128"/>
      <c r="X849" s="128"/>
      <c r="Y849" s="128"/>
      <c r="Z849" s="128"/>
    </row>
    <row r="850" spans="1:26" ht="12.5">
      <c r="A850" s="126"/>
      <c r="B850" s="125"/>
      <c r="C850" s="125"/>
      <c r="D850" s="130"/>
      <c r="E850" s="124"/>
      <c r="F850" s="124"/>
      <c r="G850" s="125"/>
      <c r="H850" s="126"/>
      <c r="I850" s="126"/>
      <c r="J850" s="125"/>
      <c r="K850" s="125"/>
      <c r="L850" s="125"/>
      <c r="M850" s="125"/>
      <c r="N850" s="125"/>
      <c r="O850" s="125"/>
      <c r="P850" s="125"/>
      <c r="Q850" s="126"/>
      <c r="R850" s="126"/>
      <c r="S850" s="124"/>
      <c r="T850" s="125"/>
      <c r="U850" s="128"/>
      <c r="V850" s="128"/>
      <c r="W850" s="128"/>
      <c r="X850" s="128"/>
      <c r="Y850" s="128"/>
      <c r="Z850" s="128"/>
    </row>
    <row r="851" spans="1:26" ht="12.5">
      <c r="A851" s="126"/>
      <c r="B851" s="125"/>
      <c r="C851" s="125"/>
      <c r="D851" s="130"/>
      <c r="E851" s="124"/>
      <c r="F851" s="124"/>
      <c r="G851" s="125"/>
      <c r="H851" s="126"/>
      <c r="I851" s="126"/>
      <c r="J851" s="125"/>
      <c r="K851" s="125"/>
      <c r="L851" s="125"/>
      <c r="M851" s="125"/>
      <c r="N851" s="125"/>
      <c r="O851" s="125"/>
      <c r="P851" s="125"/>
      <c r="Q851" s="126"/>
      <c r="R851" s="126"/>
      <c r="S851" s="124"/>
      <c r="T851" s="125"/>
      <c r="U851" s="128"/>
      <c r="V851" s="128"/>
      <c r="W851" s="128"/>
      <c r="X851" s="128"/>
      <c r="Y851" s="128"/>
      <c r="Z851" s="128"/>
    </row>
    <row r="852" spans="1:26" ht="12.5">
      <c r="A852" s="126"/>
      <c r="B852" s="125"/>
      <c r="C852" s="125"/>
      <c r="D852" s="130"/>
      <c r="E852" s="124"/>
      <c r="F852" s="124"/>
      <c r="G852" s="125"/>
      <c r="H852" s="126"/>
      <c r="I852" s="126"/>
      <c r="J852" s="125"/>
      <c r="K852" s="125"/>
      <c r="L852" s="125"/>
      <c r="M852" s="125"/>
      <c r="N852" s="125"/>
      <c r="O852" s="125"/>
      <c r="P852" s="125"/>
      <c r="Q852" s="126"/>
      <c r="R852" s="126"/>
      <c r="S852" s="124"/>
      <c r="T852" s="125"/>
      <c r="U852" s="128"/>
      <c r="V852" s="128"/>
      <c r="W852" s="128"/>
      <c r="X852" s="128"/>
      <c r="Y852" s="128"/>
      <c r="Z852" s="128"/>
    </row>
    <row r="853" spans="1:26" ht="12.5">
      <c r="A853" s="126"/>
      <c r="B853" s="125"/>
      <c r="C853" s="125"/>
      <c r="D853" s="130"/>
      <c r="E853" s="124"/>
      <c r="F853" s="124"/>
      <c r="G853" s="125"/>
      <c r="H853" s="126"/>
      <c r="I853" s="126"/>
      <c r="J853" s="125"/>
      <c r="K853" s="125"/>
      <c r="L853" s="125"/>
      <c r="M853" s="125"/>
      <c r="N853" s="125"/>
      <c r="O853" s="125"/>
      <c r="P853" s="125"/>
      <c r="Q853" s="126"/>
      <c r="R853" s="126"/>
      <c r="S853" s="124"/>
      <c r="T853" s="125"/>
      <c r="U853" s="128"/>
      <c r="V853" s="128"/>
      <c r="W853" s="128"/>
      <c r="X853" s="128"/>
      <c r="Y853" s="128"/>
      <c r="Z853" s="128"/>
    </row>
    <row r="854" spans="1:26" ht="12.5">
      <c r="A854" s="126"/>
      <c r="B854" s="125"/>
      <c r="C854" s="125"/>
      <c r="D854" s="130"/>
      <c r="E854" s="124"/>
      <c r="F854" s="124"/>
      <c r="G854" s="125"/>
      <c r="H854" s="126"/>
      <c r="I854" s="126"/>
      <c r="J854" s="125"/>
      <c r="K854" s="125"/>
      <c r="L854" s="125"/>
      <c r="M854" s="125"/>
      <c r="N854" s="125"/>
      <c r="O854" s="125"/>
      <c r="P854" s="125"/>
      <c r="Q854" s="126"/>
      <c r="R854" s="126"/>
      <c r="S854" s="124"/>
      <c r="T854" s="125"/>
      <c r="U854" s="128"/>
      <c r="V854" s="128"/>
      <c r="W854" s="128"/>
      <c r="X854" s="128"/>
      <c r="Y854" s="128"/>
      <c r="Z854" s="128"/>
    </row>
    <row r="855" spans="1:26" ht="12.5">
      <c r="A855" s="126"/>
      <c r="B855" s="125"/>
      <c r="C855" s="125"/>
      <c r="D855" s="130"/>
      <c r="E855" s="124"/>
      <c r="F855" s="124"/>
      <c r="G855" s="125"/>
      <c r="H855" s="126"/>
      <c r="I855" s="126"/>
      <c r="J855" s="125"/>
      <c r="K855" s="125"/>
      <c r="L855" s="125"/>
      <c r="M855" s="125"/>
      <c r="N855" s="125"/>
      <c r="O855" s="125"/>
      <c r="P855" s="125"/>
      <c r="Q855" s="126"/>
      <c r="R855" s="126"/>
      <c r="S855" s="124"/>
      <c r="T855" s="125"/>
      <c r="U855" s="128"/>
      <c r="V855" s="128"/>
      <c r="W855" s="128"/>
      <c r="X855" s="128"/>
      <c r="Y855" s="128"/>
      <c r="Z855" s="128"/>
    </row>
    <row r="856" spans="1:26" ht="12.5">
      <c r="A856" s="126"/>
      <c r="B856" s="125"/>
      <c r="C856" s="125"/>
      <c r="D856" s="130"/>
      <c r="E856" s="124"/>
      <c r="F856" s="124"/>
      <c r="G856" s="125"/>
      <c r="H856" s="126"/>
      <c r="I856" s="126"/>
      <c r="J856" s="125"/>
      <c r="K856" s="125"/>
      <c r="L856" s="125"/>
      <c r="M856" s="125"/>
      <c r="N856" s="125"/>
      <c r="O856" s="125"/>
      <c r="P856" s="125"/>
      <c r="Q856" s="126"/>
      <c r="R856" s="126"/>
      <c r="S856" s="124"/>
      <c r="T856" s="125"/>
      <c r="U856" s="128"/>
      <c r="V856" s="128"/>
      <c r="W856" s="128"/>
      <c r="X856" s="128"/>
      <c r="Y856" s="128"/>
      <c r="Z856" s="128"/>
    </row>
    <row r="857" spans="1:26" ht="12.5">
      <c r="A857" s="126"/>
      <c r="B857" s="125"/>
      <c r="C857" s="125"/>
      <c r="D857" s="130"/>
      <c r="E857" s="124"/>
      <c r="F857" s="124"/>
      <c r="G857" s="125"/>
      <c r="H857" s="126"/>
      <c r="I857" s="126"/>
      <c r="J857" s="125"/>
      <c r="K857" s="125"/>
      <c r="L857" s="125"/>
      <c r="M857" s="125"/>
      <c r="N857" s="125"/>
      <c r="O857" s="125"/>
      <c r="P857" s="125"/>
      <c r="Q857" s="126"/>
      <c r="R857" s="126"/>
      <c r="S857" s="124"/>
      <c r="T857" s="125"/>
      <c r="U857" s="128"/>
      <c r="V857" s="128"/>
      <c r="W857" s="128"/>
      <c r="X857" s="128"/>
      <c r="Y857" s="128"/>
      <c r="Z857" s="128"/>
    </row>
    <row r="858" spans="1:26" ht="12.5">
      <c r="A858" s="126"/>
      <c r="B858" s="125"/>
      <c r="C858" s="125"/>
      <c r="D858" s="130"/>
      <c r="E858" s="124"/>
      <c r="F858" s="124"/>
      <c r="G858" s="125"/>
      <c r="H858" s="126"/>
      <c r="I858" s="126"/>
      <c r="J858" s="125"/>
      <c r="K858" s="125"/>
      <c r="L858" s="125"/>
      <c r="M858" s="125"/>
      <c r="N858" s="125"/>
      <c r="O858" s="125"/>
      <c r="P858" s="125"/>
      <c r="Q858" s="126"/>
      <c r="R858" s="126"/>
      <c r="S858" s="124"/>
      <c r="T858" s="125"/>
      <c r="U858" s="128"/>
      <c r="V858" s="128"/>
      <c r="W858" s="128"/>
      <c r="X858" s="128"/>
      <c r="Y858" s="128"/>
      <c r="Z858" s="128"/>
    </row>
    <row r="859" spans="1:26" ht="12.5">
      <c r="A859" s="126"/>
      <c r="B859" s="125"/>
      <c r="C859" s="125"/>
      <c r="D859" s="130"/>
      <c r="E859" s="124"/>
      <c r="F859" s="124"/>
      <c r="G859" s="125"/>
      <c r="H859" s="126"/>
      <c r="I859" s="126"/>
      <c r="J859" s="125"/>
      <c r="K859" s="125"/>
      <c r="L859" s="125"/>
      <c r="M859" s="125"/>
      <c r="N859" s="125"/>
      <c r="O859" s="125"/>
      <c r="P859" s="125"/>
      <c r="Q859" s="126"/>
      <c r="R859" s="126"/>
      <c r="S859" s="124"/>
      <c r="T859" s="125"/>
      <c r="U859" s="128"/>
      <c r="V859" s="128"/>
      <c r="W859" s="128"/>
      <c r="X859" s="128"/>
      <c r="Y859" s="128"/>
      <c r="Z859" s="128"/>
    </row>
    <row r="860" spans="1:26" ht="12.5">
      <c r="A860" s="126"/>
      <c r="B860" s="125"/>
      <c r="C860" s="125"/>
      <c r="D860" s="130"/>
      <c r="E860" s="124"/>
      <c r="F860" s="124"/>
      <c r="G860" s="125"/>
      <c r="H860" s="126"/>
      <c r="I860" s="126"/>
      <c r="J860" s="125"/>
      <c r="K860" s="125"/>
      <c r="L860" s="125"/>
      <c r="M860" s="125"/>
      <c r="N860" s="125"/>
      <c r="O860" s="125"/>
      <c r="P860" s="125"/>
      <c r="Q860" s="126"/>
      <c r="R860" s="126"/>
      <c r="S860" s="124"/>
      <c r="T860" s="125"/>
      <c r="U860" s="128"/>
      <c r="V860" s="128"/>
      <c r="W860" s="128"/>
      <c r="X860" s="128"/>
      <c r="Y860" s="128"/>
      <c r="Z860" s="128"/>
    </row>
    <row r="861" spans="1:26" ht="12.5">
      <c r="A861" s="126"/>
      <c r="B861" s="125"/>
      <c r="C861" s="125"/>
      <c r="D861" s="130"/>
      <c r="E861" s="124"/>
      <c r="F861" s="124"/>
      <c r="G861" s="125"/>
      <c r="H861" s="126"/>
      <c r="I861" s="126"/>
      <c r="J861" s="125"/>
      <c r="K861" s="125"/>
      <c r="L861" s="125"/>
      <c r="M861" s="125"/>
      <c r="N861" s="125"/>
      <c r="O861" s="125"/>
      <c r="P861" s="125"/>
      <c r="Q861" s="126"/>
      <c r="R861" s="126"/>
      <c r="S861" s="124"/>
      <c r="T861" s="125"/>
      <c r="U861" s="128"/>
      <c r="V861" s="128"/>
      <c r="W861" s="128"/>
      <c r="X861" s="128"/>
      <c r="Y861" s="128"/>
      <c r="Z861" s="128"/>
    </row>
    <row r="862" spans="1:26" ht="12.5">
      <c r="A862" s="126"/>
      <c r="B862" s="125"/>
      <c r="C862" s="125"/>
      <c r="D862" s="130"/>
      <c r="E862" s="124"/>
      <c r="F862" s="124"/>
      <c r="G862" s="125"/>
      <c r="H862" s="126"/>
      <c r="I862" s="126"/>
      <c r="J862" s="125"/>
      <c r="K862" s="125"/>
      <c r="L862" s="125"/>
      <c r="M862" s="125"/>
      <c r="N862" s="125"/>
      <c r="O862" s="125"/>
      <c r="P862" s="125"/>
      <c r="Q862" s="126"/>
      <c r="R862" s="126"/>
      <c r="S862" s="124"/>
      <c r="T862" s="125"/>
      <c r="U862" s="128"/>
      <c r="V862" s="128"/>
      <c r="W862" s="128"/>
      <c r="X862" s="128"/>
      <c r="Y862" s="128"/>
      <c r="Z862" s="128"/>
    </row>
    <row r="863" spans="1:26" ht="12.5">
      <c r="A863" s="126"/>
      <c r="B863" s="125"/>
      <c r="C863" s="125"/>
      <c r="D863" s="130"/>
      <c r="E863" s="124"/>
      <c r="F863" s="124"/>
      <c r="G863" s="125"/>
      <c r="H863" s="126"/>
      <c r="I863" s="126"/>
      <c r="J863" s="125"/>
      <c r="K863" s="125"/>
      <c r="L863" s="125"/>
      <c r="M863" s="125"/>
      <c r="N863" s="125"/>
      <c r="O863" s="125"/>
      <c r="P863" s="125"/>
      <c r="Q863" s="126"/>
      <c r="R863" s="126"/>
      <c r="S863" s="124"/>
      <c r="T863" s="125"/>
      <c r="U863" s="128"/>
      <c r="V863" s="128"/>
      <c r="W863" s="128"/>
      <c r="X863" s="128"/>
      <c r="Y863" s="128"/>
      <c r="Z863" s="128"/>
    </row>
    <row r="864" spans="1:26" ht="12.5">
      <c r="A864" s="126"/>
      <c r="B864" s="125"/>
      <c r="C864" s="125"/>
      <c r="D864" s="130"/>
      <c r="E864" s="124"/>
      <c r="F864" s="124"/>
      <c r="G864" s="125"/>
      <c r="H864" s="126"/>
      <c r="I864" s="126"/>
      <c r="J864" s="125"/>
      <c r="K864" s="125"/>
      <c r="L864" s="125"/>
      <c r="M864" s="125"/>
      <c r="N864" s="125"/>
      <c r="O864" s="125"/>
      <c r="P864" s="125"/>
      <c r="Q864" s="126"/>
      <c r="R864" s="126"/>
      <c r="S864" s="124"/>
      <c r="T864" s="125"/>
      <c r="U864" s="128"/>
      <c r="V864" s="128"/>
      <c r="W864" s="128"/>
      <c r="X864" s="128"/>
      <c r="Y864" s="128"/>
      <c r="Z864" s="128"/>
    </row>
    <row r="865" spans="1:26" ht="12.5">
      <c r="A865" s="126"/>
      <c r="B865" s="125"/>
      <c r="C865" s="125"/>
      <c r="D865" s="130"/>
      <c r="E865" s="124"/>
      <c r="F865" s="124"/>
      <c r="G865" s="125"/>
      <c r="H865" s="126"/>
      <c r="I865" s="126"/>
      <c r="J865" s="125"/>
      <c r="K865" s="125"/>
      <c r="L865" s="125"/>
      <c r="M865" s="125"/>
      <c r="N865" s="125"/>
      <c r="O865" s="125"/>
      <c r="P865" s="125"/>
      <c r="Q865" s="126"/>
      <c r="R865" s="126"/>
      <c r="S865" s="124"/>
      <c r="T865" s="125"/>
      <c r="U865" s="128"/>
      <c r="V865" s="128"/>
      <c r="W865" s="128"/>
      <c r="X865" s="128"/>
      <c r="Y865" s="128"/>
      <c r="Z865" s="128"/>
    </row>
    <row r="866" spans="1:26" ht="12.5">
      <c r="A866" s="126"/>
      <c r="B866" s="125"/>
      <c r="C866" s="125"/>
      <c r="D866" s="130"/>
      <c r="E866" s="124"/>
      <c r="F866" s="124"/>
      <c r="G866" s="125"/>
      <c r="H866" s="126"/>
      <c r="I866" s="126"/>
      <c r="J866" s="125"/>
      <c r="K866" s="125"/>
      <c r="L866" s="125"/>
      <c r="M866" s="125"/>
      <c r="N866" s="125"/>
      <c r="O866" s="125"/>
      <c r="P866" s="125"/>
      <c r="Q866" s="126"/>
      <c r="R866" s="126"/>
      <c r="S866" s="124"/>
      <c r="T866" s="125"/>
      <c r="U866" s="128"/>
      <c r="V866" s="128"/>
      <c r="W866" s="128"/>
      <c r="X866" s="128"/>
      <c r="Y866" s="128"/>
      <c r="Z866" s="128"/>
    </row>
    <row r="867" spans="1:26" ht="12.5">
      <c r="A867" s="126"/>
      <c r="B867" s="125"/>
      <c r="C867" s="125"/>
      <c r="D867" s="130"/>
      <c r="E867" s="124"/>
      <c r="F867" s="124"/>
      <c r="G867" s="125"/>
      <c r="H867" s="126"/>
      <c r="I867" s="126"/>
      <c r="J867" s="125"/>
      <c r="K867" s="125"/>
      <c r="L867" s="125"/>
      <c r="M867" s="125"/>
      <c r="N867" s="125"/>
      <c r="O867" s="125"/>
      <c r="P867" s="125"/>
      <c r="Q867" s="126"/>
      <c r="R867" s="126"/>
      <c r="S867" s="124"/>
      <c r="T867" s="125"/>
      <c r="U867" s="128"/>
      <c r="V867" s="128"/>
      <c r="W867" s="128"/>
      <c r="X867" s="128"/>
      <c r="Y867" s="128"/>
      <c r="Z867" s="128"/>
    </row>
    <row r="868" spans="1:26" ht="12.5">
      <c r="A868" s="126"/>
      <c r="B868" s="125"/>
      <c r="C868" s="125"/>
      <c r="D868" s="130"/>
      <c r="E868" s="124"/>
      <c r="F868" s="124"/>
      <c r="G868" s="125"/>
      <c r="H868" s="126"/>
      <c r="I868" s="126"/>
      <c r="J868" s="125"/>
      <c r="K868" s="125"/>
      <c r="L868" s="125"/>
      <c r="M868" s="125"/>
      <c r="N868" s="125"/>
      <c r="O868" s="125"/>
      <c r="P868" s="125"/>
      <c r="Q868" s="126"/>
      <c r="R868" s="126"/>
      <c r="S868" s="124"/>
      <c r="T868" s="125"/>
      <c r="U868" s="128"/>
      <c r="V868" s="128"/>
      <c r="W868" s="128"/>
      <c r="X868" s="128"/>
      <c r="Y868" s="128"/>
      <c r="Z868" s="128"/>
    </row>
    <row r="869" spans="1:26" ht="12.5">
      <c r="A869" s="126"/>
      <c r="B869" s="125"/>
      <c r="C869" s="125"/>
      <c r="D869" s="130"/>
      <c r="E869" s="124"/>
      <c r="F869" s="124"/>
      <c r="G869" s="125"/>
      <c r="H869" s="126"/>
      <c r="I869" s="126"/>
      <c r="J869" s="125"/>
      <c r="K869" s="125"/>
      <c r="L869" s="125"/>
      <c r="M869" s="125"/>
      <c r="N869" s="125"/>
      <c r="O869" s="125"/>
      <c r="P869" s="125"/>
      <c r="Q869" s="126"/>
      <c r="R869" s="126"/>
      <c r="S869" s="124"/>
      <c r="T869" s="125"/>
      <c r="U869" s="128"/>
      <c r="V869" s="128"/>
      <c r="W869" s="128"/>
      <c r="X869" s="128"/>
      <c r="Y869" s="128"/>
      <c r="Z869" s="128"/>
    </row>
    <row r="870" spans="1:26" ht="12.5">
      <c r="A870" s="126"/>
      <c r="B870" s="125"/>
      <c r="C870" s="125"/>
      <c r="D870" s="130"/>
      <c r="E870" s="124"/>
      <c r="F870" s="124"/>
      <c r="G870" s="125"/>
      <c r="H870" s="126"/>
      <c r="I870" s="126"/>
      <c r="J870" s="125"/>
      <c r="K870" s="125"/>
      <c r="L870" s="125"/>
      <c r="M870" s="125"/>
      <c r="N870" s="125"/>
      <c r="O870" s="125"/>
      <c r="P870" s="125"/>
      <c r="Q870" s="126"/>
      <c r="R870" s="126"/>
      <c r="S870" s="124"/>
      <c r="T870" s="125"/>
      <c r="U870" s="128"/>
      <c r="V870" s="128"/>
      <c r="W870" s="128"/>
      <c r="X870" s="128"/>
      <c r="Y870" s="128"/>
      <c r="Z870" s="128"/>
    </row>
    <row r="871" spans="1:26" ht="12.5">
      <c r="A871" s="126"/>
      <c r="B871" s="125"/>
      <c r="C871" s="125"/>
      <c r="D871" s="130"/>
      <c r="E871" s="124"/>
      <c r="F871" s="124"/>
      <c r="G871" s="125"/>
      <c r="H871" s="126"/>
      <c r="I871" s="126"/>
      <c r="J871" s="125"/>
      <c r="K871" s="125"/>
      <c r="L871" s="125"/>
      <c r="M871" s="125"/>
      <c r="N871" s="125"/>
      <c r="O871" s="125"/>
      <c r="P871" s="125"/>
      <c r="Q871" s="126"/>
      <c r="R871" s="126"/>
      <c r="S871" s="124"/>
      <c r="T871" s="125"/>
      <c r="U871" s="128"/>
      <c r="V871" s="128"/>
      <c r="W871" s="128"/>
      <c r="X871" s="128"/>
      <c r="Y871" s="128"/>
      <c r="Z871" s="128"/>
    </row>
    <row r="872" spans="1:26" ht="12.5">
      <c r="A872" s="126"/>
      <c r="B872" s="125"/>
      <c r="C872" s="125"/>
      <c r="D872" s="130"/>
      <c r="E872" s="124"/>
      <c r="F872" s="124"/>
      <c r="G872" s="125"/>
      <c r="H872" s="126"/>
      <c r="I872" s="126"/>
      <c r="J872" s="125"/>
      <c r="K872" s="125"/>
      <c r="L872" s="125"/>
      <c r="M872" s="125"/>
      <c r="N872" s="125"/>
      <c r="O872" s="125"/>
      <c r="P872" s="125"/>
      <c r="Q872" s="126"/>
      <c r="R872" s="126"/>
      <c r="S872" s="124"/>
      <c r="T872" s="125"/>
      <c r="U872" s="128"/>
      <c r="V872" s="128"/>
      <c r="W872" s="128"/>
      <c r="X872" s="128"/>
      <c r="Y872" s="128"/>
      <c r="Z872" s="128"/>
    </row>
    <row r="873" spans="1:26" ht="12.5">
      <c r="A873" s="126"/>
      <c r="B873" s="125"/>
      <c r="C873" s="125"/>
      <c r="D873" s="130"/>
      <c r="E873" s="124"/>
      <c r="F873" s="124"/>
      <c r="G873" s="125"/>
      <c r="H873" s="126"/>
      <c r="I873" s="126"/>
      <c r="J873" s="125"/>
      <c r="K873" s="125"/>
      <c r="L873" s="125"/>
      <c r="M873" s="125"/>
      <c r="N873" s="125"/>
      <c r="O873" s="125"/>
      <c r="P873" s="125"/>
      <c r="Q873" s="126"/>
      <c r="R873" s="126"/>
      <c r="S873" s="124"/>
      <c r="T873" s="125"/>
      <c r="U873" s="128"/>
      <c r="V873" s="128"/>
      <c r="W873" s="128"/>
      <c r="X873" s="128"/>
      <c r="Y873" s="128"/>
      <c r="Z873" s="128"/>
    </row>
    <row r="874" spans="1:26" ht="12.5">
      <c r="A874" s="126"/>
      <c r="B874" s="125"/>
      <c r="C874" s="125"/>
      <c r="D874" s="130"/>
      <c r="E874" s="124"/>
      <c r="F874" s="124"/>
      <c r="G874" s="125"/>
      <c r="H874" s="126"/>
      <c r="I874" s="126"/>
      <c r="J874" s="125"/>
      <c r="K874" s="125"/>
      <c r="L874" s="125"/>
      <c r="M874" s="125"/>
      <c r="N874" s="125"/>
      <c r="O874" s="125"/>
      <c r="P874" s="125"/>
      <c r="Q874" s="126"/>
      <c r="R874" s="126"/>
      <c r="S874" s="124"/>
      <c r="T874" s="125"/>
      <c r="U874" s="128"/>
      <c r="V874" s="128"/>
      <c r="W874" s="128"/>
      <c r="X874" s="128"/>
      <c r="Y874" s="128"/>
      <c r="Z874" s="128"/>
    </row>
    <row r="875" spans="1:26" ht="12.5">
      <c r="A875" s="126"/>
      <c r="B875" s="125"/>
      <c r="C875" s="125"/>
      <c r="D875" s="130"/>
      <c r="E875" s="124"/>
      <c r="F875" s="124"/>
      <c r="G875" s="125"/>
      <c r="H875" s="126"/>
      <c r="I875" s="126"/>
      <c r="J875" s="125"/>
      <c r="K875" s="125"/>
      <c r="L875" s="125"/>
      <c r="M875" s="125"/>
      <c r="N875" s="125"/>
      <c r="O875" s="125"/>
      <c r="P875" s="125"/>
      <c r="Q875" s="126"/>
      <c r="R875" s="126"/>
      <c r="S875" s="124"/>
      <c r="T875" s="125"/>
      <c r="U875" s="128"/>
      <c r="V875" s="128"/>
      <c r="W875" s="128"/>
      <c r="X875" s="128"/>
      <c r="Y875" s="128"/>
      <c r="Z875" s="128"/>
    </row>
    <row r="876" spans="1:26" ht="12.5">
      <c r="A876" s="126"/>
      <c r="B876" s="125"/>
      <c r="C876" s="125"/>
      <c r="D876" s="130"/>
      <c r="E876" s="124"/>
      <c r="F876" s="124"/>
      <c r="G876" s="125"/>
      <c r="H876" s="126"/>
      <c r="I876" s="126"/>
      <c r="J876" s="125"/>
      <c r="K876" s="125"/>
      <c r="L876" s="125"/>
      <c r="M876" s="125"/>
      <c r="N876" s="125"/>
      <c r="O876" s="125"/>
      <c r="P876" s="125"/>
      <c r="Q876" s="126"/>
      <c r="R876" s="126"/>
      <c r="S876" s="124"/>
      <c r="T876" s="125"/>
      <c r="U876" s="128"/>
      <c r="V876" s="128"/>
      <c r="W876" s="128"/>
      <c r="X876" s="128"/>
      <c r="Y876" s="128"/>
      <c r="Z876" s="128"/>
    </row>
    <row r="877" spans="1:26" ht="12.5">
      <c r="A877" s="126"/>
      <c r="B877" s="125"/>
      <c r="C877" s="125"/>
      <c r="D877" s="130"/>
      <c r="E877" s="124"/>
      <c r="F877" s="124"/>
      <c r="G877" s="125"/>
      <c r="H877" s="126"/>
      <c r="I877" s="126"/>
      <c r="J877" s="125"/>
      <c r="K877" s="125"/>
      <c r="L877" s="125"/>
      <c r="M877" s="125"/>
      <c r="N877" s="125"/>
      <c r="O877" s="125"/>
      <c r="P877" s="125"/>
      <c r="Q877" s="126"/>
      <c r="R877" s="126"/>
      <c r="S877" s="124"/>
      <c r="T877" s="125"/>
      <c r="U877" s="128"/>
      <c r="V877" s="128"/>
      <c r="W877" s="128"/>
      <c r="X877" s="128"/>
      <c r="Y877" s="128"/>
      <c r="Z877" s="128"/>
    </row>
    <row r="878" spans="1:26" ht="12.5">
      <c r="A878" s="126"/>
      <c r="B878" s="125"/>
      <c r="C878" s="125"/>
      <c r="D878" s="130"/>
      <c r="E878" s="124"/>
      <c r="F878" s="124"/>
      <c r="G878" s="125"/>
      <c r="H878" s="126"/>
      <c r="I878" s="126"/>
      <c r="J878" s="125"/>
      <c r="K878" s="125"/>
      <c r="L878" s="125"/>
      <c r="M878" s="125"/>
      <c r="N878" s="125"/>
      <c r="O878" s="125"/>
      <c r="P878" s="125"/>
      <c r="Q878" s="126"/>
      <c r="R878" s="126"/>
      <c r="S878" s="124"/>
      <c r="T878" s="125"/>
      <c r="U878" s="128"/>
      <c r="V878" s="128"/>
      <c r="W878" s="128"/>
      <c r="X878" s="128"/>
      <c r="Y878" s="128"/>
      <c r="Z878" s="128"/>
    </row>
    <row r="879" spans="1:26" ht="12.5">
      <c r="A879" s="126"/>
      <c r="B879" s="125"/>
      <c r="C879" s="125"/>
      <c r="D879" s="130"/>
      <c r="E879" s="124"/>
      <c r="F879" s="124"/>
      <c r="G879" s="125"/>
      <c r="H879" s="126"/>
      <c r="I879" s="126"/>
      <c r="J879" s="125"/>
      <c r="K879" s="125"/>
      <c r="L879" s="125"/>
      <c r="M879" s="125"/>
      <c r="N879" s="125"/>
      <c r="O879" s="125"/>
      <c r="P879" s="125"/>
      <c r="Q879" s="126"/>
      <c r="R879" s="126"/>
      <c r="S879" s="124"/>
      <c r="T879" s="125"/>
      <c r="U879" s="128"/>
      <c r="V879" s="128"/>
      <c r="W879" s="128"/>
      <c r="X879" s="128"/>
      <c r="Y879" s="128"/>
      <c r="Z879" s="128"/>
    </row>
    <row r="880" spans="1:26" ht="12.5">
      <c r="A880" s="126"/>
      <c r="B880" s="125"/>
      <c r="C880" s="125"/>
      <c r="D880" s="130"/>
      <c r="E880" s="124"/>
      <c r="F880" s="124"/>
      <c r="G880" s="125"/>
      <c r="H880" s="126"/>
      <c r="I880" s="126"/>
      <c r="J880" s="125"/>
      <c r="K880" s="125"/>
      <c r="L880" s="125"/>
      <c r="M880" s="125"/>
      <c r="N880" s="125"/>
      <c r="O880" s="125"/>
      <c r="P880" s="125"/>
      <c r="Q880" s="126"/>
      <c r="R880" s="126"/>
      <c r="S880" s="124"/>
      <c r="T880" s="125"/>
      <c r="U880" s="128"/>
      <c r="V880" s="128"/>
      <c r="W880" s="128"/>
      <c r="X880" s="128"/>
      <c r="Y880" s="128"/>
      <c r="Z880" s="128"/>
    </row>
    <row r="881" spans="1:26" ht="12.5">
      <c r="A881" s="126"/>
      <c r="B881" s="125"/>
      <c r="C881" s="125"/>
      <c r="D881" s="130"/>
      <c r="E881" s="124"/>
      <c r="F881" s="124"/>
      <c r="G881" s="125"/>
      <c r="H881" s="126"/>
      <c r="I881" s="126"/>
      <c r="J881" s="125"/>
      <c r="K881" s="125"/>
      <c r="L881" s="125"/>
      <c r="M881" s="125"/>
      <c r="N881" s="125"/>
      <c r="O881" s="125"/>
      <c r="P881" s="125"/>
      <c r="Q881" s="126"/>
      <c r="R881" s="126"/>
      <c r="S881" s="124"/>
      <c r="T881" s="125"/>
      <c r="U881" s="128"/>
      <c r="V881" s="128"/>
      <c r="W881" s="128"/>
      <c r="X881" s="128"/>
      <c r="Y881" s="128"/>
      <c r="Z881" s="128"/>
    </row>
    <row r="882" spans="1:26" ht="12.5">
      <c r="A882" s="126"/>
      <c r="B882" s="125"/>
      <c r="C882" s="125"/>
      <c r="D882" s="130"/>
      <c r="E882" s="124"/>
      <c r="F882" s="124"/>
      <c r="G882" s="125"/>
      <c r="H882" s="126"/>
      <c r="I882" s="126"/>
      <c r="J882" s="125"/>
      <c r="K882" s="125"/>
      <c r="L882" s="125"/>
      <c r="M882" s="125"/>
      <c r="N882" s="125"/>
      <c r="O882" s="125"/>
      <c r="P882" s="125"/>
      <c r="Q882" s="126"/>
      <c r="R882" s="126"/>
      <c r="S882" s="124"/>
      <c r="T882" s="125"/>
      <c r="U882" s="128"/>
      <c r="V882" s="128"/>
      <c r="W882" s="128"/>
      <c r="X882" s="128"/>
      <c r="Y882" s="128"/>
      <c r="Z882" s="128"/>
    </row>
    <row r="883" spans="1:26" ht="12.5">
      <c r="A883" s="126"/>
      <c r="B883" s="125"/>
      <c r="C883" s="125"/>
      <c r="D883" s="130"/>
      <c r="E883" s="124"/>
      <c r="F883" s="124"/>
      <c r="G883" s="125"/>
      <c r="H883" s="126"/>
      <c r="I883" s="126"/>
      <c r="J883" s="125"/>
      <c r="K883" s="125"/>
      <c r="L883" s="125"/>
      <c r="M883" s="125"/>
      <c r="N883" s="125"/>
      <c r="O883" s="125"/>
      <c r="P883" s="125"/>
      <c r="Q883" s="126"/>
      <c r="R883" s="126"/>
      <c r="S883" s="124"/>
      <c r="T883" s="125"/>
      <c r="U883" s="128"/>
      <c r="V883" s="128"/>
      <c r="W883" s="128"/>
      <c r="X883" s="128"/>
      <c r="Y883" s="128"/>
      <c r="Z883" s="128"/>
    </row>
    <row r="884" spans="1:26" ht="12.5">
      <c r="A884" s="126"/>
      <c r="B884" s="125"/>
      <c r="C884" s="125"/>
      <c r="D884" s="130"/>
      <c r="E884" s="124"/>
      <c r="F884" s="124"/>
      <c r="G884" s="125"/>
      <c r="H884" s="126"/>
      <c r="I884" s="126"/>
      <c r="J884" s="125"/>
      <c r="K884" s="125"/>
      <c r="L884" s="125"/>
      <c r="M884" s="125"/>
      <c r="N884" s="125"/>
      <c r="O884" s="125"/>
      <c r="P884" s="125"/>
      <c r="Q884" s="126"/>
      <c r="R884" s="126"/>
      <c r="S884" s="124"/>
      <c r="T884" s="125"/>
      <c r="U884" s="128"/>
      <c r="V884" s="128"/>
      <c r="W884" s="128"/>
      <c r="X884" s="128"/>
      <c r="Y884" s="128"/>
      <c r="Z884" s="128"/>
    </row>
    <row r="885" spans="1:26" ht="12.5">
      <c r="A885" s="126"/>
      <c r="B885" s="125"/>
      <c r="C885" s="125"/>
      <c r="D885" s="130"/>
      <c r="E885" s="124"/>
      <c r="F885" s="124"/>
      <c r="G885" s="125"/>
      <c r="H885" s="126"/>
      <c r="I885" s="126"/>
      <c r="J885" s="125"/>
      <c r="K885" s="125"/>
      <c r="L885" s="125"/>
      <c r="M885" s="125"/>
      <c r="N885" s="125"/>
      <c r="O885" s="125"/>
      <c r="P885" s="125"/>
      <c r="Q885" s="126"/>
      <c r="R885" s="126"/>
      <c r="S885" s="124"/>
      <c r="T885" s="125"/>
      <c r="U885" s="128"/>
      <c r="V885" s="128"/>
      <c r="W885" s="128"/>
      <c r="X885" s="128"/>
      <c r="Y885" s="128"/>
      <c r="Z885" s="128"/>
    </row>
    <row r="886" spans="1:26" ht="12.5">
      <c r="A886" s="126"/>
      <c r="B886" s="125"/>
      <c r="C886" s="125"/>
      <c r="D886" s="130"/>
      <c r="E886" s="124"/>
      <c r="F886" s="124"/>
      <c r="G886" s="125"/>
      <c r="H886" s="126"/>
      <c r="I886" s="126"/>
      <c r="J886" s="125"/>
      <c r="K886" s="125"/>
      <c r="L886" s="125"/>
      <c r="M886" s="125"/>
      <c r="N886" s="125"/>
      <c r="O886" s="125"/>
      <c r="P886" s="125"/>
      <c r="Q886" s="126"/>
      <c r="R886" s="126"/>
      <c r="S886" s="124"/>
      <c r="T886" s="125"/>
      <c r="U886" s="128"/>
      <c r="V886" s="128"/>
      <c r="W886" s="128"/>
      <c r="X886" s="128"/>
      <c r="Y886" s="128"/>
      <c r="Z886" s="128"/>
    </row>
    <row r="887" spans="1:26" ht="12.5">
      <c r="A887" s="126"/>
      <c r="B887" s="125"/>
      <c r="C887" s="125"/>
      <c r="D887" s="130"/>
      <c r="E887" s="124"/>
      <c r="F887" s="124"/>
      <c r="G887" s="125"/>
      <c r="H887" s="126"/>
      <c r="I887" s="126"/>
      <c r="J887" s="125"/>
      <c r="K887" s="125"/>
      <c r="L887" s="125"/>
      <c r="M887" s="125"/>
      <c r="N887" s="125"/>
      <c r="O887" s="125"/>
      <c r="P887" s="125"/>
      <c r="Q887" s="126"/>
      <c r="R887" s="126"/>
      <c r="S887" s="124"/>
      <c r="T887" s="125"/>
      <c r="U887" s="128"/>
      <c r="V887" s="128"/>
      <c r="W887" s="128"/>
      <c r="X887" s="128"/>
      <c r="Y887" s="128"/>
      <c r="Z887" s="128"/>
    </row>
    <row r="888" spans="1:26" ht="12.5">
      <c r="A888" s="126"/>
      <c r="B888" s="125"/>
      <c r="C888" s="125"/>
      <c r="D888" s="130"/>
      <c r="E888" s="124"/>
      <c r="F888" s="124"/>
      <c r="G888" s="125"/>
      <c r="H888" s="126"/>
      <c r="I888" s="126"/>
      <c r="J888" s="125"/>
      <c r="K888" s="125"/>
      <c r="L888" s="125"/>
      <c r="M888" s="125"/>
      <c r="N888" s="125"/>
      <c r="O888" s="125"/>
      <c r="P888" s="125"/>
      <c r="Q888" s="126"/>
      <c r="R888" s="126"/>
      <c r="S888" s="124"/>
      <c r="T888" s="125"/>
      <c r="U888" s="128"/>
      <c r="V888" s="128"/>
      <c r="W888" s="128"/>
      <c r="X888" s="128"/>
      <c r="Y888" s="128"/>
      <c r="Z888" s="128"/>
    </row>
    <row r="889" spans="1:26" ht="12.5">
      <c r="A889" s="126"/>
      <c r="B889" s="125"/>
      <c r="C889" s="125"/>
      <c r="D889" s="130"/>
      <c r="E889" s="124"/>
      <c r="F889" s="124"/>
      <c r="G889" s="125"/>
      <c r="H889" s="126"/>
      <c r="I889" s="126"/>
      <c r="J889" s="125"/>
      <c r="K889" s="125"/>
      <c r="L889" s="125"/>
      <c r="M889" s="125"/>
      <c r="N889" s="125"/>
      <c r="O889" s="125"/>
      <c r="P889" s="125"/>
      <c r="Q889" s="126"/>
      <c r="R889" s="126"/>
      <c r="S889" s="124"/>
      <c r="T889" s="125"/>
      <c r="U889" s="128"/>
      <c r="V889" s="128"/>
      <c r="W889" s="128"/>
      <c r="X889" s="128"/>
      <c r="Y889" s="128"/>
      <c r="Z889" s="128"/>
    </row>
    <row r="890" spans="1:26" ht="12.5">
      <c r="A890" s="126"/>
      <c r="B890" s="125"/>
      <c r="C890" s="125"/>
      <c r="D890" s="130"/>
      <c r="E890" s="124"/>
      <c r="F890" s="124"/>
      <c r="G890" s="125"/>
      <c r="H890" s="126"/>
      <c r="I890" s="126"/>
      <c r="J890" s="125"/>
      <c r="K890" s="125"/>
      <c r="L890" s="125"/>
      <c r="M890" s="125"/>
      <c r="N890" s="125"/>
      <c r="O890" s="125"/>
      <c r="P890" s="125"/>
      <c r="Q890" s="126"/>
      <c r="R890" s="126"/>
      <c r="S890" s="124"/>
      <c r="T890" s="125"/>
      <c r="U890" s="128"/>
      <c r="V890" s="128"/>
      <c r="W890" s="128"/>
      <c r="X890" s="128"/>
      <c r="Y890" s="128"/>
      <c r="Z890" s="128"/>
    </row>
    <row r="891" spans="1:26" ht="12.5">
      <c r="A891" s="126"/>
      <c r="B891" s="125"/>
      <c r="C891" s="125"/>
      <c r="D891" s="130"/>
      <c r="E891" s="124"/>
      <c r="F891" s="124"/>
      <c r="G891" s="125"/>
      <c r="H891" s="126"/>
      <c r="I891" s="126"/>
      <c r="J891" s="125"/>
      <c r="K891" s="125"/>
      <c r="L891" s="125"/>
      <c r="M891" s="125"/>
      <c r="N891" s="125"/>
      <c r="O891" s="125"/>
      <c r="P891" s="125"/>
      <c r="Q891" s="126"/>
      <c r="R891" s="126"/>
      <c r="S891" s="124"/>
      <c r="T891" s="125"/>
      <c r="U891" s="128"/>
      <c r="V891" s="128"/>
      <c r="W891" s="128"/>
      <c r="X891" s="128"/>
      <c r="Y891" s="128"/>
      <c r="Z891" s="128"/>
    </row>
    <row r="892" spans="1:26" ht="12.5">
      <c r="A892" s="126"/>
      <c r="B892" s="125"/>
      <c r="C892" s="125"/>
      <c r="D892" s="130"/>
      <c r="E892" s="124"/>
      <c r="F892" s="124"/>
      <c r="G892" s="125"/>
      <c r="H892" s="126"/>
      <c r="I892" s="126"/>
      <c r="J892" s="125"/>
      <c r="K892" s="125"/>
      <c r="L892" s="125"/>
      <c r="M892" s="125"/>
      <c r="N892" s="125"/>
      <c r="O892" s="125"/>
      <c r="P892" s="125"/>
      <c r="Q892" s="126"/>
      <c r="R892" s="126"/>
      <c r="S892" s="124"/>
      <c r="T892" s="125"/>
      <c r="U892" s="128"/>
      <c r="V892" s="128"/>
      <c r="W892" s="128"/>
      <c r="X892" s="128"/>
      <c r="Y892" s="128"/>
      <c r="Z892" s="128"/>
    </row>
    <row r="893" spans="1:26" ht="12.5">
      <c r="A893" s="126"/>
      <c r="B893" s="125"/>
      <c r="C893" s="125"/>
      <c r="D893" s="130"/>
      <c r="E893" s="124"/>
      <c r="F893" s="124"/>
      <c r="G893" s="125"/>
      <c r="H893" s="126"/>
      <c r="I893" s="126"/>
      <c r="J893" s="125"/>
      <c r="K893" s="125"/>
      <c r="L893" s="125"/>
      <c r="M893" s="125"/>
      <c r="N893" s="125"/>
      <c r="O893" s="125"/>
      <c r="P893" s="125"/>
      <c r="Q893" s="126"/>
      <c r="R893" s="126"/>
      <c r="S893" s="124"/>
      <c r="T893" s="125"/>
      <c r="U893" s="128"/>
      <c r="V893" s="128"/>
      <c r="W893" s="128"/>
      <c r="X893" s="128"/>
      <c r="Y893" s="128"/>
      <c r="Z893" s="128"/>
    </row>
    <row r="894" spans="1:26" ht="12.5">
      <c r="A894" s="126"/>
      <c r="B894" s="125"/>
      <c r="C894" s="125"/>
      <c r="D894" s="130"/>
      <c r="E894" s="124"/>
      <c r="F894" s="124"/>
      <c r="G894" s="125"/>
      <c r="H894" s="126"/>
      <c r="I894" s="126"/>
      <c r="J894" s="125"/>
      <c r="K894" s="125"/>
      <c r="L894" s="125"/>
      <c r="M894" s="125"/>
      <c r="N894" s="125"/>
      <c r="O894" s="125"/>
      <c r="P894" s="125"/>
      <c r="Q894" s="126"/>
      <c r="R894" s="126"/>
      <c r="S894" s="124"/>
      <c r="T894" s="125"/>
      <c r="U894" s="128"/>
      <c r="V894" s="128"/>
      <c r="W894" s="128"/>
      <c r="X894" s="128"/>
      <c r="Y894" s="128"/>
      <c r="Z894" s="128"/>
    </row>
    <row r="895" spans="1:26" ht="12.5">
      <c r="A895" s="126"/>
      <c r="B895" s="125"/>
      <c r="C895" s="125"/>
      <c r="D895" s="130"/>
      <c r="E895" s="124"/>
      <c r="F895" s="124"/>
      <c r="G895" s="125"/>
      <c r="H895" s="126"/>
      <c r="I895" s="126"/>
      <c r="J895" s="125"/>
      <c r="K895" s="125"/>
      <c r="L895" s="125"/>
      <c r="M895" s="125"/>
      <c r="N895" s="125"/>
      <c r="O895" s="125"/>
      <c r="P895" s="125"/>
      <c r="Q895" s="126"/>
      <c r="R895" s="126"/>
      <c r="S895" s="124"/>
      <c r="T895" s="125"/>
      <c r="U895" s="128"/>
      <c r="V895" s="128"/>
      <c r="W895" s="128"/>
      <c r="X895" s="128"/>
      <c r="Y895" s="128"/>
      <c r="Z895" s="128"/>
    </row>
    <row r="896" spans="1:26" ht="12.5">
      <c r="A896" s="126"/>
      <c r="B896" s="125"/>
      <c r="C896" s="125"/>
      <c r="D896" s="130"/>
      <c r="E896" s="124"/>
      <c r="F896" s="124"/>
      <c r="G896" s="125"/>
      <c r="H896" s="126"/>
      <c r="I896" s="126"/>
      <c r="J896" s="125"/>
      <c r="K896" s="125"/>
      <c r="L896" s="125"/>
      <c r="M896" s="125"/>
      <c r="N896" s="125"/>
      <c r="O896" s="125"/>
      <c r="P896" s="125"/>
      <c r="Q896" s="126"/>
      <c r="R896" s="126"/>
      <c r="S896" s="124"/>
      <c r="T896" s="125"/>
      <c r="U896" s="128"/>
      <c r="V896" s="128"/>
      <c r="W896" s="128"/>
      <c r="X896" s="128"/>
      <c r="Y896" s="128"/>
      <c r="Z896" s="128"/>
    </row>
    <row r="897" spans="1:26" ht="12.5">
      <c r="A897" s="128"/>
      <c r="B897" s="128"/>
      <c r="C897" s="128"/>
      <c r="D897" s="190"/>
      <c r="E897" s="128"/>
      <c r="F897" s="128"/>
      <c r="G897" s="128"/>
      <c r="H897" s="128"/>
      <c r="I897" s="128"/>
      <c r="J897" s="128"/>
      <c r="K897" s="128"/>
      <c r="L897" s="128"/>
      <c r="M897" s="128"/>
      <c r="N897" s="128"/>
      <c r="O897" s="128"/>
      <c r="P897" s="128"/>
      <c r="Q897" s="326"/>
      <c r="R897" s="128"/>
      <c r="S897" s="128"/>
      <c r="T897" s="128"/>
      <c r="U897" s="128"/>
      <c r="V897" s="128"/>
      <c r="W897" s="128"/>
      <c r="X897" s="128"/>
      <c r="Y897" s="128"/>
      <c r="Z897" s="128"/>
    </row>
    <row r="898" spans="1:26" ht="12.5">
      <c r="A898" s="128"/>
      <c r="B898" s="128"/>
      <c r="C898" s="128"/>
      <c r="D898" s="190"/>
      <c r="E898" s="128"/>
      <c r="F898" s="128"/>
      <c r="G898" s="128"/>
      <c r="H898" s="128"/>
      <c r="I898" s="128"/>
      <c r="J898" s="128"/>
      <c r="K898" s="128"/>
      <c r="L898" s="128"/>
      <c r="M898" s="128"/>
      <c r="N898" s="128"/>
      <c r="O898" s="128"/>
      <c r="P898" s="128"/>
      <c r="Q898" s="326"/>
      <c r="R898" s="128"/>
      <c r="S898" s="128"/>
      <c r="T898" s="128"/>
      <c r="U898" s="128"/>
      <c r="V898" s="128"/>
      <c r="W898" s="128"/>
      <c r="X898" s="128"/>
      <c r="Y898" s="128"/>
      <c r="Z898" s="128"/>
    </row>
    <row r="899" spans="1:26" ht="12.5">
      <c r="A899" s="128"/>
      <c r="B899" s="128"/>
      <c r="C899" s="128"/>
      <c r="D899" s="190"/>
      <c r="E899" s="128"/>
      <c r="F899" s="128"/>
      <c r="G899" s="128"/>
      <c r="H899" s="128"/>
      <c r="I899" s="128"/>
      <c r="J899" s="128"/>
      <c r="K899" s="128"/>
      <c r="L899" s="128"/>
      <c r="M899" s="128"/>
      <c r="N899" s="128"/>
      <c r="O899" s="128"/>
      <c r="P899" s="128"/>
      <c r="Q899" s="326"/>
      <c r="R899" s="128"/>
      <c r="S899" s="128"/>
      <c r="T899" s="128"/>
      <c r="U899" s="128"/>
      <c r="V899" s="128"/>
      <c r="W899" s="128"/>
      <c r="X899" s="128"/>
      <c r="Y899" s="128"/>
      <c r="Z899" s="128"/>
    </row>
    <row r="900" spans="1:26" ht="12.5">
      <c r="A900" s="128"/>
      <c r="B900" s="128"/>
      <c r="C900" s="128"/>
      <c r="D900" s="190"/>
      <c r="E900" s="128"/>
      <c r="F900" s="128"/>
      <c r="G900" s="128"/>
      <c r="H900" s="128"/>
      <c r="I900" s="128"/>
      <c r="J900" s="128"/>
      <c r="K900" s="128"/>
      <c r="L900" s="128"/>
      <c r="M900" s="128"/>
      <c r="N900" s="128"/>
      <c r="O900" s="128"/>
      <c r="P900" s="128"/>
      <c r="Q900" s="326"/>
      <c r="R900" s="128"/>
      <c r="S900" s="128"/>
      <c r="T900" s="128"/>
      <c r="U900" s="128"/>
      <c r="V900" s="128"/>
      <c r="W900" s="128"/>
      <c r="X900" s="128"/>
      <c r="Y900" s="128"/>
      <c r="Z900" s="128"/>
    </row>
    <row r="901" spans="1:26" ht="12.5">
      <c r="A901" s="128"/>
      <c r="B901" s="128"/>
      <c r="C901" s="128"/>
      <c r="D901" s="190"/>
      <c r="E901" s="128"/>
      <c r="F901" s="128"/>
      <c r="G901" s="128"/>
      <c r="H901" s="128"/>
      <c r="I901" s="128"/>
      <c r="J901" s="128"/>
      <c r="K901" s="128"/>
      <c r="L901" s="128"/>
      <c r="M901" s="128"/>
      <c r="N901" s="128"/>
      <c r="O901" s="128"/>
      <c r="P901" s="128"/>
      <c r="Q901" s="326"/>
      <c r="R901" s="128"/>
      <c r="S901" s="128"/>
      <c r="T901" s="128"/>
      <c r="U901" s="128"/>
      <c r="V901" s="128"/>
      <c r="W901" s="128"/>
      <c r="X901" s="128"/>
      <c r="Y901" s="128"/>
      <c r="Z901" s="128"/>
    </row>
    <row r="902" spans="1:26" ht="12.5">
      <c r="A902" s="128"/>
      <c r="B902" s="128"/>
      <c r="C902" s="128"/>
      <c r="D902" s="190"/>
      <c r="E902" s="128"/>
      <c r="F902" s="128"/>
      <c r="G902" s="128"/>
      <c r="H902" s="128"/>
      <c r="I902" s="128"/>
      <c r="J902" s="128"/>
      <c r="K902" s="128"/>
      <c r="L902" s="128"/>
      <c r="M902" s="128"/>
      <c r="N902" s="128"/>
      <c r="O902" s="128"/>
      <c r="P902" s="128"/>
      <c r="Q902" s="326"/>
      <c r="R902" s="128"/>
      <c r="S902" s="128"/>
      <c r="T902" s="128"/>
      <c r="U902" s="128"/>
      <c r="V902" s="128"/>
      <c r="W902" s="128"/>
      <c r="X902" s="128"/>
      <c r="Y902" s="128"/>
      <c r="Z902" s="128"/>
    </row>
    <row r="903" spans="1:26" ht="12.5">
      <c r="A903" s="128"/>
      <c r="B903" s="128"/>
      <c r="C903" s="128"/>
      <c r="D903" s="190"/>
      <c r="E903" s="128"/>
      <c r="F903" s="128"/>
      <c r="G903" s="128"/>
      <c r="H903" s="128"/>
      <c r="I903" s="128"/>
      <c r="J903" s="128"/>
      <c r="K903" s="128"/>
      <c r="L903" s="128"/>
      <c r="M903" s="128"/>
      <c r="N903" s="128"/>
      <c r="O903" s="128"/>
      <c r="P903" s="128"/>
      <c r="Q903" s="326"/>
      <c r="R903" s="128"/>
      <c r="S903" s="128"/>
      <c r="T903" s="128"/>
      <c r="U903" s="128"/>
      <c r="V903" s="128"/>
      <c r="W903" s="128"/>
      <c r="X903" s="128"/>
      <c r="Y903" s="128"/>
      <c r="Z903" s="128"/>
    </row>
    <row r="904" spans="1:26" ht="12.5">
      <c r="A904" s="128"/>
      <c r="B904" s="128"/>
      <c r="C904" s="128"/>
      <c r="D904" s="190"/>
      <c r="E904" s="128"/>
      <c r="F904" s="128"/>
      <c r="G904" s="128"/>
      <c r="H904" s="128"/>
      <c r="I904" s="128"/>
      <c r="J904" s="128"/>
      <c r="K904" s="128"/>
      <c r="L904" s="128"/>
      <c r="M904" s="128"/>
      <c r="N904" s="128"/>
      <c r="O904" s="128"/>
      <c r="P904" s="128"/>
      <c r="Q904" s="326"/>
      <c r="R904" s="128"/>
      <c r="S904" s="128"/>
      <c r="T904" s="128"/>
      <c r="U904" s="128"/>
      <c r="V904" s="128"/>
      <c r="W904" s="128"/>
      <c r="X904" s="128"/>
      <c r="Y904" s="128"/>
      <c r="Z904" s="128"/>
    </row>
    <row r="905" spans="1:26" ht="12.5">
      <c r="A905" s="128"/>
      <c r="B905" s="128"/>
      <c r="C905" s="128"/>
      <c r="D905" s="190"/>
      <c r="E905" s="128"/>
      <c r="F905" s="128"/>
      <c r="G905" s="128"/>
      <c r="H905" s="128"/>
      <c r="I905" s="128"/>
      <c r="J905" s="128"/>
      <c r="K905" s="128"/>
      <c r="L905" s="128"/>
      <c r="M905" s="128"/>
      <c r="N905" s="128"/>
      <c r="O905" s="128"/>
      <c r="P905" s="128"/>
      <c r="Q905" s="326"/>
      <c r="R905" s="128"/>
      <c r="S905" s="128"/>
      <c r="T905" s="128"/>
      <c r="U905" s="128"/>
      <c r="V905" s="128"/>
      <c r="W905" s="128"/>
      <c r="X905" s="128"/>
      <c r="Y905" s="128"/>
      <c r="Z905" s="128"/>
    </row>
    <row r="906" spans="1:26" ht="12.5">
      <c r="A906" s="128"/>
      <c r="B906" s="128"/>
      <c r="C906" s="128"/>
      <c r="D906" s="190"/>
      <c r="E906" s="128"/>
      <c r="F906" s="128"/>
      <c r="G906" s="128"/>
      <c r="H906" s="128"/>
      <c r="I906" s="128"/>
      <c r="J906" s="128"/>
      <c r="K906" s="128"/>
      <c r="L906" s="128"/>
      <c r="M906" s="128"/>
      <c r="N906" s="128"/>
      <c r="O906" s="128"/>
      <c r="P906" s="128"/>
      <c r="Q906" s="326"/>
      <c r="R906" s="128"/>
      <c r="S906" s="128"/>
      <c r="T906" s="128"/>
      <c r="U906" s="128"/>
      <c r="V906" s="128"/>
      <c r="W906" s="128"/>
      <c r="X906" s="128"/>
      <c r="Y906" s="128"/>
      <c r="Z906" s="128"/>
    </row>
    <row r="907" spans="1:26" ht="12.5">
      <c r="A907" s="128"/>
      <c r="B907" s="128"/>
      <c r="C907" s="128"/>
      <c r="D907" s="190"/>
      <c r="E907" s="128"/>
      <c r="F907" s="128"/>
      <c r="G907" s="128"/>
      <c r="H907" s="128"/>
      <c r="I907" s="128"/>
      <c r="J907" s="128"/>
      <c r="K907" s="128"/>
      <c r="L907" s="128"/>
      <c r="M907" s="128"/>
      <c r="N907" s="128"/>
      <c r="O907" s="128"/>
      <c r="P907" s="128"/>
      <c r="Q907" s="326"/>
      <c r="R907" s="128"/>
      <c r="S907" s="128"/>
      <c r="T907" s="128"/>
      <c r="U907" s="128"/>
      <c r="V907" s="128"/>
      <c r="W907" s="128"/>
      <c r="X907" s="128"/>
      <c r="Y907" s="128"/>
      <c r="Z907" s="128"/>
    </row>
    <row r="908" spans="1:26" ht="12.5">
      <c r="A908" s="128"/>
      <c r="B908" s="128"/>
      <c r="C908" s="128"/>
      <c r="D908" s="190"/>
      <c r="E908" s="128"/>
      <c r="F908" s="128"/>
      <c r="G908" s="128"/>
      <c r="H908" s="128"/>
      <c r="I908" s="128"/>
      <c r="J908" s="128"/>
      <c r="K908" s="128"/>
      <c r="L908" s="128"/>
      <c r="M908" s="128"/>
      <c r="N908" s="128"/>
      <c r="O908" s="128"/>
      <c r="P908" s="128"/>
      <c r="Q908" s="326"/>
      <c r="R908" s="128"/>
      <c r="S908" s="128"/>
      <c r="T908" s="128"/>
      <c r="U908" s="128"/>
      <c r="V908" s="128"/>
      <c r="W908" s="128"/>
      <c r="X908" s="128"/>
      <c r="Y908" s="128"/>
      <c r="Z908" s="128"/>
    </row>
    <row r="909" spans="1:26" ht="12.5">
      <c r="A909" s="128"/>
      <c r="B909" s="128"/>
      <c r="C909" s="128"/>
      <c r="D909" s="190"/>
      <c r="E909" s="128"/>
      <c r="F909" s="128"/>
      <c r="G909" s="128"/>
      <c r="H909" s="128"/>
      <c r="I909" s="128"/>
      <c r="J909" s="128"/>
      <c r="K909" s="128"/>
      <c r="L909" s="128"/>
      <c r="M909" s="128"/>
      <c r="N909" s="128"/>
      <c r="O909" s="128"/>
      <c r="P909" s="128"/>
      <c r="Q909" s="326"/>
      <c r="R909" s="128"/>
      <c r="S909" s="128"/>
      <c r="T909" s="128"/>
      <c r="U909" s="128"/>
      <c r="V909" s="128"/>
      <c r="W909" s="128"/>
      <c r="X909" s="128"/>
      <c r="Y909" s="128"/>
      <c r="Z909" s="128"/>
    </row>
    <row r="910" spans="1:26" ht="12.5">
      <c r="A910" s="128"/>
      <c r="B910" s="128"/>
      <c r="C910" s="128"/>
      <c r="D910" s="190"/>
      <c r="E910" s="128"/>
      <c r="F910" s="128"/>
      <c r="G910" s="128"/>
      <c r="H910" s="128"/>
      <c r="I910" s="128"/>
      <c r="J910" s="128"/>
      <c r="K910" s="128"/>
      <c r="L910" s="128"/>
      <c r="M910" s="128"/>
      <c r="N910" s="128"/>
      <c r="O910" s="128"/>
      <c r="P910" s="128"/>
      <c r="Q910" s="326"/>
      <c r="R910" s="128"/>
      <c r="S910" s="128"/>
      <c r="T910" s="128"/>
      <c r="U910" s="128"/>
      <c r="V910" s="128"/>
      <c r="W910" s="128"/>
      <c r="X910" s="128"/>
      <c r="Y910" s="128"/>
      <c r="Z910" s="128"/>
    </row>
    <row r="911" spans="1:26" ht="12.5">
      <c r="A911" s="128"/>
      <c r="B911" s="128"/>
      <c r="C911" s="128"/>
      <c r="D911" s="190"/>
      <c r="E911" s="128"/>
      <c r="F911" s="128"/>
      <c r="G911" s="128"/>
      <c r="H911" s="128"/>
      <c r="I911" s="128"/>
      <c r="J911" s="128"/>
      <c r="K911" s="128"/>
      <c r="L911" s="128"/>
      <c r="M911" s="128"/>
      <c r="N911" s="128"/>
      <c r="O911" s="128"/>
      <c r="P911" s="128"/>
      <c r="Q911" s="326"/>
      <c r="R911" s="128"/>
      <c r="S911" s="128"/>
      <c r="T911" s="128"/>
      <c r="U911" s="128"/>
      <c r="V911" s="128"/>
      <c r="W911" s="128"/>
      <c r="X911" s="128"/>
      <c r="Y911" s="128"/>
      <c r="Z911" s="128"/>
    </row>
    <row r="912" spans="1:26" ht="12.5">
      <c r="A912" s="128"/>
      <c r="B912" s="128"/>
      <c r="C912" s="128"/>
      <c r="D912" s="190"/>
      <c r="E912" s="128"/>
      <c r="F912" s="128"/>
      <c r="G912" s="128"/>
      <c r="H912" s="128"/>
      <c r="I912" s="128"/>
      <c r="J912" s="128"/>
      <c r="K912" s="128"/>
      <c r="L912" s="128"/>
      <c r="M912" s="128"/>
      <c r="N912" s="128"/>
      <c r="O912" s="128"/>
      <c r="P912" s="128"/>
      <c r="Q912" s="326"/>
      <c r="R912" s="128"/>
      <c r="S912" s="128"/>
      <c r="T912" s="128"/>
      <c r="U912" s="128"/>
      <c r="V912" s="128"/>
      <c r="W912" s="128"/>
      <c r="X912" s="128"/>
      <c r="Y912" s="128"/>
      <c r="Z912" s="128"/>
    </row>
    <row r="913" spans="1:26" ht="12.5">
      <c r="A913" s="128"/>
      <c r="B913" s="128"/>
      <c r="C913" s="128"/>
      <c r="D913" s="190"/>
      <c r="E913" s="128"/>
      <c r="F913" s="128"/>
      <c r="G913" s="128"/>
      <c r="H913" s="128"/>
      <c r="I913" s="128"/>
      <c r="J913" s="128"/>
      <c r="K913" s="128"/>
      <c r="L913" s="128"/>
      <c r="M913" s="128"/>
      <c r="N913" s="128"/>
      <c r="O913" s="128"/>
      <c r="P913" s="128"/>
      <c r="Q913" s="326"/>
      <c r="R913" s="128"/>
      <c r="S913" s="128"/>
      <c r="T913" s="128"/>
      <c r="U913" s="128"/>
      <c r="V913" s="128"/>
      <c r="W913" s="128"/>
      <c r="X913" s="128"/>
      <c r="Y913" s="128"/>
      <c r="Z913" s="128"/>
    </row>
    <row r="914" spans="1:26" ht="12.5">
      <c r="A914" s="128"/>
      <c r="B914" s="128"/>
      <c r="C914" s="128"/>
      <c r="D914" s="190"/>
      <c r="E914" s="128"/>
      <c r="F914" s="128"/>
      <c r="G914" s="128"/>
      <c r="H914" s="128"/>
      <c r="I914" s="128"/>
      <c r="J914" s="128"/>
      <c r="K914" s="128"/>
      <c r="L914" s="128"/>
      <c r="M914" s="128"/>
      <c r="N914" s="128"/>
      <c r="O914" s="128"/>
      <c r="P914" s="128"/>
      <c r="Q914" s="326"/>
      <c r="R914" s="128"/>
      <c r="S914" s="128"/>
      <c r="T914" s="128"/>
      <c r="U914" s="128"/>
      <c r="V914" s="128"/>
      <c r="W914" s="128"/>
      <c r="X914" s="128"/>
      <c r="Y914" s="128"/>
      <c r="Z914" s="128"/>
    </row>
    <row r="915" spans="1:26" ht="12.5">
      <c r="A915" s="128"/>
      <c r="B915" s="128"/>
      <c r="C915" s="128"/>
      <c r="D915" s="190"/>
      <c r="E915" s="128"/>
      <c r="F915" s="128"/>
      <c r="G915" s="128"/>
      <c r="H915" s="128"/>
      <c r="I915" s="128"/>
      <c r="J915" s="128"/>
      <c r="K915" s="128"/>
      <c r="L915" s="128"/>
      <c r="M915" s="128"/>
      <c r="N915" s="128"/>
      <c r="O915" s="128"/>
      <c r="P915" s="128"/>
      <c r="Q915" s="326"/>
      <c r="R915" s="128"/>
      <c r="S915" s="128"/>
      <c r="T915" s="128"/>
      <c r="U915" s="128"/>
      <c r="V915" s="128"/>
      <c r="W915" s="128"/>
      <c r="X915" s="128"/>
      <c r="Y915" s="128"/>
      <c r="Z915" s="128"/>
    </row>
    <row r="916" spans="1:26" ht="12.5">
      <c r="A916" s="128"/>
      <c r="B916" s="128"/>
      <c r="C916" s="128"/>
      <c r="D916" s="190"/>
      <c r="E916" s="128"/>
      <c r="F916" s="128"/>
      <c r="G916" s="128"/>
      <c r="H916" s="128"/>
      <c r="I916" s="128"/>
      <c r="J916" s="128"/>
      <c r="K916" s="128"/>
      <c r="L916" s="128"/>
      <c r="M916" s="128"/>
      <c r="N916" s="128"/>
      <c r="O916" s="128"/>
      <c r="P916" s="128"/>
      <c r="Q916" s="326"/>
      <c r="R916" s="128"/>
      <c r="S916" s="128"/>
      <c r="T916" s="128"/>
      <c r="U916" s="128"/>
      <c r="V916" s="128"/>
      <c r="W916" s="128"/>
      <c r="X916" s="128"/>
      <c r="Y916" s="128"/>
      <c r="Z916" s="128"/>
    </row>
    <row r="917" spans="1:26" ht="12.5">
      <c r="A917" s="128"/>
      <c r="B917" s="128"/>
      <c r="C917" s="128"/>
      <c r="D917" s="190"/>
      <c r="E917" s="128"/>
      <c r="F917" s="128"/>
      <c r="G917" s="128"/>
      <c r="H917" s="128"/>
      <c r="I917" s="128"/>
      <c r="J917" s="128"/>
      <c r="K917" s="128"/>
      <c r="L917" s="128"/>
      <c r="M917" s="128"/>
      <c r="N917" s="128"/>
      <c r="O917" s="128"/>
      <c r="P917" s="128"/>
      <c r="Q917" s="326"/>
      <c r="R917" s="128"/>
      <c r="S917" s="128"/>
      <c r="T917" s="128"/>
      <c r="U917" s="128"/>
      <c r="V917" s="128"/>
      <c r="W917" s="128"/>
      <c r="X917" s="128"/>
      <c r="Y917" s="128"/>
      <c r="Z917" s="128"/>
    </row>
    <row r="918" spans="1:26" ht="12.5">
      <c r="A918" s="128"/>
      <c r="B918" s="128"/>
      <c r="C918" s="128"/>
      <c r="D918" s="190"/>
      <c r="E918" s="128"/>
      <c r="F918" s="128"/>
      <c r="G918" s="128"/>
      <c r="H918" s="128"/>
      <c r="I918" s="128"/>
      <c r="J918" s="128"/>
      <c r="K918" s="128"/>
      <c r="L918" s="128"/>
      <c r="M918" s="128"/>
      <c r="N918" s="128"/>
      <c r="O918" s="128"/>
      <c r="P918" s="128"/>
      <c r="Q918" s="326"/>
      <c r="R918" s="128"/>
      <c r="S918" s="128"/>
      <c r="T918" s="128"/>
      <c r="U918" s="128"/>
      <c r="V918" s="128"/>
      <c r="W918" s="128"/>
      <c r="X918" s="128"/>
      <c r="Y918" s="128"/>
      <c r="Z918" s="128"/>
    </row>
    <row r="919" spans="1:26" ht="12.5">
      <c r="A919" s="128"/>
      <c r="B919" s="128"/>
      <c r="C919" s="128"/>
      <c r="D919" s="190"/>
      <c r="E919" s="128"/>
      <c r="F919" s="128"/>
      <c r="G919" s="128"/>
      <c r="H919" s="128"/>
      <c r="I919" s="128"/>
      <c r="J919" s="128"/>
      <c r="K919" s="128"/>
      <c r="L919" s="128"/>
      <c r="M919" s="128"/>
      <c r="N919" s="128"/>
      <c r="O919" s="128"/>
      <c r="P919" s="128"/>
      <c r="Q919" s="326"/>
      <c r="R919" s="128"/>
      <c r="S919" s="128"/>
      <c r="T919" s="128"/>
      <c r="U919" s="128"/>
      <c r="V919" s="128"/>
      <c r="W919" s="128"/>
      <c r="X919" s="128"/>
      <c r="Y919" s="128"/>
      <c r="Z919" s="128"/>
    </row>
    <row r="920" spans="1:26" ht="12.5">
      <c r="A920" s="128"/>
      <c r="B920" s="128"/>
      <c r="C920" s="128"/>
      <c r="D920" s="190"/>
      <c r="E920" s="128"/>
      <c r="F920" s="128"/>
      <c r="G920" s="128"/>
      <c r="H920" s="128"/>
      <c r="I920" s="128"/>
      <c r="J920" s="128"/>
      <c r="K920" s="128"/>
      <c r="L920" s="128"/>
      <c r="M920" s="128"/>
      <c r="N920" s="128"/>
      <c r="O920" s="128"/>
      <c r="P920" s="128"/>
      <c r="Q920" s="326"/>
      <c r="R920" s="128"/>
      <c r="S920" s="128"/>
      <c r="T920" s="128"/>
      <c r="U920" s="128"/>
      <c r="V920" s="128"/>
      <c r="W920" s="128"/>
      <c r="X920" s="128"/>
      <c r="Y920" s="128"/>
      <c r="Z920" s="128"/>
    </row>
    <row r="921" spans="1:26" ht="12.5">
      <c r="A921" s="128"/>
      <c r="B921" s="128"/>
      <c r="C921" s="128"/>
      <c r="D921" s="190"/>
      <c r="E921" s="128"/>
      <c r="F921" s="128"/>
      <c r="G921" s="128"/>
      <c r="H921" s="128"/>
      <c r="I921" s="128"/>
      <c r="J921" s="128"/>
      <c r="K921" s="128"/>
      <c r="L921" s="128"/>
      <c r="M921" s="128"/>
      <c r="N921" s="128"/>
      <c r="O921" s="128"/>
      <c r="P921" s="128"/>
      <c r="Q921" s="326"/>
      <c r="R921" s="128"/>
      <c r="S921" s="128"/>
      <c r="T921" s="128"/>
      <c r="U921" s="128"/>
      <c r="V921" s="128"/>
      <c r="W921" s="128"/>
      <c r="X921" s="128"/>
      <c r="Y921" s="128"/>
      <c r="Z921" s="128"/>
    </row>
    <row r="922" spans="1:26" ht="12.5">
      <c r="A922" s="128"/>
      <c r="B922" s="128"/>
      <c r="C922" s="128"/>
      <c r="D922" s="190"/>
      <c r="E922" s="128"/>
      <c r="F922" s="128"/>
      <c r="G922" s="128"/>
      <c r="H922" s="128"/>
      <c r="I922" s="128"/>
      <c r="J922" s="128"/>
      <c r="K922" s="128"/>
      <c r="L922" s="128"/>
      <c r="M922" s="128"/>
      <c r="N922" s="128"/>
      <c r="O922" s="128"/>
      <c r="P922" s="128"/>
      <c r="Q922" s="326"/>
      <c r="R922" s="128"/>
      <c r="S922" s="128"/>
      <c r="T922" s="128"/>
      <c r="U922" s="128"/>
      <c r="V922" s="128"/>
      <c r="W922" s="128"/>
      <c r="X922" s="128"/>
      <c r="Y922" s="128"/>
      <c r="Z922" s="128"/>
    </row>
    <row r="923" spans="1:26" ht="12.5">
      <c r="A923" s="128"/>
      <c r="B923" s="128"/>
      <c r="C923" s="128"/>
      <c r="D923" s="190"/>
      <c r="E923" s="128"/>
      <c r="F923" s="128"/>
      <c r="G923" s="128"/>
      <c r="H923" s="128"/>
      <c r="I923" s="128"/>
      <c r="J923" s="128"/>
      <c r="K923" s="128"/>
      <c r="L923" s="128"/>
      <c r="M923" s="128"/>
      <c r="N923" s="128"/>
      <c r="O923" s="128"/>
      <c r="P923" s="128"/>
      <c r="Q923" s="326"/>
      <c r="R923" s="128"/>
      <c r="S923" s="128"/>
      <c r="T923" s="128"/>
      <c r="U923" s="128"/>
      <c r="V923" s="128"/>
      <c r="W923" s="128"/>
      <c r="X923" s="128"/>
      <c r="Y923" s="128"/>
      <c r="Z923" s="128"/>
    </row>
    <row r="924" spans="1:26" ht="12.5">
      <c r="A924" s="128"/>
      <c r="B924" s="128"/>
      <c r="C924" s="128"/>
      <c r="D924" s="190"/>
      <c r="E924" s="128"/>
      <c r="F924" s="128"/>
      <c r="G924" s="128"/>
      <c r="H924" s="128"/>
      <c r="I924" s="128"/>
      <c r="J924" s="128"/>
      <c r="K924" s="128"/>
      <c r="L924" s="128"/>
      <c r="M924" s="128"/>
      <c r="N924" s="128"/>
      <c r="O924" s="128"/>
      <c r="P924" s="128"/>
      <c r="Q924" s="326"/>
      <c r="R924" s="128"/>
      <c r="S924" s="128"/>
      <c r="T924" s="128"/>
      <c r="U924" s="128"/>
      <c r="V924" s="128"/>
      <c r="W924" s="128"/>
      <c r="X924" s="128"/>
      <c r="Y924" s="128"/>
      <c r="Z924" s="128"/>
    </row>
    <row r="925" spans="1:26" ht="12.5">
      <c r="A925" s="128"/>
      <c r="B925" s="128"/>
      <c r="C925" s="128"/>
      <c r="D925" s="190"/>
      <c r="E925" s="128"/>
      <c r="F925" s="128"/>
      <c r="G925" s="128"/>
      <c r="H925" s="128"/>
      <c r="I925" s="128"/>
      <c r="J925" s="128"/>
      <c r="K925" s="128"/>
      <c r="L925" s="128"/>
      <c r="M925" s="128"/>
      <c r="N925" s="128"/>
      <c r="O925" s="128"/>
      <c r="P925" s="128"/>
      <c r="Q925" s="326"/>
      <c r="R925" s="128"/>
      <c r="S925" s="128"/>
      <c r="T925" s="128"/>
      <c r="U925" s="128"/>
      <c r="V925" s="128"/>
      <c r="W925" s="128"/>
      <c r="X925" s="128"/>
      <c r="Y925" s="128"/>
      <c r="Z925" s="128"/>
    </row>
    <row r="926" spans="1:26" ht="12.5">
      <c r="A926" s="128"/>
      <c r="B926" s="128"/>
      <c r="C926" s="128"/>
      <c r="D926" s="190"/>
      <c r="E926" s="128"/>
      <c r="F926" s="128"/>
      <c r="G926" s="128"/>
      <c r="H926" s="128"/>
      <c r="I926" s="128"/>
      <c r="J926" s="128"/>
      <c r="K926" s="128"/>
      <c r="L926" s="128"/>
      <c r="M926" s="128"/>
      <c r="N926" s="128"/>
      <c r="O926" s="128"/>
      <c r="P926" s="128"/>
      <c r="Q926" s="326"/>
      <c r="R926" s="128"/>
      <c r="S926" s="128"/>
      <c r="T926" s="128"/>
      <c r="U926" s="128"/>
      <c r="V926" s="128"/>
      <c r="W926" s="128"/>
      <c r="X926" s="128"/>
      <c r="Y926" s="128"/>
      <c r="Z926" s="128"/>
    </row>
    <row r="927" spans="1:26" ht="12.5">
      <c r="A927" s="128"/>
      <c r="B927" s="128"/>
      <c r="C927" s="128"/>
      <c r="D927" s="190"/>
      <c r="E927" s="128"/>
      <c r="F927" s="128"/>
      <c r="G927" s="128"/>
      <c r="H927" s="128"/>
      <c r="I927" s="128"/>
      <c r="J927" s="128"/>
      <c r="K927" s="128"/>
      <c r="L927" s="128"/>
      <c r="M927" s="128"/>
      <c r="N927" s="128"/>
      <c r="O927" s="128"/>
      <c r="P927" s="128"/>
      <c r="Q927" s="326"/>
      <c r="R927" s="128"/>
      <c r="S927" s="128"/>
      <c r="T927" s="128"/>
      <c r="U927" s="128"/>
      <c r="V927" s="128"/>
      <c r="W927" s="128"/>
      <c r="X927" s="128"/>
      <c r="Y927" s="128"/>
      <c r="Z927" s="128"/>
    </row>
    <row r="928" spans="1:26" ht="12.5">
      <c r="A928" s="128"/>
      <c r="B928" s="128"/>
      <c r="C928" s="128"/>
      <c r="D928" s="190"/>
      <c r="E928" s="128"/>
      <c r="F928" s="128"/>
      <c r="G928" s="128"/>
      <c r="H928" s="128"/>
      <c r="I928" s="128"/>
      <c r="J928" s="128"/>
      <c r="K928" s="128"/>
      <c r="L928" s="128"/>
      <c r="M928" s="128"/>
      <c r="N928" s="128"/>
      <c r="O928" s="128"/>
      <c r="P928" s="128"/>
      <c r="Q928" s="326"/>
      <c r="R928" s="128"/>
      <c r="S928" s="128"/>
      <c r="T928" s="128"/>
      <c r="U928" s="128"/>
      <c r="V928" s="128"/>
      <c r="W928" s="128"/>
      <c r="X928" s="128"/>
      <c r="Y928" s="128"/>
      <c r="Z928" s="128"/>
    </row>
    <row r="929" spans="1:26" ht="12.5">
      <c r="A929" s="128"/>
      <c r="B929" s="128"/>
      <c r="C929" s="128"/>
      <c r="D929" s="190"/>
      <c r="E929" s="128"/>
      <c r="F929" s="128"/>
      <c r="G929" s="128"/>
      <c r="H929" s="128"/>
      <c r="I929" s="128"/>
      <c r="J929" s="128"/>
      <c r="K929" s="128"/>
      <c r="L929" s="128"/>
      <c r="M929" s="128"/>
      <c r="N929" s="128"/>
      <c r="O929" s="128"/>
      <c r="P929" s="128"/>
      <c r="Q929" s="326"/>
      <c r="R929" s="128"/>
      <c r="S929" s="128"/>
      <c r="T929" s="128"/>
      <c r="U929" s="128"/>
      <c r="V929" s="128"/>
      <c r="W929" s="128"/>
      <c r="X929" s="128"/>
      <c r="Y929" s="128"/>
      <c r="Z929" s="128"/>
    </row>
    <row r="930" spans="1:26" ht="12.5">
      <c r="A930" s="128"/>
      <c r="B930" s="128"/>
      <c r="C930" s="128"/>
      <c r="D930" s="190"/>
      <c r="E930" s="128"/>
      <c r="F930" s="128"/>
      <c r="G930" s="128"/>
      <c r="H930" s="128"/>
      <c r="I930" s="128"/>
      <c r="J930" s="128"/>
      <c r="K930" s="128"/>
      <c r="L930" s="128"/>
      <c r="M930" s="128"/>
      <c r="N930" s="128"/>
      <c r="O930" s="128"/>
      <c r="P930" s="128"/>
      <c r="Q930" s="326"/>
      <c r="R930" s="128"/>
      <c r="S930" s="128"/>
      <c r="T930" s="128"/>
      <c r="U930" s="128"/>
      <c r="V930" s="128"/>
      <c r="W930" s="128"/>
      <c r="X930" s="128"/>
      <c r="Y930" s="128"/>
      <c r="Z930" s="128"/>
    </row>
    <row r="931" spans="1:26" ht="12.5">
      <c r="A931" s="128"/>
      <c r="B931" s="128"/>
      <c r="C931" s="128"/>
      <c r="D931" s="190"/>
      <c r="E931" s="128"/>
      <c r="F931" s="128"/>
      <c r="G931" s="128"/>
      <c r="H931" s="128"/>
      <c r="I931" s="128"/>
      <c r="J931" s="128"/>
      <c r="K931" s="128"/>
      <c r="L931" s="128"/>
      <c r="M931" s="128"/>
      <c r="N931" s="128"/>
      <c r="O931" s="128"/>
      <c r="P931" s="128"/>
      <c r="Q931" s="326"/>
      <c r="R931" s="128"/>
      <c r="S931" s="128"/>
      <c r="T931" s="128"/>
      <c r="U931" s="128"/>
      <c r="V931" s="128"/>
      <c r="W931" s="128"/>
      <c r="X931" s="128"/>
      <c r="Y931" s="128"/>
      <c r="Z931" s="128"/>
    </row>
    <row r="932" spans="1:26" ht="12.5">
      <c r="A932" s="128"/>
      <c r="B932" s="128"/>
      <c r="C932" s="128"/>
      <c r="D932" s="190"/>
      <c r="E932" s="128"/>
      <c r="F932" s="128"/>
      <c r="G932" s="128"/>
      <c r="H932" s="128"/>
      <c r="I932" s="128"/>
      <c r="J932" s="128"/>
      <c r="K932" s="128"/>
      <c r="L932" s="128"/>
      <c r="M932" s="128"/>
      <c r="N932" s="128"/>
      <c r="O932" s="128"/>
      <c r="P932" s="128"/>
      <c r="Q932" s="326"/>
      <c r="R932" s="128"/>
      <c r="S932" s="128"/>
      <c r="T932" s="128"/>
      <c r="U932" s="128"/>
      <c r="V932" s="128"/>
      <c r="W932" s="128"/>
      <c r="X932" s="128"/>
      <c r="Y932" s="128"/>
      <c r="Z932" s="128"/>
    </row>
    <row r="933" spans="1:26" ht="12.5">
      <c r="A933" s="128"/>
      <c r="B933" s="128"/>
      <c r="C933" s="128"/>
      <c r="D933" s="190"/>
      <c r="E933" s="128"/>
      <c r="F933" s="128"/>
      <c r="G933" s="128"/>
      <c r="H933" s="128"/>
      <c r="I933" s="128"/>
      <c r="J933" s="128"/>
      <c r="K933" s="128"/>
      <c r="L933" s="128"/>
      <c r="M933" s="128"/>
      <c r="N933" s="128"/>
      <c r="O933" s="128"/>
      <c r="P933" s="128"/>
      <c r="Q933" s="326"/>
      <c r="R933" s="128"/>
      <c r="S933" s="128"/>
      <c r="T933" s="128"/>
      <c r="U933" s="128"/>
      <c r="V933" s="128"/>
      <c r="W933" s="128"/>
      <c r="X933" s="128"/>
      <c r="Y933" s="128"/>
      <c r="Z933" s="128"/>
    </row>
    <row r="934" spans="1:26" ht="12.5">
      <c r="A934" s="128"/>
      <c r="B934" s="128"/>
      <c r="C934" s="128"/>
      <c r="D934" s="190"/>
      <c r="E934" s="128"/>
      <c r="F934" s="128"/>
      <c r="G934" s="128"/>
      <c r="H934" s="128"/>
      <c r="I934" s="128"/>
      <c r="J934" s="128"/>
      <c r="K934" s="128"/>
      <c r="L934" s="128"/>
      <c r="M934" s="128"/>
      <c r="N934" s="128"/>
      <c r="O934" s="128"/>
      <c r="P934" s="128"/>
      <c r="Q934" s="326"/>
      <c r="R934" s="128"/>
      <c r="S934" s="128"/>
      <c r="T934" s="128"/>
      <c r="U934" s="128"/>
      <c r="V934" s="128"/>
      <c r="W934" s="128"/>
      <c r="X934" s="128"/>
      <c r="Y934" s="128"/>
      <c r="Z934" s="128"/>
    </row>
    <row r="935" spans="1:26" ht="12.5">
      <c r="A935" s="128"/>
      <c r="B935" s="128"/>
      <c r="C935" s="128"/>
      <c r="D935" s="190"/>
      <c r="E935" s="128"/>
      <c r="F935" s="128"/>
      <c r="G935" s="128"/>
      <c r="H935" s="128"/>
      <c r="I935" s="128"/>
      <c r="J935" s="128"/>
      <c r="K935" s="128"/>
      <c r="L935" s="128"/>
      <c r="M935" s="128"/>
      <c r="N935" s="128"/>
      <c r="O935" s="128"/>
      <c r="P935" s="128"/>
      <c r="Q935" s="326"/>
      <c r="R935" s="128"/>
      <c r="S935" s="128"/>
      <c r="T935" s="128"/>
      <c r="U935" s="128"/>
      <c r="V935" s="128"/>
      <c r="W935" s="128"/>
      <c r="X935" s="128"/>
      <c r="Y935" s="128"/>
      <c r="Z935" s="128"/>
    </row>
    <row r="936" spans="1:26" ht="12.5">
      <c r="A936" s="128"/>
      <c r="B936" s="128"/>
      <c r="C936" s="128"/>
      <c r="D936" s="190"/>
      <c r="E936" s="128"/>
      <c r="F936" s="128"/>
      <c r="G936" s="128"/>
      <c r="H936" s="128"/>
      <c r="I936" s="128"/>
      <c r="J936" s="128"/>
      <c r="K936" s="128"/>
      <c r="L936" s="128"/>
      <c r="M936" s="128"/>
      <c r="N936" s="128"/>
      <c r="O936" s="128"/>
      <c r="P936" s="128"/>
      <c r="Q936" s="326"/>
      <c r="R936" s="128"/>
      <c r="S936" s="128"/>
      <c r="T936" s="128"/>
      <c r="U936" s="128"/>
      <c r="V936" s="128"/>
      <c r="W936" s="128"/>
      <c r="X936" s="128"/>
      <c r="Y936" s="128"/>
      <c r="Z936" s="128"/>
    </row>
    <row r="937" spans="1:26" ht="12.5">
      <c r="A937" s="128"/>
      <c r="B937" s="128"/>
      <c r="C937" s="128"/>
      <c r="D937" s="190"/>
      <c r="E937" s="128"/>
      <c r="F937" s="128"/>
      <c r="G937" s="128"/>
      <c r="H937" s="128"/>
      <c r="I937" s="128"/>
      <c r="J937" s="128"/>
      <c r="K937" s="128"/>
      <c r="L937" s="128"/>
      <c r="M937" s="128"/>
      <c r="N937" s="128"/>
      <c r="O937" s="128"/>
      <c r="P937" s="128"/>
      <c r="Q937" s="326"/>
      <c r="R937" s="128"/>
      <c r="S937" s="128"/>
      <c r="T937" s="128"/>
      <c r="U937" s="128"/>
      <c r="V937" s="128"/>
      <c r="W937" s="128"/>
      <c r="X937" s="128"/>
      <c r="Y937" s="128"/>
      <c r="Z937" s="128"/>
    </row>
    <row r="938" spans="1:26" ht="12.5">
      <c r="A938" s="128"/>
      <c r="B938" s="128"/>
      <c r="C938" s="128"/>
      <c r="D938" s="190"/>
      <c r="E938" s="128"/>
      <c r="F938" s="128"/>
      <c r="G938" s="128"/>
      <c r="H938" s="128"/>
      <c r="I938" s="128"/>
      <c r="J938" s="128"/>
      <c r="K938" s="128"/>
      <c r="L938" s="128"/>
      <c r="M938" s="128"/>
      <c r="N938" s="128"/>
      <c r="O938" s="128"/>
      <c r="P938" s="128"/>
      <c r="Q938" s="326"/>
      <c r="R938" s="128"/>
      <c r="S938" s="128"/>
      <c r="T938" s="128"/>
      <c r="U938" s="128"/>
      <c r="V938" s="128"/>
      <c r="W938" s="128"/>
      <c r="X938" s="128"/>
      <c r="Y938" s="128"/>
      <c r="Z938" s="128"/>
    </row>
    <row r="939" spans="1:26" ht="12.5">
      <c r="A939" s="128"/>
      <c r="B939" s="128"/>
      <c r="C939" s="128"/>
      <c r="D939" s="190"/>
      <c r="E939" s="128"/>
      <c r="F939" s="128"/>
      <c r="G939" s="128"/>
      <c r="H939" s="128"/>
      <c r="I939" s="128"/>
      <c r="J939" s="128"/>
      <c r="K939" s="128"/>
      <c r="L939" s="128"/>
      <c r="M939" s="128"/>
      <c r="N939" s="128"/>
      <c r="O939" s="128"/>
      <c r="P939" s="128"/>
      <c r="Q939" s="326"/>
      <c r="R939" s="128"/>
      <c r="S939" s="128"/>
      <c r="T939" s="128"/>
      <c r="U939" s="128"/>
      <c r="V939" s="128"/>
      <c r="W939" s="128"/>
      <c r="X939" s="128"/>
      <c r="Y939" s="128"/>
      <c r="Z939" s="128"/>
    </row>
    <row r="940" spans="1:26" ht="12.5">
      <c r="A940" s="128"/>
      <c r="B940" s="128"/>
      <c r="C940" s="128"/>
      <c r="D940" s="190"/>
      <c r="E940" s="128"/>
      <c r="F940" s="128"/>
      <c r="G940" s="128"/>
      <c r="H940" s="128"/>
      <c r="I940" s="128"/>
      <c r="J940" s="128"/>
      <c r="K940" s="128"/>
      <c r="L940" s="128"/>
      <c r="M940" s="128"/>
      <c r="N940" s="128"/>
      <c r="O940" s="128"/>
      <c r="P940" s="128"/>
      <c r="Q940" s="326"/>
      <c r="R940" s="128"/>
      <c r="S940" s="128"/>
      <c r="T940" s="128"/>
      <c r="U940" s="128"/>
      <c r="V940" s="128"/>
      <c r="W940" s="128"/>
      <c r="X940" s="128"/>
      <c r="Y940" s="128"/>
      <c r="Z940" s="128"/>
    </row>
    <row r="941" spans="1:26" ht="12.5">
      <c r="A941" s="128"/>
      <c r="B941" s="128"/>
      <c r="C941" s="128"/>
      <c r="D941" s="190"/>
      <c r="E941" s="128"/>
      <c r="F941" s="128"/>
      <c r="G941" s="128"/>
      <c r="H941" s="128"/>
      <c r="I941" s="128"/>
      <c r="J941" s="128"/>
      <c r="K941" s="128"/>
      <c r="L941" s="128"/>
      <c r="M941" s="128"/>
      <c r="N941" s="128"/>
      <c r="O941" s="128"/>
      <c r="P941" s="128"/>
      <c r="Q941" s="326"/>
      <c r="R941" s="128"/>
      <c r="S941" s="128"/>
      <c r="T941" s="128"/>
      <c r="U941" s="128"/>
      <c r="V941" s="128"/>
      <c r="W941" s="128"/>
      <c r="X941" s="128"/>
      <c r="Y941" s="128"/>
      <c r="Z941" s="128"/>
    </row>
    <row r="942" spans="1:26" ht="12.5">
      <c r="A942" s="128"/>
      <c r="B942" s="128"/>
      <c r="C942" s="128"/>
      <c r="D942" s="190"/>
      <c r="E942" s="128"/>
      <c r="F942" s="128"/>
      <c r="G942" s="128"/>
      <c r="H942" s="128"/>
      <c r="I942" s="128"/>
      <c r="J942" s="128"/>
      <c r="K942" s="128"/>
      <c r="L942" s="128"/>
      <c r="M942" s="128"/>
      <c r="N942" s="128"/>
      <c r="O942" s="128"/>
      <c r="P942" s="128"/>
      <c r="Q942" s="326"/>
      <c r="R942" s="128"/>
      <c r="S942" s="128"/>
      <c r="T942" s="128"/>
      <c r="U942" s="128"/>
      <c r="V942" s="128"/>
      <c r="W942" s="128"/>
      <c r="X942" s="128"/>
      <c r="Y942" s="128"/>
      <c r="Z942" s="128"/>
    </row>
    <row r="943" spans="1:26" ht="12.5">
      <c r="A943" s="128"/>
      <c r="B943" s="128"/>
      <c r="C943" s="128"/>
      <c r="D943" s="190"/>
      <c r="E943" s="128"/>
      <c r="F943" s="128"/>
      <c r="G943" s="128"/>
      <c r="H943" s="128"/>
      <c r="I943" s="128"/>
      <c r="J943" s="128"/>
      <c r="K943" s="128"/>
      <c r="L943" s="128"/>
      <c r="M943" s="128"/>
      <c r="N943" s="128"/>
      <c r="O943" s="128"/>
      <c r="P943" s="128"/>
      <c r="Q943" s="326"/>
      <c r="R943" s="128"/>
      <c r="S943" s="128"/>
      <c r="T943" s="128"/>
      <c r="U943" s="128"/>
      <c r="V943" s="128"/>
      <c r="W943" s="128"/>
      <c r="X943" s="128"/>
      <c r="Y943" s="128"/>
      <c r="Z943" s="128"/>
    </row>
    <row r="944" spans="1:26" ht="12.5">
      <c r="A944" s="128"/>
      <c r="B944" s="128"/>
      <c r="C944" s="128"/>
      <c r="D944" s="190"/>
      <c r="E944" s="128"/>
      <c r="F944" s="128"/>
      <c r="G944" s="128"/>
      <c r="H944" s="128"/>
      <c r="I944" s="128"/>
      <c r="J944" s="128"/>
      <c r="K944" s="128"/>
      <c r="L944" s="128"/>
      <c r="M944" s="128"/>
      <c r="N944" s="128"/>
      <c r="O944" s="128"/>
      <c r="P944" s="128"/>
      <c r="Q944" s="326"/>
      <c r="R944" s="128"/>
      <c r="S944" s="128"/>
      <c r="T944" s="128"/>
      <c r="U944" s="128"/>
      <c r="V944" s="128"/>
      <c r="W944" s="128"/>
      <c r="X944" s="128"/>
      <c r="Y944" s="128"/>
      <c r="Z944" s="128"/>
    </row>
    <row r="945" spans="1:26" ht="12.5">
      <c r="A945" s="128"/>
      <c r="B945" s="128"/>
      <c r="C945" s="128"/>
      <c r="D945" s="190"/>
      <c r="E945" s="128"/>
      <c r="F945" s="128"/>
      <c r="G945" s="128"/>
      <c r="H945" s="128"/>
      <c r="I945" s="128"/>
      <c r="J945" s="128"/>
      <c r="K945" s="128"/>
      <c r="L945" s="128"/>
      <c r="M945" s="128"/>
      <c r="N945" s="128"/>
      <c r="O945" s="128"/>
      <c r="P945" s="128"/>
      <c r="Q945" s="326"/>
      <c r="R945" s="128"/>
      <c r="S945" s="128"/>
      <c r="T945" s="128"/>
      <c r="U945" s="128"/>
      <c r="V945" s="128"/>
      <c r="W945" s="128"/>
      <c r="X945" s="128"/>
      <c r="Y945" s="128"/>
      <c r="Z945" s="128"/>
    </row>
    <row r="946" spans="1:26" ht="12.5">
      <c r="A946" s="128"/>
      <c r="B946" s="128"/>
      <c r="C946" s="128"/>
      <c r="D946" s="190"/>
      <c r="E946" s="128"/>
      <c r="F946" s="128"/>
      <c r="G946" s="128"/>
      <c r="H946" s="128"/>
      <c r="I946" s="128"/>
      <c r="J946" s="128"/>
      <c r="K946" s="128"/>
      <c r="L946" s="128"/>
      <c r="M946" s="128"/>
      <c r="N946" s="128"/>
      <c r="O946" s="128"/>
      <c r="P946" s="128"/>
      <c r="Q946" s="326"/>
      <c r="R946" s="128"/>
      <c r="S946" s="128"/>
      <c r="T946" s="128"/>
      <c r="U946" s="128"/>
      <c r="V946" s="128"/>
      <c r="W946" s="128"/>
      <c r="X946" s="128"/>
      <c r="Y946" s="128"/>
      <c r="Z946" s="128"/>
    </row>
    <row r="947" spans="1:26" ht="12.5">
      <c r="A947" s="128"/>
      <c r="B947" s="128"/>
      <c r="C947" s="128"/>
      <c r="D947" s="190"/>
      <c r="E947" s="128"/>
      <c r="F947" s="128"/>
      <c r="G947" s="128"/>
      <c r="H947" s="128"/>
      <c r="I947" s="128"/>
      <c r="J947" s="128"/>
      <c r="K947" s="128"/>
      <c r="L947" s="128"/>
      <c r="M947" s="128"/>
      <c r="N947" s="128"/>
      <c r="O947" s="128"/>
      <c r="P947" s="128"/>
      <c r="Q947" s="326"/>
      <c r="R947" s="128"/>
      <c r="S947" s="128"/>
      <c r="T947" s="128"/>
      <c r="U947" s="128"/>
      <c r="V947" s="128"/>
      <c r="W947" s="128"/>
      <c r="X947" s="128"/>
      <c r="Y947" s="128"/>
      <c r="Z947" s="128"/>
    </row>
    <row r="948" spans="1:26" ht="12.5">
      <c r="A948" s="128"/>
      <c r="B948" s="128"/>
      <c r="C948" s="128"/>
      <c r="D948" s="190"/>
      <c r="E948" s="128"/>
      <c r="F948" s="128"/>
      <c r="G948" s="128"/>
      <c r="H948" s="128"/>
      <c r="I948" s="128"/>
      <c r="J948" s="128"/>
      <c r="K948" s="128"/>
      <c r="L948" s="128"/>
      <c r="M948" s="128"/>
      <c r="N948" s="128"/>
      <c r="O948" s="128"/>
      <c r="P948" s="128"/>
      <c r="Q948" s="326"/>
      <c r="R948" s="128"/>
      <c r="S948" s="128"/>
      <c r="T948" s="128"/>
      <c r="U948" s="128"/>
      <c r="V948" s="128"/>
      <c r="W948" s="128"/>
      <c r="X948" s="128"/>
      <c r="Y948" s="128"/>
      <c r="Z948" s="128"/>
    </row>
    <row r="949" spans="1:26" ht="12.5">
      <c r="A949" s="128"/>
      <c r="B949" s="128"/>
      <c r="C949" s="128"/>
      <c r="D949" s="190"/>
      <c r="E949" s="128"/>
      <c r="F949" s="128"/>
      <c r="G949" s="128"/>
      <c r="H949" s="128"/>
      <c r="I949" s="128"/>
      <c r="J949" s="128"/>
      <c r="K949" s="128"/>
      <c r="L949" s="128"/>
      <c r="M949" s="128"/>
      <c r="N949" s="128"/>
      <c r="O949" s="128"/>
      <c r="P949" s="128"/>
      <c r="Q949" s="326"/>
      <c r="R949" s="128"/>
      <c r="S949" s="128"/>
      <c r="T949" s="128"/>
      <c r="U949" s="128"/>
      <c r="V949" s="128"/>
      <c r="W949" s="128"/>
      <c r="X949" s="128"/>
      <c r="Y949" s="128"/>
      <c r="Z949" s="128"/>
    </row>
    <row r="950" spans="1:26" ht="12.5">
      <c r="A950" s="128"/>
      <c r="B950" s="128"/>
      <c r="C950" s="128"/>
      <c r="D950" s="190"/>
      <c r="E950" s="128"/>
      <c r="F950" s="128"/>
      <c r="G950" s="128"/>
      <c r="H950" s="128"/>
      <c r="I950" s="128"/>
      <c r="J950" s="128"/>
      <c r="K950" s="128"/>
      <c r="L950" s="128"/>
      <c r="M950" s="128"/>
      <c r="N950" s="128"/>
      <c r="O950" s="128"/>
      <c r="P950" s="128"/>
      <c r="Q950" s="326"/>
      <c r="R950" s="128"/>
      <c r="S950" s="128"/>
      <c r="T950" s="128"/>
      <c r="U950" s="128"/>
      <c r="V950" s="128"/>
      <c r="W950" s="128"/>
      <c r="X950" s="128"/>
      <c r="Y950" s="128"/>
      <c r="Z950" s="128"/>
    </row>
    <row r="951" spans="1:26" ht="12.5">
      <c r="A951" s="128"/>
      <c r="B951" s="128"/>
      <c r="C951" s="128"/>
      <c r="D951" s="190"/>
      <c r="E951" s="128"/>
      <c r="F951" s="128"/>
      <c r="G951" s="128"/>
      <c r="H951" s="128"/>
      <c r="I951" s="128"/>
      <c r="J951" s="128"/>
      <c r="K951" s="128"/>
      <c r="L951" s="128"/>
      <c r="M951" s="128"/>
      <c r="N951" s="128"/>
      <c r="O951" s="128"/>
      <c r="P951" s="128"/>
      <c r="Q951" s="326"/>
      <c r="R951" s="128"/>
      <c r="S951" s="128"/>
      <c r="T951" s="128"/>
      <c r="U951" s="128"/>
      <c r="V951" s="128"/>
      <c r="W951" s="128"/>
      <c r="X951" s="128"/>
      <c r="Y951" s="128"/>
      <c r="Z951" s="128"/>
    </row>
    <row r="952" spans="1:26" ht="12.5">
      <c r="A952" s="128"/>
      <c r="B952" s="128"/>
      <c r="C952" s="128"/>
      <c r="D952" s="190"/>
      <c r="E952" s="128"/>
      <c r="F952" s="128"/>
      <c r="G952" s="128"/>
      <c r="H952" s="128"/>
      <c r="I952" s="128"/>
      <c r="J952" s="128"/>
      <c r="K952" s="128"/>
      <c r="L952" s="128"/>
      <c r="M952" s="128"/>
      <c r="N952" s="128"/>
      <c r="O952" s="128"/>
      <c r="P952" s="128"/>
      <c r="Q952" s="326"/>
      <c r="R952" s="128"/>
      <c r="S952" s="128"/>
      <c r="T952" s="128"/>
      <c r="U952" s="128"/>
      <c r="V952" s="128"/>
      <c r="W952" s="128"/>
      <c r="X952" s="128"/>
      <c r="Y952" s="128"/>
      <c r="Z952" s="128"/>
    </row>
    <row r="953" spans="1:26" ht="12.5">
      <c r="A953" s="128"/>
      <c r="B953" s="128"/>
      <c r="C953" s="128"/>
      <c r="D953" s="190"/>
      <c r="E953" s="128"/>
      <c r="F953" s="128"/>
      <c r="G953" s="128"/>
      <c r="H953" s="128"/>
      <c r="I953" s="128"/>
      <c r="J953" s="128"/>
      <c r="K953" s="128"/>
      <c r="L953" s="128"/>
      <c r="M953" s="128"/>
      <c r="N953" s="128"/>
      <c r="O953" s="128"/>
      <c r="P953" s="128"/>
      <c r="Q953" s="326"/>
      <c r="R953" s="128"/>
      <c r="S953" s="128"/>
      <c r="T953" s="128"/>
      <c r="U953" s="128"/>
      <c r="V953" s="128"/>
      <c r="W953" s="128"/>
      <c r="X953" s="128"/>
      <c r="Y953" s="128"/>
      <c r="Z953" s="128"/>
    </row>
    <row r="954" spans="1:26" ht="12.5">
      <c r="A954" s="128"/>
      <c r="B954" s="128"/>
      <c r="C954" s="128"/>
      <c r="D954" s="190"/>
      <c r="E954" s="128"/>
      <c r="F954" s="128"/>
      <c r="G954" s="128"/>
      <c r="H954" s="128"/>
      <c r="I954" s="128"/>
      <c r="J954" s="128"/>
      <c r="K954" s="128"/>
      <c r="L954" s="128"/>
      <c r="M954" s="128"/>
      <c r="N954" s="128"/>
      <c r="O954" s="128"/>
      <c r="P954" s="128"/>
      <c r="Q954" s="326"/>
      <c r="R954" s="128"/>
      <c r="S954" s="128"/>
      <c r="T954" s="128"/>
      <c r="U954" s="128"/>
      <c r="V954" s="128"/>
      <c r="W954" s="128"/>
      <c r="X954" s="128"/>
      <c r="Y954" s="128"/>
      <c r="Z954" s="128"/>
    </row>
    <row r="955" spans="1:26" ht="12.5">
      <c r="A955" s="128"/>
      <c r="B955" s="128"/>
      <c r="C955" s="128"/>
      <c r="D955" s="190"/>
      <c r="E955" s="128"/>
      <c r="F955" s="128"/>
      <c r="G955" s="128"/>
      <c r="H955" s="128"/>
      <c r="I955" s="128"/>
      <c r="J955" s="128"/>
      <c r="K955" s="128"/>
      <c r="L955" s="128"/>
      <c r="M955" s="128"/>
      <c r="N955" s="128"/>
      <c r="O955" s="128"/>
      <c r="P955" s="128"/>
      <c r="Q955" s="326"/>
      <c r="R955" s="128"/>
      <c r="S955" s="128"/>
      <c r="T955" s="128"/>
      <c r="U955" s="128"/>
      <c r="V955" s="128"/>
      <c r="W955" s="128"/>
      <c r="X955" s="128"/>
      <c r="Y955" s="128"/>
      <c r="Z955" s="128"/>
    </row>
    <row r="956" spans="1:26" ht="12.5">
      <c r="A956" s="128"/>
      <c r="B956" s="128"/>
      <c r="C956" s="128"/>
      <c r="D956" s="190"/>
      <c r="E956" s="128"/>
      <c r="F956" s="128"/>
      <c r="G956" s="128"/>
      <c r="H956" s="128"/>
      <c r="I956" s="128"/>
      <c r="J956" s="128"/>
      <c r="K956" s="128"/>
      <c r="L956" s="128"/>
      <c r="M956" s="128"/>
      <c r="N956" s="128"/>
      <c r="O956" s="128"/>
      <c r="P956" s="128"/>
      <c r="Q956" s="326"/>
      <c r="R956" s="128"/>
      <c r="S956" s="128"/>
      <c r="T956" s="128"/>
      <c r="U956" s="128"/>
      <c r="V956" s="128"/>
      <c r="W956" s="128"/>
      <c r="X956" s="128"/>
      <c r="Y956" s="128"/>
      <c r="Z956" s="128"/>
    </row>
    <row r="957" spans="1:26" ht="12.5">
      <c r="A957" s="128"/>
      <c r="B957" s="128"/>
      <c r="C957" s="128"/>
      <c r="D957" s="190"/>
      <c r="E957" s="128"/>
      <c r="F957" s="128"/>
      <c r="G957" s="128"/>
      <c r="H957" s="128"/>
      <c r="I957" s="128"/>
      <c r="J957" s="128"/>
      <c r="K957" s="128"/>
      <c r="L957" s="128"/>
      <c r="M957" s="128"/>
      <c r="N957" s="128"/>
      <c r="O957" s="128"/>
      <c r="P957" s="128"/>
      <c r="Q957" s="326"/>
      <c r="R957" s="128"/>
      <c r="S957" s="128"/>
      <c r="T957" s="128"/>
      <c r="U957" s="128"/>
      <c r="V957" s="128"/>
      <c r="W957" s="128"/>
      <c r="X957" s="128"/>
      <c r="Y957" s="128"/>
      <c r="Z957" s="128"/>
    </row>
    <row r="958" spans="1:26" ht="12.5">
      <c r="A958" s="128"/>
      <c r="B958" s="128"/>
      <c r="C958" s="128"/>
      <c r="D958" s="190"/>
      <c r="E958" s="128"/>
      <c r="F958" s="128"/>
      <c r="G958" s="128"/>
      <c r="H958" s="128"/>
      <c r="I958" s="128"/>
      <c r="J958" s="128"/>
      <c r="K958" s="128"/>
      <c r="L958" s="128"/>
      <c r="M958" s="128"/>
      <c r="N958" s="128"/>
      <c r="O958" s="128"/>
      <c r="P958" s="128"/>
      <c r="Q958" s="326"/>
      <c r="R958" s="128"/>
      <c r="S958" s="128"/>
      <c r="T958" s="128"/>
      <c r="U958" s="128"/>
      <c r="V958" s="128"/>
      <c r="W958" s="128"/>
      <c r="X958" s="128"/>
      <c r="Y958" s="128"/>
      <c r="Z958" s="128"/>
    </row>
    <row r="959" spans="1:26" ht="12.5">
      <c r="A959" s="128"/>
      <c r="B959" s="128"/>
      <c r="C959" s="128"/>
      <c r="D959" s="190"/>
      <c r="E959" s="128"/>
      <c r="F959" s="128"/>
      <c r="G959" s="128"/>
      <c r="H959" s="128"/>
      <c r="I959" s="128"/>
      <c r="J959" s="128"/>
      <c r="K959" s="128"/>
      <c r="L959" s="128"/>
      <c r="M959" s="128"/>
      <c r="N959" s="128"/>
      <c r="O959" s="128"/>
      <c r="P959" s="128"/>
      <c r="Q959" s="326"/>
      <c r="R959" s="128"/>
      <c r="S959" s="128"/>
      <c r="T959" s="128"/>
      <c r="U959" s="128"/>
      <c r="V959" s="128"/>
      <c r="W959" s="128"/>
      <c r="X959" s="128"/>
      <c r="Y959" s="128"/>
      <c r="Z959" s="128"/>
    </row>
    <row r="960" spans="1:26" ht="12.5">
      <c r="A960" s="128"/>
      <c r="B960" s="128"/>
      <c r="C960" s="128"/>
      <c r="D960" s="190"/>
      <c r="E960" s="128"/>
      <c r="F960" s="128"/>
      <c r="G960" s="128"/>
      <c r="H960" s="128"/>
      <c r="I960" s="128"/>
      <c r="J960" s="128"/>
      <c r="K960" s="128"/>
      <c r="L960" s="128"/>
      <c r="M960" s="128"/>
      <c r="N960" s="128"/>
      <c r="O960" s="128"/>
      <c r="P960" s="128"/>
      <c r="Q960" s="326"/>
      <c r="R960" s="128"/>
      <c r="S960" s="128"/>
      <c r="T960" s="128"/>
      <c r="U960" s="128"/>
      <c r="V960" s="128"/>
      <c r="W960" s="128"/>
      <c r="X960" s="128"/>
      <c r="Y960" s="128"/>
      <c r="Z960" s="128"/>
    </row>
    <row r="961" spans="1:26" ht="12.5">
      <c r="A961" s="128"/>
      <c r="B961" s="128"/>
      <c r="C961" s="128"/>
      <c r="D961" s="190"/>
      <c r="E961" s="128"/>
      <c r="F961" s="128"/>
      <c r="G961" s="128"/>
      <c r="H961" s="128"/>
      <c r="I961" s="128"/>
      <c r="J961" s="128"/>
      <c r="K961" s="128"/>
      <c r="L961" s="128"/>
      <c r="M961" s="128"/>
      <c r="N961" s="128"/>
      <c r="O961" s="128"/>
      <c r="P961" s="128"/>
      <c r="Q961" s="326"/>
      <c r="R961" s="128"/>
      <c r="S961" s="128"/>
      <c r="T961" s="128"/>
      <c r="U961" s="128"/>
      <c r="V961" s="128"/>
      <c r="W961" s="128"/>
      <c r="X961" s="128"/>
      <c r="Y961" s="128"/>
      <c r="Z961" s="128"/>
    </row>
    <row r="962" spans="1:26" ht="12.5">
      <c r="A962" s="128"/>
      <c r="B962" s="128"/>
      <c r="C962" s="128"/>
      <c r="D962" s="190"/>
      <c r="E962" s="128"/>
      <c r="F962" s="128"/>
      <c r="G962" s="128"/>
      <c r="H962" s="128"/>
      <c r="I962" s="128"/>
      <c r="J962" s="128"/>
      <c r="K962" s="128"/>
      <c r="L962" s="128"/>
      <c r="M962" s="128"/>
      <c r="N962" s="128"/>
      <c r="O962" s="128"/>
      <c r="P962" s="128"/>
      <c r="Q962" s="326"/>
      <c r="R962" s="128"/>
      <c r="S962" s="128"/>
      <c r="T962" s="128"/>
      <c r="U962" s="128"/>
      <c r="V962" s="128"/>
      <c r="W962" s="128"/>
      <c r="X962" s="128"/>
      <c r="Y962" s="128"/>
      <c r="Z962" s="128"/>
    </row>
    <row r="963" spans="1:26" ht="12.5">
      <c r="A963" s="128"/>
      <c r="B963" s="128"/>
      <c r="C963" s="128"/>
      <c r="D963" s="190"/>
      <c r="E963" s="128"/>
      <c r="F963" s="128"/>
      <c r="G963" s="128"/>
      <c r="H963" s="128"/>
      <c r="I963" s="128"/>
      <c r="J963" s="128"/>
      <c r="K963" s="128"/>
      <c r="L963" s="128"/>
      <c r="M963" s="128"/>
      <c r="N963" s="128"/>
      <c r="O963" s="128"/>
      <c r="P963" s="128"/>
      <c r="Q963" s="326"/>
      <c r="R963" s="128"/>
      <c r="S963" s="128"/>
      <c r="T963" s="128"/>
      <c r="U963" s="128"/>
      <c r="V963" s="128"/>
      <c r="W963" s="128"/>
      <c r="X963" s="128"/>
      <c r="Y963" s="128"/>
      <c r="Z963" s="128"/>
    </row>
    <row r="964" spans="1:26" ht="12.5">
      <c r="A964" s="128"/>
      <c r="B964" s="128"/>
      <c r="C964" s="128"/>
      <c r="D964" s="190"/>
      <c r="E964" s="128"/>
      <c r="F964" s="128"/>
      <c r="G964" s="128"/>
      <c r="H964" s="128"/>
      <c r="I964" s="128"/>
      <c r="J964" s="128"/>
      <c r="K964" s="128"/>
      <c r="L964" s="128"/>
      <c r="M964" s="128"/>
      <c r="N964" s="128"/>
      <c r="O964" s="128"/>
      <c r="P964" s="128"/>
      <c r="Q964" s="326"/>
      <c r="R964" s="128"/>
      <c r="S964" s="128"/>
      <c r="T964" s="128"/>
      <c r="U964" s="128"/>
      <c r="V964" s="128"/>
      <c r="W964" s="128"/>
      <c r="X964" s="128"/>
      <c r="Y964" s="128"/>
      <c r="Z964" s="128"/>
    </row>
    <row r="965" spans="1:26" ht="12.5">
      <c r="A965" s="128"/>
      <c r="B965" s="128"/>
      <c r="C965" s="128"/>
      <c r="D965" s="190"/>
      <c r="E965" s="128"/>
      <c r="F965" s="128"/>
      <c r="G965" s="128"/>
      <c r="H965" s="128"/>
      <c r="I965" s="128"/>
      <c r="J965" s="128"/>
      <c r="K965" s="128"/>
      <c r="L965" s="128"/>
      <c r="M965" s="128"/>
      <c r="N965" s="128"/>
      <c r="O965" s="128"/>
      <c r="P965" s="128"/>
      <c r="Q965" s="326"/>
      <c r="R965" s="128"/>
      <c r="S965" s="128"/>
      <c r="T965" s="128"/>
      <c r="U965" s="128"/>
      <c r="V965" s="128"/>
      <c r="W965" s="128"/>
      <c r="X965" s="128"/>
      <c r="Y965" s="128"/>
      <c r="Z965" s="128"/>
    </row>
    <row r="966" spans="1:26" ht="12.5">
      <c r="A966" s="128"/>
      <c r="B966" s="128"/>
      <c r="C966" s="128"/>
      <c r="D966" s="190"/>
      <c r="E966" s="128"/>
      <c r="F966" s="128"/>
      <c r="G966" s="128"/>
      <c r="H966" s="128"/>
      <c r="I966" s="128"/>
      <c r="J966" s="128"/>
      <c r="K966" s="128"/>
      <c r="L966" s="128"/>
      <c r="M966" s="128"/>
      <c r="N966" s="128"/>
      <c r="O966" s="128"/>
      <c r="P966" s="128"/>
      <c r="Q966" s="326"/>
      <c r="R966" s="128"/>
      <c r="S966" s="128"/>
      <c r="T966" s="128"/>
      <c r="U966" s="128"/>
      <c r="V966" s="128"/>
      <c r="W966" s="128"/>
      <c r="X966" s="128"/>
      <c r="Y966" s="128"/>
      <c r="Z966" s="128"/>
    </row>
    <row r="967" spans="1:26" ht="12.5">
      <c r="A967" s="128"/>
      <c r="B967" s="128"/>
      <c r="C967" s="128"/>
      <c r="D967" s="190"/>
      <c r="E967" s="128"/>
      <c r="F967" s="128"/>
      <c r="G967" s="128"/>
      <c r="H967" s="128"/>
      <c r="I967" s="128"/>
      <c r="J967" s="128"/>
      <c r="K967" s="128"/>
      <c r="L967" s="128"/>
      <c r="M967" s="128"/>
      <c r="N967" s="128"/>
      <c r="O967" s="128"/>
      <c r="P967" s="128"/>
      <c r="Q967" s="326"/>
      <c r="R967" s="128"/>
      <c r="S967" s="128"/>
      <c r="T967" s="128"/>
      <c r="U967" s="128"/>
      <c r="V967" s="128"/>
      <c r="W967" s="128"/>
      <c r="X967" s="128"/>
      <c r="Y967" s="128"/>
      <c r="Z967" s="128"/>
    </row>
    <row r="968" spans="1:26" ht="12.5">
      <c r="A968" s="128"/>
      <c r="B968" s="128"/>
      <c r="C968" s="128"/>
      <c r="D968" s="190"/>
      <c r="E968" s="128"/>
      <c r="F968" s="128"/>
      <c r="G968" s="128"/>
      <c r="H968" s="128"/>
      <c r="I968" s="128"/>
      <c r="J968" s="128"/>
      <c r="K968" s="128"/>
      <c r="L968" s="128"/>
      <c r="M968" s="128"/>
      <c r="N968" s="128"/>
      <c r="O968" s="128"/>
      <c r="P968" s="128"/>
      <c r="Q968" s="326"/>
      <c r="R968" s="128"/>
      <c r="S968" s="128"/>
      <c r="T968" s="128"/>
      <c r="U968" s="128"/>
      <c r="V968" s="128"/>
      <c r="W968" s="128"/>
      <c r="X968" s="128"/>
      <c r="Y968" s="128"/>
      <c r="Z968" s="128"/>
    </row>
    <row r="969" spans="1:26" ht="12.5">
      <c r="A969" s="128"/>
      <c r="B969" s="128"/>
      <c r="C969" s="128"/>
      <c r="D969" s="190"/>
      <c r="E969" s="128"/>
      <c r="F969" s="128"/>
      <c r="G969" s="128"/>
      <c r="H969" s="128"/>
      <c r="I969" s="128"/>
      <c r="J969" s="128"/>
      <c r="K969" s="128"/>
      <c r="L969" s="128"/>
      <c r="M969" s="128"/>
      <c r="N969" s="128"/>
      <c r="O969" s="128"/>
      <c r="P969" s="128"/>
      <c r="Q969" s="326"/>
      <c r="R969" s="128"/>
      <c r="S969" s="128"/>
      <c r="T969" s="128"/>
      <c r="U969" s="128"/>
      <c r="V969" s="128"/>
      <c r="W969" s="128"/>
      <c r="X969" s="128"/>
      <c r="Y969" s="128"/>
      <c r="Z969" s="128"/>
    </row>
    <row r="970" spans="1:26" ht="12.5">
      <c r="A970" s="128"/>
      <c r="B970" s="128"/>
      <c r="C970" s="128"/>
      <c r="D970" s="190"/>
      <c r="E970" s="128"/>
      <c r="F970" s="128"/>
      <c r="G970" s="128"/>
      <c r="H970" s="128"/>
      <c r="I970" s="128"/>
      <c r="J970" s="128"/>
      <c r="K970" s="128"/>
      <c r="L970" s="128"/>
      <c r="M970" s="128"/>
      <c r="N970" s="128"/>
      <c r="O970" s="128"/>
      <c r="P970" s="128"/>
      <c r="Q970" s="326"/>
      <c r="R970" s="128"/>
      <c r="S970" s="128"/>
      <c r="T970" s="128"/>
      <c r="U970" s="128"/>
      <c r="V970" s="128"/>
      <c r="W970" s="128"/>
      <c r="X970" s="128"/>
      <c r="Y970" s="128"/>
      <c r="Z970" s="128"/>
    </row>
    <row r="971" spans="1:26" ht="12.5">
      <c r="A971" s="128"/>
      <c r="B971" s="128"/>
      <c r="C971" s="128"/>
      <c r="D971" s="190"/>
      <c r="E971" s="128"/>
      <c r="F971" s="128"/>
      <c r="G971" s="128"/>
      <c r="H971" s="128"/>
      <c r="I971" s="128"/>
      <c r="J971" s="128"/>
      <c r="K971" s="128"/>
      <c r="L971" s="128"/>
      <c r="M971" s="128"/>
      <c r="N971" s="128"/>
      <c r="O971" s="128"/>
      <c r="P971" s="128"/>
      <c r="Q971" s="326"/>
      <c r="R971" s="128"/>
      <c r="S971" s="128"/>
      <c r="T971" s="128"/>
      <c r="U971" s="128"/>
      <c r="V971" s="128"/>
      <c r="W971" s="128"/>
      <c r="X971" s="128"/>
      <c r="Y971" s="128"/>
      <c r="Z971" s="128"/>
    </row>
    <row r="972" spans="1:26" ht="12.5">
      <c r="A972" s="128"/>
      <c r="B972" s="128"/>
      <c r="C972" s="128"/>
      <c r="D972" s="190"/>
      <c r="E972" s="128"/>
      <c r="F972" s="128"/>
      <c r="G972" s="128"/>
      <c r="H972" s="128"/>
      <c r="I972" s="128"/>
      <c r="J972" s="128"/>
      <c r="K972" s="128"/>
      <c r="L972" s="128"/>
      <c r="M972" s="128"/>
      <c r="N972" s="128"/>
      <c r="O972" s="128"/>
      <c r="P972" s="128"/>
      <c r="Q972" s="326"/>
      <c r="R972" s="128"/>
      <c r="S972" s="128"/>
      <c r="T972" s="128"/>
      <c r="U972" s="128"/>
      <c r="V972" s="128"/>
      <c r="W972" s="128"/>
      <c r="X972" s="128"/>
      <c r="Y972" s="128"/>
      <c r="Z972" s="128"/>
    </row>
    <row r="973" spans="1:26" ht="12.5">
      <c r="A973" s="128"/>
      <c r="B973" s="128"/>
      <c r="C973" s="128"/>
      <c r="D973" s="190"/>
      <c r="E973" s="128"/>
      <c r="F973" s="128"/>
      <c r="G973" s="128"/>
      <c r="H973" s="128"/>
      <c r="I973" s="128"/>
      <c r="J973" s="128"/>
      <c r="K973" s="128"/>
      <c r="L973" s="128"/>
      <c r="M973" s="128"/>
      <c r="N973" s="128"/>
      <c r="O973" s="128"/>
      <c r="P973" s="128"/>
      <c r="Q973" s="326"/>
      <c r="R973" s="128"/>
      <c r="S973" s="128"/>
      <c r="T973" s="128"/>
      <c r="U973" s="128"/>
      <c r="V973" s="128"/>
      <c r="W973" s="128"/>
      <c r="X973" s="128"/>
      <c r="Y973" s="128"/>
      <c r="Z973" s="128"/>
    </row>
    <row r="974" spans="1:26" ht="12.5">
      <c r="A974" s="128"/>
      <c r="B974" s="128"/>
      <c r="C974" s="128"/>
      <c r="D974" s="190"/>
      <c r="E974" s="128"/>
      <c r="F974" s="128"/>
      <c r="G974" s="128"/>
      <c r="H974" s="128"/>
      <c r="I974" s="128"/>
      <c r="J974" s="128"/>
      <c r="K974" s="128"/>
      <c r="L974" s="128"/>
      <c r="M974" s="128"/>
      <c r="N974" s="128"/>
      <c r="O974" s="128"/>
      <c r="P974" s="128"/>
      <c r="Q974" s="326"/>
      <c r="R974" s="128"/>
      <c r="S974" s="128"/>
      <c r="T974" s="128"/>
      <c r="U974" s="128"/>
      <c r="V974" s="128"/>
      <c r="W974" s="128"/>
      <c r="X974" s="128"/>
      <c r="Y974" s="128"/>
      <c r="Z974" s="128"/>
    </row>
    <row r="975" spans="1:26" ht="12.5">
      <c r="A975" s="128"/>
      <c r="B975" s="128"/>
      <c r="C975" s="128"/>
      <c r="D975" s="190"/>
      <c r="E975" s="128"/>
      <c r="F975" s="128"/>
      <c r="G975" s="128"/>
      <c r="H975" s="128"/>
      <c r="I975" s="128"/>
      <c r="J975" s="128"/>
      <c r="K975" s="128"/>
      <c r="L975" s="128"/>
      <c r="M975" s="128"/>
      <c r="N975" s="128"/>
      <c r="O975" s="128"/>
      <c r="P975" s="128"/>
      <c r="Q975" s="326"/>
      <c r="R975" s="128"/>
      <c r="S975" s="128"/>
      <c r="T975" s="128"/>
      <c r="U975" s="128"/>
      <c r="V975" s="128"/>
      <c r="W975" s="128"/>
      <c r="X975" s="128"/>
      <c r="Y975" s="128"/>
      <c r="Z975" s="128"/>
    </row>
    <row r="976" spans="1:26" ht="12.5">
      <c r="A976" s="128"/>
      <c r="B976" s="128"/>
      <c r="C976" s="128"/>
      <c r="D976" s="190"/>
      <c r="E976" s="128"/>
      <c r="F976" s="128"/>
      <c r="G976" s="128"/>
      <c r="H976" s="128"/>
      <c r="I976" s="128"/>
      <c r="J976" s="128"/>
      <c r="K976" s="128"/>
      <c r="L976" s="128"/>
      <c r="M976" s="128"/>
      <c r="N976" s="128"/>
      <c r="O976" s="128"/>
      <c r="P976" s="128"/>
      <c r="Q976" s="326"/>
      <c r="R976" s="128"/>
      <c r="S976" s="128"/>
      <c r="T976" s="128"/>
      <c r="U976" s="128"/>
      <c r="V976" s="128"/>
      <c r="W976" s="128"/>
      <c r="X976" s="128"/>
      <c r="Y976" s="128"/>
      <c r="Z976" s="128"/>
    </row>
    <row r="977" spans="1:26" ht="12.5">
      <c r="A977" s="128"/>
      <c r="B977" s="128"/>
      <c r="C977" s="128"/>
      <c r="D977" s="190"/>
      <c r="E977" s="128"/>
      <c r="F977" s="128"/>
      <c r="G977" s="128"/>
      <c r="H977" s="128"/>
      <c r="I977" s="128"/>
      <c r="J977" s="128"/>
      <c r="K977" s="128"/>
      <c r="L977" s="128"/>
      <c r="M977" s="128"/>
      <c r="N977" s="128"/>
      <c r="O977" s="128"/>
      <c r="P977" s="128"/>
      <c r="Q977" s="326"/>
      <c r="R977" s="128"/>
      <c r="S977" s="128"/>
      <c r="T977" s="128"/>
      <c r="U977" s="128"/>
      <c r="V977" s="128"/>
      <c r="W977" s="128"/>
      <c r="X977" s="128"/>
      <c r="Y977" s="128"/>
      <c r="Z977" s="128"/>
    </row>
    <row r="978" spans="1:26" ht="12.5">
      <c r="A978" s="128"/>
      <c r="B978" s="128"/>
      <c r="C978" s="128"/>
      <c r="D978" s="190"/>
      <c r="E978" s="128"/>
      <c r="F978" s="128"/>
      <c r="G978" s="128"/>
      <c r="H978" s="128"/>
      <c r="I978" s="128"/>
      <c r="J978" s="128"/>
      <c r="K978" s="128"/>
      <c r="L978" s="128"/>
      <c r="M978" s="128"/>
      <c r="N978" s="128"/>
      <c r="O978" s="128"/>
      <c r="P978" s="128"/>
      <c r="Q978" s="326"/>
      <c r="R978" s="128"/>
      <c r="S978" s="128"/>
      <c r="T978" s="128"/>
      <c r="U978" s="128"/>
      <c r="V978" s="128"/>
      <c r="W978" s="128"/>
      <c r="X978" s="128"/>
      <c r="Y978" s="128"/>
      <c r="Z978" s="128"/>
    </row>
    <row r="979" spans="1:26" ht="12.5">
      <c r="A979" s="128"/>
      <c r="B979" s="128"/>
      <c r="C979" s="128"/>
      <c r="D979" s="190"/>
      <c r="E979" s="128"/>
      <c r="F979" s="128"/>
      <c r="G979" s="128"/>
      <c r="H979" s="128"/>
      <c r="I979" s="128"/>
      <c r="J979" s="128"/>
      <c r="K979" s="128"/>
      <c r="L979" s="128"/>
      <c r="M979" s="128"/>
      <c r="N979" s="128"/>
      <c r="O979" s="128"/>
      <c r="P979" s="128"/>
      <c r="Q979" s="326"/>
      <c r="R979" s="128"/>
      <c r="S979" s="128"/>
      <c r="T979" s="128"/>
      <c r="U979" s="128"/>
      <c r="V979" s="128"/>
      <c r="W979" s="128"/>
      <c r="X979" s="128"/>
      <c r="Y979" s="128"/>
      <c r="Z979" s="128"/>
    </row>
    <row r="980" spans="1:26" ht="12.5">
      <c r="A980" s="128"/>
      <c r="B980" s="128"/>
      <c r="C980" s="128"/>
      <c r="D980" s="190"/>
      <c r="E980" s="128"/>
      <c r="F980" s="128"/>
      <c r="G980" s="128"/>
      <c r="H980" s="128"/>
      <c r="I980" s="128"/>
      <c r="J980" s="128"/>
      <c r="K980" s="128"/>
      <c r="L980" s="128"/>
      <c r="M980" s="128"/>
      <c r="N980" s="128"/>
      <c r="O980" s="128"/>
      <c r="P980" s="128"/>
      <c r="Q980" s="326"/>
      <c r="R980" s="128"/>
      <c r="S980" s="128"/>
      <c r="T980" s="128"/>
      <c r="U980" s="128"/>
      <c r="V980" s="128"/>
      <c r="W980" s="128"/>
      <c r="X980" s="128"/>
      <c r="Y980" s="128"/>
      <c r="Z980" s="128"/>
    </row>
    <row r="981" spans="1:26" ht="12.5">
      <c r="A981" s="128"/>
      <c r="B981" s="128"/>
      <c r="C981" s="128"/>
      <c r="D981" s="190"/>
      <c r="E981" s="128"/>
      <c r="F981" s="128"/>
      <c r="G981" s="128"/>
      <c r="H981" s="128"/>
      <c r="I981" s="128"/>
      <c r="J981" s="128"/>
      <c r="K981" s="128"/>
      <c r="L981" s="128"/>
      <c r="M981" s="128"/>
      <c r="N981" s="128"/>
      <c r="O981" s="128"/>
      <c r="P981" s="128"/>
      <c r="Q981" s="326"/>
      <c r="R981" s="128"/>
      <c r="S981" s="128"/>
      <c r="T981" s="128"/>
      <c r="U981" s="128"/>
      <c r="V981" s="128"/>
      <c r="W981" s="128"/>
      <c r="X981" s="128"/>
      <c r="Y981" s="128"/>
      <c r="Z981" s="128"/>
    </row>
    <row r="982" spans="1:26" ht="12.5">
      <c r="A982" s="128"/>
      <c r="B982" s="128"/>
      <c r="C982" s="128"/>
      <c r="D982" s="190"/>
      <c r="E982" s="128"/>
      <c r="F982" s="128"/>
      <c r="G982" s="128"/>
      <c r="H982" s="128"/>
      <c r="I982" s="128"/>
      <c r="J982" s="128"/>
      <c r="K982" s="128"/>
      <c r="L982" s="128"/>
      <c r="M982" s="128"/>
      <c r="N982" s="128"/>
      <c r="O982" s="128"/>
      <c r="P982" s="128"/>
      <c r="Q982" s="326"/>
      <c r="R982" s="128"/>
      <c r="S982" s="128"/>
      <c r="T982" s="128"/>
      <c r="U982" s="128"/>
      <c r="V982" s="128"/>
      <c r="W982" s="128"/>
      <c r="X982" s="128"/>
      <c r="Y982" s="128"/>
      <c r="Z982" s="128"/>
    </row>
    <row r="983" spans="1:26" ht="12.5">
      <c r="A983" s="128"/>
      <c r="B983" s="128"/>
      <c r="C983" s="128"/>
      <c r="D983" s="190"/>
      <c r="E983" s="128"/>
      <c r="F983" s="128"/>
      <c r="G983" s="128"/>
      <c r="H983" s="128"/>
      <c r="I983" s="128"/>
      <c r="J983" s="128"/>
      <c r="K983" s="128"/>
      <c r="L983" s="128"/>
      <c r="M983" s="128"/>
      <c r="N983" s="128"/>
      <c r="O983" s="128"/>
      <c r="P983" s="128"/>
      <c r="Q983" s="326"/>
      <c r="R983" s="128"/>
      <c r="S983" s="128"/>
      <c r="T983" s="128"/>
      <c r="U983" s="128"/>
      <c r="V983" s="128"/>
      <c r="W983" s="128"/>
      <c r="X983" s="128"/>
      <c r="Y983" s="128"/>
      <c r="Z983" s="128"/>
    </row>
    <row r="984" spans="1:26" ht="12.5">
      <c r="A984" s="128"/>
      <c r="B984" s="128"/>
      <c r="C984" s="128"/>
      <c r="D984" s="190"/>
      <c r="E984" s="128"/>
      <c r="F984" s="128"/>
      <c r="G984" s="128"/>
      <c r="H984" s="128"/>
      <c r="I984" s="128"/>
      <c r="J984" s="128"/>
      <c r="K984" s="128"/>
      <c r="L984" s="128"/>
      <c r="M984" s="128"/>
      <c r="N984" s="128"/>
      <c r="O984" s="128"/>
      <c r="P984" s="128"/>
      <c r="Q984" s="326"/>
      <c r="R984" s="128"/>
      <c r="S984" s="128"/>
      <c r="T984" s="128"/>
      <c r="U984" s="128"/>
      <c r="V984" s="128"/>
      <c r="W984" s="128"/>
      <c r="X984" s="128"/>
      <c r="Y984" s="128"/>
      <c r="Z984" s="128"/>
    </row>
    <row r="985" spans="1:26" ht="12.5">
      <c r="A985" s="128"/>
      <c r="B985" s="128"/>
      <c r="C985" s="128"/>
      <c r="D985" s="190"/>
      <c r="E985" s="128"/>
      <c r="F985" s="128"/>
      <c r="G985" s="128"/>
      <c r="H985" s="128"/>
      <c r="I985" s="128"/>
      <c r="J985" s="128"/>
      <c r="K985" s="128"/>
      <c r="L985" s="128"/>
      <c r="M985" s="128"/>
      <c r="N985" s="128"/>
      <c r="O985" s="128"/>
      <c r="P985" s="128"/>
      <c r="Q985" s="326"/>
      <c r="R985" s="128"/>
      <c r="S985" s="128"/>
      <c r="T985" s="128"/>
      <c r="U985" s="128"/>
      <c r="V985" s="128"/>
      <c r="W985" s="128"/>
      <c r="X985" s="128"/>
      <c r="Y985" s="128"/>
      <c r="Z985" s="128"/>
    </row>
    <row r="986" spans="1:26" ht="12.5">
      <c r="A986" s="128"/>
      <c r="B986" s="128"/>
      <c r="C986" s="128"/>
      <c r="D986" s="190"/>
      <c r="E986" s="128"/>
      <c r="F986" s="128"/>
      <c r="G986" s="128"/>
      <c r="H986" s="128"/>
      <c r="I986" s="128"/>
      <c r="J986" s="128"/>
      <c r="K986" s="128"/>
      <c r="L986" s="128"/>
      <c r="M986" s="128"/>
      <c r="N986" s="128"/>
      <c r="O986" s="128"/>
      <c r="P986" s="128"/>
      <c r="Q986" s="326"/>
      <c r="R986" s="128"/>
      <c r="S986" s="128"/>
      <c r="T986" s="128"/>
      <c r="U986" s="128"/>
      <c r="V986" s="128"/>
      <c r="W986" s="128"/>
      <c r="X986" s="128"/>
      <c r="Y986" s="128"/>
      <c r="Z986" s="128"/>
    </row>
    <row r="987" spans="1:26" ht="12.5">
      <c r="A987" s="128"/>
      <c r="B987" s="128"/>
      <c r="C987" s="128"/>
      <c r="D987" s="190"/>
      <c r="E987" s="128"/>
      <c r="F987" s="128"/>
      <c r="G987" s="128"/>
      <c r="H987" s="128"/>
      <c r="I987" s="128"/>
      <c r="J987" s="128"/>
      <c r="K987" s="128"/>
      <c r="L987" s="128"/>
      <c r="M987" s="128"/>
      <c r="N987" s="128"/>
      <c r="O987" s="128"/>
      <c r="P987" s="128"/>
      <c r="Q987" s="326"/>
      <c r="R987" s="128"/>
      <c r="S987" s="128"/>
      <c r="T987" s="128"/>
      <c r="U987" s="128"/>
      <c r="V987" s="128"/>
      <c r="W987" s="128"/>
      <c r="X987" s="128"/>
      <c r="Y987" s="128"/>
      <c r="Z987" s="128"/>
    </row>
    <row r="988" spans="1:26" ht="12.5">
      <c r="A988" s="128"/>
      <c r="B988" s="128"/>
      <c r="C988" s="128"/>
      <c r="D988" s="190"/>
      <c r="E988" s="128"/>
      <c r="F988" s="128"/>
      <c r="G988" s="128"/>
      <c r="H988" s="128"/>
      <c r="I988" s="128"/>
      <c r="J988" s="128"/>
      <c r="K988" s="128"/>
      <c r="L988" s="128"/>
      <c r="M988" s="128"/>
      <c r="N988" s="128"/>
      <c r="O988" s="128"/>
      <c r="P988" s="128"/>
      <c r="Q988" s="326"/>
      <c r="R988" s="128"/>
      <c r="S988" s="128"/>
      <c r="T988" s="128"/>
      <c r="U988" s="128"/>
      <c r="V988" s="128"/>
      <c r="W988" s="128"/>
      <c r="X988" s="128"/>
      <c r="Y988" s="128"/>
      <c r="Z988" s="128"/>
    </row>
    <row r="989" spans="1:26" ht="12.5">
      <c r="A989" s="128"/>
      <c r="B989" s="128"/>
      <c r="C989" s="128"/>
      <c r="D989" s="190"/>
      <c r="E989" s="128"/>
      <c r="F989" s="128"/>
      <c r="G989" s="128"/>
      <c r="H989" s="128"/>
      <c r="I989" s="128"/>
      <c r="J989" s="128"/>
      <c r="K989" s="128"/>
      <c r="L989" s="128"/>
      <c r="M989" s="128"/>
      <c r="N989" s="128"/>
      <c r="O989" s="128"/>
      <c r="P989" s="128"/>
      <c r="Q989" s="326"/>
      <c r="R989" s="128"/>
      <c r="S989" s="128"/>
      <c r="T989" s="128"/>
      <c r="U989" s="128"/>
      <c r="V989" s="128"/>
      <c r="W989" s="128"/>
      <c r="X989" s="128"/>
      <c r="Y989" s="128"/>
      <c r="Z989" s="128"/>
    </row>
    <row r="990" spans="1:26" ht="12.5">
      <c r="A990" s="128"/>
      <c r="B990" s="128"/>
      <c r="C990" s="128"/>
      <c r="D990" s="190"/>
      <c r="E990" s="128"/>
      <c r="F990" s="128"/>
      <c r="G990" s="128"/>
      <c r="H990" s="128"/>
      <c r="I990" s="128"/>
      <c r="J990" s="128"/>
      <c r="K990" s="128"/>
      <c r="L990" s="128"/>
      <c r="M990" s="128"/>
      <c r="N990" s="128"/>
      <c r="O990" s="128"/>
      <c r="P990" s="128"/>
      <c r="Q990" s="326"/>
      <c r="R990" s="128"/>
      <c r="S990" s="128"/>
      <c r="T990" s="128"/>
      <c r="U990" s="128"/>
      <c r="V990" s="128"/>
      <c r="W990" s="128"/>
      <c r="X990" s="128"/>
      <c r="Y990" s="128"/>
      <c r="Z990" s="128"/>
    </row>
    <row r="991" spans="1:26" ht="12.5">
      <c r="A991" s="128"/>
      <c r="B991" s="128"/>
      <c r="C991" s="128"/>
      <c r="D991" s="190"/>
      <c r="E991" s="128"/>
      <c r="F991" s="128"/>
      <c r="G991" s="128"/>
      <c r="H991" s="128"/>
      <c r="I991" s="128"/>
      <c r="J991" s="128"/>
      <c r="K991" s="128"/>
      <c r="L991" s="128"/>
      <c r="M991" s="128"/>
      <c r="N991" s="128"/>
      <c r="O991" s="128"/>
      <c r="P991" s="128"/>
      <c r="Q991" s="326"/>
      <c r="R991" s="128"/>
      <c r="S991" s="128"/>
      <c r="T991" s="128"/>
      <c r="U991" s="128"/>
      <c r="V991" s="128"/>
      <c r="W991" s="128"/>
      <c r="X991" s="128"/>
      <c r="Y991" s="128"/>
      <c r="Z991" s="128"/>
    </row>
    <row r="992" spans="1:26" ht="12.5">
      <c r="A992" s="128"/>
      <c r="B992" s="128"/>
      <c r="C992" s="128"/>
      <c r="D992" s="190"/>
      <c r="E992" s="128"/>
      <c r="F992" s="128"/>
      <c r="G992" s="128"/>
      <c r="H992" s="128"/>
      <c r="I992" s="128"/>
      <c r="J992" s="128"/>
      <c r="K992" s="128"/>
      <c r="L992" s="128"/>
      <c r="M992" s="128"/>
      <c r="N992" s="128"/>
      <c r="O992" s="128"/>
      <c r="P992" s="128"/>
      <c r="Q992" s="326"/>
      <c r="R992" s="128"/>
      <c r="S992" s="128"/>
      <c r="T992" s="128"/>
      <c r="U992" s="128"/>
      <c r="V992" s="128"/>
      <c r="W992" s="128"/>
      <c r="X992" s="128"/>
      <c r="Y992" s="128"/>
      <c r="Z992" s="128"/>
    </row>
    <row r="993" spans="1:26" ht="12.5">
      <c r="A993" s="128"/>
      <c r="B993" s="128"/>
      <c r="C993" s="128"/>
      <c r="D993" s="190"/>
      <c r="E993" s="128"/>
      <c r="F993" s="128"/>
      <c r="G993" s="128"/>
      <c r="H993" s="128"/>
      <c r="I993" s="128"/>
      <c r="J993" s="128"/>
      <c r="K993" s="128"/>
      <c r="L993" s="128"/>
      <c r="M993" s="128"/>
      <c r="N993" s="128"/>
      <c r="O993" s="128"/>
      <c r="P993" s="128"/>
      <c r="Q993" s="326"/>
      <c r="R993" s="128"/>
      <c r="S993" s="128"/>
      <c r="T993" s="128"/>
      <c r="U993" s="128"/>
      <c r="V993" s="128"/>
      <c r="W993" s="128"/>
      <c r="X993" s="128"/>
      <c r="Y993" s="128"/>
      <c r="Z993" s="128"/>
    </row>
    <row r="994" spans="1:26" ht="12.5">
      <c r="A994" s="128"/>
      <c r="B994" s="128"/>
      <c r="C994" s="128"/>
      <c r="D994" s="190"/>
      <c r="E994" s="128"/>
      <c r="F994" s="128"/>
      <c r="G994" s="128"/>
      <c r="H994" s="128"/>
      <c r="I994" s="128"/>
      <c r="J994" s="128"/>
      <c r="K994" s="128"/>
      <c r="L994" s="128"/>
      <c r="M994" s="128"/>
      <c r="N994" s="128"/>
      <c r="O994" s="128"/>
      <c r="P994" s="128"/>
      <c r="Q994" s="326"/>
      <c r="R994" s="128"/>
      <c r="S994" s="128"/>
      <c r="T994" s="128"/>
      <c r="U994" s="128"/>
      <c r="V994" s="128"/>
      <c r="W994" s="128"/>
      <c r="X994" s="128"/>
      <c r="Y994" s="128"/>
      <c r="Z994" s="128"/>
    </row>
    <row r="995" spans="1:26" ht="12.5">
      <c r="A995" s="128"/>
      <c r="B995" s="128"/>
      <c r="C995" s="128"/>
      <c r="D995" s="190"/>
      <c r="E995" s="128"/>
      <c r="F995" s="128"/>
      <c r="G995" s="128"/>
      <c r="H995" s="128"/>
      <c r="I995" s="128"/>
      <c r="J995" s="128"/>
      <c r="K995" s="128"/>
      <c r="L995" s="128"/>
      <c r="M995" s="128"/>
      <c r="N995" s="128"/>
      <c r="O995" s="128"/>
      <c r="P995" s="128"/>
      <c r="Q995" s="326"/>
      <c r="R995" s="128"/>
      <c r="S995" s="128"/>
      <c r="T995" s="128"/>
      <c r="U995" s="128"/>
      <c r="V995" s="128"/>
      <c r="W995" s="128"/>
      <c r="X995" s="128"/>
      <c r="Y995" s="128"/>
      <c r="Z995" s="128"/>
    </row>
    <row r="996" spans="1:26" ht="12.5">
      <c r="A996" s="128"/>
      <c r="B996" s="128"/>
      <c r="C996" s="128"/>
      <c r="D996" s="190"/>
      <c r="E996" s="128"/>
      <c r="F996" s="128"/>
      <c r="G996" s="128"/>
      <c r="H996" s="128"/>
      <c r="I996" s="128"/>
      <c r="J996" s="128"/>
      <c r="K996" s="128"/>
      <c r="L996" s="128"/>
      <c r="M996" s="128"/>
      <c r="N996" s="128"/>
      <c r="O996" s="128"/>
      <c r="P996" s="128"/>
      <c r="Q996" s="326"/>
      <c r="R996" s="128"/>
      <c r="S996" s="128"/>
      <c r="T996" s="128"/>
      <c r="U996" s="128"/>
      <c r="V996" s="128"/>
      <c r="W996" s="128"/>
      <c r="X996" s="128"/>
      <c r="Y996" s="128"/>
      <c r="Z996" s="128"/>
    </row>
    <row r="997" spans="1:26" ht="12.5">
      <c r="A997" s="128"/>
      <c r="B997" s="128"/>
      <c r="C997" s="128"/>
      <c r="D997" s="190"/>
      <c r="E997" s="128"/>
      <c r="F997" s="128"/>
      <c r="G997" s="128"/>
      <c r="H997" s="128"/>
      <c r="I997" s="128"/>
      <c r="J997" s="128"/>
      <c r="K997" s="128"/>
      <c r="L997" s="128"/>
      <c r="M997" s="128"/>
      <c r="N997" s="128"/>
      <c r="O997" s="128"/>
      <c r="P997" s="128"/>
      <c r="Q997" s="326"/>
      <c r="R997" s="128"/>
      <c r="S997" s="128"/>
      <c r="T997" s="128"/>
      <c r="U997" s="128"/>
      <c r="V997" s="128"/>
      <c r="W997" s="128"/>
      <c r="X997" s="128"/>
      <c r="Y997" s="128"/>
      <c r="Z997" s="128"/>
    </row>
    <row r="998" spans="1:26" ht="12.5">
      <c r="A998" s="128"/>
      <c r="B998" s="128"/>
      <c r="C998" s="128"/>
      <c r="D998" s="190"/>
      <c r="E998" s="128"/>
      <c r="F998" s="128"/>
      <c r="G998" s="128"/>
      <c r="H998" s="128"/>
      <c r="I998" s="128"/>
      <c r="J998" s="128"/>
      <c r="K998" s="128"/>
      <c r="L998" s="128"/>
      <c r="M998" s="128"/>
      <c r="N998" s="128"/>
      <c r="O998" s="128"/>
      <c r="P998" s="128"/>
      <c r="Q998" s="326"/>
      <c r="R998" s="128"/>
      <c r="S998" s="128"/>
      <c r="T998" s="128"/>
      <c r="U998" s="128"/>
      <c r="V998" s="128"/>
      <c r="W998" s="128"/>
      <c r="X998" s="128"/>
      <c r="Y998" s="128"/>
      <c r="Z998" s="128"/>
    </row>
    <row r="999" spans="1:26" ht="12.5">
      <c r="A999" s="128"/>
      <c r="B999" s="128"/>
      <c r="C999" s="128"/>
      <c r="D999" s="190"/>
      <c r="E999" s="128"/>
      <c r="F999" s="128"/>
      <c r="G999" s="128"/>
      <c r="H999" s="128"/>
      <c r="I999" s="128"/>
      <c r="J999" s="128"/>
      <c r="K999" s="128"/>
      <c r="L999" s="128"/>
      <c r="M999" s="128"/>
      <c r="N999" s="128"/>
      <c r="O999" s="128"/>
      <c r="P999" s="128"/>
      <c r="Q999" s="326"/>
      <c r="R999" s="128"/>
      <c r="S999" s="128"/>
      <c r="T999" s="128"/>
      <c r="U999" s="128"/>
      <c r="V999" s="128"/>
      <c r="W999" s="128"/>
      <c r="X999" s="128"/>
      <c r="Y999" s="128"/>
      <c r="Z999" s="128"/>
    </row>
    <row r="1000" spans="1:26" ht="12.5">
      <c r="A1000" s="128"/>
      <c r="B1000" s="128"/>
      <c r="C1000" s="128"/>
      <c r="D1000" s="190"/>
      <c r="E1000" s="128"/>
      <c r="F1000" s="128"/>
      <c r="G1000" s="128"/>
      <c r="H1000" s="128"/>
      <c r="I1000" s="128"/>
      <c r="J1000" s="128"/>
      <c r="K1000" s="128"/>
      <c r="L1000" s="128"/>
      <c r="M1000" s="128"/>
      <c r="N1000" s="128"/>
      <c r="O1000" s="128"/>
      <c r="P1000" s="128"/>
      <c r="Q1000" s="326"/>
      <c r="R1000" s="128"/>
      <c r="S1000" s="128"/>
      <c r="T1000" s="128"/>
      <c r="U1000" s="128"/>
      <c r="V1000" s="128"/>
      <c r="W1000" s="128"/>
      <c r="X1000" s="128"/>
      <c r="Y1000" s="128"/>
      <c r="Z1000" s="128"/>
    </row>
  </sheetData>
  <autoFilter ref="A7:X696">
    <filterColumn colId="17">
      <filters>
        <filter val="LAM"/>
        <filter val="Thanh"/>
        <filter val="Xuân"/>
      </filters>
    </filterColumn>
  </autoFilter>
  <mergeCells count="65">
    <mergeCell ref="L662:N662"/>
    <mergeCell ref="L663:N663"/>
    <mergeCell ref="W367:X367"/>
    <mergeCell ref="L656:N656"/>
    <mergeCell ref="L657:N657"/>
    <mergeCell ref="L658:N658"/>
    <mergeCell ref="L659:N659"/>
    <mergeCell ref="L660:N660"/>
    <mergeCell ref="L661:N661"/>
    <mergeCell ref="W195:X195"/>
    <mergeCell ref="W220:X220"/>
    <mergeCell ref="W235:X235"/>
    <mergeCell ref="W236:X236"/>
    <mergeCell ref="W249:X249"/>
    <mergeCell ref="W158:X158"/>
    <mergeCell ref="W160:X160"/>
    <mergeCell ref="W164:X164"/>
    <mergeCell ref="W186:X186"/>
    <mergeCell ref="W190:X190"/>
    <mergeCell ref="W122:X122"/>
    <mergeCell ref="W124:X124"/>
    <mergeCell ref="W130:X130"/>
    <mergeCell ref="W131:X131"/>
    <mergeCell ref="W157:X157"/>
    <mergeCell ref="W94:X94"/>
    <mergeCell ref="W97:X97"/>
    <mergeCell ref="W113:X113"/>
    <mergeCell ref="W114:X114"/>
    <mergeCell ref="W121:X121"/>
    <mergeCell ref="W73:X73"/>
    <mergeCell ref="W74:X74"/>
    <mergeCell ref="W75:X75"/>
    <mergeCell ref="W76:X76"/>
    <mergeCell ref="W77:X77"/>
    <mergeCell ref="W62:X62"/>
    <mergeCell ref="W63:X63"/>
    <mergeCell ref="W64:X64"/>
    <mergeCell ref="W65:X65"/>
    <mergeCell ref="W72:X72"/>
    <mergeCell ref="W363:X363"/>
    <mergeCell ref="W364:X364"/>
    <mergeCell ref="W365:X365"/>
    <mergeCell ref="W366:X366"/>
    <mergeCell ref="E4:F4"/>
    <mergeCell ref="F5:P5"/>
    <mergeCell ref="W17:X17"/>
    <mergeCell ref="W20:X20"/>
    <mergeCell ref="W24:X24"/>
    <mergeCell ref="W25:X25"/>
    <mergeCell ref="W30:X30"/>
    <mergeCell ref="W31:X31"/>
    <mergeCell ref="W32:X32"/>
    <mergeCell ref="W36:X36"/>
    <mergeCell ref="W38:X38"/>
    <mergeCell ref="W39:X39"/>
    <mergeCell ref="W275:X275"/>
    <mergeCell ref="W314:X314"/>
    <mergeCell ref="W315:X315"/>
    <mergeCell ref="W316:X316"/>
    <mergeCell ref="W362:X362"/>
    <mergeCell ref="W250:X250"/>
    <mergeCell ref="W271:X271"/>
    <mergeCell ref="W272:X272"/>
    <mergeCell ref="W273:X273"/>
    <mergeCell ref="W274:X27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rgb="FFFFFF00"/>
    <outlinePr summaryBelow="0" summaryRight="0"/>
  </sheetPr>
  <dimension ref="A1:Z1297"/>
  <sheetViews>
    <sheetView workbookViewId="0"/>
  </sheetViews>
  <sheetFormatPr defaultColWidth="12.6328125" defaultRowHeight="15" customHeight="1"/>
  <cols>
    <col min="4" max="4" width="24.08984375" customWidth="1"/>
    <col min="7" max="17" width="12.6328125" hidden="1"/>
    <col min="19" max="19" width="21.36328125" customWidth="1"/>
    <col min="20" max="20" width="25.6328125" customWidth="1"/>
  </cols>
  <sheetData>
    <row r="1" spans="1:26" ht="13">
      <c r="A1" s="327"/>
      <c r="B1" s="327"/>
      <c r="C1" s="327"/>
      <c r="D1" s="328" t="s">
        <v>4645</v>
      </c>
      <c r="E1" s="327"/>
      <c r="F1" s="327"/>
      <c r="G1" s="327"/>
      <c r="H1" s="327"/>
      <c r="I1" s="327"/>
      <c r="J1" s="329"/>
      <c r="K1" s="329"/>
      <c r="L1" s="329"/>
      <c r="M1" s="327"/>
      <c r="N1" s="327"/>
      <c r="O1" s="327"/>
      <c r="P1" s="327"/>
      <c r="Q1" s="327"/>
      <c r="R1" s="327"/>
      <c r="S1" s="327"/>
      <c r="T1" s="327"/>
      <c r="U1" s="327"/>
      <c r="V1" s="327"/>
      <c r="W1" s="327"/>
      <c r="X1" s="327"/>
      <c r="Y1" s="327"/>
      <c r="Z1" s="330"/>
    </row>
    <row r="2" spans="1:26" ht="13">
      <c r="A2" s="327"/>
      <c r="B2" s="327"/>
      <c r="C2" s="327"/>
      <c r="D2" s="331" t="s">
        <v>4646</v>
      </c>
      <c r="E2" s="327"/>
      <c r="F2" s="327"/>
      <c r="G2" s="327"/>
      <c r="H2" s="327"/>
      <c r="I2" s="327"/>
      <c r="J2" s="329"/>
      <c r="K2" s="329"/>
      <c r="L2" s="329"/>
      <c r="M2" s="327"/>
      <c r="N2" s="327"/>
      <c r="O2" s="327"/>
      <c r="P2" s="327"/>
      <c r="Q2" s="327"/>
      <c r="R2" s="327"/>
      <c r="S2" s="327"/>
      <c r="T2" s="327"/>
      <c r="U2" s="327"/>
      <c r="V2" s="327"/>
      <c r="W2" s="327"/>
      <c r="X2" s="327"/>
      <c r="Y2" s="327"/>
      <c r="Z2" s="330"/>
    </row>
    <row r="3" spans="1:26" ht="12.5">
      <c r="A3" s="327"/>
      <c r="B3" s="327"/>
      <c r="C3" s="332"/>
      <c r="D3" s="327"/>
      <c r="E3" s="327"/>
      <c r="F3" s="327"/>
      <c r="G3" s="327"/>
      <c r="H3" s="327"/>
      <c r="I3" s="327"/>
      <c r="J3" s="329"/>
      <c r="K3" s="329"/>
      <c r="L3" s="329"/>
      <c r="M3" s="327"/>
      <c r="N3" s="327"/>
      <c r="O3" s="327"/>
      <c r="P3" s="327"/>
      <c r="Q3" s="327"/>
      <c r="R3" s="327"/>
      <c r="S3" s="327"/>
      <c r="T3" s="327"/>
      <c r="U3" s="327"/>
      <c r="V3" s="327"/>
      <c r="W3" s="327"/>
      <c r="X3" s="327"/>
      <c r="Y3" s="327"/>
      <c r="Z3" s="330"/>
    </row>
    <row r="4" spans="1:26" ht="18">
      <c r="A4" s="327"/>
      <c r="B4" s="327"/>
      <c r="C4" s="332"/>
      <c r="D4" s="327"/>
      <c r="E4" s="333" t="s">
        <v>4647</v>
      </c>
      <c r="F4" s="327"/>
      <c r="G4" s="327"/>
      <c r="H4" s="327"/>
      <c r="I4" s="327"/>
      <c r="J4" s="329"/>
      <c r="K4" s="329"/>
      <c r="L4" s="329"/>
      <c r="M4" s="327"/>
      <c r="N4" s="327"/>
      <c r="O4" s="327"/>
      <c r="P4" s="327"/>
      <c r="Q4" s="327"/>
      <c r="R4" s="327"/>
      <c r="S4" s="327"/>
      <c r="T4" s="327"/>
      <c r="U4" s="327"/>
      <c r="V4" s="327"/>
      <c r="W4" s="327"/>
      <c r="X4" s="327"/>
      <c r="Y4" s="327"/>
      <c r="Z4" s="330"/>
    </row>
    <row r="5" spans="1:26" ht="12.5">
      <c r="A5" s="327"/>
      <c r="B5" s="327"/>
      <c r="C5" s="332"/>
      <c r="D5" s="327"/>
      <c r="E5" s="327"/>
      <c r="F5" s="327"/>
      <c r="G5" s="327"/>
      <c r="H5" s="327"/>
      <c r="I5" s="327"/>
      <c r="J5" s="329"/>
      <c r="K5" s="329"/>
      <c r="L5" s="329"/>
      <c r="M5" s="327"/>
      <c r="N5" s="327"/>
      <c r="O5" s="327"/>
      <c r="P5" s="327"/>
      <c r="Q5" s="327"/>
      <c r="R5" s="327"/>
      <c r="S5" s="327"/>
      <c r="T5" s="327"/>
      <c r="U5" s="327"/>
      <c r="V5" s="327"/>
      <c r="W5" s="327"/>
      <c r="X5" s="327"/>
      <c r="Y5" s="327"/>
      <c r="Z5" s="330"/>
    </row>
    <row r="6" spans="1:26" ht="12.5">
      <c r="A6" s="327"/>
      <c r="B6" s="327"/>
      <c r="C6" s="332"/>
      <c r="D6" s="327"/>
      <c r="E6" s="327"/>
      <c r="F6" s="327"/>
      <c r="G6" s="327"/>
      <c r="H6" s="327"/>
      <c r="I6" s="327"/>
      <c r="J6" s="329"/>
      <c r="K6" s="329"/>
      <c r="L6" s="329"/>
      <c r="M6" s="327"/>
      <c r="N6" s="327"/>
      <c r="O6" s="327"/>
      <c r="P6" s="327"/>
      <c r="Q6" s="327"/>
      <c r="R6" s="327"/>
      <c r="S6" s="327"/>
      <c r="T6" s="327"/>
      <c r="U6" s="327"/>
      <c r="V6" s="327"/>
      <c r="W6" s="327"/>
      <c r="X6" s="327"/>
      <c r="Y6" s="327"/>
      <c r="Z6" s="330"/>
    </row>
    <row r="7" spans="1:26" ht="39">
      <c r="A7" s="334" t="s">
        <v>3</v>
      </c>
      <c r="B7" s="335" t="s">
        <v>4</v>
      </c>
      <c r="C7" s="336" t="s">
        <v>5</v>
      </c>
      <c r="D7" s="335" t="s">
        <v>3357</v>
      </c>
      <c r="E7" s="335" t="s">
        <v>3358</v>
      </c>
      <c r="F7" s="335" t="s">
        <v>3359</v>
      </c>
      <c r="G7" s="335" t="s">
        <v>9</v>
      </c>
      <c r="H7" s="334" t="s">
        <v>10</v>
      </c>
      <c r="I7" s="334" t="s">
        <v>11</v>
      </c>
      <c r="J7" s="337" t="s">
        <v>3360</v>
      </c>
      <c r="K7" s="337" t="s">
        <v>3361</v>
      </c>
      <c r="L7" s="337" t="s">
        <v>3362</v>
      </c>
      <c r="M7" s="335" t="s">
        <v>3363</v>
      </c>
      <c r="N7" s="335" t="s">
        <v>3364</v>
      </c>
      <c r="O7" s="335" t="s">
        <v>3365</v>
      </c>
      <c r="P7" s="335" t="s">
        <v>3366</v>
      </c>
      <c r="Q7" s="334" t="s">
        <v>13</v>
      </c>
      <c r="R7" s="334" t="s">
        <v>3277</v>
      </c>
      <c r="S7" s="335" t="s">
        <v>3367</v>
      </c>
      <c r="T7" s="338"/>
      <c r="U7" s="327"/>
      <c r="V7" s="327"/>
      <c r="W7" s="327"/>
      <c r="X7" s="327"/>
      <c r="Y7" s="327"/>
      <c r="Z7" s="330"/>
    </row>
    <row r="8" spans="1:26" ht="25" hidden="1">
      <c r="A8" s="339">
        <v>1</v>
      </c>
      <c r="B8" s="338" t="s">
        <v>3032</v>
      </c>
      <c r="C8" s="340">
        <v>40640</v>
      </c>
      <c r="D8" s="338" t="s">
        <v>4648</v>
      </c>
      <c r="E8" s="341" t="s">
        <v>3371</v>
      </c>
      <c r="F8" s="341" t="s">
        <v>3372</v>
      </c>
      <c r="G8" s="338" t="s">
        <v>1435</v>
      </c>
      <c r="H8" s="339" t="s">
        <v>19</v>
      </c>
      <c r="I8" s="339">
        <v>1</v>
      </c>
      <c r="J8" s="342">
        <v>15582606</v>
      </c>
      <c r="K8" s="342">
        <v>8830146</v>
      </c>
      <c r="L8" s="342">
        <v>0</v>
      </c>
      <c r="M8" s="343">
        <v>0</v>
      </c>
      <c r="N8" s="343">
        <v>0</v>
      </c>
      <c r="O8" s="343">
        <v>0</v>
      </c>
      <c r="P8" s="338"/>
      <c r="Q8" s="339" t="s">
        <v>36</v>
      </c>
      <c r="R8" s="339" t="s">
        <v>56</v>
      </c>
      <c r="S8" s="341" t="s">
        <v>4649</v>
      </c>
      <c r="T8" s="344"/>
      <c r="U8" s="345"/>
      <c r="V8" s="327"/>
      <c r="W8" s="327"/>
      <c r="X8" s="327"/>
      <c r="Y8" s="327"/>
      <c r="Z8" s="330"/>
    </row>
    <row r="9" spans="1:26" ht="39" hidden="1">
      <c r="A9" s="339">
        <v>2</v>
      </c>
      <c r="B9" s="338" t="s">
        <v>4650</v>
      </c>
      <c r="C9" s="340">
        <v>41326</v>
      </c>
      <c r="D9" s="338" t="s">
        <v>4651</v>
      </c>
      <c r="E9" s="341" t="s">
        <v>3371</v>
      </c>
      <c r="F9" s="341" t="s">
        <v>3374</v>
      </c>
      <c r="G9" s="338" t="s">
        <v>1435</v>
      </c>
      <c r="H9" s="339" t="s">
        <v>19</v>
      </c>
      <c r="I9" s="339">
        <v>1</v>
      </c>
      <c r="J9" s="342">
        <v>21510000</v>
      </c>
      <c r="K9" s="342">
        <v>20076000</v>
      </c>
      <c r="L9" s="342">
        <v>0</v>
      </c>
      <c r="M9" s="343">
        <v>0</v>
      </c>
      <c r="N9" s="343">
        <v>0</v>
      </c>
      <c r="O9" s="343">
        <v>0</v>
      </c>
      <c r="P9" s="338"/>
      <c r="Q9" s="339" t="s">
        <v>20</v>
      </c>
      <c r="R9" s="339" t="s">
        <v>3375</v>
      </c>
      <c r="S9" s="335" t="s">
        <v>3376</v>
      </c>
      <c r="T9" s="338"/>
      <c r="U9" s="327"/>
      <c r="V9" s="327"/>
      <c r="W9" s="327"/>
      <c r="X9" s="327"/>
      <c r="Y9" s="327"/>
      <c r="Z9" s="330"/>
    </row>
    <row r="10" spans="1:26" ht="25" hidden="1">
      <c r="A10" s="339">
        <v>3</v>
      </c>
      <c r="B10" s="338" t="s">
        <v>4650</v>
      </c>
      <c r="C10" s="340">
        <v>41326</v>
      </c>
      <c r="D10" s="338" t="s">
        <v>4652</v>
      </c>
      <c r="E10" s="341" t="s">
        <v>3371</v>
      </c>
      <c r="F10" s="341" t="s">
        <v>3377</v>
      </c>
      <c r="G10" s="338" t="s">
        <v>1435</v>
      </c>
      <c r="H10" s="339" t="s">
        <v>19</v>
      </c>
      <c r="I10" s="339">
        <v>1</v>
      </c>
      <c r="J10" s="342">
        <v>21510000</v>
      </c>
      <c r="K10" s="342">
        <v>20076000</v>
      </c>
      <c r="L10" s="342">
        <v>0</v>
      </c>
      <c r="M10" s="343">
        <v>0</v>
      </c>
      <c r="N10" s="343">
        <v>0</v>
      </c>
      <c r="O10" s="343">
        <v>0</v>
      </c>
      <c r="P10" s="338"/>
      <c r="Q10" s="339" t="s">
        <v>36</v>
      </c>
      <c r="R10" s="339" t="s">
        <v>56</v>
      </c>
      <c r="S10" s="341" t="s">
        <v>4653</v>
      </c>
      <c r="T10" s="338"/>
      <c r="U10" s="327"/>
      <c r="V10" s="327"/>
      <c r="W10" s="327"/>
      <c r="X10" s="327"/>
      <c r="Y10" s="327"/>
      <c r="Z10" s="330"/>
    </row>
    <row r="11" spans="1:26" ht="25" hidden="1">
      <c r="A11" s="339">
        <v>4</v>
      </c>
      <c r="B11" s="338" t="s">
        <v>4650</v>
      </c>
      <c r="C11" s="340">
        <v>41326</v>
      </c>
      <c r="D11" s="338" t="s">
        <v>4654</v>
      </c>
      <c r="E11" s="341" t="s">
        <v>3371</v>
      </c>
      <c r="F11" s="341" t="s">
        <v>3379</v>
      </c>
      <c r="G11" s="338" t="s">
        <v>1435</v>
      </c>
      <c r="H11" s="339" t="s">
        <v>19</v>
      </c>
      <c r="I11" s="339">
        <v>1</v>
      </c>
      <c r="J11" s="342">
        <v>21510000</v>
      </c>
      <c r="K11" s="342">
        <v>20076000</v>
      </c>
      <c r="L11" s="342">
        <v>0</v>
      </c>
      <c r="M11" s="343">
        <v>0</v>
      </c>
      <c r="N11" s="343">
        <v>0</v>
      </c>
      <c r="O11" s="343">
        <v>0</v>
      </c>
      <c r="P11" s="338"/>
      <c r="Q11" s="339" t="s">
        <v>206</v>
      </c>
      <c r="R11" s="339" t="s">
        <v>207</v>
      </c>
      <c r="S11" s="341" t="s">
        <v>3380</v>
      </c>
      <c r="T11" s="338"/>
      <c r="U11" s="327"/>
      <c r="V11" s="327"/>
      <c r="W11" s="327"/>
      <c r="X11" s="327"/>
      <c r="Y11" s="327"/>
      <c r="Z11" s="330"/>
    </row>
    <row r="12" spans="1:26" ht="25" hidden="1">
      <c r="A12" s="339">
        <v>5</v>
      </c>
      <c r="B12" s="338" t="s">
        <v>4650</v>
      </c>
      <c r="C12" s="340">
        <v>41326</v>
      </c>
      <c r="D12" s="338" t="s">
        <v>4655</v>
      </c>
      <c r="E12" s="341" t="s">
        <v>3371</v>
      </c>
      <c r="F12" s="341" t="s">
        <v>3381</v>
      </c>
      <c r="G12" s="338" t="s">
        <v>1435</v>
      </c>
      <c r="H12" s="339" t="s">
        <v>19</v>
      </c>
      <c r="I12" s="339">
        <v>1</v>
      </c>
      <c r="J12" s="342">
        <v>21510000</v>
      </c>
      <c r="K12" s="342">
        <v>20076000</v>
      </c>
      <c r="L12" s="342">
        <v>0</v>
      </c>
      <c r="M12" s="343">
        <v>0</v>
      </c>
      <c r="N12" s="343">
        <v>0</v>
      </c>
      <c r="O12" s="343">
        <v>0</v>
      </c>
      <c r="P12" s="338"/>
      <c r="Q12" s="339" t="s">
        <v>206</v>
      </c>
      <c r="R12" s="339" t="s">
        <v>207</v>
      </c>
      <c r="S12" s="341" t="s">
        <v>3382</v>
      </c>
      <c r="T12" s="338"/>
      <c r="U12" s="327"/>
      <c r="V12" s="327"/>
      <c r="W12" s="327"/>
      <c r="X12" s="327"/>
      <c r="Y12" s="327"/>
      <c r="Z12" s="330"/>
    </row>
    <row r="13" spans="1:26" ht="25">
      <c r="A13" s="339">
        <v>6</v>
      </c>
      <c r="B13" s="338" t="s">
        <v>4650</v>
      </c>
      <c r="C13" s="340">
        <v>41326</v>
      </c>
      <c r="D13" s="338" t="s">
        <v>4656</v>
      </c>
      <c r="E13" s="341" t="s">
        <v>3371</v>
      </c>
      <c r="F13" s="341" t="s">
        <v>3383</v>
      </c>
      <c r="G13" s="338" t="s">
        <v>1435</v>
      </c>
      <c r="H13" s="339" t="s">
        <v>19</v>
      </c>
      <c r="I13" s="339">
        <v>1</v>
      </c>
      <c r="J13" s="342">
        <v>21510000</v>
      </c>
      <c r="K13" s="342">
        <v>20076000</v>
      </c>
      <c r="L13" s="342">
        <v>0</v>
      </c>
      <c r="M13" s="343">
        <v>0</v>
      </c>
      <c r="N13" s="343">
        <v>0</v>
      </c>
      <c r="O13" s="343">
        <v>0</v>
      </c>
      <c r="P13" s="338"/>
      <c r="Q13" s="339" t="s">
        <v>20</v>
      </c>
      <c r="R13" s="339" t="s">
        <v>423</v>
      </c>
      <c r="S13" s="341" t="s">
        <v>3384</v>
      </c>
      <c r="T13" s="338"/>
      <c r="U13" s="327"/>
      <c r="V13" s="327"/>
      <c r="W13" s="327"/>
      <c r="X13" s="327"/>
      <c r="Y13" s="327"/>
      <c r="Z13" s="330"/>
    </row>
    <row r="14" spans="1:26" ht="25" hidden="1">
      <c r="A14" s="339">
        <v>7</v>
      </c>
      <c r="B14" s="338" t="s">
        <v>4650</v>
      </c>
      <c r="C14" s="340">
        <v>41326</v>
      </c>
      <c r="D14" s="338" t="s">
        <v>4657</v>
      </c>
      <c r="E14" s="341" t="s">
        <v>3371</v>
      </c>
      <c r="F14" s="341" t="s">
        <v>3385</v>
      </c>
      <c r="G14" s="338" t="s">
        <v>1435</v>
      </c>
      <c r="H14" s="339" t="s">
        <v>19</v>
      </c>
      <c r="I14" s="339">
        <v>1</v>
      </c>
      <c r="J14" s="342">
        <v>21510000</v>
      </c>
      <c r="K14" s="342">
        <v>20076000</v>
      </c>
      <c r="L14" s="342">
        <v>0</v>
      </c>
      <c r="M14" s="343">
        <v>0</v>
      </c>
      <c r="N14" s="343">
        <v>0</v>
      </c>
      <c r="O14" s="343">
        <v>0</v>
      </c>
      <c r="P14" s="338"/>
      <c r="Q14" s="339" t="s">
        <v>206</v>
      </c>
      <c r="R14" s="339" t="s">
        <v>207</v>
      </c>
      <c r="S14" s="341" t="s">
        <v>3386</v>
      </c>
      <c r="T14" s="338"/>
      <c r="U14" s="327"/>
      <c r="V14" s="327"/>
      <c r="W14" s="327"/>
      <c r="X14" s="327"/>
      <c r="Y14" s="327"/>
      <c r="Z14" s="330"/>
    </row>
    <row r="15" spans="1:26" ht="25" hidden="1">
      <c r="A15" s="339">
        <v>8</v>
      </c>
      <c r="B15" s="338" t="s">
        <v>3387</v>
      </c>
      <c r="C15" s="340">
        <v>40743</v>
      </c>
      <c r="D15" s="338" t="s">
        <v>4658</v>
      </c>
      <c r="E15" s="341" t="s">
        <v>3388</v>
      </c>
      <c r="F15" s="341" t="s">
        <v>4659</v>
      </c>
      <c r="G15" s="338" t="s">
        <v>248</v>
      </c>
      <c r="H15" s="339" t="s">
        <v>249</v>
      </c>
      <c r="I15" s="339">
        <v>1</v>
      </c>
      <c r="J15" s="342">
        <v>29545455</v>
      </c>
      <c r="K15" s="342">
        <v>18219703</v>
      </c>
      <c r="L15" s="342">
        <v>0</v>
      </c>
      <c r="M15" s="343">
        <v>0</v>
      </c>
      <c r="N15" s="343">
        <v>0</v>
      </c>
      <c r="O15" s="343">
        <v>0</v>
      </c>
      <c r="P15" s="338"/>
      <c r="Q15" s="339" t="s">
        <v>1195</v>
      </c>
      <c r="R15" s="339" t="s">
        <v>3389</v>
      </c>
      <c r="S15" s="341" t="s">
        <v>3390</v>
      </c>
      <c r="T15" s="338"/>
      <c r="U15" s="327"/>
      <c r="V15" s="327"/>
      <c r="W15" s="327"/>
      <c r="X15" s="327"/>
      <c r="Y15" s="327"/>
      <c r="Z15" s="330"/>
    </row>
    <row r="16" spans="1:26" ht="37.5" hidden="1">
      <c r="A16" s="339">
        <v>9</v>
      </c>
      <c r="B16" s="338" t="s">
        <v>3391</v>
      </c>
      <c r="C16" s="340">
        <v>36892</v>
      </c>
      <c r="D16" s="338" t="s">
        <v>3392</v>
      </c>
      <c r="E16" s="341" t="s">
        <v>3393</v>
      </c>
      <c r="F16" s="341" t="s">
        <v>4660</v>
      </c>
      <c r="G16" s="338"/>
      <c r="H16" s="339" t="s">
        <v>249</v>
      </c>
      <c r="I16" s="339">
        <v>1</v>
      </c>
      <c r="J16" s="342">
        <v>14614587</v>
      </c>
      <c r="K16" s="342">
        <v>0</v>
      </c>
      <c r="L16" s="342">
        <v>0</v>
      </c>
      <c r="M16" s="343">
        <v>0</v>
      </c>
      <c r="N16" s="343">
        <v>0</v>
      </c>
      <c r="O16" s="343">
        <v>0</v>
      </c>
      <c r="P16" s="338"/>
      <c r="Q16" s="339" t="s">
        <v>20</v>
      </c>
      <c r="R16" s="346" t="s">
        <v>229</v>
      </c>
      <c r="S16" s="341" t="str">
        <f>IFERROR(VLOOKUP(D16, CCDC_XUAN!$D$16:$S$693, 16, 0), "Không tìm thấy")</f>
        <v>A2 CONTROL</v>
      </c>
      <c r="T16" s="344"/>
      <c r="U16" s="327"/>
      <c r="V16" s="327"/>
      <c r="W16" s="327"/>
      <c r="X16" s="327"/>
      <c r="Y16" s="327"/>
      <c r="Z16" s="330"/>
    </row>
    <row r="17" spans="1:26" ht="12.5" hidden="1">
      <c r="A17" s="347">
        <v>10</v>
      </c>
      <c r="B17" s="338" t="s">
        <v>2681</v>
      </c>
      <c r="C17" s="348">
        <v>36161</v>
      </c>
      <c r="D17" s="338" t="s">
        <v>4661</v>
      </c>
      <c r="E17" s="349" t="s">
        <v>3394</v>
      </c>
      <c r="F17" s="349" t="s">
        <v>3395</v>
      </c>
      <c r="G17" s="338"/>
      <c r="H17" s="338"/>
      <c r="I17" s="347">
        <v>1</v>
      </c>
      <c r="J17" s="342">
        <v>19480338</v>
      </c>
      <c r="K17" s="342">
        <v>0</v>
      </c>
      <c r="L17" s="342">
        <v>0</v>
      </c>
      <c r="M17" s="343">
        <v>0</v>
      </c>
      <c r="N17" s="343">
        <v>0</v>
      </c>
      <c r="O17" s="343">
        <v>0</v>
      </c>
      <c r="P17" s="338"/>
      <c r="Q17" s="347" t="s">
        <v>20</v>
      </c>
      <c r="R17" s="347" t="s">
        <v>21</v>
      </c>
      <c r="S17" s="349" t="s">
        <v>22</v>
      </c>
      <c r="T17" s="350" t="s">
        <v>4662</v>
      </c>
      <c r="U17" s="351" t="s">
        <v>4663</v>
      </c>
      <c r="V17" s="327"/>
      <c r="W17" s="327"/>
      <c r="X17" s="327"/>
      <c r="Y17" s="327"/>
      <c r="Z17" s="330"/>
    </row>
    <row r="18" spans="1:26" ht="37.5" hidden="1">
      <c r="A18" s="339">
        <v>11</v>
      </c>
      <c r="B18" s="338" t="s">
        <v>3398</v>
      </c>
      <c r="C18" s="340">
        <v>37987</v>
      </c>
      <c r="D18" s="338" t="s">
        <v>4664</v>
      </c>
      <c r="E18" s="341" t="s">
        <v>3399</v>
      </c>
      <c r="F18" s="341" t="s">
        <v>4665</v>
      </c>
      <c r="G18" s="338"/>
      <c r="H18" s="338"/>
      <c r="I18" s="339">
        <v>1</v>
      </c>
      <c r="J18" s="342">
        <v>3705220</v>
      </c>
      <c r="K18" s="342">
        <v>0</v>
      </c>
      <c r="L18" s="342">
        <v>0</v>
      </c>
      <c r="M18" s="343">
        <v>0</v>
      </c>
      <c r="N18" s="343">
        <v>0</v>
      </c>
      <c r="O18" s="343">
        <v>0</v>
      </c>
      <c r="P18" s="338" t="s">
        <v>3400</v>
      </c>
      <c r="Q18" s="339" t="s">
        <v>206</v>
      </c>
      <c r="R18" s="339" t="s">
        <v>207</v>
      </c>
      <c r="S18" s="341" t="s">
        <v>3401</v>
      </c>
      <c r="T18" s="338"/>
      <c r="U18" s="327"/>
      <c r="V18" s="327"/>
      <c r="W18" s="327"/>
      <c r="X18" s="327"/>
      <c r="Y18" s="327"/>
      <c r="Z18" s="330"/>
    </row>
    <row r="19" spans="1:26" ht="37.5" hidden="1">
      <c r="A19" s="339">
        <v>12</v>
      </c>
      <c r="B19" s="338" t="s">
        <v>1421</v>
      </c>
      <c r="C19" s="340">
        <v>38717</v>
      </c>
      <c r="D19" s="338" t="s">
        <v>4666</v>
      </c>
      <c r="E19" s="341" t="s">
        <v>4667</v>
      </c>
      <c r="F19" s="341" t="s">
        <v>3403</v>
      </c>
      <c r="G19" s="338"/>
      <c r="H19" s="338"/>
      <c r="I19" s="339">
        <v>1</v>
      </c>
      <c r="J19" s="342">
        <v>7042513</v>
      </c>
      <c r="K19" s="342">
        <v>0</v>
      </c>
      <c r="L19" s="342">
        <v>0</v>
      </c>
      <c r="M19" s="343">
        <v>0</v>
      </c>
      <c r="N19" s="343">
        <v>0</v>
      </c>
      <c r="O19" s="343">
        <v>0</v>
      </c>
      <c r="P19" s="338"/>
      <c r="Q19" s="339" t="s">
        <v>206</v>
      </c>
      <c r="R19" s="339" t="s">
        <v>2906</v>
      </c>
      <c r="S19" s="341" t="s">
        <v>206</v>
      </c>
      <c r="T19" s="338"/>
      <c r="U19" s="327"/>
      <c r="V19" s="327"/>
      <c r="W19" s="327"/>
      <c r="X19" s="327"/>
      <c r="Y19" s="327"/>
      <c r="Z19" s="330"/>
    </row>
    <row r="20" spans="1:26" ht="37.5" hidden="1">
      <c r="A20" s="352">
        <v>13</v>
      </c>
      <c r="B20" s="353" t="s">
        <v>4668</v>
      </c>
      <c r="C20" s="354">
        <v>38625</v>
      </c>
      <c r="D20" s="338" t="s">
        <v>4669</v>
      </c>
      <c r="E20" s="355" t="s">
        <v>3405</v>
      </c>
      <c r="F20" s="355" t="s">
        <v>4670</v>
      </c>
      <c r="G20" s="353"/>
      <c r="H20" s="353"/>
      <c r="I20" s="352">
        <v>1</v>
      </c>
      <c r="J20" s="356">
        <v>21712829</v>
      </c>
      <c r="K20" s="356">
        <v>0</v>
      </c>
      <c r="L20" s="356">
        <v>0</v>
      </c>
      <c r="M20" s="357">
        <v>0</v>
      </c>
      <c r="N20" s="357">
        <v>0</v>
      </c>
      <c r="O20" s="357">
        <v>0</v>
      </c>
      <c r="P20" s="353" t="s">
        <v>3400</v>
      </c>
      <c r="Q20" s="352" t="s">
        <v>206</v>
      </c>
      <c r="R20" s="352" t="s">
        <v>207</v>
      </c>
      <c r="S20" s="355" t="s">
        <v>3406</v>
      </c>
      <c r="T20" s="338"/>
      <c r="U20" s="327"/>
      <c r="V20" s="327"/>
      <c r="W20" s="327"/>
      <c r="X20" s="327"/>
      <c r="Y20" s="327"/>
      <c r="Z20" s="330"/>
    </row>
    <row r="21" spans="1:26" ht="25" hidden="1">
      <c r="A21" s="339">
        <v>14</v>
      </c>
      <c r="B21" s="338" t="s">
        <v>4671</v>
      </c>
      <c r="C21" s="340">
        <v>39080</v>
      </c>
      <c r="D21" s="338" t="s">
        <v>4672</v>
      </c>
      <c r="E21" s="341" t="s">
        <v>4673</v>
      </c>
      <c r="F21" s="341" t="s">
        <v>3408</v>
      </c>
      <c r="G21" s="338"/>
      <c r="H21" s="338"/>
      <c r="I21" s="339">
        <v>1</v>
      </c>
      <c r="J21" s="342">
        <v>5060000</v>
      </c>
      <c r="K21" s="342">
        <v>0</v>
      </c>
      <c r="L21" s="342">
        <v>0</v>
      </c>
      <c r="M21" s="343">
        <v>0</v>
      </c>
      <c r="N21" s="343">
        <v>0</v>
      </c>
      <c r="O21" s="343">
        <v>0</v>
      </c>
      <c r="P21" s="338"/>
      <c r="Q21" s="339" t="s">
        <v>36</v>
      </c>
      <c r="R21" s="339" t="s">
        <v>56</v>
      </c>
      <c r="S21" s="341" t="s">
        <v>2023</v>
      </c>
      <c r="T21" s="338"/>
      <c r="U21" s="327"/>
      <c r="V21" s="327"/>
      <c r="W21" s="327"/>
      <c r="X21" s="327"/>
      <c r="Y21" s="327"/>
      <c r="Z21" s="330"/>
    </row>
    <row r="22" spans="1:26" ht="25" hidden="1">
      <c r="A22" s="339">
        <v>15</v>
      </c>
      <c r="B22" s="338" t="s">
        <v>4674</v>
      </c>
      <c r="C22" s="340">
        <v>39080</v>
      </c>
      <c r="D22" s="338" t="s">
        <v>4675</v>
      </c>
      <c r="E22" s="341" t="s">
        <v>4673</v>
      </c>
      <c r="F22" s="341" t="s">
        <v>3409</v>
      </c>
      <c r="G22" s="338"/>
      <c r="H22" s="338"/>
      <c r="I22" s="339">
        <v>1</v>
      </c>
      <c r="J22" s="342">
        <v>5060000</v>
      </c>
      <c r="K22" s="342">
        <v>0</v>
      </c>
      <c r="L22" s="342">
        <v>0</v>
      </c>
      <c r="M22" s="343">
        <v>0</v>
      </c>
      <c r="N22" s="343">
        <v>0</v>
      </c>
      <c r="O22" s="343">
        <v>0</v>
      </c>
      <c r="P22" s="338"/>
      <c r="Q22" s="339" t="s">
        <v>36</v>
      </c>
      <c r="R22" s="339" t="s">
        <v>56</v>
      </c>
      <c r="S22" s="341" t="s">
        <v>2023</v>
      </c>
      <c r="T22" s="338"/>
      <c r="U22" s="327"/>
      <c r="V22" s="327"/>
      <c r="W22" s="327"/>
      <c r="X22" s="327"/>
      <c r="Y22" s="327"/>
      <c r="Z22" s="330"/>
    </row>
    <row r="23" spans="1:26" ht="37.5" hidden="1">
      <c r="A23" s="339">
        <v>16</v>
      </c>
      <c r="B23" s="338" t="s">
        <v>4676</v>
      </c>
      <c r="C23" s="340">
        <v>39080</v>
      </c>
      <c r="D23" s="338" t="s">
        <v>4677</v>
      </c>
      <c r="E23" s="341" t="s">
        <v>3410</v>
      </c>
      <c r="F23" s="341" t="s">
        <v>3411</v>
      </c>
      <c r="G23" s="338"/>
      <c r="H23" s="338"/>
      <c r="I23" s="339">
        <v>1</v>
      </c>
      <c r="J23" s="342">
        <v>4914054</v>
      </c>
      <c r="K23" s="342">
        <v>0</v>
      </c>
      <c r="L23" s="342">
        <v>0</v>
      </c>
      <c r="M23" s="343">
        <v>0</v>
      </c>
      <c r="N23" s="343">
        <v>0</v>
      </c>
      <c r="O23" s="343">
        <v>0</v>
      </c>
      <c r="P23" s="338"/>
      <c r="Q23" s="339" t="s">
        <v>36</v>
      </c>
      <c r="R23" s="339" t="s">
        <v>56</v>
      </c>
      <c r="S23" s="341" t="s">
        <v>2023</v>
      </c>
      <c r="T23" s="338"/>
      <c r="U23" s="327"/>
      <c r="V23" s="327"/>
      <c r="W23" s="327"/>
      <c r="X23" s="327"/>
      <c r="Y23" s="327"/>
      <c r="Z23" s="330"/>
    </row>
    <row r="24" spans="1:26" ht="37.5" hidden="1">
      <c r="A24" s="347">
        <v>17</v>
      </c>
      <c r="B24" s="338" t="s">
        <v>4678</v>
      </c>
      <c r="C24" s="348">
        <v>39283</v>
      </c>
      <c r="D24" s="338" t="s">
        <v>4679</v>
      </c>
      <c r="E24" s="349" t="s">
        <v>3412</v>
      </c>
      <c r="F24" s="349" t="s">
        <v>3413</v>
      </c>
      <c r="G24" s="338"/>
      <c r="H24" s="347" t="s">
        <v>249</v>
      </c>
      <c r="I24" s="347">
        <v>1</v>
      </c>
      <c r="J24" s="342">
        <v>15600000</v>
      </c>
      <c r="K24" s="342">
        <v>0</v>
      </c>
      <c r="L24" s="342">
        <v>0</v>
      </c>
      <c r="M24" s="343">
        <v>0</v>
      </c>
      <c r="N24" s="343">
        <v>0</v>
      </c>
      <c r="O24" s="343">
        <v>0</v>
      </c>
      <c r="P24" s="221" t="s">
        <v>3414</v>
      </c>
      <c r="Q24" s="347" t="s">
        <v>20</v>
      </c>
      <c r="R24" s="347" t="s">
        <v>21</v>
      </c>
      <c r="S24" s="349" t="s">
        <v>22</v>
      </c>
      <c r="T24" s="221" t="s">
        <v>3415</v>
      </c>
      <c r="U24" s="351" t="s">
        <v>4663</v>
      </c>
      <c r="V24" s="327"/>
      <c r="W24" s="327"/>
      <c r="X24" s="327"/>
      <c r="Y24" s="327"/>
      <c r="Z24" s="330"/>
    </row>
    <row r="25" spans="1:26" ht="37.5" hidden="1">
      <c r="A25" s="347">
        <v>18</v>
      </c>
      <c r="B25" s="338" t="s">
        <v>1421</v>
      </c>
      <c r="C25" s="348">
        <v>38717</v>
      </c>
      <c r="D25" s="338" t="s">
        <v>4680</v>
      </c>
      <c r="E25" s="349" t="s">
        <v>3416</v>
      </c>
      <c r="F25" s="349" t="s">
        <v>4681</v>
      </c>
      <c r="G25" s="338" t="s">
        <v>1754</v>
      </c>
      <c r="H25" s="347" t="s">
        <v>249</v>
      </c>
      <c r="I25" s="347">
        <v>1</v>
      </c>
      <c r="J25" s="342">
        <v>13266876</v>
      </c>
      <c r="K25" s="342">
        <v>0</v>
      </c>
      <c r="L25" s="342">
        <v>0</v>
      </c>
      <c r="M25" s="343">
        <v>0</v>
      </c>
      <c r="N25" s="343">
        <v>0</v>
      </c>
      <c r="O25" s="343">
        <v>0</v>
      </c>
      <c r="P25" s="338"/>
      <c r="Q25" s="347" t="s">
        <v>20</v>
      </c>
      <c r="R25" s="347" t="s">
        <v>21</v>
      </c>
      <c r="S25" s="349" t="s">
        <v>22</v>
      </c>
      <c r="T25" s="350" t="s">
        <v>4662</v>
      </c>
      <c r="U25" s="351" t="s">
        <v>4663</v>
      </c>
      <c r="V25" s="327"/>
      <c r="W25" s="327"/>
      <c r="X25" s="327"/>
      <c r="Y25" s="327"/>
      <c r="Z25" s="330"/>
    </row>
    <row r="26" spans="1:26" ht="25" hidden="1">
      <c r="A26" s="339">
        <v>19</v>
      </c>
      <c r="B26" s="338" t="s">
        <v>1421</v>
      </c>
      <c r="C26" s="340">
        <v>38717</v>
      </c>
      <c r="D26" s="338" t="s">
        <v>4682</v>
      </c>
      <c r="E26" s="341" t="s">
        <v>3417</v>
      </c>
      <c r="F26" s="341" t="s">
        <v>3418</v>
      </c>
      <c r="G26" s="338" t="s">
        <v>248</v>
      </c>
      <c r="H26" s="339" t="s">
        <v>249</v>
      </c>
      <c r="I26" s="339">
        <v>1</v>
      </c>
      <c r="J26" s="342">
        <v>2069440</v>
      </c>
      <c r="K26" s="342">
        <v>0</v>
      </c>
      <c r="L26" s="342">
        <v>0</v>
      </c>
      <c r="M26" s="343">
        <v>0</v>
      </c>
      <c r="N26" s="343">
        <v>0</v>
      </c>
      <c r="O26" s="343">
        <v>0</v>
      </c>
      <c r="P26" s="338"/>
      <c r="Q26" s="339" t="s">
        <v>36</v>
      </c>
      <c r="R26" s="339" t="s">
        <v>56</v>
      </c>
      <c r="S26" s="341" t="s">
        <v>3419</v>
      </c>
      <c r="T26" s="338"/>
      <c r="U26" s="327"/>
      <c r="V26" s="327"/>
      <c r="W26" s="327"/>
      <c r="X26" s="327"/>
      <c r="Y26" s="327"/>
      <c r="Z26" s="330"/>
    </row>
    <row r="27" spans="1:26" ht="25" hidden="1">
      <c r="A27" s="339">
        <v>20</v>
      </c>
      <c r="B27" s="338" t="s">
        <v>1421</v>
      </c>
      <c r="C27" s="340">
        <v>38717</v>
      </c>
      <c r="D27" s="338" t="s">
        <v>4683</v>
      </c>
      <c r="E27" s="341" t="s">
        <v>3417</v>
      </c>
      <c r="F27" s="341" t="s">
        <v>3420</v>
      </c>
      <c r="G27" s="338" t="s">
        <v>248</v>
      </c>
      <c r="H27" s="339" t="s">
        <v>249</v>
      </c>
      <c r="I27" s="339">
        <v>1</v>
      </c>
      <c r="J27" s="342">
        <v>2069440</v>
      </c>
      <c r="K27" s="342">
        <v>0</v>
      </c>
      <c r="L27" s="342">
        <v>0</v>
      </c>
      <c r="M27" s="343">
        <v>0</v>
      </c>
      <c r="N27" s="343">
        <v>0</v>
      </c>
      <c r="O27" s="343">
        <v>0</v>
      </c>
      <c r="P27" s="338"/>
      <c r="Q27" s="339" t="s">
        <v>36</v>
      </c>
      <c r="R27" s="339" t="s">
        <v>56</v>
      </c>
      <c r="S27" s="341" t="s">
        <v>2023</v>
      </c>
      <c r="T27" s="338"/>
      <c r="U27" s="327"/>
      <c r="V27" s="327"/>
      <c r="W27" s="327"/>
      <c r="X27" s="327"/>
      <c r="Y27" s="327"/>
      <c r="Z27" s="330"/>
    </row>
    <row r="28" spans="1:26" ht="25" hidden="1">
      <c r="A28" s="339">
        <v>21</v>
      </c>
      <c r="B28" s="338" t="s">
        <v>1421</v>
      </c>
      <c r="C28" s="340">
        <v>38717</v>
      </c>
      <c r="D28" s="338" t="s">
        <v>4684</v>
      </c>
      <c r="E28" s="341" t="s">
        <v>3417</v>
      </c>
      <c r="F28" s="341" t="s">
        <v>3421</v>
      </c>
      <c r="G28" s="338" t="s">
        <v>248</v>
      </c>
      <c r="H28" s="339" t="s">
        <v>249</v>
      </c>
      <c r="I28" s="339">
        <v>1</v>
      </c>
      <c r="J28" s="342">
        <v>2069440</v>
      </c>
      <c r="K28" s="342">
        <v>0</v>
      </c>
      <c r="L28" s="342">
        <v>0</v>
      </c>
      <c r="M28" s="343">
        <v>0</v>
      </c>
      <c r="N28" s="343">
        <v>0</v>
      </c>
      <c r="O28" s="343">
        <v>0</v>
      </c>
      <c r="P28" s="338"/>
      <c r="Q28" s="339" t="s">
        <v>36</v>
      </c>
      <c r="R28" s="339" t="s">
        <v>56</v>
      </c>
      <c r="S28" s="341" t="s">
        <v>2023</v>
      </c>
      <c r="T28" s="338"/>
      <c r="U28" s="327"/>
      <c r="V28" s="327"/>
      <c r="W28" s="327"/>
      <c r="X28" s="327"/>
      <c r="Y28" s="327"/>
      <c r="Z28" s="330"/>
    </row>
    <row r="29" spans="1:26" ht="25" hidden="1">
      <c r="A29" s="339">
        <v>22</v>
      </c>
      <c r="B29" s="338" t="s">
        <v>1421</v>
      </c>
      <c r="C29" s="340">
        <v>38717</v>
      </c>
      <c r="D29" s="338" t="s">
        <v>4685</v>
      </c>
      <c r="E29" s="341" t="s">
        <v>3417</v>
      </c>
      <c r="F29" s="341" t="s">
        <v>3422</v>
      </c>
      <c r="G29" s="338" t="s">
        <v>248</v>
      </c>
      <c r="H29" s="339" t="s">
        <v>249</v>
      </c>
      <c r="I29" s="339">
        <v>1</v>
      </c>
      <c r="J29" s="342">
        <v>2069440</v>
      </c>
      <c r="K29" s="342">
        <v>0</v>
      </c>
      <c r="L29" s="342">
        <v>0</v>
      </c>
      <c r="M29" s="343">
        <v>0</v>
      </c>
      <c r="N29" s="343">
        <v>0</v>
      </c>
      <c r="O29" s="343">
        <v>0</v>
      </c>
      <c r="P29" s="338"/>
      <c r="Q29" s="339" t="s">
        <v>36</v>
      </c>
      <c r="R29" s="339" t="s">
        <v>56</v>
      </c>
      <c r="S29" s="341" t="s">
        <v>2023</v>
      </c>
      <c r="T29" s="338"/>
      <c r="U29" s="327"/>
      <c r="V29" s="327"/>
      <c r="W29" s="327"/>
      <c r="X29" s="327"/>
      <c r="Y29" s="327"/>
      <c r="Z29" s="330"/>
    </row>
    <row r="30" spans="1:26" ht="12.5" hidden="1">
      <c r="A30" s="352">
        <v>23</v>
      </c>
      <c r="B30" s="353" t="s">
        <v>4686</v>
      </c>
      <c r="C30" s="354">
        <v>38681</v>
      </c>
      <c r="D30" s="338" t="s">
        <v>4687</v>
      </c>
      <c r="E30" s="355" t="s">
        <v>3394</v>
      </c>
      <c r="F30" s="355" t="s">
        <v>4688</v>
      </c>
      <c r="G30" s="353"/>
      <c r="H30" s="353"/>
      <c r="I30" s="352">
        <v>1</v>
      </c>
      <c r="J30" s="356">
        <v>20820034</v>
      </c>
      <c r="K30" s="356">
        <v>0</v>
      </c>
      <c r="L30" s="356">
        <v>0</v>
      </c>
      <c r="M30" s="357">
        <v>0</v>
      </c>
      <c r="N30" s="357">
        <v>0</v>
      </c>
      <c r="O30" s="357">
        <v>0</v>
      </c>
      <c r="P30" s="353"/>
      <c r="Q30" s="352" t="s">
        <v>206</v>
      </c>
      <c r="R30" s="352" t="s">
        <v>207</v>
      </c>
      <c r="S30" s="355" t="s">
        <v>3423</v>
      </c>
      <c r="T30" s="338"/>
      <c r="U30" s="327"/>
      <c r="V30" s="327"/>
      <c r="W30" s="327"/>
      <c r="X30" s="327"/>
      <c r="Y30" s="327"/>
      <c r="Z30" s="330"/>
    </row>
    <row r="31" spans="1:26" ht="25" hidden="1">
      <c r="A31" s="352">
        <v>24</v>
      </c>
      <c r="B31" s="353" t="s">
        <v>3391</v>
      </c>
      <c r="C31" s="354">
        <v>36892</v>
      </c>
      <c r="D31" s="338" t="s">
        <v>4689</v>
      </c>
      <c r="E31" s="355" t="s">
        <v>4690</v>
      </c>
      <c r="F31" s="355" t="s">
        <v>4691</v>
      </c>
      <c r="G31" s="353"/>
      <c r="H31" s="353"/>
      <c r="I31" s="352">
        <v>1</v>
      </c>
      <c r="J31" s="356">
        <v>7004677</v>
      </c>
      <c r="K31" s="356">
        <v>0</v>
      </c>
      <c r="L31" s="356">
        <v>0</v>
      </c>
      <c r="M31" s="357">
        <v>0</v>
      </c>
      <c r="N31" s="357">
        <v>0</v>
      </c>
      <c r="O31" s="357">
        <v>0</v>
      </c>
      <c r="P31" s="353" t="s">
        <v>3400</v>
      </c>
      <c r="Q31" s="352" t="s">
        <v>206</v>
      </c>
      <c r="R31" s="352" t="s">
        <v>207</v>
      </c>
      <c r="S31" s="355" t="s">
        <v>3425</v>
      </c>
      <c r="T31" s="338"/>
      <c r="U31" s="327"/>
      <c r="V31" s="327"/>
      <c r="W31" s="327"/>
      <c r="X31" s="327"/>
      <c r="Y31" s="327"/>
      <c r="Z31" s="330"/>
    </row>
    <row r="32" spans="1:26" ht="25" hidden="1">
      <c r="A32" s="352">
        <v>25</v>
      </c>
      <c r="B32" s="353" t="s">
        <v>3391</v>
      </c>
      <c r="C32" s="354">
        <v>36892</v>
      </c>
      <c r="D32" s="338" t="s">
        <v>4692</v>
      </c>
      <c r="E32" s="355" t="s">
        <v>4690</v>
      </c>
      <c r="F32" s="355" t="s">
        <v>4693</v>
      </c>
      <c r="G32" s="353"/>
      <c r="H32" s="353"/>
      <c r="I32" s="352">
        <v>1</v>
      </c>
      <c r="J32" s="356">
        <v>7004677</v>
      </c>
      <c r="K32" s="356">
        <v>0</v>
      </c>
      <c r="L32" s="356">
        <v>0</v>
      </c>
      <c r="M32" s="357">
        <v>0</v>
      </c>
      <c r="N32" s="357">
        <v>0</v>
      </c>
      <c r="O32" s="357">
        <v>0</v>
      </c>
      <c r="P32" s="353" t="s">
        <v>3400</v>
      </c>
      <c r="Q32" s="352" t="s">
        <v>206</v>
      </c>
      <c r="R32" s="352" t="s">
        <v>207</v>
      </c>
      <c r="S32" s="355" t="s">
        <v>3423</v>
      </c>
      <c r="T32" s="338"/>
      <c r="U32" s="327"/>
      <c r="V32" s="327"/>
      <c r="W32" s="327"/>
      <c r="X32" s="327"/>
      <c r="Y32" s="327"/>
      <c r="Z32" s="330"/>
    </row>
    <row r="33" spans="1:26" ht="37.5" hidden="1">
      <c r="A33" s="339">
        <v>26</v>
      </c>
      <c r="B33" s="338" t="s">
        <v>3426</v>
      </c>
      <c r="C33" s="340">
        <v>40072</v>
      </c>
      <c r="D33" s="338" t="s">
        <v>4694</v>
      </c>
      <c r="E33" s="341" t="s">
        <v>3427</v>
      </c>
      <c r="F33" s="341" t="s">
        <v>3428</v>
      </c>
      <c r="G33" s="338" t="s">
        <v>35</v>
      </c>
      <c r="H33" s="339" t="s">
        <v>249</v>
      </c>
      <c r="I33" s="339">
        <v>1</v>
      </c>
      <c r="J33" s="342">
        <v>2427000</v>
      </c>
      <c r="K33" s="342">
        <v>606750</v>
      </c>
      <c r="L33" s="342">
        <v>0</v>
      </c>
      <c r="M33" s="343">
        <v>0</v>
      </c>
      <c r="N33" s="343">
        <v>0</v>
      </c>
      <c r="O33" s="343">
        <v>0</v>
      </c>
      <c r="P33" s="338"/>
      <c r="Q33" s="339" t="s">
        <v>36</v>
      </c>
      <c r="R33" s="339" t="s">
        <v>56</v>
      </c>
      <c r="S33" s="341" t="s">
        <v>2023</v>
      </c>
      <c r="T33" s="338"/>
      <c r="U33" s="327"/>
      <c r="V33" s="327"/>
      <c r="W33" s="327"/>
      <c r="X33" s="327"/>
      <c r="Y33" s="327"/>
      <c r="Z33" s="330"/>
    </row>
    <row r="34" spans="1:26" ht="25" hidden="1">
      <c r="A34" s="339">
        <v>27</v>
      </c>
      <c r="B34" s="338" t="s">
        <v>42</v>
      </c>
      <c r="C34" s="340">
        <v>40702</v>
      </c>
      <c r="D34" s="338" t="s">
        <v>4695</v>
      </c>
      <c r="E34" s="341" t="s">
        <v>3429</v>
      </c>
      <c r="F34" s="341" t="s">
        <v>3430</v>
      </c>
      <c r="G34" s="338" t="s">
        <v>35</v>
      </c>
      <c r="H34" s="339" t="s">
        <v>249</v>
      </c>
      <c r="I34" s="339">
        <v>1</v>
      </c>
      <c r="J34" s="342">
        <v>3928717</v>
      </c>
      <c r="K34" s="342">
        <v>2357221</v>
      </c>
      <c r="L34" s="342">
        <v>0</v>
      </c>
      <c r="M34" s="343">
        <v>0</v>
      </c>
      <c r="N34" s="343">
        <v>0</v>
      </c>
      <c r="O34" s="343">
        <v>0</v>
      </c>
      <c r="P34" s="338"/>
      <c r="Q34" s="339" t="s">
        <v>20</v>
      </c>
      <c r="R34" s="339" t="s">
        <v>295</v>
      </c>
      <c r="S34" s="341" t="s">
        <v>3431</v>
      </c>
      <c r="T34" s="338"/>
      <c r="U34" s="327"/>
      <c r="V34" s="327"/>
      <c r="W34" s="327"/>
      <c r="X34" s="327"/>
      <c r="Y34" s="327"/>
      <c r="Z34" s="330"/>
    </row>
    <row r="35" spans="1:26" ht="25" hidden="1">
      <c r="A35" s="339">
        <v>28</v>
      </c>
      <c r="B35" s="338" t="s">
        <v>42</v>
      </c>
      <c r="C35" s="340">
        <v>40702</v>
      </c>
      <c r="D35" s="338" t="s">
        <v>4696</v>
      </c>
      <c r="E35" s="341" t="s">
        <v>3429</v>
      </c>
      <c r="F35" s="341" t="s">
        <v>3432</v>
      </c>
      <c r="G35" s="338" t="s">
        <v>35</v>
      </c>
      <c r="H35" s="339" t="s">
        <v>249</v>
      </c>
      <c r="I35" s="339">
        <v>1</v>
      </c>
      <c r="J35" s="342">
        <v>3928717</v>
      </c>
      <c r="K35" s="342">
        <v>2357221</v>
      </c>
      <c r="L35" s="342">
        <v>0</v>
      </c>
      <c r="M35" s="343">
        <v>0</v>
      </c>
      <c r="N35" s="343">
        <v>0</v>
      </c>
      <c r="O35" s="343">
        <v>0</v>
      </c>
      <c r="P35" s="338"/>
      <c r="Q35" s="339" t="s">
        <v>206</v>
      </c>
      <c r="R35" s="339" t="s">
        <v>207</v>
      </c>
      <c r="S35" s="341" t="s">
        <v>206</v>
      </c>
      <c r="T35" s="338"/>
      <c r="U35" s="327"/>
      <c r="V35" s="327"/>
      <c r="W35" s="327"/>
      <c r="X35" s="327"/>
      <c r="Y35" s="327"/>
      <c r="Z35" s="330"/>
    </row>
    <row r="36" spans="1:26" ht="25" hidden="1">
      <c r="A36" s="347">
        <v>29</v>
      </c>
      <c r="B36" s="338" t="s">
        <v>42</v>
      </c>
      <c r="C36" s="348">
        <v>40702</v>
      </c>
      <c r="D36" s="338" t="s">
        <v>4697</v>
      </c>
      <c r="E36" s="349" t="s">
        <v>3429</v>
      </c>
      <c r="F36" s="349" t="s">
        <v>3433</v>
      </c>
      <c r="G36" s="338" t="s">
        <v>35</v>
      </c>
      <c r="H36" s="347" t="s">
        <v>249</v>
      </c>
      <c r="I36" s="347">
        <v>1</v>
      </c>
      <c r="J36" s="342">
        <v>3928717</v>
      </c>
      <c r="K36" s="342">
        <v>2357221</v>
      </c>
      <c r="L36" s="342">
        <v>0</v>
      </c>
      <c r="M36" s="343">
        <v>0</v>
      </c>
      <c r="N36" s="343">
        <v>0</v>
      </c>
      <c r="O36" s="343">
        <v>0</v>
      </c>
      <c r="P36" s="338"/>
      <c r="Q36" s="347" t="s">
        <v>20</v>
      </c>
      <c r="R36" s="347" t="s">
        <v>21</v>
      </c>
      <c r="S36" s="349" t="s">
        <v>22</v>
      </c>
      <c r="T36" s="221" t="s">
        <v>3434</v>
      </c>
      <c r="U36" s="351" t="s">
        <v>4663</v>
      </c>
      <c r="V36" s="327"/>
      <c r="W36" s="327"/>
      <c r="X36" s="327"/>
      <c r="Y36" s="327"/>
      <c r="Z36" s="330"/>
    </row>
    <row r="37" spans="1:26" ht="25" hidden="1">
      <c r="A37" s="339">
        <v>30</v>
      </c>
      <c r="B37" s="338" t="s">
        <v>42</v>
      </c>
      <c r="C37" s="340">
        <v>40702</v>
      </c>
      <c r="D37" s="338" t="s">
        <v>4698</v>
      </c>
      <c r="E37" s="341" t="s">
        <v>3429</v>
      </c>
      <c r="F37" s="341" t="s">
        <v>3435</v>
      </c>
      <c r="G37" s="338" t="s">
        <v>35</v>
      </c>
      <c r="H37" s="339" t="s">
        <v>249</v>
      </c>
      <c r="I37" s="339">
        <v>1</v>
      </c>
      <c r="J37" s="342">
        <v>3928717</v>
      </c>
      <c r="K37" s="342">
        <v>2357221</v>
      </c>
      <c r="L37" s="342">
        <v>0</v>
      </c>
      <c r="M37" s="343">
        <v>0</v>
      </c>
      <c r="N37" s="343">
        <v>0</v>
      </c>
      <c r="O37" s="343">
        <v>0</v>
      </c>
      <c r="P37" s="338"/>
      <c r="Q37" s="339" t="s">
        <v>36</v>
      </c>
      <c r="R37" s="339" t="s">
        <v>56</v>
      </c>
      <c r="S37" s="341" t="s">
        <v>2023</v>
      </c>
      <c r="T37" s="338"/>
      <c r="U37" s="327"/>
      <c r="V37" s="327"/>
      <c r="W37" s="327"/>
      <c r="X37" s="327"/>
      <c r="Y37" s="327"/>
      <c r="Z37" s="330"/>
    </row>
    <row r="38" spans="1:26" ht="25" hidden="1">
      <c r="A38" s="347">
        <v>31</v>
      </c>
      <c r="B38" s="338" t="s">
        <v>42</v>
      </c>
      <c r="C38" s="348">
        <v>40702</v>
      </c>
      <c r="D38" s="338" t="s">
        <v>4699</v>
      </c>
      <c r="E38" s="349" t="s">
        <v>3429</v>
      </c>
      <c r="F38" s="349" t="s">
        <v>3436</v>
      </c>
      <c r="G38" s="338" t="s">
        <v>35</v>
      </c>
      <c r="H38" s="347" t="s">
        <v>249</v>
      </c>
      <c r="I38" s="347">
        <v>1</v>
      </c>
      <c r="J38" s="342">
        <v>3928717</v>
      </c>
      <c r="K38" s="342">
        <v>2357221</v>
      </c>
      <c r="L38" s="342">
        <v>0</v>
      </c>
      <c r="M38" s="343">
        <v>0</v>
      </c>
      <c r="N38" s="343">
        <v>0</v>
      </c>
      <c r="O38" s="343">
        <v>0</v>
      </c>
      <c r="P38" s="338"/>
      <c r="Q38" s="347" t="s">
        <v>20</v>
      </c>
      <c r="R38" s="347" t="s">
        <v>21</v>
      </c>
      <c r="S38" s="349" t="s">
        <v>22</v>
      </c>
      <c r="T38" s="221" t="s">
        <v>3434</v>
      </c>
      <c r="U38" s="351" t="s">
        <v>4663</v>
      </c>
      <c r="V38" s="327"/>
      <c r="W38" s="327"/>
      <c r="X38" s="327"/>
      <c r="Y38" s="327"/>
      <c r="Z38" s="330"/>
    </row>
    <row r="39" spans="1:26" ht="25" hidden="1">
      <c r="A39" s="347">
        <v>32</v>
      </c>
      <c r="B39" s="338" t="s">
        <v>42</v>
      </c>
      <c r="C39" s="348">
        <v>40702</v>
      </c>
      <c r="D39" s="338" t="s">
        <v>4700</v>
      </c>
      <c r="E39" s="349" t="s">
        <v>3429</v>
      </c>
      <c r="F39" s="349" t="s">
        <v>3437</v>
      </c>
      <c r="G39" s="338" t="s">
        <v>35</v>
      </c>
      <c r="H39" s="347" t="s">
        <v>249</v>
      </c>
      <c r="I39" s="347">
        <v>1</v>
      </c>
      <c r="J39" s="342">
        <v>3928717</v>
      </c>
      <c r="K39" s="342">
        <v>2357221</v>
      </c>
      <c r="L39" s="342">
        <v>0</v>
      </c>
      <c r="M39" s="343">
        <v>0</v>
      </c>
      <c r="N39" s="343">
        <v>0</v>
      </c>
      <c r="O39" s="343">
        <v>0</v>
      </c>
      <c r="P39" s="338"/>
      <c r="Q39" s="347" t="s">
        <v>20</v>
      </c>
      <c r="R39" s="347" t="s">
        <v>21</v>
      </c>
      <c r="S39" s="349" t="s">
        <v>22</v>
      </c>
      <c r="T39" s="221" t="s">
        <v>3434</v>
      </c>
      <c r="U39" s="351" t="s">
        <v>4663</v>
      </c>
      <c r="V39" s="327"/>
      <c r="W39" s="327"/>
      <c r="X39" s="327"/>
      <c r="Y39" s="327"/>
      <c r="Z39" s="330"/>
    </row>
    <row r="40" spans="1:26" ht="25" hidden="1">
      <c r="A40" s="339">
        <v>33</v>
      </c>
      <c r="B40" s="338" t="s">
        <v>42</v>
      </c>
      <c r="C40" s="340">
        <v>40702</v>
      </c>
      <c r="D40" s="338" t="s">
        <v>4701</v>
      </c>
      <c r="E40" s="341" t="s">
        <v>3429</v>
      </c>
      <c r="F40" s="341" t="s">
        <v>3438</v>
      </c>
      <c r="G40" s="338" t="s">
        <v>35</v>
      </c>
      <c r="H40" s="339" t="s">
        <v>249</v>
      </c>
      <c r="I40" s="339">
        <v>1</v>
      </c>
      <c r="J40" s="342">
        <v>3928717</v>
      </c>
      <c r="K40" s="342">
        <v>2357221</v>
      </c>
      <c r="L40" s="342">
        <v>0</v>
      </c>
      <c r="M40" s="343">
        <v>0</v>
      </c>
      <c r="N40" s="343">
        <v>0</v>
      </c>
      <c r="O40" s="343">
        <v>0</v>
      </c>
      <c r="P40" s="338"/>
      <c r="Q40" s="339" t="s">
        <v>20</v>
      </c>
      <c r="R40" s="339" t="s">
        <v>295</v>
      </c>
      <c r="S40" s="341" t="s">
        <v>3439</v>
      </c>
      <c r="T40" s="338"/>
      <c r="U40" s="327"/>
      <c r="V40" s="327"/>
      <c r="W40" s="327"/>
      <c r="X40" s="327"/>
      <c r="Y40" s="327"/>
      <c r="Z40" s="330"/>
    </row>
    <row r="41" spans="1:26" ht="25" hidden="1">
      <c r="A41" s="339">
        <v>34</v>
      </c>
      <c r="B41" s="338" t="s">
        <v>4702</v>
      </c>
      <c r="C41" s="340">
        <v>41386</v>
      </c>
      <c r="D41" s="338" t="s">
        <v>4703</v>
      </c>
      <c r="E41" s="341" t="s">
        <v>3440</v>
      </c>
      <c r="F41" s="341" t="s">
        <v>3441</v>
      </c>
      <c r="G41" s="338" t="s">
        <v>248</v>
      </c>
      <c r="H41" s="339" t="s">
        <v>249</v>
      </c>
      <c r="I41" s="339">
        <v>1</v>
      </c>
      <c r="J41" s="342">
        <v>5390909</v>
      </c>
      <c r="K41" s="342">
        <v>5211213</v>
      </c>
      <c r="L41" s="342">
        <v>0</v>
      </c>
      <c r="M41" s="343">
        <v>0</v>
      </c>
      <c r="N41" s="343">
        <v>0</v>
      </c>
      <c r="O41" s="343">
        <v>0</v>
      </c>
      <c r="P41" s="338"/>
      <c r="Q41" s="339" t="s">
        <v>20</v>
      </c>
      <c r="R41" s="339" t="s">
        <v>295</v>
      </c>
      <c r="S41" s="341" t="s">
        <v>3442</v>
      </c>
      <c r="T41" s="338"/>
      <c r="U41" s="327"/>
      <c r="V41" s="327"/>
      <c r="W41" s="327"/>
      <c r="X41" s="327"/>
      <c r="Y41" s="327"/>
      <c r="Z41" s="330"/>
    </row>
    <row r="42" spans="1:26" ht="50" hidden="1">
      <c r="A42" s="339">
        <v>35</v>
      </c>
      <c r="B42" s="338" t="s">
        <v>3443</v>
      </c>
      <c r="C42" s="340">
        <v>42731</v>
      </c>
      <c r="D42" s="338" t="s">
        <v>4704</v>
      </c>
      <c r="E42" s="341" t="s">
        <v>3444</v>
      </c>
      <c r="F42" s="341" t="s">
        <v>3445</v>
      </c>
      <c r="G42" s="338"/>
      <c r="H42" s="339" t="s">
        <v>19</v>
      </c>
      <c r="I42" s="339">
        <v>1</v>
      </c>
      <c r="J42" s="342">
        <v>7074438</v>
      </c>
      <c r="K42" s="342">
        <v>7074438</v>
      </c>
      <c r="L42" s="342">
        <v>0</v>
      </c>
      <c r="M42" s="343">
        <v>0</v>
      </c>
      <c r="N42" s="343">
        <v>0</v>
      </c>
      <c r="O42" s="343">
        <v>0</v>
      </c>
      <c r="P42" s="338"/>
      <c r="Q42" s="339" t="s">
        <v>36</v>
      </c>
      <c r="R42" s="339" t="s">
        <v>37</v>
      </c>
      <c r="S42" s="341" t="s">
        <v>3446</v>
      </c>
      <c r="T42" s="338"/>
      <c r="U42" s="327"/>
      <c r="V42" s="327"/>
      <c r="W42" s="327"/>
      <c r="X42" s="327"/>
      <c r="Y42" s="327"/>
      <c r="Z42" s="330"/>
    </row>
    <row r="43" spans="1:26" ht="50" hidden="1">
      <c r="A43" s="339">
        <v>36</v>
      </c>
      <c r="B43" s="338" t="s">
        <v>3443</v>
      </c>
      <c r="C43" s="340">
        <v>42731</v>
      </c>
      <c r="D43" s="338" t="s">
        <v>4705</v>
      </c>
      <c r="E43" s="341" t="s">
        <v>3444</v>
      </c>
      <c r="F43" s="341" t="s">
        <v>3447</v>
      </c>
      <c r="G43" s="338"/>
      <c r="H43" s="339" t="s">
        <v>19</v>
      </c>
      <c r="I43" s="339">
        <v>1</v>
      </c>
      <c r="J43" s="342">
        <v>7074438</v>
      </c>
      <c r="K43" s="342">
        <v>7074438</v>
      </c>
      <c r="L43" s="342">
        <v>0</v>
      </c>
      <c r="M43" s="343">
        <v>0</v>
      </c>
      <c r="N43" s="343">
        <v>0</v>
      </c>
      <c r="O43" s="343">
        <v>0</v>
      </c>
      <c r="P43" s="338"/>
      <c r="Q43" s="339" t="s">
        <v>36</v>
      </c>
      <c r="R43" s="339" t="s">
        <v>37</v>
      </c>
      <c r="S43" s="341" t="s">
        <v>3446</v>
      </c>
      <c r="T43" s="338"/>
      <c r="U43" s="327"/>
      <c r="V43" s="327"/>
      <c r="W43" s="327"/>
      <c r="X43" s="327"/>
      <c r="Y43" s="327"/>
      <c r="Z43" s="330"/>
    </row>
    <row r="44" spans="1:26" ht="50" hidden="1">
      <c r="A44" s="339">
        <v>37</v>
      </c>
      <c r="B44" s="338" t="s">
        <v>3443</v>
      </c>
      <c r="C44" s="340">
        <v>42731</v>
      </c>
      <c r="D44" s="338" t="s">
        <v>4706</v>
      </c>
      <c r="E44" s="341" t="s">
        <v>3444</v>
      </c>
      <c r="F44" s="341" t="s">
        <v>3448</v>
      </c>
      <c r="G44" s="338"/>
      <c r="H44" s="339" t="s">
        <v>19</v>
      </c>
      <c r="I44" s="339">
        <v>1</v>
      </c>
      <c r="J44" s="342">
        <v>7074438</v>
      </c>
      <c r="K44" s="342">
        <v>7074438</v>
      </c>
      <c r="L44" s="342">
        <v>0</v>
      </c>
      <c r="M44" s="343">
        <v>0</v>
      </c>
      <c r="N44" s="343">
        <v>0</v>
      </c>
      <c r="O44" s="343">
        <v>0</v>
      </c>
      <c r="P44" s="338"/>
      <c r="Q44" s="339" t="s">
        <v>36</v>
      </c>
      <c r="R44" s="339" t="s">
        <v>37</v>
      </c>
      <c r="S44" s="341" t="s">
        <v>3446</v>
      </c>
      <c r="T44" s="338"/>
      <c r="U44" s="327"/>
      <c r="V44" s="327"/>
      <c r="W44" s="327"/>
      <c r="X44" s="327"/>
      <c r="Y44" s="327"/>
      <c r="Z44" s="330"/>
    </row>
    <row r="45" spans="1:26" ht="50" hidden="1">
      <c r="A45" s="339">
        <v>38</v>
      </c>
      <c r="B45" s="338" t="s">
        <v>3443</v>
      </c>
      <c r="C45" s="340">
        <v>42731</v>
      </c>
      <c r="D45" s="338" t="s">
        <v>4707</v>
      </c>
      <c r="E45" s="341" t="s">
        <v>3444</v>
      </c>
      <c r="F45" s="341" t="s">
        <v>3449</v>
      </c>
      <c r="G45" s="338"/>
      <c r="H45" s="339" t="s">
        <v>19</v>
      </c>
      <c r="I45" s="339">
        <v>1</v>
      </c>
      <c r="J45" s="342">
        <v>7074438</v>
      </c>
      <c r="K45" s="342">
        <v>7074438</v>
      </c>
      <c r="L45" s="342">
        <v>0</v>
      </c>
      <c r="M45" s="343">
        <v>0</v>
      </c>
      <c r="N45" s="343">
        <v>0</v>
      </c>
      <c r="O45" s="343">
        <v>0</v>
      </c>
      <c r="P45" s="338"/>
      <c r="Q45" s="339" t="s">
        <v>36</v>
      </c>
      <c r="R45" s="339" t="s">
        <v>37</v>
      </c>
      <c r="S45" s="341" t="s">
        <v>3446</v>
      </c>
      <c r="T45" s="338"/>
      <c r="U45" s="327"/>
      <c r="V45" s="327"/>
      <c r="W45" s="327"/>
      <c r="X45" s="327"/>
      <c r="Y45" s="327"/>
      <c r="Z45" s="330"/>
    </row>
    <row r="46" spans="1:26" ht="50" hidden="1">
      <c r="A46" s="339">
        <v>39</v>
      </c>
      <c r="B46" s="338" t="s">
        <v>3443</v>
      </c>
      <c r="C46" s="340">
        <v>42731</v>
      </c>
      <c r="D46" s="338" t="s">
        <v>4708</v>
      </c>
      <c r="E46" s="341" t="s">
        <v>3444</v>
      </c>
      <c r="F46" s="341" t="s">
        <v>3450</v>
      </c>
      <c r="G46" s="338"/>
      <c r="H46" s="339" t="s">
        <v>19</v>
      </c>
      <c r="I46" s="339">
        <v>1</v>
      </c>
      <c r="J46" s="342">
        <v>7074438</v>
      </c>
      <c r="K46" s="342">
        <v>7074438</v>
      </c>
      <c r="L46" s="342">
        <v>0</v>
      </c>
      <c r="M46" s="343">
        <v>0</v>
      </c>
      <c r="N46" s="343">
        <v>0</v>
      </c>
      <c r="O46" s="343">
        <v>0</v>
      </c>
      <c r="P46" s="338"/>
      <c r="Q46" s="339" t="s">
        <v>36</v>
      </c>
      <c r="R46" s="339" t="s">
        <v>37</v>
      </c>
      <c r="S46" s="341" t="s">
        <v>3446</v>
      </c>
      <c r="T46" s="338"/>
      <c r="U46" s="327"/>
      <c r="V46" s="327"/>
      <c r="W46" s="327"/>
      <c r="X46" s="327"/>
      <c r="Y46" s="327"/>
      <c r="Z46" s="330"/>
    </row>
    <row r="47" spans="1:26" ht="50" hidden="1">
      <c r="A47" s="339">
        <v>40</v>
      </c>
      <c r="B47" s="338" t="s">
        <v>3443</v>
      </c>
      <c r="C47" s="340">
        <v>42731</v>
      </c>
      <c r="D47" s="338" t="s">
        <v>4709</v>
      </c>
      <c r="E47" s="341" t="s">
        <v>3444</v>
      </c>
      <c r="F47" s="341" t="s">
        <v>3451</v>
      </c>
      <c r="G47" s="338"/>
      <c r="H47" s="339" t="s">
        <v>19</v>
      </c>
      <c r="I47" s="339">
        <v>1</v>
      </c>
      <c r="J47" s="342">
        <v>7074438</v>
      </c>
      <c r="K47" s="342">
        <v>7074438</v>
      </c>
      <c r="L47" s="342">
        <v>0</v>
      </c>
      <c r="M47" s="343">
        <v>0</v>
      </c>
      <c r="N47" s="343">
        <v>0</v>
      </c>
      <c r="O47" s="343">
        <v>0</v>
      </c>
      <c r="P47" s="338"/>
      <c r="Q47" s="339" t="s">
        <v>36</v>
      </c>
      <c r="R47" s="339" t="s">
        <v>37</v>
      </c>
      <c r="S47" s="341" t="s">
        <v>3446</v>
      </c>
      <c r="T47" s="338"/>
      <c r="U47" s="327"/>
      <c r="V47" s="327"/>
      <c r="W47" s="327"/>
      <c r="X47" s="327"/>
      <c r="Y47" s="327"/>
      <c r="Z47" s="330"/>
    </row>
    <row r="48" spans="1:26" ht="50" hidden="1">
      <c r="A48" s="339">
        <v>41</v>
      </c>
      <c r="B48" s="338" t="s">
        <v>3443</v>
      </c>
      <c r="C48" s="340">
        <v>42731</v>
      </c>
      <c r="D48" s="338" t="s">
        <v>4710</v>
      </c>
      <c r="E48" s="341" t="s">
        <v>3444</v>
      </c>
      <c r="F48" s="341" t="s">
        <v>3452</v>
      </c>
      <c r="G48" s="338"/>
      <c r="H48" s="339" t="s">
        <v>19</v>
      </c>
      <c r="I48" s="339">
        <v>1</v>
      </c>
      <c r="J48" s="342">
        <v>7074438</v>
      </c>
      <c r="K48" s="342">
        <v>7074438</v>
      </c>
      <c r="L48" s="342">
        <v>0</v>
      </c>
      <c r="M48" s="343">
        <v>0</v>
      </c>
      <c r="N48" s="343">
        <v>0</v>
      </c>
      <c r="O48" s="343">
        <v>0</v>
      </c>
      <c r="P48" s="338"/>
      <c r="Q48" s="339" t="s">
        <v>36</v>
      </c>
      <c r="R48" s="339" t="s">
        <v>37</v>
      </c>
      <c r="S48" s="341" t="s">
        <v>3446</v>
      </c>
      <c r="T48" s="338"/>
      <c r="U48" s="327"/>
      <c r="V48" s="327"/>
      <c r="W48" s="327"/>
      <c r="X48" s="327"/>
      <c r="Y48" s="327"/>
      <c r="Z48" s="330"/>
    </row>
    <row r="49" spans="1:26" ht="50" hidden="1">
      <c r="A49" s="339">
        <v>42</v>
      </c>
      <c r="B49" s="338" t="s">
        <v>3443</v>
      </c>
      <c r="C49" s="340">
        <v>42731</v>
      </c>
      <c r="D49" s="338" t="s">
        <v>4711</v>
      </c>
      <c r="E49" s="341" t="s">
        <v>3444</v>
      </c>
      <c r="F49" s="341" t="s">
        <v>3453</v>
      </c>
      <c r="G49" s="338"/>
      <c r="H49" s="339" t="s">
        <v>19</v>
      </c>
      <c r="I49" s="339">
        <v>1</v>
      </c>
      <c r="J49" s="342">
        <v>7074438</v>
      </c>
      <c r="K49" s="342">
        <v>7074438</v>
      </c>
      <c r="L49" s="342">
        <v>0</v>
      </c>
      <c r="M49" s="343">
        <v>0</v>
      </c>
      <c r="N49" s="343">
        <v>0</v>
      </c>
      <c r="O49" s="343">
        <v>0</v>
      </c>
      <c r="P49" s="338"/>
      <c r="Q49" s="339" t="s">
        <v>36</v>
      </c>
      <c r="R49" s="339" t="s">
        <v>37</v>
      </c>
      <c r="S49" s="341" t="s">
        <v>3446</v>
      </c>
      <c r="T49" s="338"/>
      <c r="U49" s="327"/>
      <c r="V49" s="327"/>
      <c r="W49" s="327"/>
      <c r="X49" s="327"/>
      <c r="Y49" s="327"/>
      <c r="Z49" s="330"/>
    </row>
    <row r="50" spans="1:26" ht="50" hidden="1">
      <c r="A50" s="339">
        <v>43</v>
      </c>
      <c r="B50" s="338" t="s">
        <v>3443</v>
      </c>
      <c r="C50" s="340">
        <v>42731</v>
      </c>
      <c r="D50" s="338" t="s">
        <v>4712</v>
      </c>
      <c r="E50" s="341" t="s">
        <v>3444</v>
      </c>
      <c r="F50" s="341" t="s">
        <v>3454</v>
      </c>
      <c r="G50" s="338"/>
      <c r="H50" s="339" t="s">
        <v>19</v>
      </c>
      <c r="I50" s="339">
        <v>1</v>
      </c>
      <c r="J50" s="342">
        <v>7074438</v>
      </c>
      <c r="K50" s="342">
        <v>7074438</v>
      </c>
      <c r="L50" s="342">
        <v>0</v>
      </c>
      <c r="M50" s="343">
        <v>0</v>
      </c>
      <c r="N50" s="343">
        <v>0</v>
      </c>
      <c r="O50" s="343">
        <v>0</v>
      </c>
      <c r="P50" s="338"/>
      <c r="Q50" s="339" t="s">
        <v>36</v>
      </c>
      <c r="R50" s="339" t="s">
        <v>37</v>
      </c>
      <c r="S50" s="341" t="s">
        <v>3446</v>
      </c>
      <c r="T50" s="338"/>
      <c r="U50" s="327"/>
      <c r="V50" s="327"/>
      <c r="W50" s="327"/>
      <c r="X50" s="327"/>
      <c r="Y50" s="327"/>
      <c r="Z50" s="330"/>
    </row>
    <row r="51" spans="1:26" ht="50" hidden="1">
      <c r="A51" s="339">
        <v>44</v>
      </c>
      <c r="B51" s="338" t="s">
        <v>3443</v>
      </c>
      <c r="C51" s="340">
        <v>42731</v>
      </c>
      <c r="D51" s="338" t="s">
        <v>4713</v>
      </c>
      <c r="E51" s="341" t="s">
        <v>3444</v>
      </c>
      <c r="F51" s="341" t="s">
        <v>3455</v>
      </c>
      <c r="G51" s="338"/>
      <c r="H51" s="339" t="s">
        <v>19</v>
      </c>
      <c r="I51" s="339">
        <v>1</v>
      </c>
      <c r="J51" s="342">
        <v>7074438</v>
      </c>
      <c r="K51" s="342">
        <v>7074438</v>
      </c>
      <c r="L51" s="342">
        <v>0</v>
      </c>
      <c r="M51" s="343">
        <v>0</v>
      </c>
      <c r="N51" s="343">
        <v>0</v>
      </c>
      <c r="O51" s="343">
        <v>0</v>
      </c>
      <c r="P51" s="338"/>
      <c r="Q51" s="339" t="s">
        <v>36</v>
      </c>
      <c r="R51" s="339" t="s">
        <v>37</v>
      </c>
      <c r="S51" s="341" t="s">
        <v>3446</v>
      </c>
      <c r="T51" s="338"/>
      <c r="U51" s="327"/>
      <c r="V51" s="327"/>
      <c r="W51" s="327"/>
      <c r="X51" s="327"/>
      <c r="Y51" s="327"/>
      <c r="Z51" s="330"/>
    </row>
    <row r="52" spans="1:26" ht="62.5" hidden="1">
      <c r="A52" s="339">
        <v>45</v>
      </c>
      <c r="B52" s="338" t="s">
        <v>3456</v>
      </c>
      <c r="C52" s="340">
        <v>42731</v>
      </c>
      <c r="D52" s="338" t="s">
        <v>4714</v>
      </c>
      <c r="E52" s="341" t="s">
        <v>3457</v>
      </c>
      <c r="F52" s="341" t="s">
        <v>3458</v>
      </c>
      <c r="G52" s="338"/>
      <c r="H52" s="339" t="s">
        <v>19</v>
      </c>
      <c r="I52" s="339">
        <v>1</v>
      </c>
      <c r="J52" s="342">
        <v>10000000</v>
      </c>
      <c r="K52" s="342">
        <v>10000000</v>
      </c>
      <c r="L52" s="342">
        <v>0</v>
      </c>
      <c r="M52" s="343">
        <v>0</v>
      </c>
      <c r="N52" s="343">
        <v>0</v>
      </c>
      <c r="O52" s="343">
        <v>0</v>
      </c>
      <c r="P52" s="338"/>
      <c r="Q52" s="339" t="s">
        <v>206</v>
      </c>
      <c r="R52" s="339" t="s">
        <v>207</v>
      </c>
      <c r="S52" s="341" t="s">
        <v>3459</v>
      </c>
      <c r="T52" s="338"/>
      <c r="U52" s="327"/>
      <c r="V52" s="327"/>
      <c r="W52" s="327"/>
      <c r="X52" s="327"/>
      <c r="Y52" s="327"/>
      <c r="Z52" s="330"/>
    </row>
    <row r="53" spans="1:26" ht="62.5" hidden="1">
      <c r="A53" s="339">
        <v>46</v>
      </c>
      <c r="B53" s="338" t="s">
        <v>3456</v>
      </c>
      <c r="C53" s="340">
        <v>42731</v>
      </c>
      <c r="D53" s="338" t="s">
        <v>4715</v>
      </c>
      <c r="E53" s="341" t="s">
        <v>3457</v>
      </c>
      <c r="F53" s="341" t="s">
        <v>3460</v>
      </c>
      <c r="G53" s="338"/>
      <c r="H53" s="339" t="s">
        <v>19</v>
      </c>
      <c r="I53" s="339">
        <v>1</v>
      </c>
      <c r="J53" s="342">
        <v>10000000</v>
      </c>
      <c r="K53" s="342">
        <v>10000000</v>
      </c>
      <c r="L53" s="342">
        <v>0</v>
      </c>
      <c r="M53" s="343">
        <v>0</v>
      </c>
      <c r="N53" s="343">
        <v>0</v>
      </c>
      <c r="O53" s="343">
        <v>0</v>
      </c>
      <c r="P53" s="338"/>
      <c r="Q53" s="339" t="s">
        <v>206</v>
      </c>
      <c r="R53" s="339" t="s">
        <v>207</v>
      </c>
      <c r="S53" s="341" t="s">
        <v>3461</v>
      </c>
      <c r="T53" s="338"/>
      <c r="U53" s="327"/>
      <c r="V53" s="327"/>
      <c r="W53" s="327"/>
      <c r="X53" s="327"/>
      <c r="Y53" s="327"/>
      <c r="Z53" s="330"/>
    </row>
    <row r="54" spans="1:26" ht="62.5" hidden="1">
      <c r="A54" s="339">
        <v>47</v>
      </c>
      <c r="B54" s="338" t="s">
        <v>3456</v>
      </c>
      <c r="C54" s="340">
        <v>42731</v>
      </c>
      <c r="D54" s="338" t="s">
        <v>4716</v>
      </c>
      <c r="E54" s="341" t="s">
        <v>3457</v>
      </c>
      <c r="F54" s="341" t="s">
        <v>3462</v>
      </c>
      <c r="G54" s="338"/>
      <c r="H54" s="339" t="s">
        <v>19</v>
      </c>
      <c r="I54" s="339">
        <v>1</v>
      </c>
      <c r="J54" s="342">
        <v>10000000</v>
      </c>
      <c r="K54" s="342">
        <v>10000000</v>
      </c>
      <c r="L54" s="342">
        <v>0</v>
      </c>
      <c r="M54" s="343">
        <v>0</v>
      </c>
      <c r="N54" s="343">
        <v>0</v>
      </c>
      <c r="O54" s="343">
        <v>0</v>
      </c>
      <c r="P54" s="338"/>
      <c r="Q54" s="339" t="s">
        <v>206</v>
      </c>
      <c r="R54" s="339" t="s">
        <v>207</v>
      </c>
      <c r="S54" s="341" t="s">
        <v>3463</v>
      </c>
      <c r="T54" s="338"/>
      <c r="U54" s="327"/>
      <c r="V54" s="327"/>
      <c r="W54" s="327"/>
      <c r="X54" s="327"/>
      <c r="Y54" s="327"/>
      <c r="Z54" s="330"/>
    </row>
    <row r="55" spans="1:26" ht="62.5" hidden="1">
      <c r="A55" s="339">
        <v>48</v>
      </c>
      <c r="B55" s="338" t="s">
        <v>3456</v>
      </c>
      <c r="C55" s="340">
        <v>42731</v>
      </c>
      <c r="D55" s="338" t="s">
        <v>4717</v>
      </c>
      <c r="E55" s="341" t="s">
        <v>3457</v>
      </c>
      <c r="F55" s="341" t="s">
        <v>3464</v>
      </c>
      <c r="G55" s="338"/>
      <c r="H55" s="339" t="s">
        <v>19</v>
      </c>
      <c r="I55" s="339">
        <v>1</v>
      </c>
      <c r="J55" s="342">
        <v>10000000</v>
      </c>
      <c r="K55" s="342">
        <v>10000000</v>
      </c>
      <c r="L55" s="342">
        <v>0</v>
      </c>
      <c r="M55" s="343">
        <v>0</v>
      </c>
      <c r="N55" s="343">
        <v>0</v>
      </c>
      <c r="O55" s="343">
        <v>0</v>
      </c>
      <c r="P55" s="338"/>
      <c r="Q55" s="339" t="s">
        <v>206</v>
      </c>
      <c r="R55" s="339" t="s">
        <v>207</v>
      </c>
      <c r="S55" s="341" t="s">
        <v>3465</v>
      </c>
      <c r="T55" s="338"/>
      <c r="U55" s="327"/>
      <c r="V55" s="327"/>
      <c r="W55" s="327"/>
      <c r="X55" s="327"/>
      <c r="Y55" s="327"/>
      <c r="Z55" s="330"/>
    </row>
    <row r="56" spans="1:26" ht="62.5" hidden="1">
      <c r="A56" s="339">
        <v>49</v>
      </c>
      <c r="B56" s="338" t="s">
        <v>3456</v>
      </c>
      <c r="C56" s="340">
        <v>42731</v>
      </c>
      <c r="D56" s="338" t="s">
        <v>4718</v>
      </c>
      <c r="E56" s="341" t="s">
        <v>3457</v>
      </c>
      <c r="F56" s="341" t="s">
        <v>3466</v>
      </c>
      <c r="G56" s="338"/>
      <c r="H56" s="339" t="s">
        <v>19</v>
      </c>
      <c r="I56" s="339">
        <v>1</v>
      </c>
      <c r="J56" s="342">
        <v>10000000</v>
      </c>
      <c r="K56" s="342">
        <v>10000000</v>
      </c>
      <c r="L56" s="342">
        <v>0</v>
      </c>
      <c r="M56" s="343">
        <v>0</v>
      </c>
      <c r="N56" s="343">
        <v>0</v>
      </c>
      <c r="O56" s="343">
        <v>0</v>
      </c>
      <c r="P56" s="338"/>
      <c r="Q56" s="339" t="s">
        <v>206</v>
      </c>
      <c r="R56" s="339" t="s">
        <v>207</v>
      </c>
      <c r="S56" s="341" t="s">
        <v>3467</v>
      </c>
      <c r="T56" s="338"/>
      <c r="U56" s="327"/>
      <c r="V56" s="327"/>
      <c r="W56" s="327"/>
      <c r="X56" s="327"/>
      <c r="Y56" s="327"/>
      <c r="Z56" s="330"/>
    </row>
    <row r="57" spans="1:26" ht="62.5" hidden="1">
      <c r="A57" s="339">
        <v>50</v>
      </c>
      <c r="B57" s="338" t="s">
        <v>3456</v>
      </c>
      <c r="C57" s="340">
        <v>42731</v>
      </c>
      <c r="D57" s="338" t="s">
        <v>4719</v>
      </c>
      <c r="E57" s="341" t="s">
        <v>3457</v>
      </c>
      <c r="F57" s="341" t="s">
        <v>3468</v>
      </c>
      <c r="G57" s="338"/>
      <c r="H57" s="339" t="s">
        <v>19</v>
      </c>
      <c r="I57" s="339">
        <v>1</v>
      </c>
      <c r="J57" s="342">
        <v>10000000</v>
      </c>
      <c r="K57" s="342">
        <v>10000000</v>
      </c>
      <c r="L57" s="342">
        <v>0</v>
      </c>
      <c r="M57" s="343">
        <v>0</v>
      </c>
      <c r="N57" s="343">
        <v>0</v>
      </c>
      <c r="O57" s="343">
        <v>0</v>
      </c>
      <c r="P57" s="338"/>
      <c r="Q57" s="339" t="s">
        <v>206</v>
      </c>
      <c r="R57" s="339" t="s">
        <v>207</v>
      </c>
      <c r="S57" s="341" t="s">
        <v>3469</v>
      </c>
      <c r="T57" s="338"/>
      <c r="U57" s="327"/>
      <c r="V57" s="327"/>
      <c r="W57" s="327"/>
      <c r="X57" s="327"/>
      <c r="Y57" s="327"/>
      <c r="Z57" s="330"/>
    </row>
    <row r="58" spans="1:26" ht="62.5" hidden="1">
      <c r="A58" s="339">
        <v>51</v>
      </c>
      <c r="B58" s="338" t="s">
        <v>3456</v>
      </c>
      <c r="C58" s="340">
        <v>42731</v>
      </c>
      <c r="D58" s="338" t="s">
        <v>4720</v>
      </c>
      <c r="E58" s="341" t="s">
        <v>3457</v>
      </c>
      <c r="F58" s="341" t="s">
        <v>3470</v>
      </c>
      <c r="G58" s="338"/>
      <c r="H58" s="339" t="s">
        <v>19</v>
      </c>
      <c r="I58" s="339">
        <v>1</v>
      </c>
      <c r="J58" s="342">
        <v>10000000</v>
      </c>
      <c r="K58" s="342">
        <v>10000000</v>
      </c>
      <c r="L58" s="342">
        <v>0</v>
      </c>
      <c r="M58" s="343">
        <v>0</v>
      </c>
      <c r="N58" s="343">
        <v>0</v>
      </c>
      <c r="O58" s="343">
        <v>0</v>
      </c>
      <c r="P58" s="338"/>
      <c r="Q58" s="339" t="s">
        <v>206</v>
      </c>
      <c r="R58" s="339" t="s">
        <v>207</v>
      </c>
      <c r="S58" s="341" t="s">
        <v>3471</v>
      </c>
      <c r="T58" s="338"/>
      <c r="U58" s="327"/>
      <c r="V58" s="327"/>
      <c r="W58" s="327"/>
      <c r="X58" s="327"/>
      <c r="Y58" s="327"/>
      <c r="Z58" s="330"/>
    </row>
    <row r="59" spans="1:26" ht="62.5" hidden="1">
      <c r="A59" s="339">
        <v>52</v>
      </c>
      <c r="B59" s="338" t="s">
        <v>3456</v>
      </c>
      <c r="C59" s="340">
        <v>42731</v>
      </c>
      <c r="D59" s="338" t="s">
        <v>4721</v>
      </c>
      <c r="E59" s="341" t="s">
        <v>3457</v>
      </c>
      <c r="F59" s="341" t="s">
        <v>3472</v>
      </c>
      <c r="G59" s="338"/>
      <c r="H59" s="339" t="s">
        <v>19</v>
      </c>
      <c r="I59" s="339">
        <v>1</v>
      </c>
      <c r="J59" s="342">
        <v>10000000</v>
      </c>
      <c r="K59" s="342">
        <v>10000000</v>
      </c>
      <c r="L59" s="342">
        <v>0</v>
      </c>
      <c r="M59" s="343">
        <v>0</v>
      </c>
      <c r="N59" s="343">
        <v>0</v>
      </c>
      <c r="O59" s="343">
        <v>0</v>
      </c>
      <c r="P59" s="338"/>
      <c r="Q59" s="339" t="s">
        <v>206</v>
      </c>
      <c r="R59" s="339" t="s">
        <v>207</v>
      </c>
      <c r="S59" s="341" t="s">
        <v>3473</v>
      </c>
      <c r="T59" s="338"/>
      <c r="U59" s="327"/>
      <c r="V59" s="327"/>
      <c r="W59" s="327"/>
      <c r="X59" s="327"/>
      <c r="Y59" s="327"/>
      <c r="Z59" s="330"/>
    </row>
    <row r="60" spans="1:26" ht="62.5" hidden="1">
      <c r="A60" s="339">
        <v>53</v>
      </c>
      <c r="B60" s="338" t="s">
        <v>3456</v>
      </c>
      <c r="C60" s="340">
        <v>42731</v>
      </c>
      <c r="D60" s="338" t="s">
        <v>4722</v>
      </c>
      <c r="E60" s="341" t="s">
        <v>3457</v>
      </c>
      <c r="F60" s="341" t="s">
        <v>3474</v>
      </c>
      <c r="G60" s="338"/>
      <c r="H60" s="339" t="s">
        <v>19</v>
      </c>
      <c r="I60" s="339">
        <v>1</v>
      </c>
      <c r="J60" s="342">
        <v>10000000</v>
      </c>
      <c r="K60" s="342">
        <v>10000000</v>
      </c>
      <c r="L60" s="342">
        <v>0</v>
      </c>
      <c r="M60" s="343">
        <v>0</v>
      </c>
      <c r="N60" s="343">
        <v>0</v>
      </c>
      <c r="O60" s="343">
        <v>0</v>
      </c>
      <c r="P60" s="338"/>
      <c r="Q60" s="339" t="s">
        <v>206</v>
      </c>
      <c r="R60" s="339" t="s">
        <v>207</v>
      </c>
      <c r="S60" s="341" t="s">
        <v>3475</v>
      </c>
      <c r="T60" s="338"/>
      <c r="U60" s="327"/>
      <c r="V60" s="327"/>
      <c r="W60" s="327"/>
      <c r="X60" s="327"/>
      <c r="Y60" s="327"/>
      <c r="Z60" s="330"/>
    </row>
    <row r="61" spans="1:26" ht="62.5" hidden="1">
      <c r="A61" s="339">
        <v>54</v>
      </c>
      <c r="B61" s="338" t="s">
        <v>3456</v>
      </c>
      <c r="C61" s="340">
        <v>42731</v>
      </c>
      <c r="D61" s="338" t="s">
        <v>4723</v>
      </c>
      <c r="E61" s="341" t="s">
        <v>3457</v>
      </c>
      <c r="F61" s="341" t="s">
        <v>3476</v>
      </c>
      <c r="G61" s="338"/>
      <c r="H61" s="339" t="s">
        <v>19</v>
      </c>
      <c r="I61" s="339">
        <v>1</v>
      </c>
      <c r="J61" s="342">
        <v>10000000</v>
      </c>
      <c r="K61" s="342">
        <v>10000000</v>
      </c>
      <c r="L61" s="342">
        <v>0</v>
      </c>
      <c r="M61" s="343">
        <v>0</v>
      </c>
      <c r="N61" s="343">
        <v>0</v>
      </c>
      <c r="O61" s="343">
        <v>0</v>
      </c>
      <c r="P61" s="338"/>
      <c r="Q61" s="339" t="s">
        <v>206</v>
      </c>
      <c r="R61" s="339" t="s">
        <v>207</v>
      </c>
      <c r="S61" s="341" t="s">
        <v>3477</v>
      </c>
      <c r="T61" s="338"/>
      <c r="U61" s="327"/>
      <c r="V61" s="327"/>
      <c r="W61" s="327"/>
      <c r="X61" s="327"/>
      <c r="Y61" s="327"/>
      <c r="Z61" s="330"/>
    </row>
    <row r="62" spans="1:26" ht="162.5" hidden="1">
      <c r="A62" s="352">
        <v>55</v>
      </c>
      <c r="B62" s="353" t="s">
        <v>3478</v>
      </c>
      <c r="C62" s="354">
        <v>40074</v>
      </c>
      <c r="D62" s="338" t="s">
        <v>4724</v>
      </c>
      <c r="E62" s="355" t="s">
        <v>3479</v>
      </c>
      <c r="F62" s="353"/>
      <c r="G62" s="353"/>
      <c r="H62" s="352" t="s">
        <v>249</v>
      </c>
      <c r="I62" s="352">
        <v>1</v>
      </c>
      <c r="J62" s="356">
        <v>16764900</v>
      </c>
      <c r="K62" s="356">
        <v>4750055</v>
      </c>
      <c r="L62" s="356">
        <v>0</v>
      </c>
      <c r="M62" s="357">
        <v>0</v>
      </c>
      <c r="N62" s="357">
        <v>0</v>
      </c>
      <c r="O62" s="357">
        <v>0</v>
      </c>
      <c r="P62" s="353" t="s">
        <v>3480</v>
      </c>
      <c r="Q62" s="352" t="s">
        <v>206</v>
      </c>
      <c r="R62" s="352" t="s">
        <v>841</v>
      </c>
      <c r="S62" s="355" t="s">
        <v>2023</v>
      </c>
      <c r="T62" s="338"/>
      <c r="U62" s="327"/>
      <c r="V62" s="327"/>
      <c r="W62" s="327"/>
      <c r="X62" s="327"/>
      <c r="Y62" s="327"/>
      <c r="Z62" s="330"/>
    </row>
    <row r="63" spans="1:26" ht="162.5" hidden="1">
      <c r="A63" s="352">
        <v>56</v>
      </c>
      <c r="B63" s="353" t="s">
        <v>3478</v>
      </c>
      <c r="C63" s="354">
        <v>40074</v>
      </c>
      <c r="D63" s="338" t="s">
        <v>4725</v>
      </c>
      <c r="E63" s="355" t="s">
        <v>3479</v>
      </c>
      <c r="F63" s="353"/>
      <c r="G63" s="353"/>
      <c r="H63" s="352" t="s">
        <v>249</v>
      </c>
      <c r="I63" s="352">
        <v>1</v>
      </c>
      <c r="J63" s="356">
        <v>16764900</v>
      </c>
      <c r="K63" s="356">
        <v>4750055</v>
      </c>
      <c r="L63" s="356">
        <v>0</v>
      </c>
      <c r="M63" s="357">
        <v>0</v>
      </c>
      <c r="N63" s="357">
        <v>0</v>
      </c>
      <c r="O63" s="357">
        <v>0</v>
      </c>
      <c r="P63" s="353" t="s">
        <v>3480</v>
      </c>
      <c r="Q63" s="352" t="s">
        <v>206</v>
      </c>
      <c r="R63" s="352" t="s">
        <v>841</v>
      </c>
      <c r="S63" s="355" t="s">
        <v>2023</v>
      </c>
      <c r="T63" s="338"/>
      <c r="U63" s="327"/>
      <c r="V63" s="327"/>
      <c r="W63" s="327"/>
      <c r="X63" s="327"/>
      <c r="Y63" s="327"/>
      <c r="Z63" s="330"/>
    </row>
    <row r="64" spans="1:26" ht="162.5" hidden="1">
      <c r="A64" s="352">
        <v>57</v>
      </c>
      <c r="B64" s="353" t="s">
        <v>3478</v>
      </c>
      <c r="C64" s="354">
        <v>40074</v>
      </c>
      <c r="D64" s="338" t="s">
        <v>4726</v>
      </c>
      <c r="E64" s="355" t="s">
        <v>3479</v>
      </c>
      <c r="F64" s="353"/>
      <c r="G64" s="353"/>
      <c r="H64" s="352" t="s">
        <v>249</v>
      </c>
      <c r="I64" s="352">
        <v>1</v>
      </c>
      <c r="J64" s="356">
        <v>16764900</v>
      </c>
      <c r="K64" s="356">
        <v>4750055</v>
      </c>
      <c r="L64" s="356">
        <v>0</v>
      </c>
      <c r="M64" s="357">
        <v>0</v>
      </c>
      <c r="N64" s="357">
        <v>0</v>
      </c>
      <c r="O64" s="357">
        <v>0</v>
      </c>
      <c r="P64" s="353" t="s">
        <v>3480</v>
      </c>
      <c r="Q64" s="352" t="s">
        <v>206</v>
      </c>
      <c r="R64" s="352" t="s">
        <v>841</v>
      </c>
      <c r="S64" s="355" t="s">
        <v>3481</v>
      </c>
      <c r="T64" s="338"/>
      <c r="U64" s="327"/>
      <c r="V64" s="327"/>
      <c r="W64" s="327"/>
      <c r="X64" s="327"/>
      <c r="Y64" s="327"/>
      <c r="Z64" s="330"/>
    </row>
    <row r="65" spans="1:26" ht="162.5" hidden="1">
      <c r="A65" s="352">
        <v>58</v>
      </c>
      <c r="B65" s="353" t="s">
        <v>3478</v>
      </c>
      <c r="C65" s="354">
        <v>40074</v>
      </c>
      <c r="D65" s="338" t="s">
        <v>4727</v>
      </c>
      <c r="E65" s="355" t="s">
        <v>3479</v>
      </c>
      <c r="F65" s="353"/>
      <c r="G65" s="353"/>
      <c r="H65" s="352" t="s">
        <v>249</v>
      </c>
      <c r="I65" s="352">
        <v>1</v>
      </c>
      <c r="J65" s="356">
        <v>16764900</v>
      </c>
      <c r="K65" s="356">
        <v>4750055</v>
      </c>
      <c r="L65" s="356">
        <v>0</v>
      </c>
      <c r="M65" s="357">
        <v>0</v>
      </c>
      <c r="N65" s="357">
        <v>0</v>
      </c>
      <c r="O65" s="357">
        <v>0</v>
      </c>
      <c r="P65" s="353" t="s">
        <v>3480</v>
      </c>
      <c r="Q65" s="352" t="s">
        <v>206</v>
      </c>
      <c r="R65" s="352" t="s">
        <v>841</v>
      </c>
      <c r="S65" s="355" t="s">
        <v>3482</v>
      </c>
      <c r="T65" s="338"/>
      <c r="U65" s="327"/>
      <c r="V65" s="327"/>
      <c r="W65" s="327"/>
      <c r="X65" s="327"/>
      <c r="Y65" s="327"/>
      <c r="Z65" s="330"/>
    </row>
    <row r="66" spans="1:26" ht="25" hidden="1">
      <c r="A66" s="339">
        <v>59</v>
      </c>
      <c r="B66" s="338" t="s">
        <v>4702</v>
      </c>
      <c r="C66" s="340">
        <v>41386</v>
      </c>
      <c r="D66" s="338" t="s">
        <v>4728</v>
      </c>
      <c r="E66" s="341" t="s">
        <v>3483</v>
      </c>
      <c r="F66" s="338"/>
      <c r="G66" s="338"/>
      <c r="H66" s="339" t="s">
        <v>249</v>
      </c>
      <c r="I66" s="339">
        <v>1</v>
      </c>
      <c r="J66" s="342">
        <v>19536363</v>
      </c>
      <c r="K66" s="342">
        <v>18885151</v>
      </c>
      <c r="L66" s="342">
        <v>0</v>
      </c>
      <c r="M66" s="343">
        <v>0</v>
      </c>
      <c r="N66" s="343">
        <v>0</v>
      </c>
      <c r="O66" s="343">
        <v>0</v>
      </c>
      <c r="P66" s="338"/>
      <c r="Q66" s="339" t="s">
        <v>206</v>
      </c>
      <c r="R66" s="339" t="s">
        <v>841</v>
      </c>
      <c r="S66" s="341" t="s">
        <v>3484</v>
      </c>
      <c r="T66" s="338"/>
      <c r="U66" s="327"/>
      <c r="V66" s="327"/>
      <c r="W66" s="327"/>
      <c r="X66" s="327"/>
      <c r="Y66" s="327"/>
      <c r="Z66" s="330"/>
    </row>
    <row r="67" spans="1:26" ht="25" hidden="1">
      <c r="A67" s="339">
        <v>60</v>
      </c>
      <c r="B67" s="338" t="s">
        <v>4702</v>
      </c>
      <c r="C67" s="340">
        <v>41386</v>
      </c>
      <c r="D67" s="338" t="s">
        <v>3485</v>
      </c>
      <c r="E67" s="341" t="s">
        <v>3483</v>
      </c>
      <c r="F67" s="338"/>
      <c r="G67" s="338"/>
      <c r="H67" s="339" t="s">
        <v>249</v>
      </c>
      <c r="I67" s="339">
        <v>1</v>
      </c>
      <c r="J67" s="342">
        <v>24777270</v>
      </c>
      <c r="K67" s="342">
        <v>23951360</v>
      </c>
      <c r="L67" s="342">
        <v>0</v>
      </c>
      <c r="M67" s="343">
        <v>0</v>
      </c>
      <c r="N67" s="343">
        <v>0</v>
      </c>
      <c r="O67" s="343">
        <v>0</v>
      </c>
      <c r="P67" s="338"/>
      <c r="Q67" s="339" t="s">
        <v>20</v>
      </c>
      <c r="R67" s="346" t="s">
        <v>229</v>
      </c>
      <c r="S67" s="341" t="str">
        <f>IFERROR(VLOOKUP(D67, CCDC_XUAN!$D$16:$S$693, 16, 0), "Không tìm thấy")</f>
        <v>CQ mang theo khi qua phòng Tư liệu</v>
      </c>
      <c r="T67" s="338"/>
      <c r="U67" s="327"/>
      <c r="V67" s="327"/>
      <c r="W67" s="327"/>
      <c r="X67" s="327"/>
      <c r="Y67" s="327"/>
      <c r="Z67" s="330"/>
    </row>
    <row r="68" spans="1:26" ht="50" hidden="1">
      <c r="A68" s="339">
        <v>61</v>
      </c>
      <c r="B68" s="338" t="s">
        <v>1482</v>
      </c>
      <c r="C68" s="340">
        <v>39952</v>
      </c>
      <c r="D68" s="338" t="s">
        <v>4729</v>
      </c>
      <c r="E68" s="341" t="s">
        <v>3486</v>
      </c>
      <c r="F68" s="341" t="s">
        <v>3487</v>
      </c>
      <c r="G68" s="338" t="s">
        <v>248</v>
      </c>
      <c r="H68" s="339" t="s">
        <v>249</v>
      </c>
      <c r="I68" s="339">
        <v>1</v>
      </c>
      <c r="J68" s="342">
        <v>11955457</v>
      </c>
      <c r="K68" s="342">
        <v>2391080</v>
      </c>
      <c r="L68" s="342">
        <v>0</v>
      </c>
      <c r="M68" s="343">
        <v>0</v>
      </c>
      <c r="N68" s="343">
        <v>0</v>
      </c>
      <c r="O68" s="343">
        <v>0</v>
      </c>
      <c r="P68" s="338" t="s">
        <v>3400</v>
      </c>
      <c r="Q68" s="339" t="s">
        <v>206</v>
      </c>
      <c r="R68" s="339" t="s">
        <v>841</v>
      </c>
      <c r="S68" s="341" t="s">
        <v>3484</v>
      </c>
      <c r="T68" s="338"/>
      <c r="U68" s="327"/>
      <c r="V68" s="327"/>
      <c r="W68" s="327"/>
      <c r="X68" s="327"/>
      <c r="Y68" s="327"/>
      <c r="Z68" s="330"/>
    </row>
    <row r="69" spans="1:26" ht="25" hidden="1">
      <c r="A69" s="339">
        <v>62</v>
      </c>
      <c r="B69" s="338" t="s">
        <v>1332</v>
      </c>
      <c r="C69" s="340">
        <v>41274</v>
      </c>
      <c r="D69" s="338" t="s">
        <v>3488</v>
      </c>
      <c r="E69" s="341" t="s">
        <v>3489</v>
      </c>
      <c r="F69" s="341" t="s">
        <v>3490</v>
      </c>
      <c r="G69" s="338" t="s">
        <v>248</v>
      </c>
      <c r="H69" s="339" t="s">
        <v>19</v>
      </c>
      <c r="I69" s="339">
        <v>1</v>
      </c>
      <c r="J69" s="342">
        <v>5500000</v>
      </c>
      <c r="K69" s="342">
        <v>4949998</v>
      </c>
      <c r="L69" s="342">
        <v>0</v>
      </c>
      <c r="M69" s="343">
        <v>0</v>
      </c>
      <c r="N69" s="343">
        <v>0</v>
      </c>
      <c r="O69" s="343">
        <v>0</v>
      </c>
      <c r="P69" s="338"/>
      <c r="Q69" s="339" t="s">
        <v>20</v>
      </c>
      <c r="R69" s="346" t="s">
        <v>229</v>
      </c>
      <c r="S69" s="341" t="str">
        <f>IFERROR(VLOOKUP(D69, CCDC_XUAN!$D$16:$S$693, 16, 0), "Không tìm thấy")</f>
        <v>MCR cũ, sw cam quan sát</v>
      </c>
      <c r="T69" s="338"/>
      <c r="U69" s="327"/>
      <c r="V69" s="327"/>
      <c r="W69" s="327"/>
      <c r="X69" s="327"/>
      <c r="Y69" s="327"/>
      <c r="Z69" s="330"/>
    </row>
    <row r="70" spans="1:26" ht="25" hidden="1">
      <c r="A70" s="339">
        <v>63</v>
      </c>
      <c r="B70" s="338" t="s">
        <v>1332</v>
      </c>
      <c r="C70" s="340">
        <v>41274</v>
      </c>
      <c r="D70" s="338" t="s">
        <v>3492</v>
      </c>
      <c r="E70" s="341" t="s">
        <v>3493</v>
      </c>
      <c r="F70" s="341" t="s">
        <v>3494</v>
      </c>
      <c r="G70" s="338" t="s">
        <v>248</v>
      </c>
      <c r="H70" s="339" t="s">
        <v>19</v>
      </c>
      <c r="I70" s="339">
        <v>1</v>
      </c>
      <c r="J70" s="342">
        <v>4000000</v>
      </c>
      <c r="K70" s="342">
        <v>3599998</v>
      </c>
      <c r="L70" s="342">
        <v>0</v>
      </c>
      <c r="M70" s="343">
        <v>0</v>
      </c>
      <c r="N70" s="343">
        <v>0</v>
      </c>
      <c r="O70" s="343">
        <v>0</v>
      </c>
      <c r="P70" s="338"/>
      <c r="Q70" s="339" t="s">
        <v>20</v>
      </c>
      <c r="R70" s="346" t="s">
        <v>229</v>
      </c>
      <c r="S70" s="341" t="str">
        <f>IFERROR(VLOOKUP(D70, CCDC_XUAN!$D$16:$S$693, 16, 0), "Không tìm thấy")</f>
        <v>A1-Control góc trên trần nhà</v>
      </c>
      <c r="T70" s="338"/>
      <c r="U70" s="327"/>
      <c r="V70" s="327"/>
      <c r="W70" s="327"/>
      <c r="X70" s="327"/>
      <c r="Y70" s="327"/>
      <c r="Z70" s="330"/>
    </row>
    <row r="71" spans="1:26" ht="25" hidden="1">
      <c r="A71" s="339">
        <v>64</v>
      </c>
      <c r="B71" s="338" t="s">
        <v>1332</v>
      </c>
      <c r="C71" s="340">
        <v>41274</v>
      </c>
      <c r="D71" s="338" t="s">
        <v>3496</v>
      </c>
      <c r="E71" s="341" t="s">
        <v>3493</v>
      </c>
      <c r="F71" s="341" t="s">
        <v>3497</v>
      </c>
      <c r="G71" s="338" t="s">
        <v>248</v>
      </c>
      <c r="H71" s="339" t="s">
        <v>19</v>
      </c>
      <c r="I71" s="339">
        <v>1</v>
      </c>
      <c r="J71" s="342">
        <v>4000000</v>
      </c>
      <c r="K71" s="342">
        <v>3599998</v>
      </c>
      <c r="L71" s="342">
        <v>0</v>
      </c>
      <c r="M71" s="343">
        <v>0</v>
      </c>
      <c r="N71" s="343">
        <v>0</v>
      </c>
      <c r="O71" s="343">
        <v>0</v>
      </c>
      <c r="P71" s="338"/>
      <c r="Q71" s="339" t="s">
        <v>20</v>
      </c>
      <c r="R71" s="346" t="s">
        <v>229</v>
      </c>
      <c r="S71" s="341" t="str">
        <f>IFERROR(VLOOKUP(D71, CCDC_XUAN!$D$16:$S$693, 16, 0), "Không tìm thấy")</f>
        <v>A2-Control góc trên trần nhà, sw webcam</v>
      </c>
      <c r="T71" s="338"/>
      <c r="U71" s="327"/>
      <c r="V71" s="327"/>
      <c r="W71" s="327"/>
      <c r="X71" s="327"/>
      <c r="Y71" s="327"/>
      <c r="Z71" s="330"/>
    </row>
    <row r="72" spans="1:26" ht="50" hidden="1">
      <c r="A72" s="352">
        <v>65</v>
      </c>
      <c r="B72" s="353" t="s">
        <v>815</v>
      </c>
      <c r="C72" s="354">
        <v>39793</v>
      </c>
      <c r="D72" s="338" t="s">
        <v>4730</v>
      </c>
      <c r="E72" s="355" t="s">
        <v>3499</v>
      </c>
      <c r="F72" s="355" t="s">
        <v>3500</v>
      </c>
      <c r="G72" s="353" t="s">
        <v>338</v>
      </c>
      <c r="H72" s="352" t="s">
        <v>249</v>
      </c>
      <c r="I72" s="352">
        <v>1</v>
      </c>
      <c r="J72" s="356">
        <v>21249822</v>
      </c>
      <c r="K72" s="356">
        <v>2124974</v>
      </c>
      <c r="L72" s="356">
        <v>0</v>
      </c>
      <c r="M72" s="357">
        <v>0</v>
      </c>
      <c r="N72" s="357">
        <v>0</v>
      </c>
      <c r="O72" s="357">
        <v>0</v>
      </c>
      <c r="P72" s="353" t="s">
        <v>3480</v>
      </c>
      <c r="Q72" s="352" t="s">
        <v>206</v>
      </c>
      <c r="R72" s="352" t="s">
        <v>841</v>
      </c>
      <c r="S72" s="355" t="s">
        <v>4731</v>
      </c>
      <c r="T72" s="338"/>
      <c r="U72" s="327"/>
      <c r="V72" s="327"/>
      <c r="W72" s="327"/>
      <c r="X72" s="327"/>
      <c r="Y72" s="327"/>
      <c r="Z72" s="330"/>
    </row>
    <row r="73" spans="1:26" ht="50" hidden="1">
      <c r="A73" s="352">
        <v>66</v>
      </c>
      <c r="B73" s="353" t="s">
        <v>815</v>
      </c>
      <c r="C73" s="354">
        <v>39793</v>
      </c>
      <c r="D73" s="338" t="s">
        <v>4732</v>
      </c>
      <c r="E73" s="355" t="s">
        <v>3499</v>
      </c>
      <c r="F73" s="355" t="s">
        <v>3503</v>
      </c>
      <c r="G73" s="353" t="s">
        <v>338</v>
      </c>
      <c r="H73" s="352" t="s">
        <v>249</v>
      </c>
      <c r="I73" s="352">
        <v>1</v>
      </c>
      <c r="J73" s="356">
        <v>21249822</v>
      </c>
      <c r="K73" s="356">
        <v>2124974</v>
      </c>
      <c r="L73" s="356">
        <v>0</v>
      </c>
      <c r="M73" s="357">
        <v>0</v>
      </c>
      <c r="N73" s="357">
        <v>0</v>
      </c>
      <c r="O73" s="357">
        <v>0</v>
      </c>
      <c r="P73" s="353" t="s">
        <v>3480</v>
      </c>
      <c r="Q73" s="352" t="s">
        <v>206</v>
      </c>
      <c r="R73" s="352" t="s">
        <v>841</v>
      </c>
      <c r="S73" s="355" t="s">
        <v>4731</v>
      </c>
      <c r="T73" s="338"/>
      <c r="U73" s="327"/>
      <c r="V73" s="327"/>
      <c r="W73" s="327"/>
      <c r="X73" s="327"/>
      <c r="Y73" s="327"/>
      <c r="Z73" s="330"/>
    </row>
    <row r="74" spans="1:26" ht="50" hidden="1">
      <c r="A74" s="352">
        <v>67</v>
      </c>
      <c r="B74" s="353" t="s">
        <v>815</v>
      </c>
      <c r="C74" s="354">
        <v>39793</v>
      </c>
      <c r="D74" s="338" t="s">
        <v>4733</v>
      </c>
      <c r="E74" s="355" t="s">
        <v>3499</v>
      </c>
      <c r="F74" s="355" t="s">
        <v>3504</v>
      </c>
      <c r="G74" s="353" t="s">
        <v>338</v>
      </c>
      <c r="H74" s="352" t="s">
        <v>249</v>
      </c>
      <c r="I74" s="352">
        <v>1</v>
      </c>
      <c r="J74" s="356">
        <v>21249822</v>
      </c>
      <c r="K74" s="356">
        <v>2124974</v>
      </c>
      <c r="L74" s="356">
        <v>0</v>
      </c>
      <c r="M74" s="357">
        <v>0</v>
      </c>
      <c r="N74" s="357">
        <v>0</v>
      </c>
      <c r="O74" s="357">
        <v>0</v>
      </c>
      <c r="P74" s="353" t="s">
        <v>3480</v>
      </c>
      <c r="Q74" s="352" t="s">
        <v>206</v>
      </c>
      <c r="R74" s="352" t="s">
        <v>841</v>
      </c>
      <c r="S74" s="355" t="s">
        <v>4731</v>
      </c>
      <c r="T74" s="338"/>
      <c r="U74" s="327"/>
      <c r="V74" s="327"/>
      <c r="W74" s="327"/>
      <c r="X74" s="327"/>
      <c r="Y74" s="327"/>
      <c r="Z74" s="330"/>
    </row>
    <row r="75" spans="1:26" ht="50" hidden="1">
      <c r="A75" s="352">
        <v>68</v>
      </c>
      <c r="B75" s="353" t="s">
        <v>815</v>
      </c>
      <c r="C75" s="354">
        <v>39793</v>
      </c>
      <c r="D75" s="338" t="s">
        <v>4734</v>
      </c>
      <c r="E75" s="355" t="s">
        <v>3499</v>
      </c>
      <c r="F75" s="355" t="s">
        <v>3505</v>
      </c>
      <c r="G75" s="353" t="s">
        <v>338</v>
      </c>
      <c r="H75" s="352" t="s">
        <v>249</v>
      </c>
      <c r="I75" s="352">
        <v>1</v>
      </c>
      <c r="J75" s="356">
        <v>21249822</v>
      </c>
      <c r="K75" s="356">
        <v>2124974</v>
      </c>
      <c r="L75" s="356">
        <v>0</v>
      </c>
      <c r="M75" s="357">
        <v>0</v>
      </c>
      <c r="N75" s="357">
        <v>0</v>
      </c>
      <c r="O75" s="357">
        <v>0</v>
      </c>
      <c r="P75" s="353" t="s">
        <v>3480</v>
      </c>
      <c r="Q75" s="352" t="s">
        <v>206</v>
      </c>
      <c r="R75" s="352" t="s">
        <v>841</v>
      </c>
      <c r="S75" s="355" t="s">
        <v>4731</v>
      </c>
      <c r="T75" s="338"/>
      <c r="U75" s="327"/>
      <c r="V75" s="327"/>
      <c r="W75" s="327"/>
      <c r="X75" s="327"/>
      <c r="Y75" s="327"/>
      <c r="Z75" s="330"/>
    </row>
    <row r="76" spans="1:26" ht="25" hidden="1">
      <c r="A76" s="352">
        <v>69</v>
      </c>
      <c r="B76" s="353" t="s">
        <v>4735</v>
      </c>
      <c r="C76" s="354">
        <v>37958</v>
      </c>
      <c r="D76" s="338" t="s">
        <v>4736</v>
      </c>
      <c r="E76" s="355" t="s">
        <v>4737</v>
      </c>
      <c r="F76" s="355" t="s">
        <v>3507</v>
      </c>
      <c r="G76" s="353"/>
      <c r="H76" s="353"/>
      <c r="I76" s="352">
        <v>1</v>
      </c>
      <c r="J76" s="356">
        <v>8714236</v>
      </c>
      <c r="K76" s="356">
        <v>0</v>
      </c>
      <c r="L76" s="356">
        <v>0</v>
      </c>
      <c r="M76" s="357">
        <v>0</v>
      </c>
      <c r="N76" s="357">
        <v>0</v>
      </c>
      <c r="O76" s="357">
        <v>0</v>
      </c>
      <c r="P76" s="353"/>
      <c r="Q76" s="352" t="s">
        <v>36</v>
      </c>
      <c r="R76" s="352" t="s">
        <v>56</v>
      </c>
      <c r="S76" s="355" t="s">
        <v>102</v>
      </c>
      <c r="T76" s="338"/>
      <c r="U76" s="327"/>
      <c r="V76" s="327"/>
      <c r="W76" s="327"/>
      <c r="X76" s="327"/>
      <c r="Y76" s="327"/>
      <c r="Z76" s="330"/>
    </row>
    <row r="77" spans="1:26" ht="25" hidden="1">
      <c r="A77" s="358">
        <v>70</v>
      </c>
      <c r="B77" s="353" t="s">
        <v>4738</v>
      </c>
      <c r="C77" s="359">
        <v>38118</v>
      </c>
      <c r="D77" s="338" t="s">
        <v>4739</v>
      </c>
      <c r="E77" s="360" t="s">
        <v>4740</v>
      </c>
      <c r="F77" s="360" t="s">
        <v>3509</v>
      </c>
      <c r="G77" s="353"/>
      <c r="H77" s="353"/>
      <c r="I77" s="358">
        <v>1</v>
      </c>
      <c r="J77" s="356">
        <v>5500000</v>
      </c>
      <c r="K77" s="356">
        <v>0</v>
      </c>
      <c r="L77" s="356">
        <v>0</v>
      </c>
      <c r="M77" s="357">
        <v>0</v>
      </c>
      <c r="N77" s="357">
        <v>0</v>
      </c>
      <c r="O77" s="357">
        <v>0</v>
      </c>
      <c r="P77" s="353"/>
      <c r="Q77" s="358" t="s">
        <v>20</v>
      </c>
      <c r="R77" s="347" t="s">
        <v>21</v>
      </c>
      <c r="S77" s="349" t="s">
        <v>22</v>
      </c>
      <c r="T77" s="221" t="s">
        <v>3434</v>
      </c>
      <c r="U77" s="351" t="s">
        <v>4663</v>
      </c>
      <c r="V77" s="327"/>
      <c r="W77" s="327"/>
      <c r="X77" s="327"/>
      <c r="Y77" s="327"/>
      <c r="Z77" s="330"/>
    </row>
    <row r="78" spans="1:26" ht="37.5" hidden="1">
      <c r="A78" s="352">
        <v>71</v>
      </c>
      <c r="B78" s="353" t="s">
        <v>4741</v>
      </c>
      <c r="C78" s="354">
        <v>39507</v>
      </c>
      <c r="D78" s="338" t="s">
        <v>4742</v>
      </c>
      <c r="E78" s="355" t="s">
        <v>3510</v>
      </c>
      <c r="F78" s="355" t="s">
        <v>3511</v>
      </c>
      <c r="G78" s="353" t="s">
        <v>248</v>
      </c>
      <c r="H78" s="352" t="s">
        <v>249</v>
      </c>
      <c r="I78" s="352">
        <v>1</v>
      </c>
      <c r="J78" s="356">
        <v>2360000</v>
      </c>
      <c r="K78" s="356">
        <v>39343</v>
      </c>
      <c r="L78" s="356">
        <v>0</v>
      </c>
      <c r="M78" s="357">
        <v>0</v>
      </c>
      <c r="N78" s="357">
        <v>0</v>
      </c>
      <c r="O78" s="357">
        <v>0</v>
      </c>
      <c r="P78" s="353"/>
      <c r="Q78" s="352" t="s">
        <v>36</v>
      </c>
      <c r="R78" s="361" t="s">
        <v>3512</v>
      </c>
      <c r="S78" s="353" t="s">
        <v>3513</v>
      </c>
      <c r="T78" s="338"/>
      <c r="U78" s="327"/>
      <c r="V78" s="327"/>
      <c r="W78" s="327"/>
      <c r="X78" s="327"/>
      <c r="Y78" s="327"/>
      <c r="Z78" s="330"/>
    </row>
    <row r="79" spans="1:26" ht="25" hidden="1">
      <c r="A79" s="352">
        <v>72</v>
      </c>
      <c r="B79" s="353" t="s">
        <v>4743</v>
      </c>
      <c r="C79" s="354">
        <v>40638</v>
      </c>
      <c r="D79" s="338" t="s">
        <v>4744</v>
      </c>
      <c r="E79" s="355" t="s">
        <v>4737</v>
      </c>
      <c r="F79" s="355" t="s">
        <v>3514</v>
      </c>
      <c r="G79" s="353" t="s">
        <v>248</v>
      </c>
      <c r="H79" s="352" t="s">
        <v>249</v>
      </c>
      <c r="I79" s="352">
        <v>1</v>
      </c>
      <c r="J79" s="356">
        <v>7870000</v>
      </c>
      <c r="K79" s="356">
        <v>4459658</v>
      </c>
      <c r="L79" s="356">
        <v>0</v>
      </c>
      <c r="M79" s="357">
        <v>0</v>
      </c>
      <c r="N79" s="357">
        <v>0</v>
      </c>
      <c r="O79" s="357">
        <v>0</v>
      </c>
      <c r="P79" s="353"/>
      <c r="Q79" s="352" t="s">
        <v>294</v>
      </c>
      <c r="R79" s="352" t="s">
        <v>1003</v>
      </c>
      <c r="S79" s="355" t="s">
        <v>3515</v>
      </c>
      <c r="T79" s="338"/>
      <c r="U79" s="327"/>
      <c r="V79" s="327"/>
      <c r="W79" s="327"/>
      <c r="X79" s="327"/>
      <c r="Y79" s="327"/>
      <c r="Z79" s="330"/>
    </row>
    <row r="80" spans="1:26" ht="25" hidden="1">
      <c r="A80" s="352">
        <v>73</v>
      </c>
      <c r="B80" s="353" t="s">
        <v>4743</v>
      </c>
      <c r="C80" s="354">
        <v>40638</v>
      </c>
      <c r="D80" s="338" t="s">
        <v>4745</v>
      </c>
      <c r="E80" s="355" t="s">
        <v>4737</v>
      </c>
      <c r="F80" s="355" t="s">
        <v>3516</v>
      </c>
      <c r="G80" s="353" t="s">
        <v>248</v>
      </c>
      <c r="H80" s="352" t="s">
        <v>249</v>
      </c>
      <c r="I80" s="352">
        <v>1</v>
      </c>
      <c r="J80" s="356">
        <v>7870000</v>
      </c>
      <c r="K80" s="356">
        <v>4459658</v>
      </c>
      <c r="L80" s="356">
        <v>0</v>
      </c>
      <c r="M80" s="357">
        <v>0</v>
      </c>
      <c r="N80" s="357">
        <v>0</v>
      </c>
      <c r="O80" s="357">
        <v>0</v>
      </c>
      <c r="P80" s="353"/>
      <c r="Q80" s="352" t="s">
        <v>206</v>
      </c>
      <c r="R80" s="352" t="s">
        <v>841</v>
      </c>
      <c r="S80" s="355" t="s">
        <v>3517</v>
      </c>
      <c r="T80" s="338"/>
      <c r="U80" s="327"/>
      <c r="V80" s="327"/>
      <c r="W80" s="327"/>
      <c r="X80" s="327"/>
      <c r="Y80" s="327"/>
      <c r="Z80" s="330"/>
    </row>
    <row r="81" spans="1:26" ht="25" hidden="1">
      <c r="A81" s="339">
        <v>74</v>
      </c>
      <c r="B81" s="338" t="s">
        <v>3518</v>
      </c>
      <c r="C81" s="340">
        <v>41509</v>
      </c>
      <c r="D81" s="338" t="s">
        <v>3519</v>
      </c>
      <c r="E81" s="341" t="s">
        <v>3520</v>
      </c>
      <c r="F81" s="341" t="s">
        <v>3521</v>
      </c>
      <c r="G81" s="338" t="s">
        <v>35</v>
      </c>
      <c r="H81" s="339" t="s">
        <v>249</v>
      </c>
      <c r="I81" s="339">
        <v>1</v>
      </c>
      <c r="J81" s="342">
        <v>8920000</v>
      </c>
      <c r="K81" s="342">
        <v>8920000</v>
      </c>
      <c r="L81" s="342">
        <v>0</v>
      </c>
      <c r="M81" s="343">
        <v>0</v>
      </c>
      <c r="N81" s="343">
        <v>0</v>
      </c>
      <c r="O81" s="343">
        <v>0</v>
      </c>
      <c r="P81" s="338"/>
      <c r="Q81" s="339" t="s">
        <v>20</v>
      </c>
      <c r="R81" s="339" t="s">
        <v>229</v>
      </c>
      <c r="S81" s="341" t="str">
        <f>IFERROR(VLOOKUP(D81, CCDC_XUAN!$D$16:$S$693, 16, 0), "Không tìm thấy")</f>
        <v>pHTKT bàn HA</v>
      </c>
      <c r="T81" s="338"/>
      <c r="U81" s="327"/>
      <c r="V81" s="327"/>
      <c r="W81" s="327"/>
      <c r="X81" s="327"/>
      <c r="Y81" s="327"/>
      <c r="Z81" s="330"/>
    </row>
    <row r="82" spans="1:26" ht="25" hidden="1">
      <c r="A82" s="339">
        <v>75</v>
      </c>
      <c r="B82" s="338" t="s">
        <v>3518</v>
      </c>
      <c r="C82" s="340">
        <v>41509</v>
      </c>
      <c r="D82" s="338" t="s">
        <v>4746</v>
      </c>
      <c r="E82" s="341" t="s">
        <v>3520</v>
      </c>
      <c r="F82" s="341" t="s">
        <v>3523</v>
      </c>
      <c r="G82" s="338" t="s">
        <v>35</v>
      </c>
      <c r="H82" s="339" t="s">
        <v>249</v>
      </c>
      <c r="I82" s="339">
        <v>1</v>
      </c>
      <c r="J82" s="342">
        <v>8920000</v>
      </c>
      <c r="K82" s="342">
        <v>8920000</v>
      </c>
      <c r="L82" s="342">
        <v>0</v>
      </c>
      <c r="M82" s="343">
        <v>0</v>
      </c>
      <c r="N82" s="343">
        <v>0</v>
      </c>
      <c r="O82" s="343">
        <v>0</v>
      </c>
      <c r="P82" s="338"/>
      <c r="Q82" s="339" t="s">
        <v>887</v>
      </c>
      <c r="R82" s="339" t="s">
        <v>888</v>
      </c>
      <c r="S82" s="341" t="s">
        <v>888</v>
      </c>
      <c r="T82" s="338"/>
      <c r="U82" s="327"/>
      <c r="V82" s="327"/>
      <c r="W82" s="327"/>
      <c r="X82" s="327"/>
      <c r="Y82" s="327"/>
      <c r="Z82" s="330"/>
    </row>
    <row r="83" spans="1:26" ht="25" hidden="1">
      <c r="A83" s="339">
        <v>76</v>
      </c>
      <c r="B83" s="338" t="s">
        <v>4743</v>
      </c>
      <c r="C83" s="340">
        <v>40638</v>
      </c>
      <c r="D83" s="338" t="s">
        <v>4747</v>
      </c>
      <c r="E83" s="341" t="s">
        <v>3524</v>
      </c>
      <c r="F83" s="341" t="s">
        <v>3525</v>
      </c>
      <c r="G83" s="338" t="s">
        <v>1435</v>
      </c>
      <c r="H83" s="339" t="s">
        <v>249</v>
      </c>
      <c r="I83" s="339">
        <v>1</v>
      </c>
      <c r="J83" s="342">
        <v>8970000</v>
      </c>
      <c r="K83" s="342">
        <v>5083000</v>
      </c>
      <c r="L83" s="342">
        <v>0</v>
      </c>
      <c r="M83" s="343">
        <v>0</v>
      </c>
      <c r="N83" s="343">
        <v>0</v>
      </c>
      <c r="O83" s="343">
        <v>0</v>
      </c>
      <c r="P83" s="338"/>
      <c r="Q83" s="339" t="s">
        <v>1195</v>
      </c>
      <c r="R83" s="339" t="s">
        <v>3389</v>
      </c>
      <c r="S83" s="341" t="s">
        <v>3526</v>
      </c>
      <c r="T83" s="338"/>
      <c r="U83" s="327"/>
      <c r="V83" s="327"/>
      <c r="W83" s="327"/>
      <c r="X83" s="327"/>
      <c r="Y83" s="327"/>
      <c r="Z83" s="330"/>
    </row>
    <row r="84" spans="1:26" ht="12.5" hidden="1">
      <c r="A84" s="339">
        <v>77</v>
      </c>
      <c r="B84" s="338" t="s">
        <v>52</v>
      </c>
      <c r="C84" s="340">
        <v>40724</v>
      </c>
      <c r="D84" s="338" t="s">
        <v>4748</v>
      </c>
      <c r="E84" s="341" t="s">
        <v>4749</v>
      </c>
      <c r="F84" s="338"/>
      <c r="G84" s="338" t="s">
        <v>35</v>
      </c>
      <c r="H84" s="339" t="s">
        <v>19</v>
      </c>
      <c r="I84" s="339">
        <v>1</v>
      </c>
      <c r="J84" s="342">
        <v>15992119</v>
      </c>
      <c r="K84" s="342">
        <v>7996066</v>
      </c>
      <c r="L84" s="342">
        <v>0</v>
      </c>
      <c r="M84" s="343">
        <v>0</v>
      </c>
      <c r="N84" s="343">
        <v>0</v>
      </c>
      <c r="O84" s="343">
        <v>0</v>
      </c>
      <c r="P84" s="338"/>
      <c r="Q84" s="339" t="s">
        <v>36</v>
      </c>
      <c r="R84" s="339" t="s">
        <v>3512</v>
      </c>
      <c r="S84" s="341" t="s">
        <v>3528</v>
      </c>
      <c r="T84" s="338"/>
      <c r="U84" s="327"/>
      <c r="V84" s="327"/>
      <c r="W84" s="327"/>
      <c r="X84" s="327"/>
      <c r="Y84" s="327"/>
      <c r="Z84" s="330"/>
    </row>
    <row r="85" spans="1:26" ht="12.5" hidden="1">
      <c r="A85" s="339">
        <v>78</v>
      </c>
      <c r="B85" s="338" t="s">
        <v>52</v>
      </c>
      <c r="C85" s="340">
        <v>40724</v>
      </c>
      <c r="D85" s="338" t="s">
        <v>4750</v>
      </c>
      <c r="E85" s="341" t="s">
        <v>4749</v>
      </c>
      <c r="F85" s="338"/>
      <c r="G85" s="338" t="s">
        <v>35</v>
      </c>
      <c r="H85" s="339" t="s">
        <v>19</v>
      </c>
      <c r="I85" s="339">
        <v>1</v>
      </c>
      <c r="J85" s="342">
        <v>15992119</v>
      </c>
      <c r="K85" s="342">
        <v>7996066</v>
      </c>
      <c r="L85" s="342">
        <v>0</v>
      </c>
      <c r="M85" s="343">
        <v>0</v>
      </c>
      <c r="N85" s="343">
        <v>0</v>
      </c>
      <c r="O85" s="343">
        <v>0</v>
      </c>
      <c r="P85" s="338"/>
      <c r="Q85" s="339" t="s">
        <v>36</v>
      </c>
      <c r="R85" s="339" t="s">
        <v>3512</v>
      </c>
      <c r="S85" s="341" t="s">
        <v>3528</v>
      </c>
      <c r="T85" s="338"/>
      <c r="U85" s="327"/>
      <c r="V85" s="327"/>
      <c r="W85" s="327"/>
      <c r="X85" s="327"/>
      <c r="Y85" s="327"/>
      <c r="Z85" s="330"/>
    </row>
    <row r="86" spans="1:26" ht="12.5" hidden="1">
      <c r="A86" s="339">
        <v>79</v>
      </c>
      <c r="B86" s="338" t="s">
        <v>52</v>
      </c>
      <c r="C86" s="340">
        <v>40724</v>
      </c>
      <c r="D86" s="338" t="s">
        <v>4751</v>
      </c>
      <c r="E86" s="341" t="s">
        <v>4749</v>
      </c>
      <c r="F86" s="338"/>
      <c r="G86" s="338" t="s">
        <v>35</v>
      </c>
      <c r="H86" s="339" t="s">
        <v>19</v>
      </c>
      <c r="I86" s="339">
        <v>1</v>
      </c>
      <c r="J86" s="342">
        <v>15992119</v>
      </c>
      <c r="K86" s="342">
        <v>7996066</v>
      </c>
      <c r="L86" s="342">
        <v>0</v>
      </c>
      <c r="M86" s="343">
        <v>0</v>
      </c>
      <c r="N86" s="343">
        <v>0</v>
      </c>
      <c r="O86" s="343">
        <v>0</v>
      </c>
      <c r="P86" s="338"/>
      <c r="Q86" s="339" t="s">
        <v>36</v>
      </c>
      <c r="R86" s="339" t="s">
        <v>3512</v>
      </c>
      <c r="S86" s="341" t="s">
        <v>3528</v>
      </c>
      <c r="T86" s="338"/>
      <c r="U86" s="327"/>
      <c r="V86" s="327"/>
      <c r="W86" s="327"/>
      <c r="X86" s="327"/>
      <c r="Y86" s="327"/>
      <c r="Z86" s="330"/>
    </row>
    <row r="87" spans="1:26" ht="12.5" hidden="1">
      <c r="A87" s="339">
        <v>80</v>
      </c>
      <c r="B87" s="338" t="s">
        <v>52</v>
      </c>
      <c r="C87" s="340">
        <v>40724</v>
      </c>
      <c r="D87" s="338" t="s">
        <v>4752</v>
      </c>
      <c r="E87" s="341" t="s">
        <v>4749</v>
      </c>
      <c r="F87" s="338"/>
      <c r="G87" s="338" t="s">
        <v>35</v>
      </c>
      <c r="H87" s="339" t="s">
        <v>19</v>
      </c>
      <c r="I87" s="339">
        <v>1</v>
      </c>
      <c r="J87" s="342">
        <v>15992119</v>
      </c>
      <c r="K87" s="342">
        <v>7996066</v>
      </c>
      <c r="L87" s="342">
        <v>0</v>
      </c>
      <c r="M87" s="343">
        <v>0</v>
      </c>
      <c r="N87" s="343">
        <v>0</v>
      </c>
      <c r="O87" s="343">
        <v>0</v>
      </c>
      <c r="P87" s="338"/>
      <c r="Q87" s="339" t="s">
        <v>36</v>
      </c>
      <c r="R87" s="339" t="s">
        <v>3512</v>
      </c>
      <c r="S87" s="341" t="s">
        <v>3528</v>
      </c>
      <c r="T87" s="338"/>
      <c r="U87" s="327"/>
      <c r="V87" s="327"/>
      <c r="W87" s="327"/>
      <c r="X87" s="327"/>
      <c r="Y87" s="327"/>
      <c r="Z87" s="330"/>
    </row>
    <row r="88" spans="1:26" ht="12.5" hidden="1">
      <c r="A88" s="339">
        <v>81</v>
      </c>
      <c r="B88" s="338" t="s">
        <v>52</v>
      </c>
      <c r="C88" s="340">
        <v>40724</v>
      </c>
      <c r="D88" s="338" t="s">
        <v>4753</v>
      </c>
      <c r="E88" s="341" t="s">
        <v>4749</v>
      </c>
      <c r="F88" s="338"/>
      <c r="G88" s="338" t="s">
        <v>35</v>
      </c>
      <c r="H88" s="339" t="s">
        <v>19</v>
      </c>
      <c r="I88" s="339">
        <v>1</v>
      </c>
      <c r="J88" s="342">
        <v>15992119</v>
      </c>
      <c r="K88" s="342">
        <v>7996066</v>
      </c>
      <c r="L88" s="342">
        <v>0</v>
      </c>
      <c r="M88" s="343">
        <v>0</v>
      </c>
      <c r="N88" s="343">
        <v>0</v>
      </c>
      <c r="O88" s="343">
        <v>0</v>
      </c>
      <c r="P88" s="338"/>
      <c r="Q88" s="339" t="s">
        <v>36</v>
      </c>
      <c r="R88" s="339" t="s">
        <v>3512</v>
      </c>
      <c r="S88" s="341" t="s">
        <v>3528</v>
      </c>
      <c r="T88" s="338"/>
      <c r="U88" s="327"/>
      <c r="V88" s="327"/>
      <c r="W88" s="327"/>
      <c r="X88" s="327"/>
      <c r="Y88" s="327"/>
      <c r="Z88" s="330"/>
    </row>
    <row r="89" spans="1:26" ht="12.5" hidden="1">
      <c r="A89" s="339">
        <v>82</v>
      </c>
      <c r="B89" s="338" t="s">
        <v>52</v>
      </c>
      <c r="C89" s="340">
        <v>40724</v>
      </c>
      <c r="D89" s="338" t="s">
        <v>4754</v>
      </c>
      <c r="E89" s="341" t="s">
        <v>4749</v>
      </c>
      <c r="F89" s="338"/>
      <c r="G89" s="338" t="s">
        <v>35</v>
      </c>
      <c r="H89" s="339" t="s">
        <v>19</v>
      </c>
      <c r="I89" s="339">
        <v>1</v>
      </c>
      <c r="J89" s="342">
        <v>15992119</v>
      </c>
      <c r="K89" s="342">
        <v>7996066</v>
      </c>
      <c r="L89" s="342">
        <v>0</v>
      </c>
      <c r="M89" s="343">
        <v>0</v>
      </c>
      <c r="N89" s="343">
        <v>0</v>
      </c>
      <c r="O89" s="343">
        <v>0</v>
      </c>
      <c r="P89" s="338"/>
      <c r="Q89" s="339" t="s">
        <v>36</v>
      </c>
      <c r="R89" s="339" t="s">
        <v>3512</v>
      </c>
      <c r="S89" s="341" t="s">
        <v>3528</v>
      </c>
      <c r="T89" s="338"/>
      <c r="U89" s="327"/>
      <c r="V89" s="327"/>
      <c r="W89" s="327"/>
      <c r="X89" s="327"/>
      <c r="Y89" s="327"/>
      <c r="Z89" s="330"/>
    </row>
    <row r="90" spans="1:26" ht="12.5" hidden="1">
      <c r="A90" s="339">
        <v>83</v>
      </c>
      <c r="B90" s="338" t="s">
        <v>52</v>
      </c>
      <c r="C90" s="340">
        <v>40724</v>
      </c>
      <c r="D90" s="338" t="s">
        <v>4755</v>
      </c>
      <c r="E90" s="341" t="s">
        <v>4749</v>
      </c>
      <c r="F90" s="338"/>
      <c r="G90" s="338" t="s">
        <v>35</v>
      </c>
      <c r="H90" s="339" t="s">
        <v>19</v>
      </c>
      <c r="I90" s="339">
        <v>1</v>
      </c>
      <c r="J90" s="342">
        <v>15992119</v>
      </c>
      <c r="K90" s="342">
        <v>7996066</v>
      </c>
      <c r="L90" s="342">
        <v>0</v>
      </c>
      <c r="M90" s="343">
        <v>0</v>
      </c>
      <c r="N90" s="343">
        <v>0</v>
      </c>
      <c r="O90" s="343">
        <v>0</v>
      </c>
      <c r="P90" s="338"/>
      <c r="Q90" s="339" t="s">
        <v>36</v>
      </c>
      <c r="R90" s="339" t="s">
        <v>3512</v>
      </c>
      <c r="S90" s="341" t="s">
        <v>3528</v>
      </c>
      <c r="T90" s="338"/>
      <c r="U90" s="327"/>
      <c r="V90" s="327"/>
      <c r="W90" s="327"/>
      <c r="X90" s="327"/>
      <c r="Y90" s="327"/>
      <c r="Z90" s="330"/>
    </row>
    <row r="91" spans="1:26" ht="12.5" hidden="1">
      <c r="A91" s="339">
        <v>84</v>
      </c>
      <c r="B91" s="338" t="s">
        <v>52</v>
      </c>
      <c r="C91" s="340">
        <v>40724</v>
      </c>
      <c r="D91" s="338" t="s">
        <v>4756</v>
      </c>
      <c r="E91" s="341" t="s">
        <v>4749</v>
      </c>
      <c r="F91" s="338"/>
      <c r="G91" s="338" t="s">
        <v>35</v>
      </c>
      <c r="H91" s="339" t="s">
        <v>19</v>
      </c>
      <c r="I91" s="339">
        <v>1</v>
      </c>
      <c r="J91" s="342">
        <v>15992119</v>
      </c>
      <c r="K91" s="342">
        <v>7996066</v>
      </c>
      <c r="L91" s="342">
        <v>0</v>
      </c>
      <c r="M91" s="343">
        <v>0</v>
      </c>
      <c r="N91" s="343">
        <v>0</v>
      </c>
      <c r="O91" s="343">
        <v>0</v>
      </c>
      <c r="P91" s="338"/>
      <c r="Q91" s="339" t="s">
        <v>36</v>
      </c>
      <c r="R91" s="339" t="s">
        <v>3512</v>
      </c>
      <c r="S91" s="341" t="s">
        <v>3528</v>
      </c>
      <c r="T91" s="338"/>
      <c r="U91" s="327"/>
      <c r="V91" s="327"/>
      <c r="W91" s="327"/>
      <c r="X91" s="327"/>
      <c r="Y91" s="327"/>
      <c r="Z91" s="330"/>
    </row>
    <row r="92" spans="1:26" ht="37.5" hidden="1">
      <c r="A92" s="339">
        <v>85</v>
      </c>
      <c r="B92" s="338" t="s">
        <v>1332</v>
      </c>
      <c r="C92" s="340">
        <v>41274</v>
      </c>
      <c r="D92" s="338" t="s">
        <v>3529</v>
      </c>
      <c r="E92" s="341" t="s">
        <v>3530</v>
      </c>
      <c r="F92" s="341" t="s">
        <v>3531</v>
      </c>
      <c r="G92" s="338" t="s">
        <v>1076</v>
      </c>
      <c r="H92" s="339" t="s">
        <v>19</v>
      </c>
      <c r="I92" s="339">
        <v>1</v>
      </c>
      <c r="J92" s="342">
        <v>9802223</v>
      </c>
      <c r="K92" s="342">
        <v>8822003</v>
      </c>
      <c r="L92" s="342">
        <v>0</v>
      </c>
      <c r="M92" s="343">
        <v>0</v>
      </c>
      <c r="N92" s="343">
        <v>0</v>
      </c>
      <c r="O92" s="343">
        <v>0</v>
      </c>
      <c r="P92" s="338"/>
      <c r="Q92" s="339" t="s">
        <v>20</v>
      </c>
      <c r="R92" s="346" t="s">
        <v>229</v>
      </c>
      <c r="S92" s="341" t="str">
        <f>IFERROR(VLOOKUP(D92, CCDC_XUAN!$D$16:$S$693, 16, 0), "Không tìm thấy")</f>
        <v>A1 CONTROL</v>
      </c>
      <c r="T92" s="338"/>
      <c r="U92" s="327"/>
      <c r="V92" s="327"/>
      <c r="W92" s="327"/>
      <c r="X92" s="327"/>
      <c r="Y92" s="327"/>
      <c r="Z92" s="330"/>
    </row>
    <row r="93" spans="1:26" ht="37.5" hidden="1">
      <c r="A93" s="339">
        <v>86</v>
      </c>
      <c r="B93" s="338" t="s">
        <v>1332</v>
      </c>
      <c r="C93" s="340">
        <v>41274</v>
      </c>
      <c r="D93" s="338" t="s">
        <v>3533</v>
      </c>
      <c r="E93" s="341" t="s">
        <v>3530</v>
      </c>
      <c r="F93" s="341" t="s">
        <v>3534</v>
      </c>
      <c r="G93" s="338" t="s">
        <v>1076</v>
      </c>
      <c r="H93" s="339" t="s">
        <v>19</v>
      </c>
      <c r="I93" s="339">
        <v>1</v>
      </c>
      <c r="J93" s="342">
        <v>9802223</v>
      </c>
      <c r="K93" s="342">
        <v>8822003</v>
      </c>
      <c r="L93" s="342">
        <v>0</v>
      </c>
      <c r="M93" s="343">
        <v>0</v>
      </c>
      <c r="N93" s="343">
        <v>0</v>
      </c>
      <c r="O93" s="343">
        <v>0</v>
      </c>
      <c r="P93" s="338"/>
      <c r="Q93" s="339" t="s">
        <v>20</v>
      </c>
      <c r="R93" s="346" t="s">
        <v>229</v>
      </c>
      <c r="S93" s="341" t="str">
        <f>IFERROR(VLOOKUP(D93, CCDC_XUAN!$D$16:$S$693, 16, 0), "Không tìm thấy")</f>
        <v>F1 CONTROL</v>
      </c>
      <c r="T93" s="338"/>
      <c r="U93" s="327"/>
      <c r="V93" s="327"/>
      <c r="W93" s="327"/>
      <c r="X93" s="327"/>
      <c r="Y93" s="327"/>
      <c r="Z93" s="330"/>
    </row>
    <row r="94" spans="1:26" ht="75" hidden="1">
      <c r="A94" s="347">
        <v>87</v>
      </c>
      <c r="B94" s="338" t="s">
        <v>1332</v>
      </c>
      <c r="C94" s="348">
        <v>41274</v>
      </c>
      <c r="D94" s="338" t="s">
        <v>4757</v>
      </c>
      <c r="E94" s="349" t="s">
        <v>3535</v>
      </c>
      <c r="F94" s="349" t="s">
        <v>3536</v>
      </c>
      <c r="G94" s="338" t="s">
        <v>1076</v>
      </c>
      <c r="H94" s="347" t="s">
        <v>19</v>
      </c>
      <c r="I94" s="347">
        <v>1</v>
      </c>
      <c r="J94" s="342">
        <v>17356320</v>
      </c>
      <c r="K94" s="342">
        <v>15620688</v>
      </c>
      <c r="L94" s="342">
        <v>0</v>
      </c>
      <c r="M94" s="343">
        <v>0</v>
      </c>
      <c r="N94" s="343">
        <v>0</v>
      </c>
      <c r="O94" s="343">
        <v>0</v>
      </c>
      <c r="P94" s="338"/>
      <c r="Q94" s="347" t="s">
        <v>20</v>
      </c>
      <c r="R94" s="347" t="s">
        <v>21</v>
      </c>
      <c r="S94" s="349" t="s">
        <v>22</v>
      </c>
      <c r="T94" s="338"/>
      <c r="U94" s="327"/>
      <c r="V94" s="327"/>
      <c r="W94" s="327"/>
      <c r="X94" s="327"/>
      <c r="Y94" s="327"/>
      <c r="Z94" s="330"/>
    </row>
    <row r="95" spans="1:26" ht="75" hidden="1">
      <c r="A95" s="339">
        <v>88</v>
      </c>
      <c r="B95" s="338" t="s">
        <v>1332</v>
      </c>
      <c r="C95" s="340">
        <v>41274</v>
      </c>
      <c r="D95" s="338" t="s">
        <v>3537</v>
      </c>
      <c r="E95" s="341" t="s">
        <v>3535</v>
      </c>
      <c r="F95" s="341" t="s">
        <v>3538</v>
      </c>
      <c r="G95" s="338" t="s">
        <v>1076</v>
      </c>
      <c r="H95" s="339" t="s">
        <v>19</v>
      </c>
      <c r="I95" s="339">
        <v>1</v>
      </c>
      <c r="J95" s="342">
        <v>17356320</v>
      </c>
      <c r="K95" s="342">
        <v>15620688</v>
      </c>
      <c r="L95" s="342">
        <v>0</v>
      </c>
      <c r="M95" s="343">
        <v>0</v>
      </c>
      <c r="N95" s="343">
        <v>0</v>
      </c>
      <c r="O95" s="343">
        <v>0</v>
      </c>
      <c r="P95" s="338"/>
      <c r="Q95" s="339" t="s">
        <v>20</v>
      </c>
      <c r="R95" s="346" t="s">
        <v>229</v>
      </c>
      <c r="S95" s="341" t="str">
        <f>IFERROR(VLOOKUP(D95, CCDC_XUAN!$D$16:$S$693, 16, 0), "Không tìm thấy")</f>
        <v>A2 PHÒNG HIỆN</v>
      </c>
      <c r="T95" s="338"/>
      <c r="U95" s="327"/>
      <c r="V95" s="327"/>
      <c r="W95" s="327"/>
      <c r="X95" s="327"/>
      <c r="Y95" s="327"/>
      <c r="Z95" s="330"/>
    </row>
    <row r="96" spans="1:26" ht="75" hidden="1">
      <c r="A96" s="339">
        <v>89</v>
      </c>
      <c r="B96" s="338" t="s">
        <v>1332</v>
      </c>
      <c r="C96" s="340">
        <v>41274</v>
      </c>
      <c r="D96" s="338" t="s">
        <v>3540</v>
      </c>
      <c r="E96" s="341" t="s">
        <v>3535</v>
      </c>
      <c r="F96" s="341" t="s">
        <v>3541</v>
      </c>
      <c r="G96" s="338" t="s">
        <v>1076</v>
      </c>
      <c r="H96" s="339" t="s">
        <v>19</v>
      </c>
      <c r="I96" s="339">
        <v>1</v>
      </c>
      <c r="J96" s="342">
        <v>17356320</v>
      </c>
      <c r="K96" s="342">
        <v>15620688</v>
      </c>
      <c r="L96" s="342">
        <v>0</v>
      </c>
      <c r="M96" s="343">
        <v>0</v>
      </c>
      <c r="N96" s="343">
        <v>0</v>
      </c>
      <c r="O96" s="343">
        <v>0</v>
      </c>
      <c r="P96" s="338"/>
      <c r="Q96" s="339" t="s">
        <v>20</v>
      </c>
      <c r="R96" s="346" t="s">
        <v>229</v>
      </c>
      <c r="S96" s="341" t="str">
        <f>IFERROR(VLOOKUP(D96, CCDC_XUAN!$D$16:$S$693, 16, 0), "Không tìm thấy")</f>
        <v>A1 RACK</v>
      </c>
      <c r="T96" s="338"/>
      <c r="U96" s="327"/>
      <c r="V96" s="327"/>
      <c r="W96" s="327"/>
      <c r="X96" s="327"/>
      <c r="Y96" s="327"/>
      <c r="Z96" s="330"/>
    </row>
    <row r="97" spans="1:26" ht="75" hidden="1">
      <c r="A97" s="347">
        <v>90</v>
      </c>
      <c r="B97" s="338" t="s">
        <v>1332</v>
      </c>
      <c r="C97" s="348">
        <v>41274</v>
      </c>
      <c r="D97" s="338" t="s">
        <v>4758</v>
      </c>
      <c r="E97" s="349" t="s">
        <v>3535</v>
      </c>
      <c r="F97" s="349" t="s">
        <v>3544</v>
      </c>
      <c r="G97" s="338" t="s">
        <v>1076</v>
      </c>
      <c r="H97" s="347" t="s">
        <v>19</v>
      </c>
      <c r="I97" s="347">
        <v>1</v>
      </c>
      <c r="J97" s="342">
        <v>17356320</v>
      </c>
      <c r="K97" s="342">
        <v>15620688</v>
      </c>
      <c r="L97" s="342">
        <v>0</v>
      </c>
      <c r="M97" s="343">
        <v>0</v>
      </c>
      <c r="N97" s="343">
        <v>0</v>
      </c>
      <c r="O97" s="343">
        <v>0</v>
      </c>
      <c r="P97" s="338"/>
      <c r="Q97" s="347" t="s">
        <v>20</v>
      </c>
      <c r="R97" s="347" t="s">
        <v>21</v>
      </c>
      <c r="S97" s="349" t="s">
        <v>22</v>
      </c>
      <c r="T97" s="338"/>
      <c r="U97" s="327"/>
      <c r="V97" s="327"/>
      <c r="W97" s="327"/>
      <c r="X97" s="327"/>
      <c r="Y97" s="327"/>
      <c r="Z97" s="330"/>
    </row>
    <row r="98" spans="1:26" ht="75" hidden="1">
      <c r="A98" s="339">
        <v>91</v>
      </c>
      <c r="B98" s="338" t="s">
        <v>1332</v>
      </c>
      <c r="C98" s="340">
        <v>41274</v>
      </c>
      <c r="D98" s="338" t="s">
        <v>3545</v>
      </c>
      <c r="E98" s="341" t="s">
        <v>3546</v>
      </c>
      <c r="F98" s="341" t="s">
        <v>3547</v>
      </c>
      <c r="G98" s="338" t="s">
        <v>1076</v>
      </c>
      <c r="H98" s="339" t="s">
        <v>19</v>
      </c>
      <c r="I98" s="339">
        <v>1</v>
      </c>
      <c r="J98" s="342">
        <v>12753042</v>
      </c>
      <c r="K98" s="342">
        <v>11477736</v>
      </c>
      <c r="L98" s="342">
        <v>0</v>
      </c>
      <c r="M98" s="343">
        <v>0</v>
      </c>
      <c r="N98" s="343">
        <v>0</v>
      </c>
      <c r="O98" s="343">
        <v>0</v>
      </c>
      <c r="P98" s="338"/>
      <c r="Q98" s="339" t="s">
        <v>20</v>
      </c>
      <c r="R98" s="346" t="s">
        <v>229</v>
      </c>
      <c r="S98" s="341" t="str">
        <f>IFERROR(VLOOKUP(D98, CCDC_XUAN!$D$16:$S$693, 16, 0), "Không tìm thấy")</f>
        <v>A2 KHO</v>
      </c>
      <c r="T98" s="338"/>
      <c r="U98" s="327"/>
      <c r="V98" s="327"/>
      <c r="W98" s="327"/>
      <c r="X98" s="327"/>
      <c r="Y98" s="327"/>
      <c r="Z98" s="330"/>
    </row>
    <row r="99" spans="1:26" ht="75" hidden="1">
      <c r="A99" s="339">
        <v>92</v>
      </c>
      <c r="B99" s="338" t="s">
        <v>1332</v>
      </c>
      <c r="C99" s="340">
        <v>41274</v>
      </c>
      <c r="D99" s="338" t="s">
        <v>3549</v>
      </c>
      <c r="E99" s="341" t="s">
        <v>3546</v>
      </c>
      <c r="F99" s="341" t="s">
        <v>3550</v>
      </c>
      <c r="G99" s="338" t="s">
        <v>1076</v>
      </c>
      <c r="H99" s="339" t="s">
        <v>19</v>
      </c>
      <c r="I99" s="339">
        <v>1</v>
      </c>
      <c r="J99" s="342">
        <v>12753042</v>
      </c>
      <c r="K99" s="342">
        <v>11477736</v>
      </c>
      <c r="L99" s="342">
        <v>0</v>
      </c>
      <c r="M99" s="343">
        <v>0</v>
      </c>
      <c r="N99" s="343">
        <v>0</v>
      </c>
      <c r="O99" s="343">
        <v>0</v>
      </c>
      <c r="P99" s="338"/>
      <c r="Q99" s="339" t="s">
        <v>20</v>
      </c>
      <c r="R99" s="346" t="s">
        <v>229</v>
      </c>
      <c r="S99" s="341" t="str">
        <f>IFERROR(VLOOKUP(D99, CCDC_XUAN!$D$16:$S$693, 16, 0), "Không tìm thấy")</f>
        <v>A1 CONTROL</v>
      </c>
      <c r="T99" s="338"/>
      <c r="U99" s="327"/>
      <c r="V99" s="327"/>
      <c r="W99" s="327"/>
      <c r="X99" s="327"/>
      <c r="Y99" s="327"/>
      <c r="Z99" s="330"/>
    </row>
    <row r="100" spans="1:26" ht="75" hidden="1">
      <c r="A100" s="339">
        <v>93</v>
      </c>
      <c r="B100" s="338" t="s">
        <v>1332</v>
      </c>
      <c r="C100" s="340">
        <v>41274</v>
      </c>
      <c r="D100" s="338" t="s">
        <v>3551</v>
      </c>
      <c r="E100" s="341" t="s">
        <v>3546</v>
      </c>
      <c r="F100" s="341" t="s">
        <v>3552</v>
      </c>
      <c r="G100" s="338" t="s">
        <v>1076</v>
      </c>
      <c r="H100" s="339" t="s">
        <v>19</v>
      </c>
      <c r="I100" s="339">
        <v>1</v>
      </c>
      <c r="J100" s="342">
        <v>12753042</v>
      </c>
      <c r="K100" s="342">
        <v>11477736</v>
      </c>
      <c r="L100" s="342">
        <v>0</v>
      </c>
      <c r="M100" s="343">
        <v>0</v>
      </c>
      <c r="N100" s="343">
        <v>0</v>
      </c>
      <c r="O100" s="343">
        <v>0</v>
      </c>
      <c r="P100" s="338"/>
      <c r="Q100" s="339" t="s">
        <v>20</v>
      </c>
      <c r="R100" s="346" t="s">
        <v>229</v>
      </c>
      <c r="S100" s="341" t="str">
        <f>IFERROR(VLOOKUP(D100, CCDC_XUAN!$D$16:$S$693, 16, 0), "Không tìm thấy")</f>
        <v>A2 PHÒNG HIỆN</v>
      </c>
      <c r="T100" s="338"/>
      <c r="U100" s="327"/>
      <c r="V100" s="327"/>
      <c r="W100" s="327"/>
      <c r="X100" s="327"/>
      <c r="Y100" s="327"/>
      <c r="Z100" s="330"/>
    </row>
    <row r="101" spans="1:26" ht="50" hidden="1">
      <c r="A101" s="339">
        <v>94</v>
      </c>
      <c r="B101" s="338" t="s">
        <v>1005</v>
      </c>
      <c r="C101" s="340">
        <v>39813</v>
      </c>
      <c r="D101" s="338" t="s">
        <v>4759</v>
      </c>
      <c r="E101" s="341" t="s">
        <v>3553</v>
      </c>
      <c r="F101" s="341" t="s">
        <v>3554</v>
      </c>
      <c r="G101" s="338" t="s">
        <v>338</v>
      </c>
      <c r="H101" s="339" t="s">
        <v>19</v>
      </c>
      <c r="I101" s="339">
        <v>1</v>
      </c>
      <c r="J101" s="342">
        <v>26441274</v>
      </c>
      <c r="K101" s="342">
        <v>2644124</v>
      </c>
      <c r="L101" s="342">
        <v>0</v>
      </c>
      <c r="M101" s="343">
        <v>0</v>
      </c>
      <c r="N101" s="343">
        <v>0</v>
      </c>
      <c r="O101" s="343">
        <v>0</v>
      </c>
      <c r="P101" s="338" t="s">
        <v>3480</v>
      </c>
      <c r="Q101" s="339" t="s">
        <v>206</v>
      </c>
      <c r="R101" s="339" t="s">
        <v>841</v>
      </c>
      <c r="S101" s="341" t="s">
        <v>4731</v>
      </c>
      <c r="T101" s="338"/>
      <c r="U101" s="327"/>
      <c r="V101" s="327"/>
      <c r="W101" s="327"/>
      <c r="X101" s="327"/>
      <c r="Y101" s="327"/>
      <c r="Z101" s="330"/>
    </row>
    <row r="102" spans="1:26" ht="25" hidden="1">
      <c r="A102" s="339">
        <v>95</v>
      </c>
      <c r="B102" s="338" t="s">
        <v>52</v>
      </c>
      <c r="C102" s="340">
        <v>40816</v>
      </c>
      <c r="D102" s="338" t="s">
        <v>4760</v>
      </c>
      <c r="E102" s="341" t="s">
        <v>4761</v>
      </c>
      <c r="F102" s="341" t="s">
        <v>3556</v>
      </c>
      <c r="G102" s="338" t="s">
        <v>55</v>
      </c>
      <c r="H102" s="339" t="s">
        <v>569</v>
      </c>
      <c r="I102" s="339">
        <v>1</v>
      </c>
      <c r="J102" s="342">
        <v>24326427</v>
      </c>
      <c r="K102" s="342">
        <v>12163222</v>
      </c>
      <c r="L102" s="342">
        <v>0</v>
      </c>
      <c r="M102" s="343">
        <v>0</v>
      </c>
      <c r="N102" s="343">
        <v>0</v>
      </c>
      <c r="O102" s="343">
        <v>0</v>
      </c>
      <c r="P102" s="338"/>
      <c r="Q102" s="339" t="s">
        <v>36</v>
      </c>
      <c r="R102" s="339" t="s">
        <v>37</v>
      </c>
      <c r="S102" s="341" t="s">
        <v>161</v>
      </c>
      <c r="T102" s="338"/>
      <c r="U102" s="327"/>
      <c r="V102" s="327"/>
      <c r="W102" s="327"/>
      <c r="X102" s="327"/>
      <c r="Y102" s="327"/>
      <c r="Z102" s="330"/>
    </row>
    <row r="103" spans="1:26" ht="25" hidden="1">
      <c r="A103" s="339">
        <v>96</v>
      </c>
      <c r="B103" s="338" t="s">
        <v>52</v>
      </c>
      <c r="C103" s="340">
        <v>40816</v>
      </c>
      <c r="D103" s="338" t="s">
        <v>4762</v>
      </c>
      <c r="E103" s="341" t="s">
        <v>4761</v>
      </c>
      <c r="F103" s="341" t="s">
        <v>3557</v>
      </c>
      <c r="G103" s="338" t="s">
        <v>55</v>
      </c>
      <c r="H103" s="339" t="s">
        <v>569</v>
      </c>
      <c r="I103" s="339">
        <v>1</v>
      </c>
      <c r="J103" s="342">
        <v>24326427</v>
      </c>
      <c r="K103" s="342">
        <v>12163222</v>
      </c>
      <c r="L103" s="342">
        <v>0</v>
      </c>
      <c r="M103" s="343">
        <v>0</v>
      </c>
      <c r="N103" s="343">
        <v>0</v>
      </c>
      <c r="O103" s="343">
        <v>0</v>
      </c>
      <c r="P103" s="338"/>
      <c r="Q103" s="339" t="s">
        <v>36</v>
      </c>
      <c r="R103" s="339" t="s">
        <v>3512</v>
      </c>
      <c r="S103" s="341" t="s">
        <v>3558</v>
      </c>
      <c r="T103" s="338"/>
      <c r="U103" s="327"/>
      <c r="V103" s="327"/>
      <c r="W103" s="327"/>
      <c r="X103" s="327"/>
      <c r="Y103" s="327"/>
      <c r="Z103" s="330"/>
    </row>
    <row r="104" spans="1:26" ht="25" hidden="1">
      <c r="A104" s="339">
        <v>97</v>
      </c>
      <c r="B104" s="338" t="s">
        <v>1005</v>
      </c>
      <c r="C104" s="340">
        <v>39813</v>
      </c>
      <c r="D104" s="338" t="s">
        <v>4763</v>
      </c>
      <c r="E104" s="341" t="s">
        <v>3559</v>
      </c>
      <c r="F104" s="338"/>
      <c r="G104" s="338" t="s">
        <v>35</v>
      </c>
      <c r="H104" s="339" t="s">
        <v>249</v>
      </c>
      <c r="I104" s="339">
        <v>1</v>
      </c>
      <c r="J104" s="342">
        <v>17175636</v>
      </c>
      <c r="K104" s="342">
        <v>1717552</v>
      </c>
      <c r="L104" s="342">
        <v>0</v>
      </c>
      <c r="M104" s="343">
        <v>0</v>
      </c>
      <c r="N104" s="343">
        <v>0</v>
      </c>
      <c r="O104" s="343">
        <v>0</v>
      </c>
      <c r="P104" s="338" t="s">
        <v>3480</v>
      </c>
      <c r="Q104" s="339" t="s">
        <v>206</v>
      </c>
      <c r="R104" s="339" t="s">
        <v>1310</v>
      </c>
      <c r="S104" s="341" t="s">
        <v>4731</v>
      </c>
      <c r="T104" s="338"/>
      <c r="U104" s="327"/>
      <c r="V104" s="327"/>
      <c r="W104" s="327"/>
      <c r="X104" s="327"/>
      <c r="Y104" s="327"/>
      <c r="Z104" s="330"/>
    </row>
    <row r="105" spans="1:26" ht="25" hidden="1">
      <c r="A105" s="339">
        <v>98</v>
      </c>
      <c r="B105" s="338" t="s">
        <v>1005</v>
      </c>
      <c r="C105" s="340">
        <v>39813</v>
      </c>
      <c r="D105" s="338" t="s">
        <v>4764</v>
      </c>
      <c r="E105" s="341" t="s">
        <v>3559</v>
      </c>
      <c r="F105" s="338"/>
      <c r="G105" s="338" t="s">
        <v>35</v>
      </c>
      <c r="H105" s="339" t="s">
        <v>249</v>
      </c>
      <c r="I105" s="339">
        <v>1</v>
      </c>
      <c r="J105" s="342">
        <v>17175636</v>
      </c>
      <c r="K105" s="342">
        <v>1717552</v>
      </c>
      <c r="L105" s="342">
        <v>0</v>
      </c>
      <c r="M105" s="343">
        <v>0</v>
      </c>
      <c r="N105" s="343">
        <v>0</v>
      </c>
      <c r="O105" s="343">
        <v>0</v>
      </c>
      <c r="P105" s="338" t="s">
        <v>3480</v>
      </c>
      <c r="Q105" s="339" t="s">
        <v>206</v>
      </c>
      <c r="R105" s="339" t="s">
        <v>1310</v>
      </c>
      <c r="S105" s="341" t="s">
        <v>4731</v>
      </c>
      <c r="T105" s="338"/>
      <c r="U105" s="327"/>
      <c r="V105" s="327"/>
      <c r="W105" s="327"/>
      <c r="X105" s="327"/>
      <c r="Y105" s="327"/>
      <c r="Z105" s="330"/>
    </row>
    <row r="106" spans="1:26" ht="25" hidden="1">
      <c r="A106" s="339">
        <v>99</v>
      </c>
      <c r="B106" s="338" t="s">
        <v>1005</v>
      </c>
      <c r="C106" s="340">
        <v>39813</v>
      </c>
      <c r="D106" s="338" t="s">
        <v>4765</v>
      </c>
      <c r="E106" s="341" t="s">
        <v>3559</v>
      </c>
      <c r="F106" s="338"/>
      <c r="G106" s="338" t="s">
        <v>35</v>
      </c>
      <c r="H106" s="339" t="s">
        <v>249</v>
      </c>
      <c r="I106" s="339">
        <v>1</v>
      </c>
      <c r="J106" s="342">
        <v>17175636</v>
      </c>
      <c r="K106" s="342">
        <v>1717552</v>
      </c>
      <c r="L106" s="342">
        <v>0</v>
      </c>
      <c r="M106" s="343">
        <v>0</v>
      </c>
      <c r="N106" s="343">
        <v>0</v>
      </c>
      <c r="O106" s="343">
        <v>0</v>
      </c>
      <c r="P106" s="338" t="s">
        <v>3480</v>
      </c>
      <c r="Q106" s="339" t="s">
        <v>206</v>
      </c>
      <c r="R106" s="339" t="s">
        <v>1310</v>
      </c>
      <c r="S106" s="341" t="s">
        <v>4731</v>
      </c>
      <c r="T106" s="338"/>
      <c r="U106" s="327"/>
      <c r="V106" s="327"/>
      <c r="W106" s="327"/>
      <c r="X106" s="327"/>
      <c r="Y106" s="327"/>
      <c r="Z106" s="330"/>
    </row>
    <row r="107" spans="1:26" ht="25" hidden="1">
      <c r="A107" s="339">
        <v>100</v>
      </c>
      <c r="B107" s="338" t="s">
        <v>1005</v>
      </c>
      <c r="C107" s="340">
        <v>39813</v>
      </c>
      <c r="D107" s="338" t="s">
        <v>4766</v>
      </c>
      <c r="E107" s="341" t="s">
        <v>3559</v>
      </c>
      <c r="F107" s="338"/>
      <c r="G107" s="338" t="s">
        <v>35</v>
      </c>
      <c r="H107" s="339" t="s">
        <v>249</v>
      </c>
      <c r="I107" s="339">
        <v>1</v>
      </c>
      <c r="J107" s="342">
        <v>17175636</v>
      </c>
      <c r="K107" s="342">
        <v>1717552</v>
      </c>
      <c r="L107" s="342">
        <v>0</v>
      </c>
      <c r="M107" s="343">
        <v>0</v>
      </c>
      <c r="N107" s="343">
        <v>0</v>
      </c>
      <c r="O107" s="343">
        <v>0</v>
      </c>
      <c r="P107" s="338" t="s">
        <v>3480</v>
      </c>
      <c r="Q107" s="339" t="s">
        <v>206</v>
      </c>
      <c r="R107" s="339" t="s">
        <v>1310</v>
      </c>
      <c r="S107" s="341" t="s">
        <v>4731</v>
      </c>
      <c r="T107" s="338"/>
      <c r="U107" s="327"/>
      <c r="V107" s="327"/>
      <c r="W107" s="327"/>
      <c r="X107" s="327"/>
      <c r="Y107" s="327"/>
      <c r="Z107" s="330"/>
    </row>
    <row r="108" spans="1:26" ht="25" hidden="1">
      <c r="A108" s="339">
        <v>101</v>
      </c>
      <c r="B108" s="338" t="s">
        <v>1005</v>
      </c>
      <c r="C108" s="340">
        <v>39813</v>
      </c>
      <c r="D108" s="338" t="s">
        <v>4767</v>
      </c>
      <c r="E108" s="341" t="s">
        <v>3559</v>
      </c>
      <c r="F108" s="338"/>
      <c r="G108" s="338" t="s">
        <v>35</v>
      </c>
      <c r="H108" s="339" t="s">
        <v>249</v>
      </c>
      <c r="I108" s="339">
        <v>1</v>
      </c>
      <c r="J108" s="342">
        <v>17175636</v>
      </c>
      <c r="K108" s="342">
        <v>1717552</v>
      </c>
      <c r="L108" s="342">
        <v>0</v>
      </c>
      <c r="M108" s="343">
        <v>0</v>
      </c>
      <c r="N108" s="343">
        <v>0</v>
      </c>
      <c r="O108" s="343">
        <v>0</v>
      </c>
      <c r="P108" s="338" t="s">
        <v>3480</v>
      </c>
      <c r="Q108" s="339" t="s">
        <v>206</v>
      </c>
      <c r="R108" s="339" t="s">
        <v>1310</v>
      </c>
      <c r="S108" s="341" t="s">
        <v>4731</v>
      </c>
      <c r="T108" s="338"/>
      <c r="U108" s="327"/>
      <c r="V108" s="327"/>
      <c r="W108" s="327"/>
      <c r="X108" s="327"/>
      <c r="Y108" s="327"/>
      <c r="Z108" s="330"/>
    </row>
    <row r="109" spans="1:26" ht="25" hidden="1">
      <c r="A109" s="339">
        <v>102</v>
      </c>
      <c r="B109" s="338" t="s">
        <v>1005</v>
      </c>
      <c r="C109" s="340">
        <v>39813</v>
      </c>
      <c r="D109" s="338" t="s">
        <v>4768</v>
      </c>
      <c r="E109" s="341" t="s">
        <v>3559</v>
      </c>
      <c r="F109" s="338"/>
      <c r="G109" s="338" t="s">
        <v>35</v>
      </c>
      <c r="H109" s="339" t="s">
        <v>249</v>
      </c>
      <c r="I109" s="339">
        <v>1</v>
      </c>
      <c r="J109" s="342">
        <v>17175636</v>
      </c>
      <c r="K109" s="342">
        <v>1717552</v>
      </c>
      <c r="L109" s="342">
        <v>0</v>
      </c>
      <c r="M109" s="343">
        <v>0</v>
      </c>
      <c r="N109" s="343">
        <v>0</v>
      </c>
      <c r="O109" s="343">
        <v>0</v>
      </c>
      <c r="P109" s="338" t="s">
        <v>3480</v>
      </c>
      <c r="Q109" s="339" t="s">
        <v>206</v>
      </c>
      <c r="R109" s="339" t="s">
        <v>1310</v>
      </c>
      <c r="S109" s="341" t="s">
        <v>4731</v>
      </c>
      <c r="T109" s="338"/>
      <c r="U109" s="327"/>
      <c r="V109" s="327"/>
      <c r="W109" s="327"/>
      <c r="X109" s="327"/>
      <c r="Y109" s="327"/>
      <c r="Z109" s="330"/>
    </row>
    <row r="110" spans="1:26" ht="25" hidden="1">
      <c r="A110" s="339">
        <v>103</v>
      </c>
      <c r="B110" s="338" t="s">
        <v>1005</v>
      </c>
      <c r="C110" s="340">
        <v>39813</v>
      </c>
      <c r="D110" s="338" t="s">
        <v>4769</v>
      </c>
      <c r="E110" s="341" t="s">
        <v>3559</v>
      </c>
      <c r="F110" s="338"/>
      <c r="G110" s="338" t="s">
        <v>35</v>
      </c>
      <c r="H110" s="339" t="s">
        <v>249</v>
      </c>
      <c r="I110" s="339">
        <v>1</v>
      </c>
      <c r="J110" s="342">
        <v>17175636</v>
      </c>
      <c r="K110" s="342">
        <v>1717552</v>
      </c>
      <c r="L110" s="342">
        <v>0</v>
      </c>
      <c r="M110" s="343">
        <v>0</v>
      </c>
      <c r="N110" s="343">
        <v>0</v>
      </c>
      <c r="O110" s="343">
        <v>0</v>
      </c>
      <c r="P110" s="338" t="s">
        <v>3480</v>
      </c>
      <c r="Q110" s="339" t="s">
        <v>206</v>
      </c>
      <c r="R110" s="339" t="s">
        <v>1310</v>
      </c>
      <c r="S110" s="341" t="s">
        <v>4731</v>
      </c>
      <c r="T110" s="338"/>
      <c r="U110" s="327"/>
      <c r="V110" s="327"/>
      <c r="W110" s="327"/>
      <c r="X110" s="327"/>
      <c r="Y110" s="327"/>
      <c r="Z110" s="330"/>
    </row>
    <row r="111" spans="1:26" ht="25" hidden="1">
      <c r="A111" s="339">
        <v>104</v>
      </c>
      <c r="B111" s="338" t="s">
        <v>1005</v>
      </c>
      <c r="C111" s="340">
        <v>39813</v>
      </c>
      <c r="D111" s="338" t="s">
        <v>4770</v>
      </c>
      <c r="E111" s="341" t="s">
        <v>3559</v>
      </c>
      <c r="F111" s="338"/>
      <c r="G111" s="338" t="s">
        <v>35</v>
      </c>
      <c r="H111" s="339" t="s">
        <v>249</v>
      </c>
      <c r="I111" s="339">
        <v>1</v>
      </c>
      <c r="J111" s="342">
        <v>17175636</v>
      </c>
      <c r="K111" s="342">
        <v>1717552</v>
      </c>
      <c r="L111" s="342">
        <v>0</v>
      </c>
      <c r="M111" s="343">
        <v>0</v>
      </c>
      <c r="N111" s="343">
        <v>0</v>
      </c>
      <c r="O111" s="343">
        <v>0</v>
      </c>
      <c r="P111" s="338" t="s">
        <v>3480</v>
      </c>
      <c r="Q111" s="339" t="s">
        <v>206</v>
      </c>
      <c r="R111" s="339" t="s">
        <v>1310</v>
      </c>
      <c r="S111" s="341" t="s">
        <v>4731</v>
      </c>
      <c r="T111" s="338"/>
      <c r="U111" s="327"/>
      <c r="V111" s="327"/>
      <c r="W111" s="327"/>
      <c r="X111" s="327"/>
      <c r="Y111" s="327"/>
      <c r="Z111" s="330"/>
    </row>
    <row r="112" spans="1:26" ht="37.5" hidden="1">
      <c r="A112" s="339">
        <v>105</v>
      </c>
      <c r="B112" s="338" t="s">
        <v>2681</v>
      </c>
      <c r="C112" s="340">
        <v>36161</v>
      </c>
      <c r="D112" s="338" t="s">
        <v>3560</v>
      </c>
      <c r="E112" s="341" t="s">
        <v>3561</v>
      </c>
      <c r="F112" s="341" t="s">
        <v>3562</v>
      </c>
      <c r="G112" s="338"/>
      <c r="H112" s="339" t="s">
        <v>249</v>
      </c>
      <c r="I112" s="339">
        <v>1</v>
      </c>
      <c r="J112" s="342">
        <v>3901412</v>
      </c>
      <c r="K112" s="342">
        <v>0</v>
      </c>
      <c r="L112" s="342">
        <v>0</v>
      </c>
      <c r="M112" s="343">
        <v>0</v>
      </c>
      <c r="N112" s="343">
        <v>0</v>
      </c>
      <c r="O112" s="343">
        <v>0</v>
      </c>
      <c r="P112" s="338"/>
      <c r="Q112" s="339" t="s">
        <v>20</v>
      </c>
      <c r="R112" s="346" t="s">
        <v>229</v>
      </c>
      <c r="S112" s="341" t="str">
        <f>IFERROR(VLOOKUP(D112, CCDC_XUAN!$D$16:$S$693, 16, 0), "Không tìm thấy")</f>
        <v>A2-Control: Rack</v>
      </c>
      <c r="T112" s="338"/>
      <c r="U112" s="327"/>
      <c r="V112" s="327"/>
      <c r="W112" s="327"/>
      <c r="X112" s="327"/>
      <c r="Y112" s="327"/>
      <c r="Z112" s="330"/>
    </row>
    <row r="113" spans="1:26" ht="62.5" hidden="1">
      <c r="A113" s="339">
        <v>106</v>
      </c>
      <c r="B113" s="338" t="s">
        <v>2480</v>
      </c>
      <c r="C113" s="340">
        <v>37257</v>
      </c>
      <c r="D113" s="338" t="s">
        <v>4771</v>
      </c>
      <c r="E113" s="341" t="s">
        <v>3564</v>
      </c>
      <c r="F113" s="341" t="s">
        <v>3565</v>
      </c>
      <c r="G113" s="338"/>
      <c r="H113" s="339" t="s">
        <v>19</v>
      </c>
      <c r="I113" s="339">
        <v>1</v>
      </c>
      <c r="J113" s="342">
        <v>17769584</v>
      </c>
      <c r="K113" s="342">
        <v>0</v>
      </c>
      <c r="L113" s="342">
        <v>0</v>
      </c>
      <c r="M113" s="343">
        <v>0</v>
      </c>
      <c r="N113" s="343">
        <v>0</v>
      </c>
      <c r="O113" s="343">
        <v>0</v>
      </c>
      <c r="P113" s="338"/>
      <c r="Q113" s="339" t="s">
        <v>36</v>
      </c>
      <c r="R113" s="339" t="s">
        <v>169</v>
      </c>
      <c r="S113" s="341" t="s">
        <v>3566</v>
      </c>
      <c r="T113" s="338"/>
      <c r="U113" s="327"/>
      <c r="V113" s="327"/>
      <c r="W113" s="327"/>
      <c r="X113" s="327"/>
      <c r="Y113" s="327"/>
      <c r="Z113" s="330"/>
    </row>
    <row r="114" spans="1:26" ht="62.5" hidden="1">
      <c r="A114" s="339">
        <v>107</v>
      </c>
      <c r="B114" s="338" t="s">
        <v>2480</v>
      </c>
      <c r="C114" s="340">
        <v>37257</v>
      </c>
      <c r="D114" s="338" t="s">
        <v>4772</v>
      </c>
      <c r="E114" s="341" t="s">
        <v>3564</v>
      </c>
      <c r="F114" s="341" t="s">
        <v>3567</v>
      </c>
      <c r="G114" s="338"/>
      <c r="H114" s="339" t="s">
        <v>19</v>
      </c>
      <c r="I114" s="339">
        <v>1</v>
      </c>
      <c r="J114" s="342">
        <v>17769584</v>
      </c>
      <c r="K114" s="342">
        <v>0</v>
      </c>
      <c r="L114" s="342">
        <v>0</v>
      </c>
      <c r="M114" s="343">
        <v>0</v>
      </c>
      <c r="N114" s="343">
        <v>0</v>
      </c>
      <c r="O114" s="343">
        <v>0</v>
      </c>
      <c r="P114" s="338"/>
      <c r="Q114" s="339" t="s">
        <v>36</v>
      </c>
      <c r="R114" s="339" t="s">
        <v>169</v>
      </c>
      <c r="S114" s="341" t="s">
        <v>3566</v>
      </c>
      <c r="T114" s="338"/>
      <c r="U114" s="327"/>
      <c r="V114" s="327"/>
      <c r="W114" s="327"/>
      <c r="X114" s="327"/>
      <c r="Y114" s="327"/>
      <c r="Z114" s="330"/>
    </row>
    <row r="115" spans="1:26" ht="25" hidden="1">
      <c r="A115" s="339">
        <v>108</v>
      </c>
      <c r="B115" s="338" t="s">
        <v>3568</v>
      </c>
      <c r="C115" s="340">
        <v>36892</v>
      </c>
      <c r="D115" s="362" t="s">
        <v>4773</v>
      </c>
      <c r="E115" s="341" t="s">
        <v>3569</v>
      </c>
      <c r="F115" s="341" t="s">
        <v>4774</v>
      </c>
      <c r="G115" s="338"/>
      <c r="H115" s="339" t="s">
        <v>249</v>
      </c>
      <c r="I115" s="339">
        <v>1</v>
      </c>
      <c r="J115" s="342">
        <v>5445614</v>
      </c>
      <c r="K115" s="342">
        <v>0</v>
      </c>
      <c r="L115" s="342">
        <v>0</v>
      </c>
      <c r="M115" s="343">
        <v>0</v>
      </c>
      <c r="N115" s="343">
        <v>0</v>
      </c>
      <c r="O115" s="343">
        <v>0</v>
      </c>
      <c r="P115" s="338"/>
      <c r="Q115" s="339" t="s">
        <v>20</v>
      </c>
      <c r="R115" s="339" t="s">
        <v>284</v>
      </c>
      <c r="S115" s="341" t="s">
        <v>3570</v>
      </c>
      <c r="T115" s="338"/>
      <c r="U115" s="327"/>
      <c r="V115" s="327"/>
      <c r="W115" s="327"/>
      <c r="X115" s="327"/>
      <c r="Y115" s="327"/>
      <c r="Z115" s="330"/>
    </row>
    <row r="116" spans="1:26" ht="37.5" hidden="1">
      <c r="A116" s="339">
        <v>109</v>
      </c>
      <c r="B116" s="338" t="s">
        <v>1198</v>
      </c>
      <c r="C116" s="340">
        <v>36161</v>
      </c>
      <c r="D116" s="338" t="s">
        <v>3571</v>
      </c>
      <c r="E116" s="341" t="s">
        <v>4775</v>
      </c>
      <c r="F116" s="338"/>
      <c r="G116" s="338"/>
      <c r="H116" s="339" t="s">
        <v>249</v>
      </c>
      <c r="I116" s="339">
        <v>1</v>
      </c>
      <c r="J116" s="342">
        <v>1753125</v>
      </c>
      <c r="K116" s="342">
        <v>0</v>
      </c>
      <c r="L116" s="342">
        <v>0</v>
      </c>
      <c r="M116" s="343">
        <v>0</v>
      </c>
      <c r="N116" s="343">
        <v>0</v>
      </c>
      <c r="O116" s="343">
        <v>0</v>
      </c>
      <c r="P116" s="338"/>
      <c r="Q116" s="339" t="s">
        <v>20</v>
      </c>
      <c r="R116" s="346" t="s">
        <v>229</v>
      </c>
      <c r="S116" s="341" t="str">
        <f>IFERROR(VLOOKUP(D116, CCDC_XUAN!$D$16:$S$693, 16, 0), "Không tìm thấy")</f>
        <v>A2 CONTROL</v>
      </c>
      <c r="T116" s="338"/>
      <c r="U116" s="327"/>
      <c r="V116" s="327"/>
      <c r="W116" s="327"/>
      <c r="X116" s="327"/>
      <c r="Y116" s="327"/>
      <c r="Z116" s="330"/>
    </row>
    <row r="117" spans="1:26" ht="37.5" hidden="1">
      <c r="A117" s="339">
        <v>110</v>
      </c>
      <c r="B117" s="338" t="s">
        <v>1198</v>
      </c>
      <c r="C117" s="340">
        <v>36161</v>
      </c>
      <c r="D117" s="338" t="s">
        <v>3573</v>
      </c>
      <c r="E117" s="341" t="s">
        <v>4775</v>
      </c>
      <c r="F117" s="338"/>
      <c r="G117" s="338"/>
      <c r="H117" s="339" t="s">
        <v>249</v>
      </c>
      <c r="I117" s="339">
        <v>1</v>
      </c>
      <c r="J117" s="342">
        <v>1753125</v>
      </c>
      <c r="K117" s="342">
        <v>0</v>
      </c>
      <c r="L117" s="342">
        <v>0</v>
      </c>
      <c r="M117" s="343">
        <v>0</v>
      </c>
      <c r="N117" s="343">
        <v>0</v>
      </c>
      <c r="O117" s="343">
        <v>0</v>
      </c>
      <c r="P117" s="338"/>
      <c r="Q117" s="339" t="s">
        <v>20</v>
      </c>
      <c r="R117" s="346" t="s">
        <v>229</v>
      </c>
      <c r="S117" s="341" t="str">
        <f>IFERROR(VLOOKUP(D117, CCDC_XUAN!$D$16:$S$693, 16, 0), "Không tìm thấy")</f>
        <v>A2 CONTROL</v>
      </c>
      <c r="T117" s="338"/>
      <c r="U117" s="327"/>
      <c r="V117" s="327"/>
      <c r="W117" s="327"/>
      <c r="X117" s="327"/>
      <c r="Y117" s="327"/>
      <c r="Z117" s="330"/>
    </row>
    <row r="118" spans="1:26" ht="50">
      <c r="A118" s="339">
        <v>111</v>
      </c>
      <c r="B118" s="338" t="s">
        <v>3574</v>
      </c>
      <c r="C118" s="340">
        <v>35245</v>
      </c>
      <c r="D118" s="338" t="s">
        <v>4776</v>
      </c>
      <c r="E118" s="341" t="s">
        <v>3575</v>
      </c>
      <c r="F118" s="341" t="s">
        <v>4777</v>
      </c>
      <c r="G118" s="338"/>
      <c r="H118" s="338"/>
      <c r="I118" s="339">
        <v>1</v>
      </c>
      <c r="J118" s="342">
        <v>4488000</v>
      </c>
      <c r="K118" s="342">
        <v>0</v>
      </c>
      <c r="L118" s="342">
        <v>0</v>
      </c>
      <c r="M118" s="343">
        <v>0</v>
      </c>
      <c r="N118" s="343">
        <v>0</v>
      </c>
      <c r="O118" s="343">
        <v>0</v>
      </c>
      <c r="P118" s="338"/>
      <c r="Q118" s="339" t="s">
        <v>20</v>
      </c>
      <c r="R118" s="339" t="s">
        <v>423</v>
      </c>
      <c r="S118" s="341" t="s">
        <v>3576</v>
      </c>
      <c r="T118" s="344" t="s">
        <v>4778</v>
      </c>
      <c r="U118" s="327"/>
      <c r="V118" s="327"/>
      <c r="W118" s="327"/>
      <c r="X118" s="327"/>
      <c r="Y118" s="327"/>
      <c r="Z118" s="330"/>
    </row>
    <row r="119" spans="1:26" ht="100">
      <c r="A119" s="339">
        <v>112</v>
      </c>
      <c r="B119" s="338" t="s">
        <v>1137</v>
      </c>
      <c r="C119" s="340">
        <v>40441</v>
      </c>
      <c r="D119" s="338" t="s">
        <v>4779</v>
      </c>
      <c r="E119" s="341" t="s">
        <v>4780</v>
      </c>
      <c r="F119" s="341" t="s">
        <v>4781</v>
      </c>
      <c r="G119" s="338" t="s">
        <v>1868</v>
      </c>
      <c r="H119" s="339" t="s">
        <v>19</v>
      </c>
      <c r="I119" s="339">
        <v>1</v>
      </c>
      <c r="J119" s="342">
        <v>15549600</v>
      </c>
      <c r="K119" s="342">
        <v>6997320</v>
      </c>
      <c r="L119" s="342">
        <v>0</v>
      </c>
      <c r="M119" s="343">
        <v>0</v>
      </c>
      <c r="N119" s="343">
        <v>0</v>
      </c>
      <c r="O119" s="343">
        <v>0</v>
      </c>
      <c r="P119" s="338"/>
      <c r="Q119" s="339" t="s">
        <v>20</v>
      </c>
      <c r="R119" s="339" t="s">
        <v>423</v>
      </c>
      <c r="S119" s="341" t="s">
        <v>3336</v>
      </c>
      <c r="T119" s="338"/>
      <c r="U119" s="327"/>
      <c r="V119" s="327"/>
      <c r="W119" s="327"/>
      <c r="X119" s="327"/>
      <c r="Y119" s="327"/>
      <c r="Z119" s="330"/>
    </row>
    <row r="120" spans="1:26" ht="100" hidden="1">
      <c r="A120" s="339">
        <v>113</v>
      </c>
      <c r="B120" s="338" t="s">
        <v>1137</v>
      </c>
      <c r="C120" s="340">
        <v>40441</v>
      </c>
      <c r="D120" s="338" t="s">
        <v>3578</v>
      </c>
      <c r="E120" s="341" t="s">
        <v>4780</v>
      </c>
      <c r="F120" s="341" t="s">
        <v>4782</v>
      </c>
      <c r="G120" s="338" t="s">
        <v>1868</v>
      </c>
      <c r="H120" s="339" t="s">
        <v>19</v>
      </c>
      <c r="I120" s="339">
        <v>1</v>
      </c>
      <c r="J120" s="342">
        <v>15549600</v>
      </c>
      <c r="K120" s="342">
        <v>6997320</v>
      </c>
      <c r="L120" s="342">
        <v>0</v>
      </c>
      <c r="M120" s="343">
        <v>0</v>
      </c>
      <c r="N120" s="343">
        <v>0</v>
      </c>
      <c r="O120" s="343">
        <v>0</v>
      </c>
      <c r="P120" s="338"/>
      <c r="Q120" s="339" t="s">
        <v>20</v>
      </c>
      <c r="R120" s="346" t="s">
        <v>229</v>
      </c>
      <c r="S120" s="341" t="str">
        <f>IFERROR(VLOOKUP(D120, CCDC_XUAN!$D$16:$S$693, 16, 0), "Không tìm thấy")</f>
        <v>A2-MC: chia tai nghe MC</v>
      </c>
      <c r="T120" s="338"/>
      <c r="U120" s="327"/>
      <c r="V120" s="327"/>
      <c r="W120" s="327"/>
      <c r="X120" s="327"/>
      <c r="Y120" s="327"/>
      <c r="Z120" s="330"/>
    </row>
    <row r="121" spans="1:26" ht="50" hidden="1">
      <c r="A121" s="339">
        <v>114</v>
      </c>
      <c r="B121" s="338" t="s">
        <v>2480</v>
      </c>
      <c r="C121" s="340">
        <v>37257</v>
      </c>
      <c r="D121" s="338" t="s">
        <v>4783</v>
      </c>
      <c r="E121" s="341" t="s">
        <v>4784</v>
      </c>
      <c r="F121" s="341" t="s">
        <v>3581</v>
      </c>
      <c r="G121" s="338"/>
      <c r="H121" s="339" t="s">
        <v>19</v>
      </c>
      <c r="I121" s="339">
        <v>1</v>
      </c>
      <c r="J121" s="342">
        <v>13591565</v>
      </c>
      <c r="K121" s="342">
        <v>0</v>
      </c>
      <c r="L121" s="342">
        <v>0</v>
      </c>
      <c r="M121" s="343">
        <v>0</v>
      </c>
      <c r="N121" s="343">
        <v>0</v>
      </c>
      <c r="O121" s="343">
        <v>0</v>
      </c>
      <c r="P121" s="338"/>
      <c r="Q121" s="339" t="s">
        <v>36</v>
      </c>
      <c r="R121" s="339" t="s">
        <v>169</v>
      </c>
      <c r="S121" s="341" t="s">
        <v>4785</v>
      </c>
      <c r="T121" s="338"/>
      <c r="U121" s="327"/>
      <c r="V121" s="327"/>
      <c r="W121" s="327"/>
      <c r="X121" s="327"/>
      <c r="Y121" s="327"/>
      <c r="Z121" s="330"/>
    </row>
    <row r="122" spans="1:26" ht="50" hidden="1">
      <c r="A122" s="339">
        <v>115</v>
      </c>
      <c r="B122" s="338" t="s">
        <v>2480</v>
      </c>
      <c r="C122" s="340">
        <v>37257</v>
      </c>
      <c r="D122" s="338" t="s">
        <v>4786</v>
      </c>
      <c r="E122" s="341" t="s">
        <v>4784</v>
      </c>
      <c r="F122" s="341" t="s">
        <v>3583</v>
      </c>
      <c r="G122" s="338"/>
      <c r="H122" s="339" t="s">
        <v>19</v>
      </c>
      <c r="I122" s="339">
        <v>1</v>
      </c>
      <c r="J122" s="342">
        <v>13591565</v>
      </c>
      <c r="K122" s="342">
        <v>0</v>
      </c>
      <c r="L122" s="342">
        <v>0</v>
      </c>
      <c r="M122" s="343">
        <v>0</v>
      </c>
      <c r="N122" s="343">
        <v>0</v>
      </c>
      <c r="O122" s="343">
        <v>0</v>
      </c>
      <c r="P122" s="338"/>
      <c r="Q122" s="339" t="s">
        <v>36</v>
      </c>
      <c r="R122" s="339" t="s">
        <v>169</v>
      </c>
      <c r="S122" s="341" t="s">
        <v>4785</v>
      </c>
      <c r="T122" s="338"/>
      <c r="U122" s="327"/>
      <c r="V122" s="327"/>
      <c r="W122" s="327"/>
      <c r="X122" s="327"/>
      <c r="Y122" s="327"/>
      <c r="Z122" s="330"/>
    </row>
    <row r="123" spans="1:26" ht="25" hidden="1">
      <c r="A123" s="339">
        <v>116</v>
      </c>
      <c r="B123" s="338" t="s">
        <v>3568</v>
      </c>
      <c r="C123" s="340">
        <v>36892</v>
      </c>
      <c r="D123" s="338" t="s">
        <v>3584</v>
      </c>
      <c r="E123" s="341" t="s">
        <v>4787</v>
      </c>
      <c r="F123" s="341" t="s">
        <v>4788</v>
      </c>
      <c r="G123" s="338"/>
      <c r="H123" s="339" t="s">
        <v>249</v>
      </c>
      <c r="I123" s="339">
        <v>1</v>
      </c>
      <c r="J123" s="342">
        <v>5445614</v>
      </c>
      <c r="K123" s="342">
        <v>0</v>
      </c>
      <c r="L123" s="342">
        <v>0</v>
      </c>
      <c r="M123" s="343">
        <v>0</v>
      </c>
      <c r="N123" s="343">
        <v>0</v>
      </c>
      <c r="O123" s="343">
        <v>0</v>
      </c>
      <c r="P123" s="338"/>
      <c r="Q123" s="339" t="s">
        <v>20</v>
      </c>
      <c r="R123" s="339" t="s">
        <v>229</v>
      </c>
      <c r="S123" s="341" t="str">
        <f>IFERROR(VLOOKUP(D123, CCDC_XUAN!$D$16:$S$693, 16, 0), "Không tìm thấy")</f>
        <v>Tủ 11</v>
      </c>
      <c r="T123" s="338"/>
      <c r="U123" s="327"/>
      <c r="V123" s="327"/>
      <c r="W123" s="327"/>
      <c r="X123" s="327"/>
      <c r="Y123" s="327"/>
      <c r="Z123" s="330"/>
    </row>
    <row r="124" spans="1:26" ht="75" hidden="1">
      <c r="A124" s="352">
        <v>117</v>
      </c>
      <c r="B124" s="353" t="s">
        <v>3587</v>
      </c>
      <c r="C124" s="354">
        <v>36538</v>
      </c>
      <c r="D124" s="338" t="s">
        <v>4789</v>
      </c>
      <c r="E124" s="355" t="s">
        <v>3588</v>
      </c>
      <c r="F124" s="353"/>
      <c r="G124" s="353"/>
      <c r="H124" s="353"/>
      <c r="I124" s="352">
        <v>1</v>
      </c>
      <c r="J124" s="356">
        <v>4250000</v>
      </c>
      <c r="K124" s="356">
        <v>0</v>
      </c>
      <c r="L124" s="356">
        <v>0</v>
      </c>
      <c r="M124" s="357">
        <v>0</v>
      </c>
      <c r="N124" s="357">
        <v>0</v>
      </c>
      <c r="O124" s="357">
        <v>0</v>
      </c>
      <c r="P124" s="353" t="s">
        <v>3400</v>
      </c>
      <c r="Q124" s="352" t="s">
        <v>206</v>
      </c>
      <c r="R124" s="352" t="s">
        <v>1310</v>
      </c>
      <c r="S124" s="355" t="s">
        <v>3589</v>
      </c>
      <c r="T124" s="338"/>
      <c r="U124" s="327"/>
      <c r="V124" s="327"/>
      <c r="W124" s="327"/>
      <c r="X124" s="327"/>
      <c r="Y124" s="327"/>
      <c r="Z124" s="330"/>
    </row>
    <row r="125" spans="1:26" ht="87.5" hidden="1">
      <c r="A125" s="339">
        <v>118</v>
      </c>
      <c r="B125" s="338" t="s">
        <v>2476</v>
      </c>
      <c r="C125" s="340">
        <v>36892</v>
      </c>
      <c r="D125" s="338" t="s">
        <v>4790</v>
      </c>
      <c r="E125" s="341" t="s">
        <v>3590</v>
      </c>
      <c r="F125" s="338"/>
      <c r="G125" s="338"/>
      <c r="H125" s="338"/>
      <c r="I125" s="339">
        <v>1</v>
      </c>
      <c r="J125" s="342">
        <v>10670052</v>
      </c>
      <c r="K125" s="342">
        <v>0</v>
      </c>
      <c r="L125" s="342">
        <v>0</v>
      </c>
      <c r="M125" s="343">
        <v>0</v>
      </c>
      <c r="N125" s="343">
        <v>0</v>
      </c>
      <c r="O125" s="343">
        <v>0</v>
      </c>
      <c r="P125" s="338" t="s">
        <v>3480</v>
      </c>
      <c r="Q125" s="339" t="s">
        <v>206</v>
      </c>
      <c r="R125" s="339" t="s">
        <v>1310</v>
      </c>
      <c r="S125" s="341" t="s">
        <v>4731</v>
      </c>
      <c r="T125" s="338"/>
      <c r="U125" s="327"/>
      <c r="V125" s="327"/>
      <c r="W125" s="327"/>
      <c r="X125" s="327"/>
      <c r="Y125" s="327"/>
      <c r="Z125" s="330"/>
    </row>
    <row r="126" spans="1:26" ht="25" hidden="1">
      <c r="A126" s="339">
        <v>119</v>
      </c>
      <c r="B126" s="338" t="s">
        <v>3591</v>
      </c>
      <c r="C126" s="340">
        <v>39253</v>
      </c>
      <c r="D126" s="338" t="s">
        <v>4791</v>
      </c>
      <c r="E126" s="341" t="s">
        <v>3592</v>
      </c>
      <c r="F126" s="341" t="s">
        <v>3593</v>
      </c>
      <c r="G126" s="338" t="s">
        <v>248</v>
      </c>
      <c r="H126" s="339" t="s">
        <v>19</v>
      </c>
      <c r="I126" s="339">
        <v>1</v>
      </c>
      <c r="J126" s="342">
        <v>5412957</v>
      </c>
      <c r="K126" s="342">
        <v>225539</v>
      </c>
      <c r="L126" s="342">
        <v>0</v>
      </c>
      <c r="M126" s="343">
        <v>0</v>
      </c>
      <c r="N126" s="343">
        <v>0</v>
      </c>
      <c r="O126" s="343">
        <v>0</v>
      </c>
      <c r="P126" s="338" t="s">
        <v>3400</v>
      </c>
      <c r="Q126" s="339" t="s">
        <v>206</v>
      </c>
      <c r="R126" s="339" t="s">
        <v>1310</v>
      </c>
      <c r="S126" s="341" t="s">
        <v>3594</v>
      </c>
      <c r="T126" s="338"/>
      <c r="U126" s="327"/>
      <c r="V126" s="327"/>
      <c r="W126" s="327"/>
      <c r="X126" s="327"/>
      <c r="Y126" s="327"/>
      <c r="Z126" s="330"/>
    </row>
    <row r="127" spans="1:26" ht="25" hidden="1">
      <c r="A127" s="339">
        <v>120</v>
      </c>
      <c r="B127" s="338" t="s">
        <v>3591</v>
      </c>
      <c r="C127" s="340">
        <v>39253</v>
      </c>
      <c r="D127" s="338" t="s">
        <v>4792</v>
      </c>
      <c r="E127" s="341" t="s">
        <v>3592</v>
      </c>
      <c r="F127" s="341" t="s">
        <v>3595</v>
      </c>
      <c r="G127" s="338" t="s">
        <v>248</v>
      </c>
      <c r="H127" s="339" t="s">
        <v>19</v>
      </c>
      <c r="I127" s="339">
        <v>1</v>
      </c>
      <c r="J127" s="342">
        <v>5412958</v>
      </c>
      <c r="K127" s="342">
        <v>225538</v>
      </c>
      <c r="L127" s="342">
        <v>0</v>
      </c>
      <c r="M127" s="343">
        <v>0</v>
      </c>
      <c r="N127" s="343">
        <v>0</v>
      </c>
      <c r="O127" s="343">
        <v>0</v>
      </c>
      <c r="P127" s="338" t="s">
        <v>3400</v>
      </c>
      <c r="Q127" s="339" t="s">
        <v>206</v>
      </c>
      <c r="R127" s="339" t="s">
        <v>1310</v>
      </c>
      <c r="S127" s="341" t="s">
        <v>3594</v>
      </c>
      <c r="T127" s="338"/>
      <c r="U127" s="327"/>
      <c r="V127" s="327"/>
      <c r="W127" s="327"/>
      <c r="X127" s="327"/>
      <c r="Y127" s="327"/>
      <c r="Z127" s="330"/>
    </row>
    <row r="128" spans="1:26" ht="62.5" hidden="1">
      <c r="A128" s="339">
        <v>121</v>
      </c>
      <c r="B128" s="338" t="s">
        <v>3591</v>
      </c>
      <c r="C128" s="340">
        <v>39253</v>
      </c>
      <c r="D128" s="338" t="s">
        <v>4793</v>
      </c>
      <c r="E128" s="341" t="s">
        <v>3596</v>
      </c>
      <c r="F128" s="338"/>
      <c r="G128" s="338" t="s">
        <v>55</v>
      </c>
      <c r="H128" s="339" t="s">
        <v>19</v>
      </c>
      <c r="I128" s="339">
        <v>1</v>
      </c>
      <c r="J128" s="342">
        <v>5779545</v>
      </c>
      <c r="K128" s="342">
        <v>240807</v>
      </c>
      <c r="L128" s="342">
        <v>0</v>
      </c>
      <c r="M128" s="343">
        <v>0</v>
      </c>
      <c r="N128" s="343">
        <v>0</v>
      </c>
      <c r="O128" s="343">
        <v>0</v>
      </c>
      <c r="P128" s="338"/>
      <c r="Q128" s="339" t="s">
        <v>20</v>
      </c>
      <c r="R128" s="339" t="s">
        <v>233</v>
      </c>
      <c r="S128" s="341" t="s">
        <v>1847</v>
      </c>
      <c r="T128" s="338"/>
      <c r="U128" s="327"/>
      <c r="V128" s="327"/>
      <c r="W128" s="327"/>
      <c r="X128" s="327"/>
      <c r="Y128" s="327"/>
      <c r="Z128" s="330"/>
    </row>
    <row r="129" spans="1:26" ht="62.5" hidden="1">
      <c r="A129" s="339">
        <v>122</v>
      </c>
      <c r="B129" s="338" t="s">
        <v>3591</v>
      </c>
      <c r="C129" s="340">
        <v>39253</v>
      </c>
      <c r="D129" s="338" t="s">
        <v>4794</v>
      </c>
      <c r="E129" s="341" t="s">
        <v>3596</v>
      </c>
      <c r="F129" s="338"/>
      <c r="G129" s="338" t="s">
        <v>55</v>
      </c>
      <c r="H129" s="339" t="s">
        <v>19</v>
      </c>
      <c r="I129" s="339">
        <v>1</v>
      </c>
      <c r="J129" s="342">
        <v>5779545</v>
      </c>
      <c r="K129" s="342">
        <v>240807</v>
      </c>
      <c r="L129" s="342">
        <v>0</v>
      </c>
      <c r="M129" s="343">
        <v>0</v>
      </c>
      <c r="N129" s="343">
        <v>0</v>
      </c>
      <c r="O129" s="343">
        <v>0</v>
      </c>
      <c r="P129" s="338"/>
      <c r="Q129" s="339" t="s">
        <v>20</v>
      </c>
      <c r="R129" s="339" t="s">
        <v>233</v>
      </c>
      <c r="S129" s="341" t="s">
        <v>1847</v>
      </c>
      <c r="T129" s="338"/>
      <c r="U129" s="327"/>
      <c r="V129" s="327"/>
      <c r="W129" s="327"/>
      <c r="X129" s="327"/>
      <c r="Y129" s="327"/>
      <c r="Z129" s="330"/>
    </row>
    <row r="130" spans="1:26" ht="25" hidden="1">
      <c r="A130" s="347">
        <v>123</v>
      </c>
      <c r="B130" s="338" t="s">
        <v>1482</v>
      </c>
      <c r="C130" s="348">
        <v>39952</v>
      </c>
      <c r="D130" s="338" t="s">
        <v>4795</v>
      </c>
      <c r="E130" s="349" t="s">
        <v>3592</v>
      </c>
      <c r="F130" s="349" t="s">
        <v>3597</v>
      </c>
      <c r="G130" s="338" t="s">
        <v>248</v>
      </c>
      <c r="H130" s="347" t="s">
        <v>249</v>
      </c>
      <c r="I130" s="347">
        <v>1</v>
      </c>
      <c r="J130" s="342">
        <v>21561925</v>
      </c>
      <c r="K130" s="342">
        <v>4312397</v>
      </c>
      <c r="L130" s="342">
        <v>0</v>
      </c>
      <c r="M130" s="343">
        <v>0</v>
      </c>
      <c r="N130" s="343">
        <v>0</v>
      </c>
      <c r="O130" s="343">
        <v>0</v>
      </c>
      <c r="P130" s="221" t="s">
        <v>3400</v>
      </c>
      <c r="Q130" s="347" t="s">
        <v>20</v>
      </c>
      <c r="R130" s="347" t="s">
        <v>21</v>
      </c>
      <c r="S130" s="349" t="s">
        <v>22</v>
      </c>
      <c r="T130" s="221" t="s">
        <v>3434</v>
      </c>
      <c r="U130" s="351" t="s">
        <v>4663</v>
      </c>
      <c r="V130" s="327"/>
      <c r="W130" s="327"/>
      <c r="X130" s="327"/>
      <c r="Y130" s="327"/>
      <c r="Z130" s="330"/>
    </row>
    <row r="131" spans="1:26" ht="25" hidden="1">
      <c r="A131" s="347">
        <v>124</v>
      </c>
      <c r="B131" s="338" t="s">
        <v>1482</v>
      </c>
      <c r="C131" s="348">
        <v>39952</v>
      </c>
      <c r="D131" s="338" t="s">
        <v>4796</v>
      </c>
      <c r="E131" s="349" t="s">
        <v>3592</v>
      </c>
      <c r="F131" s="349" t="s">
        <v>3598</v>
      </c>
      <c r="G131" s="338" t="s">
        <v>248</v>
      </c>
      <c r="H131" s="347" t="s">
        <v>249</v>
      </c>
      <c r="I131" s="347">
        <v>1</v>
      </c>
      <c r="J131" s="342">
        <v>21561925</v>
      </c>
      <c r="K131" s="342">
        <v>4312397</v>
      </c>
      <c r="L131" s="342">
        <v>0</v>
      </c>
      <c r="M131" s="343">
        <v>0</v>
      </c>
      <c r="N131" s="343">
        <v>0</v>
      </c>
      <c r="O131" s="343">
        <v>0</v>
      </c>
      <c r="P131" s="221" t="s">
        <v>3400</v>
      </c>
      <c r="Q131" s="347" t="s">
        <v>20</v>
      </c>
      <c r="R131" s="347" t="s">
        <v>21</v>
      </c>
      <c r="S131" s="349" t="s">
        <v>22</v>
      </c>
      <c r="T131" s="338"/>
      <c r="U131" s="327"/>
      <c r="V131" s="327"/>
      <c r="W131" s="327"/>
      <c r="X131" s="327"/>
      <c r="Y131" s="327"/>
      <c r="Z131" s="330"/>
    </row>
    <row r="132" spans="1:26" ht="37.5" hidden="1">
      <c r="A132" s="339">
        <v>125</v>
      </c>
      <c r="B132" s="338" t="s">
        <v>1005</v>
      </c>
      <c r="C132" s="340">
        <v>39813</v>
      </c>
      <c r="D132" s="338" t="s">
        <v>4797</v>
      </c>
      <c r="E132" s="341" t="s">
        <v>4798</v>
      </c>
      <c r="F132" s="338"/>
      <c r="G132" s="338"/>
      <c r="H132" s="339" t="s">
        <v>249</v>
      </c>
      <c r="I132" s="339">
        <v>1</v>
      </c>
      <c r="J132" s="342">
        <v>21260329</v>
      </c>
      <c r="K132" s="342">
        <v>2126027</v>
      </c>
      <c r="L132" s="342">
        <v>0</v>
      </c>
      <c r="M132" s="343">
        <v>0</v>
      </c>
      <c r="N132" s="343">
        <v>0</v>
      </c>
      <c r="O132" s="343">
        <v>0</v>
      </c>
      <c r="P132" s="338" t="s">
        <v>3480</v>
      </c>
      <c r="Q132" s="339" t="s">
        <v>206</v>
      </c>
      <c r="R132" s="339" t="s">
        <v>1330</v>
      </c>
      <c r="S132" s="341" t="s">
        <v>4731</v>
      </c>
      <c r="T132" s="338"/>
      <c r="U132" s="327"/>
      <c r="V132" s="327"/>
      <c r="W132" s="327"/>
      <c r="X132" s="327"/>
      <c r="Y132" s="327"/>
      <c r="Z132" s="330"/>
    </row>
    <row r="133" spans="1:26" ht="37.5" hidden="1">
      <c r="A133" s="339">
        <v>126</v>
      </c>
      <c r="B133" s="338" t="s">
        <v>1005</v>
      </c>
      <c r="C133" s="340">
        <v>39813</v>
      </c>
      <c r="D133" s="338" t="s">
        <v>4799</v>
      </c>
      <c r="E133" s="341" t="s">
        <v>4798</v>
      </c>
      <c r="F133" s="338"/>
      <c r="G133" s="338"/>
      <c r="H133" s="339" t="s">
        <v>249</v>
      </c>
      <c r="I133" s="339">
        <v>1</v>
      </c>
      <c r="J133" s="342">
        <v>21260329</v>
      </c>
      <c r="K133" s="342">
        <v>2126027</v>
      </c>
      <c r="L133" s="342">
        <v>0</v>
      </c>
      <c r="M133" s="343">
        <v>0</v>
      </c>
      <c r="N133" s="343">
        <v>0</v>
      </c>
      <c r="O133" s="343">
        <v>0</v>
      </c>
      <c r="P133" s="338" t="s">
        <v>3480</v>
      </c>
      <c r="Q133" s="339" t="s">
        <v>206</v>
      </c>
      <c r="R133" s="339" t="s">
        <v>1330</v>
      </c>
      <c r="S133" s="341" t="s">
        <v>4731</v>
      </c>
      <c r="T133" s="338"/>
      <c r="U133" s="327"/>
      <c r="V133" s="327"/>
      <c r="W133" s="327"/>
      <c r="X133" s="327"/>
      <c r="Y133" s="327"/>
      <c r="Z133" s="330"/>
    </row>
    <row r="134" spans="1:26" ht="37.5" hidden="1">
      <c r="A134" s="339">
        <v>127</v>
      </c>
      <c r="B134" s="338" t="s">
        <v>1005</v>
      </c>
      <c r="C134" s="340">
        <v>39813</v>
      </c>
      <c r="D134" s="338" t="s">
        <v>4800</v>
      </c>
      <c r="E134" s="341" t="s">
        <v>4798</v>
      </c>
      <c r="F134" s="338"/>
      <c r="G134" s="338"/>
      <c r="H134" s="339" t="s">
        <v>249</v>
      </c>
      <c r="I134" s="339">
        <v>1</v>
      </c>
      <c r="J134" s="342">
        <v>21260329</v>
      </c>
      <c r="K134" s="342">
        <v>2126027</v>
      </c>
      <c r="L134" s="342">
        <v>0</v>
      </c>
      <c r="M134" s="343">
        <v>0</v>
      </c>
      <c r="N134" s="343">
        <v>0</v>
      </c>
      <c r="O134" s="343">
        <v>0</v>
      </c>
      <c r="P134" s="338" t="s">
        <v>3480</v>
      </c>
      <c r="Q134" s="339" t="s">
        <v>206</v>
      </c>
      <c r="R134" s="339" t="s">
        <v>1330</v>
      </c>
      <c r="S134" s="341" t="s">
        <v>4731</v>
      </c>
      <c r="T134" s="338"/>
      <c r="U134" s="327"/>
      <c r="V134" s="327"/>
      <c r="W134" s="327"/>
      <c r="X134" s="327"/>
      <c r="Y134" s="327"/>
      <c r="Z134" s="330"/>
    </row>
    <row r="135" spans="1:26" ht="37.5" hidden="1">
      <c r="A135" s="339">
        <v>128</v>
      </c>
      <c r="B135" s="338" t="s">
        <v>1005</v>
      </c>
      <c r="C135" s="340">
        <v>39813</v>
      </c>
      <c r="D135" s="338" t="s">
        <v>4801</v>
      </c>
      <c r="E135" s="341" t="s">
        <v>4798</v>
      </c>
      <c r="F135" s="338"/>
      <c r="G135" s="338"/>
      <c r="H135" s="339" t="s">
        <v>249</v>
      </c>
      <c r="I135" s="339">
        <v>1</v>
      </c>
      <c r="J135" s="342">
        <v>21260329</v>
      </c>
      <c r="K135" s="342">
        <v>2126027</v>
      </c>
      <c r="L135" s="342">
        <v>0</v>
      </c>
      <c r="M135" s="343">
        <v>0</v>
      </c>
      <c r="N135" s="343">
        <v>0</v>
      </c>
      <c r="O135" s="343">
        <v>0</v>
      </c>
      <c r="P135" s="338" t="s">
        <v>3480</v>
      </c>
      <c r="Q135" s="339" t="s">
        <v>206</v>
      </c>
      <c r="R135" s="339" t="s">
        <v>1330</v>
      </c>
      <c r="S135" s="341" t="s">
        <v>4731</v>
      </c>
      <c r="T135" s="338"/>
      <c r="U135" s="327"/>
      <c r="V135" s="327"/>
      <c r="W135" s="327"/>
      <c r="X135" s="327"/>
      <c r="Y135" s="327"/>
      <c r="Z135" s="330"/>
    </row>
    <row r="136" spans="1:26" ht="37.5" hidden="1">
      <c r="A136" s="339">
        <v>129</v>
      </c>
      <c r="B136" s="338" t="s">
        <v>1005</v>
      </c>
      <c r="C136" s="340">
        <v>39813</v>
      </c>
      <c r="D136" s="338" t="s">
        <v>4802</v>
      </c>
      <c r="E136" s="341" t="s">
        <v>4798</v>
      </c>
      <c r="F136" s="338"/>
      <c r="G136" s="338"/>
      <c r="H136" s="339" t="s">
        <v>249</v>
      </c>
      <c r="I136" s="339">
        <v>1</v>
      </c>
      <c r="J136" s="342">
        <v>21260329</v>
      </c>
      <c r="K136" s="342">
        <v>2126027</v>
      </c>
      <c r="L136" s="342">
        <v>0</v>
      </c>
      <c r="M136" s="343">
        <v>0</v>
      </c>
      <c r="N136" s="343">
        <v>0</v>
      </c>
      <c r="O136" s="343">
        <v>0</v>
      </c>
      <c r="P136" s="338" t="s">
        <v>3480</v>
      </c>
      <c r="Q136" s="339" t="s">
        <v>206</v>
      </c>
      <c r="R136" s="339" t="s">
        <v>1330</v>
      </c>
      <c r="S136" s="341" t="s">
        <v>4731</v>
      </c>
      <c r="T136" s="338"/>
      <c r="U136" s="327"/>
      <c r="V136" s="327"/>
      <c r="W136" s="327"/>
      <c r="X136" s="327"/>
      <c r="Y136" s="327"/>
      <c r="Z136" s="330"/>
    </row>
    <row r="137" spans="1:26" ht="37.5" hidden="1">
      <c r="A137" s="339">
        <v>130</v>
      </c>
      <c r="B137" s="338" t="s">
        <v>1005</v>
      </c>
      <c r="C137" s="340">
        <v>39813</v>
      </c>
      <c r="D137" s="338" t="s">
        <v>4803</v>
      </c>
      <c r="E137" s="341" t="s">
        <v>4798</v>
      </c>
      <c r="F137" s="338"/>
      <c r="G137" s="338"/>
      <c r="H137" s="339" t="s">
        <v>249</v>
      </c>
      <c r="I137" s="339">
        <v>1</v>
      </c>
      <c r="J137" s="342">
        <v>21260329</v>
      </c>
      <c r="K137" s="342">
        <v>2126027</v>
      </c>
      <c r="L137" s="342">
        <v>0</v>
      </c>
      <c r="M137" s="343">
        <v>0</v>
      </c>
      <c r="N137" s="343">
        <v>0</v>
      </c>
      <c r="O137" s="343">
        <v>0</v>
      </c>
      <c r="P137" s="338" t="s">
        <v>3480</v>
      </c>
      <c r="Q137" s="339" t="s">
        <v>206</v>
      </c>
      <c r="R137" s="339" t="s">
        <v>1330</v>
      </c>
      <c r="S137" s="341" t="s">
        <v>4731</v>
      </c>
      <c r="T137" s="338"/>
      <c r="U137" s="327"/>
      <c r="V137" s="327"/>
      <c r="W137" s="327"/>
      <c r="X137" s="327"/>
      <c r="Y137" s="327"/>
      <c r="Z137" s="330"/>
    </row>
    <row r="138" spans="1:26" ht="37.5" hidden="1">
      <c r="A138" s="339">
        <v>131</v>
      </c>
      <c r="B138" s="338" t="s">
        <v>1005</v>
      </c>
      <c r="C138" s="340">
        <v>39813</v>
      </c>
      <c r="D138" s="338" t="s">
        <v>4804</v>
      </c>
      <c r="E138" s="341" t="s">
        <v>4798</v>
      </c>
      <c r="F138" s="338"/>
      <c r="G138" s="338"/>
      <c r="H138" s="339" t="s">
        <v>249</v>
      </c>
      <c r="I138" s="339">
        <v>1</v>
      </c>
      <c r="J138" s="342">
        <v>21260329</v>
      </c>
      <c r="K138" s="342">
        <v>2126027</v>
      </c>
      <c r="L138" s="342">
        <v>0</v>
      </c>
      <c r="M138" s="343">
        <v>0</v>
      </c>
      <c r="N138" s="343">
        <v>0</v>
      </c>
      <c r="O138" s="343">
        <v>0</v>
      </c>
      <c r="P138" s="338" t="s">
        <v>3480</v>
      </c>
      <c r="Q138" s="339" t="s">
        <v>206</v>
      </c>
      <c r="R138" s="339" t="s">
        <v>1330</v>
      </c>
      <c r="S138" s="341" t="s">
        <v>4731</v>
      </c>
      <c r="T138" s="338"/>
      <c r="U138" s="327"/>
      <c r="V138" s="327"/>
      <c r="W138" s="327"/>
      <c r="X138" s="327"/>
      <c r="Y138" s="327"/>
      <c r="Z138" s="330"/>
    </row>
    <row r="139" spans="1:26" ht="37.5" hidden="1">
      <c r="A139" s="339">
        <v>132</v>
      </c>
      <c r="B139" s="338" t="s">
        <v>1005</v>
      </c>
      <c r="C139" s="340">
        <v>39813</v>
      </c>
      <c r="D139" s="338" t="s">
        <v>4805</v>
      </c>
      <c r="E139" s="341" t="s">
        <v>4798</v>
      </c>
      <c r="F139" s="338"/>
      <c r="G139" s="338"/>
      <c r="H139" s="339" t="s">
        <v>249</v>
      </c>
      <c r="I139" s="339">
        <v>1</v>
      </c>
      <c r="J139" s="342">
        <v>21260329</v>
      </c>
      <c r="K139" s="342">
        <v>2126027</v>
      </c>
      <c r="L139" s="342">
        <v>0</v>
      </c>
      <c r="M139" s="343">
        <v>0</v>
      </c>
      <c r="N139" s="343">
        <v>0</v>
      </c>
      <c r="O139" s="343">
        <v>0</v>
      </c>
      <c r="P139" s="338" t="s">
        <v>3480</v>
      </c>
      <c r="Q139" s="339" t="s">
        <v>206</v>
      </c>
      <c r="R139" s="339" t="s">
        <v>1330</v>
      </c>
      <c r="S139" s="341" t="s">
        <v>4731</v>
      </c>
      <c r="T139" s="338"/>
      <c r="U139" s="327"/>
      <c r="V139" s="327"/>
      <c r="W139" s="327"/>
      <c r="X139" s="327"/>
      <c r="Y139" s="327"/>
      <c r="Z139" s="330"/>
    </row>
    <row r="140" spans="1:26" ht="37.5" hidden="1">
      <c r="A140" s="339">
        <v>133</v>
      </c>
      <c r="B140" s="338" t="s">
        <v>1005</v>
      </c>
      <c r="C140" s="340">
        <v>39813</v>
      </c>
      <c r="D140" s="338" t="s">
        <v>4806</v>
      </c>
      <c r="E140" s="341" t="s">
        <v>4798</v>
      </c>
      <c r="F140" s="338"/>
      <c r="G140" s="338"/>
      <c r="H140" s="339" t="s">
        <v>249</v>
      </c>
      <c r="I140" s="339">
        <v>1</v>
      </c>
      <c r="J140" s="342">
        <v>21260329</v>
      </c>
      <c r="K140" s="342">
        <v>2126027</v>
      </c>
      <c r="L140" s="342">
        <v>0</v>
      </c>
      <c r="M140" s="343">
        <v>0</v>
      </c>
      <c r="N140" s="343">
        <v>0</v>
      </c>
      <c r="O140" s="343">
        <v>0</v>
      </c>
      <c r="P140" s="338" t="s">
        <v>3480</v>
      </c>
      <c r="Q140" s="339" t="s">
        <v>206</v>
      </c>
      <c r="R140" s="339" t="s">
        <v>1330</v>
      </c>
      <c r="S140" s="341" t="s">
        <v>4731</v>
      </c>
      <c r="T140" s="338"/>
      <c r="U140" s="327"/>
      <c r="V140" s="327"/>
      <c r="W140" s="327"/>
      <c r="X140" s="327"/>
      <c r="Y140" s="327"/>
      <c r="Z140" s="330"/>
    </row>
    <row r="141" spans="1:26" ht="37.5" hidden="1">
      <c r="A141" s="339">
        <v>134</v>
      </c>
      <c r="B141" s="338" t="s">
        <v>1005</v>
      </c>
      <c r="C141" s="340">
        <v>39813</v>
      </c>
      <c r="D141" s="338" t="s">
        <v>4807</v>
      </c>
      <c r="E141" s="341" t="s">
        <v>4798</v>
      </c>
      <c r="F141" s="338"/>
      <c r="G141" s="338"/>
      <c r="H141" s="339" t="s">
        <v>249</v>
      </c>
      <c r="I141" s="339">
        <v>1</v>
      </c>
      <c r="J141" s="342">
        <v>21260329</v>
      </c>
      <c r="K141" s="342">
        <v>2126027</v>
      </c>
      <c r="L141" s="342">
        <v>0</v>
      </c>
      <c r="M141" s="343">
        <v>0</v>
      </c>
      <c r="N141" s="343">
        <v>0</v>
      </c>
      <c r="O141" s="343">
        <v>0</v>
      </c>
      <c r="P141" s="338" t="s">
        <v>3480</v>
      </c>
      <c r="Q141" s="339" t="s">
        <v>206</v>
      </c>
      <c r="R141" s="339" t="s">
        <v>1330</v>
      </c>
      <c r="S141" s="341" t="s">
        <v>4731</v>
      </c>
      <c r="T141" s="338"/>
      <c r="U141" s="327"/>
      <c r="V141" s="327"/>
      <c r="W141" s="327"/>
      <c r="X141" s="327"/>
      <c r="Y141" s="327"/>
      <c r="Z141" s="330"/>
    </row>
    <row r="142" spans="1:26" ht="37.5" hidden="1">
      <c r="A142" s="339">
        <v>135</v>
      </c>
      <c r="B142" s="338" t="s">
        <v>1005</v>
      </c>
      <c r="C142" s="340">
        <v>39813</v>
      </c>
      <c r="D142" s="338" t="s">
        <v>4808</v>
      </c>
      <c r="E142" s="341" t="s">
        <v>4798</v>
      </c>
      <c r="F142" s="338"/>
      <c r="G142" s="338"/>
      <c r="H142" s="339" t="s">
        <v>249</v>
      </c>
      <c r="I142" s="339">
        <v>1</v>
      </c>
      <c r="J142" s="342">
        <v>21260329</v>
      </c>
      <c r="K142" s="342">
        <v>2126027</v>
      </c>
      <c r="L142" s="342">
        <v>0</v>
      </c>
      <c r="M142" s="343">
        <v>0</v>
      </c>
      <c r="N142" s="343">
        <v>0</v>
      </c>
      <c r="O142" s="343">
        <v>0</v>
      </c>
      <c r="P142" s="338" t="s">
        <v>3480</v>
      </c>
      <c r="Q142" s="339" t="s">
        <v>206</v>
      </c>
      <c r="R142" s="339" t="s">
        <v>1330</v>
      </c>
      <c r="S142" s="341" t="s">
        <v>4731</v>
      </c>
      <c r="T142" s="338"/>
      <c r="U142" s="327"/>
      <c r="V142" s="327"/>
      <c r="W142" s="327"/>
      <c r="X142" s="327"/>
      <c r="Y142" s="327"/>
      <c r="Z142" s="330"/>
    </row>
    <row r="143" spans="1:26" ht="37.5" hidden="1">
      <c r="A143" s="339">
        <v>136</v>
      </c>
      <c r="B143" s="338" t="s">
        <v>1005</v>
      </c>
      <c r="C143" s="340">
        <v>39813</v>
      </c>
      <c r="D143" s="338" t="s">
        <v>4809</v>
      </c>
      <c r="E143" s="341" t="s">
        <v>4798</v>
      </c>
      <c r="F143" s="338"/>
      <c r="G143" s="338"/>
      <c r="H143" s="339" t="s">
        <v>249</v>
      </c>
      <c r="I143" s="339">
        <v>1</v>
      </c>
      <c r="J143" s="342">
        <v>21260329</v>
      </c>
      <c r="K143" s="342">
        <v>2126027</v>
      </c>
      <c r="L143" s="342">
        <v>0</v>
      </c>
      <c r="M143" s="343">
        <v>0</v>
      </c>
      <c r="N143" s="343">
        <v>0</v>
      </c>
      <c r="O143" s="343">
        <v>0</v>
      </c>
      <c r="P143" s="338" t="s">
        <v>3480</v>
      </c>
      <c r="Q143" s="339" t="s">
        <v>206</v>
      </c>
      <c r="R143" s="339" t="s">
        <v>1330</v>
      </c>
      <c r="S143" s="341" t="s">
        <v>4731</v>
      </c>
      <c r="T143" s="338"/>
      <c r="U143" s="327"/>
      <c r="V143" s="327"/>
      <c r="W143" s="327"/>
      <c r="X143" s="327"/>
      <c r="Y143" s="327"/>
      <c r="Z143" s="330"/>
    </row>
    <row r="144" spans="1:26" ht="37.5" hidden="1">
      <c r="A144" s="339">
        <v>137</v>
      </c>
      <c r="B144" s="338" t="s">
        <v>1005</v>
      </c>
      <c r="C144" s="340">
        <v>39813</v>
      </c>
      <c r="D144" s="338" t="s">
        <v>4810</v>
      </c>
      <c r="E144" s="341" t="s">
        <v>4798</v>
      </c>
      <c r="F144" s="338"/>
      <c r="G144" s="338"/>
      <c r="H144" s="339" t="s">
        <v>249</v>
      </c>
      <c r="I144" s="339">
        <v>1</v>
      </c>
      <c r="J144" s="342">
        <v>21260329</v>
      </c>
      <c r="K144" s="342">
        <v>2126027</v>
      </c>
      <c r="L144" s="342">
        <v>0</v>
      </c>
      <c r="M144" s="343">
        <v>0</v>
      </c>
      <c r="N144" s="343">
        <v>0</v>
      </c>
      <c r="O144" s="343">
        <v>0</v>
      </c>
      <c r="P144" s="338" t="s">
        <v>3480</v>
      </c>
      <c r="Q144" s="339" t="s">
        <v>206</v>
      </c>
      <c r="R144" s="339" t="s">
        <v>1330</v>
      </c>
      <c r="S144" s="341" t="s">
        <v>4731</v>
      </c>
      <c r="T144" s="338"/>
      <c r="U144" s="327"/>
      <c r="V144" s="327"/>
      <c r="W144" s="327"/>
      <c r="X144" s="327"/>
      <c r="Y144" s="327"/>
      <c r="Z144" s="330"/>
    </row>
    <row r="145" spans="1:26" ht="37.5" hidden="1">
      <c r="A145" s="339">
        <v>138</v>
      </c>
      <c r="B145" s="338" t="s">
        <v>1005</v>
      </c>
      <c r="C145" s="340">
        <v>39813</v>
      </c>
      <c r="D145" s="338" t="s">
        <v>4811</v>
      </c>
      <c r="E145" s="341" t="s">
        <v>4798</v>
      </c>
      <c r="F145" s="338"/>
      <c r="G145" s="338"/>
      <c r="H145" s="339" t="s">
        <v>249</v>
      </c>
      <c r="I145" s="339">
        <v>1</v>
      </c>
      <c r="J145" s="342">
        <v>21260329</v>
      </c>
      <c r="K145" s="342">
        <v>2126027</v>
      </c>
      <c r="L145" s="342">
        <v>0</v>
      </c>
      <c r="M145" s="343">
        <v>0</v>
      </c>
      <c r="N145" s="343">
        <v>0</v>
      </c>
      <c r="O145" s="343">
        <v>0</v>
      </c>
      <c r="P145" s="338" t="s">
        <v>3480</v>
      </c>
      <c r="Q145" s="339" t="s">
        <v>206</v>
      </c>
      <c r="R145" s="339" t="s">
        <v>1330</v>
      </c>
      <c r="S145" s="341" t="s">
        <v>4731</v>
      </c>
      <c r="T145" s="338"/>
      <c r="U145" s="327"/>
      <c r="V145" s="327"/>
      <c r="W145" s="327"/>
      <c r="X145" s="327"/>
      <c r="Y145" s="327"/>
      <c r="Z145" s="330"/>
    </row>
    <row r="146" spans="1:26" ht="37.5" hidden="1">
      <c r="A146" s="339">
        <v>139</v>
      </c>
      <c r="B146" s="338" t="s">
        <v>1005</v>
      </c>
      <c r="C146" s="340">
        <v>39813</v>
      </c>
      <c r="D146" s="338" t="s">
        <v>4812</v>
      </c>
      <c r="E146" s="341" t="s">
        <v>4798</v>
      </c>
      <c r="F146" s="338"/>
      <c r="G146" s="338"/>
      <c r="H146" s="339" t="s">
        <v>249</v>
      </c>
      <c r="I146" s="339">
        <v>1</v>
      </c>
      <c r="J146" s="342">
        <v>21260329</v>
      </c>
      <c r="K146" s="342">
        <v>2126027</v>
      </c>
      <c r="L146" s="342">
        <v>0</v>
      </c>
      <c r="M146" s="343">
        <v>0</v>
      </c>
      <c r="N146" s="343">
        <v>0</v>
      </c>
      <c r="O146" s="343">
        <v>0</v>
      </c>
      <c r="P146" s="338" t="s">
        <v>3480</v>
      </c>
      <c r="Q146" s="339" t="s">
        <v>206</v>
      </c>
      <c r="R146" s="339" t="s">
        <v>1330</v>
      </c>
      <c r="S146" s="341" t="s">
        <v>4731</v>
      </c>
      <c r="T146" s="338"/>
      <c r="U146" s="327"/>
      <c r="V146" s="327"/>
      <c r="W146" s="327"/>
      <c r="X146" s="327"/>
      <c r="Y146" s="327"/>
      <c r="Z146" s="330"/>
    </row>
    <row r="147" spans="1:26" ht="37.5" hidden="1">
      <c r="A147" s="339">
        <v>140</v>
      </c>
      <c r="B147" s="338" t="s">
        <v>1005</v>
      </c>
      <c r="C147" s="340">
        <v>39813</v>
      </c>
      <c r="D147" s="338" t="s">
        <v>4813</v>
      </c>
      <c r="E147" s="341" t="s">
        <v>4798</v>
      </c>
      <c r="F147" s="338"/>
      <c r="G147" s="338"/>
      <c r="H147" s="339" t="s">
        <v>249</v>
      </c>
      <c r="I147" s="339">
        <v>1</v>
      </c>
      <c r="J147" s="342">
        <v>21260329</v>
      </c>
      <c r="K147" s="342">
        <v>2126027</v>
      </c>
      <c r="L147" s="342">
        <v>0</v>
      </c>
      <c r="M147" s="343">
        <v>0</v>
      </c>
      <c r="N147" s="343">
        <v>0</v>
      </c>
      <c r="O147" s="343">
        <v>0</v>
      </c>
      <c r="P147" s="338" t="s">
        <v>3480</v>
      </c>
      <c r="Q147" s="339" t="s">
        <v>206</v>
      </c>
      <c r="R147" s="339" t="s">
        <v>1330</v>
      </c>
      <c r="S147" s="341" t="s">
        <v>4731</v>
      </c>
      <c r="T147" s="338"/>
      <c r="U147" s="327"/>
      <c r="V147" s="327"/>
      <c r="W147" s="327"/>
      <c r="X147" s="327"/>
      <c r="Y147" s="327"/>
      <c r="Z147" s="330"/>
    </row>
    <row r="148" spans="1:26" ht="37.5" hidden="1">
      <c r="A148" s="339">
        <v>141</v>
      </c>
      <c r="B148" s="338" t="s">
        <v>1005</v>
      </c>
      <c r="C148" s="340">
        <v>39813</v>
      </c>
      <c r="D148" s="338" t="s">
        <v>4814</v>
      </c>
      <c r="E148" s="341" t="s">
        <v>4798</v>
      </c>
      <c r="F148" s="338"/>
      <c r="G148" s="338"/>
      <c r="H148" s="339" t="s">
        <v>249</v>
      </c>
      <c r="I148" s="339">
        <v>1</v>
      </c>
      <c r="J148" s="342">
        <v>21260329</v>
      </c>
      <c r="K148" s="342">
        <v>2126027</v>
      </c>
      <c r="L148" s="342">
        <v>0</v>
      </c>
      <c r="M148" s="343">
        <v>0</v>
      </c>
      <c r="N148" s="343">
        <v>0</v>
      </c>
      <c r="O148" s="343">
        <v>0</v>
      </c>
      <c r="P148" s="338" t="s">
        <v>3480</v>
      </c>
      <c r="Q148" s="339" t="s">
        <v>206</v>
      </c>
      <c r="R148" s="339" t="s">
        <v>1330</v>
      </c>
      <c r="S148" s="341" t="s">
        <v>4731</v>
      </c>
      <c r="T148" s="338"/>
      <c r="U148" s="327"/>
      <c r="V148" s="327"/>
      <c r="W148" s="327"/>
      <c r="X148" s="327"/>
      <c r="Y148" s="327"/>
      <c r="Z148" s="330"/>
    </row>
    <row r="149" spans="1:26" ht="37.5" hidden="1">
      <c r="A149" s="339">
        <v>142</v>
      </c>
      <c r="B149" s="338" t="s">
        <v>1005</v>
      </c>
      <c r="C149" s="340">
        <v>39813</v>
      </c>
      <c r="D149" s="338" t="s">
        <v>4815</v>
      </c>
      <c r="E149" s="341" t="s">
        <v>4798</v>
      </c>
      <c r="F149" s="338"/>
      <c r="G149" s="338"/>
      <c r="H149" s="339" t="s">
        <v>249</v>
      </c>
      <c r="I149" s="339">
        <v>1</v>
      </c>
      <c r="J149" s="342">
        <v>21260334</v>
      </c>
      <c r="K149" s="342">
        <v>2126030</v>
      </c>
      <c r="L149" s="342">
        <v>0</v>
      </c>
      <c r="M149" s="343">
        <v>0</v>
      </c>
      <c r="N149" s="343">
        <v>0</v>
      </c>
      <c r="O149" s="343">
        <v>0</v>
      </c>
      <c r="P149" s="338" t="s">
        <v>3480</v>
      </c>
      <c r="Q149" s="339" t="s">
        <v>206</v>
      </c>
      <c r="R149" s="339" t="s">
        <v>1330</v>
      </c>
      <c r="S149" s="341" t="s">
        <v>4731</v>
      </c>
      <c r="T149" s="338"/>
      <c r="U149" s="327"/>
      <c r="V149" s="327"/>
      <c r="W149" s="327"/>
      <c r="X149" s="327"/>
      <c r="Y149" s="327"/>
      <c r="Z149" s="330"/>
    </row>
    <row r="150" spans="1:26" ht="62.5">
      <c r="A150" s="339">
        <v>143</v>
      </c>
      <c r="B150" s="338" t="s">
        <v>1511</v>
      </c>
      <c r="C150" s="340">
        <v>40170</v>
      </c>
      <c r="D150" s="338" t="s">
        <v>4816</v>
      </c>
      <c r="E150" s="341" t="s">
        <v>3600</v>
      </c>
      <c r="F150" s="341" t="s">
        <v>4817</v>
      </c>
      <c r="G150" s="338"/>
      <c r="H150" s="339" t="s">
        <v>249</v>
      </c>
      <c r="I150" s="339">
        <v>1</v>
      </c>
      <c r="J150" s="342">
        <v>19694917</v>
      </c>
      <c r="K150" s="342">
        <v>5908464</v>
      </c>
      <c r="L150" s="342">
        <v>0</v>
      </c>
      <c r="M150" s="343">
        <v>0</v>
      </c>
      <c r="N150" s="343">
        <v>0</v>
      </c>
      <c r="O150" s="343">
        <v>0</v>
      </c>
      <c r="P150" s="338" t="s">
        <v>3480</v>
      </c>
      <c r="Q150" s="339" t="s">
        <v>20</v>
      </c>
      <c r="R150" s="339" t="s">
        <v>423</v>
      </c>
      <c r="S150" s="363" t="s">
        <v>4818</v>
      </c>
      <c r="T150" s="338"/>
      <c r="U150" s="327"/>
      <c r="V150" s="327"/>
      <c r="W150" s="327"/>
      <c r="X150" s="327"/>
      <c r="Y150" s="327"/>
      <c r="Z150" s="330"/>
    </row>
    <row r="151" spans="1:26" ht="63" hidden="1">
      <c r="A151" s="339">
        <v>144</v>
      </c>
      <c r="B151" s="338" t="s">
        <v>1511</v>
      </c>
      <c r="C151" s="340">
        <v>40170</v>
      </c>
      <c r="D151" s="338" t="s">
        <v>3602</v>
      </c>
      <c r="E151" s="341" t="s">
        <v>3600</v>
      </c>
      <c r="F151" s="341" t="s">
        <v>4819</v>
      </c>
      <c r="G151" s="338"/>
      <c r="H151" s="339" t="s">
        <v>249</v>
      </c>
      <c r="I151" s="339">
        <v>1</v>
      </c>
      <c r="J151" s="342">
        <v>19694917</v>
      </c>
      <c r="K151" s="342">
        <v>5908464</v>
      </c>
      <c r="L151" s="342">
        <v>0</v>
      </c>
      <c r="M151" s="343">
        <v>0</v>
      </c>
      <c r="N151" s="343">
        <v>0</v>
      </c>
      <c r="O151" s="343">
        <v>0</v>
      </c>
      <c r="P151" s="338" t="s">
        <v>3480</v>
      </c>
      <c r="Q151" s="339" t="s">
        <v>20</v>
      </c>
      <c r="R151" s="346" t="s">
        <v>229</v>
      </c>
      <c r="S151" s="341" t="str">
        <f>IFERROR(VLOOKUP(D151, CCDC_XUAN!$D$16:$S$693, 16, 0), "Không tìm thấy")</f>
        <v>A1 - Rack 4</v>
      </c>
      <c r="T151" s="364" t="s">
        <v>4820</v>
      </c>
      <c r="U151" s="345" t="s">
        <v>4821</v>
      </c>
      <c r="V151" s="327"/>
      <c r="W151" s="327"/>
      <c r="X151" s="327"/>
      <c r="Y151" s="327"/>
      <c r="Z151" s="330"/>
    </row>
    <row r="152" spans="1:26" ht="62.5">
      <c r="A152" s="339">
        <v>145</v>
      </c>
      <c r="B152" s="338" t="s">
        <v>1511</v>
      </c>
      <c r="C152" s="340">
        <v>40170</v>
      </c>
      <c r="D152" s="338" t="s">
        <v>4822</v>
      </c>
      <c r="E152" s="341" t="s">
        <v>3600</v>
      </c>
      <c r="F152" s="341" t="s">
        <v>4823</v>
      </c>
      <c r="G152" s="338"/>
      <c r="H152" s="339" t="s">
        <v>249</v>
      </c>
      <c r="I152" s="339">
        <v>1</v>
      </c>
      <c r="J152" s="342">
        <v>19694917</v>
      </c>
      <c r="K152" s="342">
        <v>5908464</v>
      </c>
      <c r="L152" s="342">
        <v>0</v>
      </c>
      <c r="M152" s="343">
        <v>0</v>
      </c>
      <c r="N152" s="343">
        <v>0</v>
      </c>
      <c r="O152" s="343">
        <v>0</v>
      </c>
      <c r="P152" s="338" t="s">
        <v>3480</v>
      </c>
      <c r="Q152" s="339" t="s">
        <v>20</v>
      </c>
      <c r="R152" s="339" t="s">
        <v>423</v>
      </c>
      <c r="S152" s="363" t="s">
        <v>4824</v>
      </c>
      <c r="T152" s="338"/>
      <c r="U152" s="327"/>
      <c r="V152" s="327"/>
      <c r="W152" s="327"/>
      <c r="X152" s="327"/>
      <c r="Y152" s="327"/>
      <c r="Z152" s="330"/>
    </row>
    <row r="153" spans="1:26" ht="62.5">
      <c r="A153" s="339">
        <v>146</v>
      </c>
      <c r="B153" s="338" t="s">
        <v>1511</v>
      </c>
      <c r="C153" s="340">
        <v>40170</v>
      </c>
      <c r="D153" s="338" t="s">
        <v>4825</v>
      </c>
      <c r="E153" s="341" t="s">
        <v>3600</v>
      </c>
      <c r="F153" s="341" t="s">
        <v>4826</v>
      </c>
      <c r="G153" s="338"/>
      <c r="H153" s="339" t="s">
        <v>249</v>
      </c>
      <c r="I153" s="339">
        <v>1</v>
      </c>
      <c r="J153" s="342">
        <v>19694917</v>
      </c>
      <c r="K153" s="342">
        <v>5908464</v>
      </c>
      <c r="L153" s="342">
        <v>0</v>
      </c>
      <c r="M153" s="343">
        <v>0</v>
      </c>
      <c r="N153" s="343">
        <v>0</v>
      </c>
      <c r="O153" s="343">
        <v>0</v>
      </c>
      <c r="P153" s="338" t="s">
        <v>3480</v>
      </c>
      <c r="Q153" s="339" t="s">
        <v>20</v>
      </c>
      <c r="R153" s="339" t="s">
        <v>423</v>
      </c>
      <c r="S153" s="341" t="s">
        <v>4818</v>
      </c>
      <c r="T153" s="338"/>
      <c r="U153" s="327"/>
      <c r="V153" s="327"/>
      <c r="W153" s="327"/>
      <c r="X153" s="327"/>
      <c r="Y153" s="327"/>
      <c r="Z153" s="330"/>
    </row>
    <row r="154" spans="1:26" ht="50" hidden="1">
      <c r="A154" s="339">
        <v>147</v>
      </c>
      <c r="B154" s="338" t="s">
        <v>1511</v>
      </c>
      <c r="C154" s="340">
        <v>40170</v>
      </c>
      <c r="D154" s="338" t="s">
        <v>4827</v>
      </c>
      <c r="E154" s="341" t="s">
        <v>3605</v>
      </c>
      <c r="F154" s="341" t="s">
        <v>4828</v>
      </c>
      <c r="G154" s="338"/>
      <c r="H154" s="339" t="s">
        <v>249</v>
      </c>
      <c r="I154" s="339">
        <v>1</v>
      </c>
      <c r="J154" s="342">
        <v>19694917</v>
      </c>
      <c r="K154" s="342">
        <v>5908464</v>
      </c>
      <c r="L154" s="342">
        <v>0</v>
      </c>
      <c r="M154" s="343">
        <v>0</v>
      </c>
      <c r="N154" s="343">
        <v>0</v>
      </c>
      <c r="O154" s="343">
        <v>0</v>
      </c>
      <c r="P154" s="338" t="s">
        <v>3480</v>
      </c>
      <c r="Q154" s="339" t="s">
        <v>206</v>
      </c>
      <c r="R154" s="339" t="s">
        <v>1514</v>
      </c>
      <c r="S154" s="341" t="s">
        <v>3606</v>
      </c>
      <c r="T154" s="338"/>
      <c r="U154" s="327"/>
      <c r="V154" s="327"/>
      <c r="W154" s="327"/>
      <c r="X154" s="327"/>
      <c r="Y154" s="327"/>
      <c r="Z154" s="330"/>
    </row>
    <row r="155" spans="1:26" ht="37.5">
      <c r="A155" s="339">
        <v>148</v>
      </c>
      <c r="B155" s="338" t="s">
        <v>1137</v>
      </c>
      <c r="C155" s="340">
        <v>40441</v>
      </c>
      <c r="D155" s="338" t="s">
        <v>4829</v>
      </c>
      <c r="E155" s="341" t="s">
        <v>3607</v>
      </c>
      <c r="F155" s="338"/>
      <c r="G155" s="338"/>
      <c r="H155" s="339" t="s">
        <v>569</v>
      </c>
      <c r="I155" s="339">
        <v>1</v>
      </c>
      <c r="J155" s="342">
        <v>26719500</v>
      </c>
      <c r="K155" s="342">
        <v>12023775</v>
      </c>
      <c r="L155" s="342">
        <v>0</v>
      </c>
      <c r="M155" s="343">
        <v>0</v>
      </c>
      <c r="N155" s="343">
        <v>0</v>
      </c>
      <c r="O155" s="343">
        <v>0</v>
      </c>
      <c r="P155" s="338"/>
      <c r="Q155" s="339" t="s">
        <v>20</v>
      </c>
      <c r="R155" s="339" t="s">
        <v>423</v>
      </c>
      <c r="S155" s="341" t="s">
        <v>3608</v>
      </c>
      <c r="T155" s="338"/>
      <c r="U155" s="327"/>
      <c r="V155" s="327"/>
      <c r="W155" s="327"/>
      <c r="X155" s="327"/>
      <c r="Y155" s="327"/>
      <c r="Z155" s="330"/>
    </row>
    <row r="156" spans="1:26" ht="37.5" hidden="1">
      <c r="A156" s="339">
        <v>149</v>
      </c>
      <c r="B156" s="338" t="s">
        <v>1137</v>
      </c>
      <c r="C156" s="340">
        <v>40441</v>
      </c>
      <c r="D156" s="338" t="s">
        <v>4830</v>
      </c>
      <c r="E156" s="341" t="s">
        <v>3607</v>
      </c>
      <c r="F156" s="338"/>
      <c r="G156" s="338"/>
      <c r="H156" s="339" t="s">
        <v>569</v>
      </c>
      <c r="I156" s="339">
        <v>1</v>
      </c>
      <c r="J156" s="342">
        <v>26719500</v>
      </c>
      <c r="K156" s="342">
        <v>12023775</v>
      </c>
      <c r="L156" s="342">
        <v>0</v>
      </c>
      <c r="M156" s="343">
        <v>0</v>
      </c>
      <c r="N156" s="343">
        <v>0</v>
      </c>
      <c r="O156" s="343">
        <v>0</v>
      </c>
      <c r="P156" s="338"/>
      <c r="Q156" s="339" t="s">
        <v>20</v>
      </c>
      <c r="R156" s="339" t="s">
        <v>295</v>
      </c>
      <c r="S156" s="341" t="s">
        <v>2077</v>
      </c>
      <c r="T156" s="338"/>
      <c r="U156" s="327"/>
      <c r="V156" s="327"/>
      <c r="W156" s="327"/>
      <c r="X156" s="327"/>
      <c r="Y156" s="327"/>
      <c r="Z156" s="330"/>
    </row>
    <row r="157" spans="1:26" ht="25" hidden="1">
      <c r="A157" s="347">
        <v>150</v>
      </c>
      <c r="B157" s="338" t="s">
        <v>893</v>
      </c>
      <c r="C157" s="348">
        <v>40715</v>
      </c>
      <c r="D157" s="338" t="s">
        <v>4831</v>
      </c>
      <c r="E157" s="349" t="s">
        <v>3609</v>
      </c>
      <c r="F157" s="349" t="s">
        <v>3610</v>
      </c>
      <c r="G157" s="338" t="s">
        <v>248</v>
      </c>
      <c r="H157" s="347" t="s">
        <v>19</v>
      </c>
      <c r="I157" s="347">
        <v>1</v>
      </c>
      <c r="J157" s="342">
        <v>12570000</v>
      </c>
      <c r="K157" s="342">
        <v>7542000</v>
      </c>
      <c r="L157" s="342">
        <v>0</v>
      </c>
      <c r="M157" s="343">
        <v>0</v>
      </c>
      <c r="N157" s="343">
        <v>0</v>
      </c>
      <c r="O157" s="343">
        <v>0</v>
      </c>
      <c r="P157" s="221" t="s">
        <v>3480</v>
      </c>
      <c r="Q157" s="347" t="s">
        <v>20</v>
      </c>
      <c r="R157" s="347" t="s">
        <v>21</v>
      </c>
      <c r="S157" s="349" t="s">
        <v>22</v>
      </c>
      <c r="T157" s="338"/>
      <c r="U157" s="351" t="s">
        <v>4663</v>
      </c>
      <c r="V157" s="327"/>
      <c r="W157" s="327"/>
      <c r="X157" s="327"/>
      <c r="Y157" s="327"/>
      <c r="Z157" s="330"/>
    </row>
    <row r="158" spans="1:26" ht="37.5" hidden="1">
      <c r="A158" s="347">
        <v>151</v>
      </c>
      <c r="B158" s="338" t="s">
        <v>3611</v>
      </c>
      <c r="C158" s="348">
        <v>40793</v>
      </c>
      <c r="D158" s="338" t="s">
        <v>4832</v>
      </c>
      <c r="E158" s="349" t="s">
        <v>4833</v>
      </c>
      <c r="F158" s="349" t="s">
        <v>4834</v>
      </c>
      <c r="G158" s="338" t="s">
        <v>248</v>
      </c>
      <c r="H158" s="347" t="s">
        <v>249</v>
      </c>
      <c r="I158" s="347">
        <v>1</v>
      </c>
      <c r="J158" s="342">
        <v>20121889</v>
      </c>
      <c r="K158" s="342">
        <v>13079224</v>
      </c>
      <c r="L158" s="342">
        <v>0</v>
      </c>
      <c r="M158" s="343">
        <v>0</v>
      </c>
      <c r="N158" s="343">
        <v>0</v>
      </c>
      <c r="O158" s="343">
        <v>0</v>
      </c>
      <c r="P158" s="221" t="s">
        <v>3480</v>
      </c>
      <c r="Q158" s="347" t="s">
        <v>20</v>
      </c>
      <c r="R158" s="347" t="s">
        <v>21</v>
      </c>
      <c r="S158" s="349" t="s">
        <v>22</v>
      </c>
      <c r="T158" s="338"/>
      <c r="U158" s="351" t="s">
        <v>4663</v>
      </c>
      <c r="V158" s="327"/>
      <c r="W158" s="327"/>
      <c r="X158" s="327"/>
      <c r="Y158" s="327"/>
      <c r="Z158" s="330"/>
    </row>
    <row r="159" spans="1:26" ht="50" hidden="1">
      <c r="A159" s="339">
        <v>152</v>
      </c>
      <c r="B159" s="338" t="s">
        <v>2340</v>
      </c>
      <c r="C159" s="340">
        <v>37987</v>
      </c>
      <c r="D159" s="338" t="s">
        <v>3613</v>
      </c>
      <c r="E159" s="341" t="s">
        <v>3614</v>
      </c>
      <c r="F159" s="338"/>
      <c r="G159" s="338"/>
      <c r="H159" s="339" t="s">
        <v>249</v>
      </c>
      <c r="I159" s="339">
        <v>1</v>
      </c>
      <c r="J159" s="342">
        <v>5747588</v>
      </c>
      <c r="K159" s="342">
        <v>0</v>
      </c>
      <c r="L159" s="342">
        <v>0</v>
      </c>
      <c r="M159" s="343">
        <v>0</v>
      </c>
      <c r="N159" s="343">
        <v>0</v>
      </c>
      <c r="O159" s="343">
        <v>0</v>
      </c>
      <c r="P159" s="338" t="s">
        <v>3400</v>
      </c>
      <c r="Q159" s="339" t="s">
        <v>20</v>
      </c>
      <c r="R159" s="346" t="s">
        <v>229</v>
      </c>
      <c r="S159" s="341" t="str">
        <f>IFERROR(VLOOKUP(D159, CCDC_XUAN!$D$16:$S$693, 16, 0), "Không tìm thấy")</f>
        <v>pHTKT tủ CQ</v>
      </c>
      <c r="T159" s="338"/>
      <c r="U159" s="327"/>
      <c r="V159" s="327"/>
      <c r="W159" s="327"/>
      <c r="X159" s="327"/>
      <c r="Y159" s="327"/>
      <c r="Z159" s="330"/>
    </row>
    <row r="160" spans="1:26" ht="50" hidden="1">
      <c r="A160" s="347">
        <v>153</v>
      </c>
      <c r="B160" s="338" t="s">
        <v>2340</v>
      </c>
      <c r="C160" s="348">
        <v>37987</v>
      </c>
      <c r="D160" s="338" t="s">
        <v>4835</v>
      </c>
      <c r="E160" s="349" t="s">
        <v>3614</v>
      </c>
      <c r="F160" s="338"/>
      <c r="G160" s="338"/>
      <c r="H160" s="347" t="s">
        <v>249</v>
      </c>
      <c r="I160" s="347">
        <v>1</v>
      </c>
      <c r="J160" s="342">
        <v>5747588</v>
      </c>
      <c r="K160" s="342">
        <v>0</v>
      </c>
      <c r="L160" s="342">
        <v>0</v>
      </c>
      <c r="M160" s="343">
        <v>0</v>
      </c>
      <c r="N160" s="343">
        <v>0</v>
      </c>
      <c r="O160" s="343">
        <v>0</v>
      </c>
      <c r="P160" s="221" t="s">
        <v>3400</v>
      </c>
      <c r="Q160" s="347" t="s">
        <v>20</v>
      </c>
      <c r="R160" s="347" t="s">
        <v>21</v>
      </c>
      <c r="S160" s="349" t="s">
        <v>22</v>
      </c>
      <c r="T160" s="338"/>
      <c r="U160" s="327"/>
      <c r="V160" s="327"/>
      <c r="W160" s="327"/>
      <c r="X160" s="327"/>
      <c r="Y160" s="327"/>
      <c r="Z160" s="330"/>
    </row>
    <row r="161" spans="1:26" ht="37.5" hidden="1">
      <c r="A161" s="339">
        <v>154</v>
      </c>
      <c r="B161" s="338" t="s">
        <v>2340</v>
      </c>
      <c r="C161" s="340">
        <v>37987</v>
      </c>
      <c r="D161" s="338" t="s">
        <v>4836</v>
      </c>
      <c r="E161" s="341" t="s">
        <v>3616</v>
      </c>
      <c r="F161" s="338"/>
      <c r="G161" s="338"/>
      <c r="H161" s="339" t="s">
        <v>249</v>
      </c>
      <c r="I161" s="339">
        <v>1</v>
      </c>
      <c r="J161" s="342">
        <v>8236419</v>
      </c>
      <c r="K161" s="342">
        <v>0</v>
      </c>
      <c r="L161" s="342">
        <v>0</v>
      </c>
      <c r="M161" s="343">
        <v>0</v>
      </c>
      <c r="N161" s="343">
        <v>0</v>
      </c>
      <c r="O161" s="343">
        <v>0</v>
      </c>
      <c r="P161" s="338" t="s">
        <v>3400</v>
      </c>
      <c r="Q161" s="339" t="s">
        <v>206</v>
      </c>
      <c r="R161" s="339" t="s">
        <v>1514</v>
      </c>
      <c r="S161" s="341" t="s">
        <v>3617</v>
      </c>
      <c r="T161" s="338"/>
      <c r="U161" s="327"/>
      <c r="V161" s="327"/>
      <c r="W161" s="327"/>
      <c r="X161" s="327"/>
      <c r="Y161" s="327"/>
      <c r="Z161" s="330"/>
    </row>
    <row r="162" spans="1:26" ht="25" hidden="1">
      <c r="A162" s="339">
        <v>155</v>
      </c>
      <c r="B162" s="338" t="s">
        <v>1386</v>
      </c>
      <c r="C162" s="340">
        <v>36526</v>
      </c>
      <c r="D162" s="362" t="s">
        <v>4837</v>
      </c>
      <c r="E162" s="341" t="s">
        <v>3618</v>
      </c>
      <c r="F162" s="341" t="s">
        <v>3619</v>
      </c>
      <c r="G162" s="338"/>
      <c r="H162" s="339" t="s">
        <v>3620</v>
      </c>
      <c r="I162" s="339">
        <v>1</v>
      </c>
      <c r="J162" s="342">
        <v>18921389</v>
      </c>
      <c r="K162" s="342">
        <v>0</v>
      </c>
      <c r="L162" s="342">
        <v>0</v>
      </c>
      <c r="M162" s="343">
        <v>0</v>
      </c>
      <c r="N162" s="343">
        <v>0</v>
      </c>
      <c r="O162" s="343">
        <v>0</v>
      </c>
      <c r="P162" s="338"/>
      <c r="Q162" s="339" t="s">
        <v>20</v>
      </c>
      <c r="R162" s="339" t="s">
        <v>284</v>
      </c>
      <c r="S162" s="341" t="s">
        <v>3621</v>
      </c>
      <c r="T162" s="338"/>
      <c r="U162" s="327"/>
      <c r="V162" s="327"/>
      <c r="W162" s="327"/>
      <c r="X162" s="327"/>
      <c r="Y162" s="327"/>
      <c r="Z162" s="330"/>
    </row>
    <row r="163" spans="1:26" ht="25" hidden="1">
      <c r="A163" s="339">
        <v>156</v>
      </c>
      <c r="B163" s="338" t="s">
        <v>1386</v>
      </c>
      <c r="C163" s="340">
        <v>36526</v>
      </c>
      <c r="D163" s="338" t="s">
        <v>3622</v>
      </c>
      <c r="E163" s="341" t="s">
        <v>3618</v>
      </c>
      <c r="F163" s="341" t="s">
        <v>3623</v>
      </c>
      <c r="G163" s="338"/>
      <c r="H163" s="339" t="s">
        <v>3620</v>
      </c>
      <c r="I163" s="339">
        <v>1</v>
      </c>
      <c r="J163" s="342">
        <v>18921389</v>
      </c>
      <c r="K163" s="342">
        <v>0</v>
      </c>
      <c r="L163" s="342">
        <v>0</v>
      </c>
      <c r="M163" s="343">
        <v>0</v>
      </c>
      <c r="N163" s="343">
        <v>0</v>
      </c>
      <c r="O163" s="343">
        <v>0</v>
      </c>
      <c r="P163" s="338"/>
      <c r="Q163" s="339" t="s">
        <v>20</v>
      </c>
      <c r="R163" s="346" t="s">
        <v>229</v>
      </c>
      <c r="S163" s="341" t="str">
        <f>IFERROR(VLOOKUP(D163, CCDC_XUAN!$D$16:$S$693, 16, 0), "Không tìm thấy")</f>
        <v>LOA TRÁI - LOA PHẢI. A2 CONTROL</v>
      </c>
      <c r="T163" s="338"/>
      <c r="U163" s="327"/>
      <c r="V163" s="327"/>
      <c r="W163" s="327"/>
      <c r="X163" s="327"/>
      <c r="Y163" s="327"/>
      <c r="Z163" s="330"/>
    </row>
    <row r="164" spans="1:26" ht="37.5" hidden="1">
      <c r="A164" s="347">
        <v>157</v>
      </c>
      <c r="B164" s="338" t="s">
        <v>1482</v>
      </c>
      <c r="C164" s="348">
        <v>39952</v>
      </c>
      <c r="D164" s="338" t="s">
        <v>4838</v>
      </c>
      <c r="E164" s="349" t="s">
        <v>3625</v>
      </c>
      <c r="F164" s="349" t="s">
        <v>4839</v>
      </c>
      <c r="G164" s="338" t="s">
        <v>3626</v>
      </c>
      <c r="H164" s="338"/>
      <c r="I164" s="347">
        <v>1</v>
      </c>
      <c r="J164" s="342">
        <v>17367936</v>
      </c>
      <c r="K164" s="342">
        <v>3473575</v>
      </c>
      <c r="L164" s="342">
        <v>0</v>
      </c>
      <c r="M164" s="343">
        <v>0</v>
      </c>
      <c r="N164" s="343">
        <v>0</v>
      </c>
      <c r="O164" s="343">
        <v>0</v>
      </c>
      <c r="P164" s="338"/>
      <c r="Q164" s="347" t="s">
        <v>20</v>
      </c>
      <c r="R164" s="347" t="s">
        <v>21</v>
      </c>
      <c r="S164" s="349" t="s">
        <v>22</v>
      </c>
      <c r="T164" s="338"/>
      <c r="U164" s="351" t="s">
        <v>4663</v>
      </c>
      <c r="V164" s="327"/>
      <c r="W164" s="327"/>
      <c r="X164" s="327"/>
      <c r="Y164" s="327"/>
      <c r="Z164" s="330"/>
    </row>
    <row r="165" spans="1:26" ht="37.5" hidden="1">
      <c r="A165" s="339">
        <v>158</v>
      </c>
      <c r="B165" s="338" t="s">
        <v>1482</v>
      </c>
      <c r="C165" s="340">
        <v>39952</v>
      </c>
      <c r="D165" s="338" t="s">
        <v>3627</v>
      </c>
      <c r="E165" s="341" t="s">
        <v>3625</v>
      </c>
      <c r="F165" s="341" t="s">
        <v>4840</v>
      </c>
      <c r="G165" s="338" t="s">
        <v>3626</v>
      </c>
      <c r="H165" s="338"/>
      <c r="I165" s="339">
        <v>1</v>
      </c>
      <c r="J165" s="342">
        <v>17367936</v>
      </c>
      <c r="K165" s="342">
        <v>3473575</v>
      </c>
      <c r="L165" s="342">
        <v>0</v>
      </c>
      <c r="M165" s="343">
        <v>0</v>
      </c>
      <c r="N165" s="343">
        <v>0</v>
      </c>
      <c r="O165" s="343">
        <v>0</v>
      </c>
      <c r="P165" s="338"/>
      <c r="Q165" s="339" t="s">
        <v>20</v>
      </c>
      <c r="R165" s="346" t="s">
        <v>229</v>
      </c>
      <c r="S165" s="341" t="str">
        <f>IFERROR(VLOOKUP(D165, CCDC_XUAN!$D$16:$S$693, 16, 0), "Không tìm thấy")</f>
        <v>BOOM TRÁI A2 PHÒNG HIỆN</v>
      </c>
      <c r="T165" s="338"/>
      <c r="U165" s="327"/>
      <c r="V165" s="327"/>
      <c r="W165" s="327"/>
      <c r="X165" s="327"/>
      <c r="Y165" s="327"/>
      <c r="Z165" s="330"/>
    </row>
    <row r="166" spans="1:26" ht="25" hidden="1">
      <c r="A166" s="339">
        <v>159</v>
      </c>
      <c r="B166" s="338" t="s">
        <v>1516</v>
      </c>
      <c r="C166" s="340">
        <v>40144</v>
      </c>
      <c r="D166" s="362" t="s">
        <v>4841</v>
      </c>
      <c r="E166" s="341" t="s">
        <v>3629</v>
      </c>
      <c r="F166" s="341" t="s">
        <v>3630</v>
      </c>
      <c r="G166" s="338" t="s">
        <v>248</v>
      </c>
      <c r="H166" s="339" t="s">
        <v>19</v>
      </c>
      <c r="I166" s="339">
        <v>1</v>
      </c>
      <c r="J166" s="342">
        <v>23049633</v>
      </c>
      <c r="K166" s="342">
        <v>9219840</v>
      </c>
      <c r="L166" s="342">
        <v>0</v>
      </c>
      <c r="M166" s="343">
        <v>0</v>
      </c>
      <c r="N166" s="343">
        <v>0</v>
      </c>
      <c r="O166" s="343">
        <v>0</v>
      </c>
      <c r="P166" s="338" t="s">
        <v>3480</v>
      </c>
      <c r="Q166" s="339" t="s">
        <v>20</v>
      </c>
      <c r="R166" s="339" t="s">
        <v>233</v>
      </c>
      <c r="S166" s="341" t="s">
        <v>3631</v>
      </c>
      <c r="T166" s="338"/>
      <c r="U166" s="327"/>
      <c r="V166" s="327"/>
      <c r="W166" s="327"/>
      <c r="X166" s="327"/>
      <c r="Y166" s="327"/>
      <c r="Z166" s="330"/>
    </row>
    <row r="167" spans="1:26" ht="37.5" hidden="1">
      <c r="A167" s="339">
        <v>160</v>
      </c>
      <c r="B167" s="338" t="s">
        <v>4842</v>
      </c>
      <c r="C167" s="340">
        <v>39021</v>
      </c>
      <c r="D167" s="338" t="s">
        <v>3632</v>
      </c>
      <c r="E167" s="341" t="s">
        <v>3633</v>
      </c>
      <c r="F167" s="341" t="s">
        <v>4843</v>
      </c>
      <c r="G167" s="338"/>
      <c r="H167" s="338"/>
      <c r="I167" s="339">
        <v>1</v>
      </c>
      <c r="J167" s="342">
        <v>12648557</v>
      </c>
      <c r="K167" s="342">
        <v>0</v>
      </c>
      <c r="L167" s="342">
        <v>0</v>
      </c>
      <c r="M167" s="343">
        <v>0</v>
      </c>
      <c r="N167" s="343">
        <v>0</v>
      </c>
      <c r="O167" s="343">
        <v>0</v>
      </c>
      <c r="P167" s="338"/>
      <c r="Q167" s="339" t="s">
        <v>20</v>
      </c>
      <c r="R167" s="346" t="s">
        <v>229</v>
      </c>
      <c r="S167" s="341" t="str">
        <f>IFERROR(VLOOKUP(D167, CCDC_XUAN!$D$16:$S$693, 16, 0), "Không tìm thấy")</f>
        <v>pHTKT tủ CQ</v>
      </c>
      <c r="T167" s="338"/>
      <c r="U167" s="327"/>
      <c r="V167" s="327"/>
      <c r="W167" s="327"/>
      <c r="X167" s="327"/>
      <c r="Y167" s="327"/>
      <c r="Z167" s="330"/>
    </row>
    <row r="168" spans="1:26" ht="25" hidden="1">
      <c r="A168" s="339">
        <v>161</v>
      </c>
      <c r="B168" s="338" t="s">
        <v>3591</v>
      </c>
      <c r="C168" s="340">
        <v>39253</v>
      </c>
      <c r="D168" s="338" t="s">
        <v>4844</v>
      </c>
      <c r="E168" s="341" t="s">
        <v>3634</v>
      </c>
      <c r="F168" s="338"/>
      <c r="G168" s="338" t="s">
        <v>407</v>
      </c>
      <c r="H168" s="339" t="s">
        <v>249</v>
      </c>
      <c r="I168" s="339">
        <v>1</v>
      </c>
      <c r="J168" s="342">
        <v>9174616</v>
      </c>
      <c r="K168" s="342">
        <v>382284</v>
      </c>
      <c r="L168" s="342">
        <v>0</v>
      </c>
      <c r="M168" s="343">
        <v>0</v>
      </c>
      <c r="N168" s="343">
        <v>0</v>
      </c>
      <c r="O168" s="343">
        <v>0</v>
      </c>
      <c r="P168" s="338"/>
      <c r="Q168" s="339" t="s">
        <v>206</v>
      </c>
      <c r="R168" s="339" t="s">
        <v>3635</v>
      </c>
      <c r="S168" s="341" t="s">
        <v>3636</v>
      </c>
      <c r="T168" s="338"/>
      <c r="U168" s="327"/>
      <c r="V168" s="327"/>
      <c r="W168" s="327"/>
      <c r="X168" s="327"/>
      <c r="Y168" s="327"/>
      <c r="Z168" s="330"/>
    </row>
    <row r="169" spans="1:26" ht="50" hidden="1">
      <c r="A169" s="339">
        <v>162</v>
      </c>
      <c r="B169" s="338" t="s">
        <v>3591</v>
      </c>
      <c r="C169" s="340">
        <v>39253</v>
      </c>
      <c r="D169" s="338" t="s">
        <v>4845</v>
      </c>
      <c r="E169" s="341" t="s">
        <v>3637</v>
      </c>
      <c r="F169" s="338"/>
      <c r="G169" s="338" t="s">
        <v>3626</v>
      </c>
      <c r="H169" s="339" t="s">
        <v>19</v>
      </c>
      <c r="I169" s="339">
        <v>1</v>
      </c>
      <c r="J169" s="342">
        <v>13573675</v>
      </c>
      <c r="K169" s="342">
        <v>565567</v>
      </c>
      <c r="L169" s="342">
        <v>0</v>
      </c>
      <c r="M169" s="343">
        <v>0</v>
      </c>
      <c r="N169" s="343">
        <v>0</v>
      </c>
      <c r="O169" s="343">
        <v>0</v>
      </c>
      <c r="P169" s="338"/>
      <c r="Q169" s="339" t="s">
        <v>20</v>
      </c>
      <c r="R169" s="339" t="s">
        <v>233</v>
      </c>
      <c r="S169" s="341" t="s">
        <v>3638</v>
      </c>
      <c r="T169" s="338"/>
      <c r="U169" s="327"/>
      <c r="V169" s="327"/>
      <c r="W169" s="327"/>
      <c r="X169" s="327"/>
      <c r="Y169" s="327"/>
      <c r="Z169" s="330"/>
    </row>
    <row r="170" spans="1:26" ht="25" hidden="1">
      <c r="A170" s="339">
        <v>163</v>
      </c>
      <c r="B170" s="338" t="s">
        <v>3639</v>
      </c>
      <c r="C170" s="340">
        <v>39545</v>
      </c>
      <c r="D170" s="338" t="s">
        <v>3640</v>
      </c>
      <c r="E170" s="341" t="s">
        <v>3641</v>
      </c>
      <c r="F170" s="338"/>
      <c r="G170" s="338" t="s">
        <v>1008</v>
      </c>
      <c r="H170" s="339" t="s">
        <v>249</v>
      </c>
      <c r="I170" s="339">
        <v>1</v>
      </c>
      <c r="J170" s="342">
        <v>4954545</v>
      </c>
      <c r="K170" s="342">
        <v>206432</v>
      </c>
      <c r="L170" s="342">
        <v>0</v>
      </c>
      <c r="M170" s="343">
        <v>0</v>
      </c>
      <c r="N170" s="343">
        <v>0</v>
      </c>
      <c r="O170" s="343">
        <v>0</v>
      </c>
      <c r="P170" s="338" t="s">
        <v>3480</v>
      </c>
      <c r="Q170" s="339" t="s">
        <v>20</v>
      </c>
      <c r="R170" s="346" t="s">
        <v>229</v>
      </c>
      <c r="S170" s="341" t="str">
        <f>IFERROR(VLOOKUP(D170, CCDC_XUAN!$D$16:$S$693, 16, 0), "Không tìm thấy")</f>
        <v>A2-Control bàn Đạo diễn</v>
      </c>
      <c r="T170" s="338"/>
      <c r="U170" s="327"/>
      <c r="V170" s="327"/>
      <c r="W170" s="327"/>
      <c r="X170" s="327"/>
      <c r="Y170" s="327"/>
      <c r="Z170" s="330"/>
    </row>
    <row r="171" spans="1:26" ht="25">
      <c r="A171" s="339">
        <v>164</v>
      </c>
      <c r="B171" s="338" t="s">
        <v>3639</v>
      </c>
      <c r="C171" s="340">
        <v>39545</v>
      </c>
      <c r="D171" s="338" t="s">
        <v>4846</v>
      </c>
      <c r="E171" s="341" t="s">
        <v>3641</v>
      </c>
      <c r="F171" s="338"/>
      <c r="G171" s="338" t="s">
        <v>1008</v>
      </c>
      <c r="H171" s="339" t="s">
        <v>249</v>
      </c>
      <c r="I171" s="339">
        <v>1</v>
      </c>
      <c r="J171" s="342">
        <v>4954545</v>
      </c>
      <c r="K171" s="342">
        <v>206432</v>
      </c>
      <c r="L171" s="342">
        <v>0</v>
      </c>
      <c r="M171" s="343">
        <v>0</v>
      </c>
      <c r="N171" s="343">
        <v>0</v>
      </c>
      <c r="O171" s="343">
        <v>0</v>
      </c>
      <c r="P171" s="338" t="s">
        <v>3480</v>
      </c>
      <c r="Q171" s="339" t="s">
        <v>20</v>
      </c>
      <c r="R171" s="339" t="s">
        <v>423</v>
      </c>
      <c r="S171" s="341" t="s">
        <v>3643</v>
      </c>
      <c r="T171" s="338"/>
      <c r="U171" s="327"/>
      <c r="V171" s="327"/>
      <c r="W171" s="327"/>
      <c r="X171" s="327"/>
      <c r="Y171" s="327"/>
      <c r="Z171" s="330"/>
    </row>
    <row r="172" spans="1:26" ht="25" hidden="1">
      <c r="A172" s="339">
        <v>165</v>
      </c>
      <c r="B172" s="338" t="s">
        <v>1005</v>
      </c>
      <c r="C172" s="340">
        <v>39813</v>
      </c>
      <c r="D172" s="338" t="s">
        <v>4847</v>
      </c>
      <c r="E172" s="341" t="s">
        <v>3644</v>
      </c>
      <c r="F172" s="341" t="s">
        <v>4848</v>
      </c>
      <c r="G172" s="338" t="s">
        <v>55</v>
      </c>
      <c r="H172" s="339" t="s">
        <v>569</v>
      </c>
      <c r="I172" s="339">
        <v>1</v>
      </c>
      <c r="J172" s="342">
        <v>29227166</v>
      </c>
      <c r="K172" s="342">
        <v>2922730</v>
      </c>
      <c r="L172" s="342">
        <v>0</v>
      </c>
      <c r="M172" s="343">
        <v>0</v>
      </c>
      <c r="N172" s="343">
        <v>0</v>
      </c>
      <c r="O172" s="343">
        <v>0</v>
      </c>
      <c r="P172" s="338" t="s">
        <v>3480</v>
      </c>
      <c r="Q172" s="339" t="s">
        <v>206</v>
      </c>
      <c r="R172" s="339" t="s">
        <v>3635</v>
      </c>
      <c r="S172" s="341" t="s">
        <v>3645</v>
      </c>
      <c r="T172" s="338"/>
      <c r="U172" s="327"/>
      <c r="V172" s="327"/>
      <c r="W172" s="327"/>
      <c r="X172" s="327"/>
      <c r="Y172" s="327"/>
      <c r="Z172" s="330"/>
    </row>
    <row r="173" spans="1:26" ht="37.5" hidden="1">
      <c r="A173" s="339">
        <v>166</v>
      </c>
      <c r="B173" s="338" t="s">
        <v>3646</v>
      </c>
      <c r="C173" s="340">
        <v>40543</v>
      </c>
      <c r="D173" s="338" t="s">
        <v>3647</v>
      </c>
      <c r="E173" s="341" t="s">
        <v>3648</v>
      </c>
      <c r="F173" s="341" t="s">
        <v>4849</v>
      </c>
      <c r="G173" s="338" t="s">
        <v>55</v>
      </c>
      <c r="H173" s="339" t="s">
        <v>19</v>
      </c>
      <c r="I173" s="339">
        <v>1</v>
      </c>
      <c r="J173" s="342">
        <v>20513740</v>
      </c>
      <c r="K173" s="342">
        <v>10256860</v>
      </c>
      <c r="L173" s="342">
        <v>0</v>
      </c>
      <c r="M173" s="343">
        <v>0</v>
      </c>
      <c r="N173" s="343">
        <v>0</v>
      </c>
      <c r="O173" s="343">
        <v>0</v>
      </c>
      <c r="P173" s="338"/>
      <c r="Q173" s="339" t="s">
        <v>20</v>
      </c>
      <c r="R173" s="346" t="s">
        <v>229</v>
      </c>
      <c r="S173" s="341" t="str">
        <f>IFERROR(VLOOKUP(D173, CCDC_XUAN!$D$16:$S$693, 16, 0), "Không tìm thấy")</f>
        <v>tủ hồ sơ 1, Mic đã thanh lý</v>
      </c>
      <c r="T173" s="338"/>
      <c r="U173" s="327"/>
      <c r="V173" s="327"/>
      <c r="W173" s="327"/>
      <c r="X173" s="327"/>
      <c r="Y173" s="327"/>
      <c r="Z173" s="330"/>
    </row>
    <row r="174" spans="1:26" ht="25" hidden="1">
      <c r="A174" s="339">
        <v>167</v>
      </c>
      <c r="B174" s="338" t="s">
        <v>2910</v>
      </c>
      <c r="C174" s="340">
        <v>40652</v>
      </c>
      <c r="D174" s="362" t="s">
        <v>3650</v>
      </c>
      <c r="E174" s="341" t="s">
        <v>4850</v>
      </c>
      <c r="F174" s="338"/>
      <c r="G174" s="338" t="s">
        <v>3626</v>
      </c>
      <c r="H174" s="339" t="s">
        <v>249</v>
      </c>
      <c r="I174" s="339">
        <v>1</v>
      </c>
      <c r="J174" s="342">
        <v>10627256</v>
      </c>
      <c r="K174" s="342">
        <v>6022110</v>
      </c>
      <c r="L174" s="342">
        <v>0</v>
      </c>
      <c r="M174" s="343">
        <v>0</v>
      </c>
      <c r="N174" s="343">
        <v>0</v>
      </c>
      <c r="O174" s="343">
        <v>0</v>
      </c>
      <c r="P174" s="338"/>
      <c r="Q174" s="339" t="s">
        <v>20</v>
      </c>
      <c r="R174" s="346" t="s">
        <v>229</v>
      </c>
      <c r="S174" s="341" t="str">
        <f>IFERROR(VLOOKUP(D174, CCDC_XUAN!$D$16:$S$693, 16, 0), "Không tìm thấy")</f>
        <v>A2-MC: mic cóc</v>
      </c>
      <c r="T174" s="338"/>
      <c r="U174" s="327"/>
      <c r="V174" s="327"/>
      <c r="W174" s="327"/>
      <c r="X174" s="327"/>
      <c r="Y174" s="327"/>
      <c r="Z174" s="330"/>
    </row>
    <row r="175" spans="1:26" ht="25">
      <c r="A175" s="339">
        <v>168</v>
      </c>
      <c r="B175" s="338" t="s">
        <v>2910</v>
      </c>
      <c r="C175" s="340">
        <v>40652</v>
      </c>
      <c r="D175" s="362" t="s">
        <v>4851</v>
      </c>
      <c r="E175" s="341" t="s">
        <v>4850</v>
      </c>
      <c r="F175" s="338"/>
      <c r="G175" s="338" t="s">
        <v>3626</v>
      </c>
      <c r="H175" s="339" t="s">
        <v>249</v>
      </c>
      <c r="I175" s="339">
        <v>1</v>
      </c>
      <c r="J175" s="342">
        <v>10627256</v>
      </c>
      <c r="K175" s="342">
        <v>6022110</v>
      </c>
      <c r="L175" s="342">
        <v>0</v>
      </c>
      <c r="M175" s="343">
        <v>0</v>
      </c>
      <c r="N175" s="343">
        <v>0</v>
      </c>
      <c r="O175" s="343">
        <v>0</v>
      </c>
      <c r="P175" s="338"/>
      <c r="Q175" s="339" t="s">
        <v>20</v>
      </c>
      <c r="R175" s="339" t="s">
        <v>423</v>
      </c>
      <c r="S175" s="341" t="s">
        <v>3653</v>
      </c>
      <c r="T175" s="338"/>
      <c r="U175" s="327"/>
      <c r="V175" s="327"/>
      <c r="W175" s="327"/>
      <c r="X175" s="327"/>
      <c r="Y175" s="327"/>
      <c r="Z175" s="330"/>
    </row>
    <row r="176" spans="1:26" ht="25" hidden="1">
      <c r="A176" s="339">
        <v>169</v>
      </c>
      <c r="B176" s="338" t="s">
        <v>2910</v>
      </c>
      <c r="C176" s="340">
        <v>40652</v>
      </c>
      <c r="D176" s="362" t="s">
        <v>3654</v>
      </c>
      <c r="E176" s="341" t="s">
        <v>4850</v>
      </c>
      <c r="F176" s="338"/>
      <c r="G176" s="338" t="s">
        <v>3626</v>
      </c>
      <c r="H176" s="339" t="s">
        <v>249</v>
      </c>
      <c r="I176" s="339">
        <v>1</v>
      </c>
      <c r="J176" s="342">
        <v>10627256</v>
      </c>
      <c r="K176" s="342">
        <v>6022110</v>
      </c>
      <c r="L176" s="342">
        <v>0</v>
      </c>
      <c r="M176" s="343">
        <v>0</v>
      </c>
      <c r="N176" s="343">
        <v>0</v>
      </c>
      <c r="O176" s="343">
        <v>0</v>
      </c>
      <c r="P176" s="338"/>
      <c r="Q176" s="339" t="s">
        <v>20</v>
      </c>
      <c r="R176" s="346" t="s">
        <v>229</v>
      </c>
      <c r="S176" s="341" t="str">
        <f>IFERROR(VLOOKUP(D176, CCDC_XUAN!$D$16:$S$693, 16, 0), "Không tìm thấy")</f>
        <v>Mic bị rột rẹt - A2 KHO</v>
      </c>
      <c r="T176" s="338"/>
      <c r="U176" s="327"/>
      <c r="V176" s="327"/>
      <c r="W176" s="327"/>
      <c r="X176" s="327"/>
      <c r="Y176" s="327"/>
      <c r="Z176" s="330"/>
    </row>
    <row r="177" spans="1:26" ht="37.5" hidden="1">
      <c r="A177" s="339">
        <v>170</v>
      </c>
      <c r="B177" s="338" t="s">
        <v>281</v>
      </c>
      <c r="C177" s="340">
        <v>41044</v>
      </c>
      <c r="D177" s="338" t="s">
        <v>4852</v>
      </c>
      <c r="E177" s="341" t="s">
        <v>4853</v>
      </c>
      <c r="F177" s="338"/>
      <c r="G177" s="338" t="s">
        <v>3626</v>
      </c>
      <c r="H177" s="339" t="s">
        <v>19</v>
      </c>
      <c r="I177" s="339">
        <v>1</v>
      </c>
      <c r="J177" s="342">
        <v>11465000</v>
      </c>
      <c r="K177" s="342">
        <v>8980921</v>
      </c>
      <c r="L177" s="342">
        <v>0</v>
      </c>
      <c r="M177" s="343">
        <v>0</v>
      </c>
      <c r="N177" s="343">
        <v>0</v>
      </c>
      <c r="O177" s="343">
        <v>0</v>
      </c>
      <c r="P177" s="338"/>
      <c r="Q177" s="339" t="s">
        <v>20</v>
      </c>
      <c r="R177" s="339" t="s">
        <v>233</v>
      </c>
      <c r="S177" s="341" t="s">
        <v>4854</v>
      </c>
      <c r="T177" s="338"/>
      <c r="U177" s="327"/>
      <c r="V177" s="327"/>
      <c r="W177" s="327"/>
      <c r="X177" s="327"/>
      <c r="Y177" s="327"/>
      <c r="Z177" s="330"/>
    </row>
    <row r="178" spans="1:26" ht="37.5">
      <c r="A178" s="339">
        <v>171</v>
      </c>
      <c r="B178" s="338" t="s">
        <v>281</v>
      </c>
      <c r="C178" s="340">
        <v>41044</v>
      </c>
      <c r="D178" s="338" t="s">
        <v>4855</v>
      </c>
      <c r="E178" s="341" t="s">
        <v>4853</v>
      </c>
      <c r="F178" s="338"/>
      <c r="G178" s="338" t="s">
        <v>3626</v>
      </c>
      <c r="H178" s="339" t="s">
        <v>19</v>
      </c>
      <c r="I178" s="339">
        <v>1</v>
      </c>
      <c r="J178" s="342">
        <v>11465000</v>
      </c>
      <c r="K178" s="342">
        <v>8980921</v>
      </c>
      <c r="L178" s="342">
        <v>0</v>
      </c>
      <c r="M178" s="343">
        <v>0</v>
      </c>
      <c r="N178" s="343">
        <v>0</v>
      </c>
      <c r="O178" s="343">
        <v>0</v>
      </c>
      <c r="P178" s="338"/>
      <c r="Q178" s="339" t="s">
        <v>20</v>
      </c>
      <c r="R178" s="339" t="s">
        <v>423</v>
      </c>
      <c r="S178" s="363" t="s">
        <v>4856</v>
      </c>
      <c r="T178" s="338"/>
      <c r="U178" s="327"/>
      <c r="V178" s="327"/>
      <c r="W178" s="327"/>
      <c r="X178" s="327"/>
      <c r="Y178" s="327"/>
      <c r="Z178" s="330"/>
    </row>
    <row r="179" spans="1:26" ht="25" hidden="1">
      <c r="A179" s="339">
        <v>172</v>
      </c>
      <c r="B179" s="338" t="s">
        <v>2681</v>
      </c>
      <c r="C179" s="340">
        <v>36161</v>
      </c>
      <c r="D179" s="362" t="s">
        <v>4857</v>
      </c>
      <c r="E179" s="341" t="s">
        <v>3659</v>
      </c>
      <c r="F179" s="338"/>
      <c r="G179" s="338"/>
      <c r="H179" s="339" t="s">
        <v>249</v>
      </c>
      <c r="I179" s="339">
        <v>1</v>
      </c>
      <c r="J179" s="342">
        <v>4649628</v>
      </c>
      <c r="K179" s="342">
        <v>0</v>
      </c>
      <c r="L179" s="342">
        <v>0</v>
      </c>
      <c r="M179" s="343">
        <v>0</v>
      </c>
      <c r="N179" s="343">
        <v>0</v>
      </c>
      <c r="O179" s="343">
        <v>0</v>
      </c>
      <c r="P179" s="338"/>
      <c r="Q179" s="339" t="s">
        <v>20</v>
      </c>
      <c r="R179" s="339" t="s">
        <v>284</v>
      </c>
      <c r="S179" s="341" t="s">
        <v>3660</v>
      </c>
      <c r="T179" s="338"/>
      <c r="U179" s="327"/>
      <c r="V179" s="327"/>
      <c r="W179" s="327"/>
      <c r="X179" s="327"/>
      <c r="Y179" s="327"/>
      <c r="Z179" s="330"/>
    </row>
    <row r="180" spans="1:26" ht="25" hidden="1">
      <c r="A180" s="339">
        <v>173</v>
      </c>
      <c r="B180" s="338" t="s">
        <v>2681</v>
      </c>
      <c r="C180" s="340">
        <v>36161</v>
      </c>
      <c r="D180" s="362" t="s">
        <v>4858</v>
      </c>
      <c r="E180" s="341" t="s">
        <v>3659</v>
      </c>
      <c r="F180" s="338"/>
      <c r="G180" s="338"/>
      <c r="H180" s="339" t="s">
        <v>249</v>
      </c>
      <c r="I180" s="339">
        <v>1</v>
      </c>
      <c r="J180" s="342">
        <v>4649628</v>
      </c>
      <c r="K180" s="342">
        <v>0</v>
      </c>
      <c r="L180" s="342">
        <v>0</v>
      </c>
      <c r="M180" s="343">
        <v>0</v>
      </c>
      <c r="N180" s="343">
        <v>0</v>
      </c>
      <c r="O180" s="343">
        <v>0</v>
      </c>
      <c r="P180" s="338"/>
      <c r="Q180" s="339" t="s">
        <v>20</v>
      </c>
      <c r="R180" s="339" t="s">
        <v>284</v>
      </c>
      <c r="S180" s="341" t="s">
        <v>3660</v>
      </c>
      <c r="T180" s="338"/>
      <c r="U180" s="327"/>
      <c r="V180" s="327"/>
      <c r="W180" s="327"/>
      <c r="X180" s="327"/>
      <c r="Y180" s="327"/>
      <c r="Z180" s="330"/>
    </row>
    <row r="181" spans="1:26" ht="50" hidden="1">
      <c r="A181" s="339">
        <v>174</v>
      </c>
      <c r="B181" s="338" t="s">
        <v>1198</v>
      </c>
      <c r="C181" s="340">
        <v>36161</v>
      </c>
      <c r="D181" s="338" t="s">
        <v>4859</v>
      </c>
      <c r="E181" s="341" t="s">
        <v>3661</v>
      </c>
      <c r="F181" s="338"/>
      <c r="G181" s="338"/>
      <c r="H181" s="339" t="s">
        <v>157</v>
      </c>
      <c r="I181" s="339">
        <v>1</v>
      </c>
      <c r="J181" s="342">
        <v>5245350</v>
      </c>
      <c r="K181" s="342">
        <v>0</v>
      </c>
      <c r="L181" s="342">
        <v>0</v>
      </c>
      <c r="M181" s="343">
        <v>0</v>
      </c>
      <c r="N181" s="343">
        <v>0</v>
      </c>
      <c r="O181" s="343">
        <v>0</v>
      </c>
      <c r="P181" s="338"/>
      <c r="Q181" s="339" t="s">
        <v>20</v>
      </c>
      <c r="R181" s="339" t="s">
        <v>284</v>
      </c>
      <c r="S181" s="341" t="s">
        <v>1224</v>
      </c>
      <c r="T181" s="338"/>
      <c r="U181" s="327"/>
      <c r="V181" s="327"/>
      <c r="W181" s="327"/>
      <c r="X181" s="327"/>
      <c r="Y181" s="327"/>
      <c r="Z181" s="330"/>
    </row>
    <row r="182" spans="1:26" ht="50" hidden="1">
      <c r="A182" s="339">
        <v>175</v>
      </c>
      <c r="B182" s="338" t="s">
        <v>1198</v>
      </c>
      <c r="C182" s="340">
        <v>36161</v>
      </c>
      <c r="D182" s="338" t="s">
        <v>4860</v>
      </c>
      <c r="E182" s="341" t="s">
        <v>3661</v>
      </c>
      <c r="F182" s="338"/>
      <c r="G182" s="338"/>
      <c r="H182" s="339" t="s">
        <v>157</v>
      </c>
      <c r="I182" s="339">
        <v>1</v>
      </c>
      <c r="J182" s="342">
        <v>5245350</v>
      </c>
      <c r="K182" s="342">
        <v>0</v>
      </c>
      <c r="L182" s="342">
        <v>0</v>
      </c>
      <c r="M182" s="343">
        <v>0</v>
      </c>
      <c r="N182" s="343">
        <v>0</v>
      </c>
      <c r="O182" s="343">
        <v>0</v>
      </c>
      <c r="P182" s="338"/>
      <c r="Q182" s="339" t="s">
        <v>20</v>
      </c>
      <c r="R182" s="339" t="s">
        <v>284</v>
      </c>
      <c r="S182" s="341" t="s">
        <v>1224</v>
      </c>
      <c r="T182" s="338"/>
      <c r="U182" s="327"/>
      <c r="V182" s="327"/>
      <c r="W182" s="327"/>
      <c r="X182" s="327"/>
      <c r="Y182" s="327"/>
      <c r="Z182" s="330"/>
    </row>
    <row r="183" spans="1:26" ht="50" hidden="1">
      <c r="A183" s="339">
        <v>176</v>
      </c>
      <c r="B183" s="338" t="s">
        <v>1198</v>
      </c>
      <c r="C183" s="340">
        <v>36161</v>
      </c>
      <c r="D183" s="338" t="s">
        <v>4861</v>
      </c>
      <c r="E183" s="341" t="s">
        <v>3661</v>
      </c>
      <c r="F183" s="338"/>
      <c r="G183" s="338"/>
      <c r="H183" s="339" t="s">
        <v>157</v>
      </c>
      <c r="I183" s="339">
        <v>1</v>
      </c>
      <c r="J183" s="342">
        <v>5245350</v>
      </c>
      <c r="K183" s="342">
        <v>0</v>
      </c>
      <c r="L183" s="342">
        <v>0</v>
      </c>
      <c r="M183" s="343">
        <v>0</v>
      </c>
      <c r="N183" s="343">
        <v>0</v>
      </c>
      <c r="O183" s="343">
        <v>0</v>
      </c>
      <c r="P183" s="338"/>
      <c r="Q183" s="339" t="s">
        <v>20</v>
      </c>
      <c r="R183" s="339" t="s">
        <v>284</v>
      </c>
      <c r="S183" s="341" t="s">
        <v>1224</v>
      </c>
      <c r="T183" s="338"/>
      <c r="U183" s="327"/>
      <c r="V183" s="327"/>
      <c r="W183" s="327"/>
      <c r="X183" s="327"/>
      <c r="Y183" s="327"/>
      <c r="Z183" s="330"/>
    </row>
    <row r="184" spans="1:26" ht="50" hidden="1">
      <c r="A184" s="339">
        <v>177</v>
      </c>
      <c r="B184" s="338" t="s">
        <v>1198</v>
      </c>
      <c r="C184" s="340">
        <v>36161</v>
      </c>
      <c r="D184" s="338" t="s">
        <v>4862</v>
      </c>
      <c r="E184" s="341" t="s">
        <v>3661</v>
      </c>
      <c r="F184" s="338"/>
      <c r="G184" s="338"/>
      <c r="H184" s="339" t="s">
        <v>157</v>
      </c>
      <c r="I184" s="339">
        <v>1</v>
      </c>
      <c r="J184" s="342">
        <v>5245350</v>
      </c>
      <c r="K184" s="342">
        <v>0</v>
      </c>
      <c r="L184" s="342">
        <v>0</v>
      </c>
      <c r="M184" s="343">
        <v>0</v>
      </c>
      <c r="N184" s="343">
        <v>0</v>
      </c>
      <c r="O184" s="343">
        <v>0</v>
      </c>
      <c r="P184" s="338"/>
      <c r="Q184" s="339" t="s">
        <v>20</v>
      </c>
      <c r="R184" s="339" t="s">
        <v>284</v>
      </c>
      <c r="S184" s="341" t="s">
        <v>1224</v>
      </c>
      <c r="T184" s="338"/>
      <c r="U184" s="327"/>
      <c r="V184" s="327"/>
      <c r="W184" s="327"/>
      <c r="X184" s="327"/>
      <c r="Y184" s="327"/>
      <c r="Z184" s="330"/>
    </row>
    <row r="185" spans="1:26" ht="50" hidden="1">
      <c r="A185" s="339">
        <v>178</v>
      </c>
      <c r="B185" s="338" t="s">
        <v>1198</v>
      </c>
      <c r="C185" s="340">
        <v>36161</v>
      </c>
      <c r="D185" s="338" t="s">
        <v>4863</v>
      </c>
      <c r="E185" s="341" t="s">
        <v>3661</v>
      </c>
      <c r="F185" s="338"/>
      <c r="G185" s="338"/>
      <c r="H185" s="339" t="s">
        <v>157</v>
      </c>
      <c r="I185" s="339">
        <v>1</v>
      </c>
      <c r="J185" s="342">
        <v>5245350</v>
      </c>
      <c r="K185" s="342">
        <v>0</v>
      </c>
      <c r="L185" s="342">
        <v>0</v>
      </c>
      <c r="M185" s="343">
        <v>0</v>
      </c>
      <c r="N185" s="343">
        <v>0</v>
      </c>
      <c r="O185" s="343">
        <v>0</v>
      </c>
      <c r="P185" s="338"/>
      <c r="Q185" s="339" t="s">
        <v>20</v>
      </c>
      <c r="R185" s="339" t="s">
        <v>284</v>
      </c>
      <c r="S185" s="341" t="s">
        <v>1224</v>
      </c>
      <c r="T185" s="338"/>
      <c r="U185" s="327"/>
      <c r="V185" s="327"/>
      <c r="W185" s="327"/>
      <c r="X185" s="327"/>
      <c r="Y185" s="327"/>
      <c r="Z185" s="330"/>
    </row>
    <row r="186" spans="1:26" ht="62.5" hidden="1">
      <c r="A186" s="347">
        <v>179</v>
      </c>
      <c r="B186" s="338" t="s">
        <v>1198</v>
      </c>
      <c r="C186" s="348">
        <v>36161</v>
      </c>
      <c r="D186" s="338" t="s">
        <v>4864</v>
      </c>
      <c r="E186" s="349" t="s">
        <v>3663</v>
      </c>
      <c r="F186" s="338"/>
      <c r="G186" s="338"/>
      <c r="H186" s="347" t="s">
        <v>249</v>
      </c>
      <c r="I186" s="347">
        <v>1</v>
      </c>
      <c r="J186" s="342">
        <v>13758525</v>
      </c>
      <c r="K186" s="342">
        <v>0</v>
      </c>
      <c r="L186" s="342">
        <v>0</v>
      </c>
      <c r="M186" s="343">
        <v>0</v>
      </c>
      <c r="N186" s="343">
        <v>0</v>
      </c>
      <c r="O186" s="343">
        <v>0</v>
      </c>
      <c r="P186" s="338"/>
      <c r="Q186" s="347" t="s">
        <v>20</v>
      </c>
      <c r="R186" s="347" t="s">
        <v>21</v>
      </c>
      <c r="S186" s="349" t="s">
        <v>22</v>
      </c>
      <c r="T186" s="338"/>
      <c r="U186" s="351" t="s">
        <v>4663</v>
      </c>
      <c r="V186" s="327"/>
      <c r="W186" s="327"/>
      <c r="X186" s="327"/>
      <c r="Y186" s="327"/>
      <c r="Z186" s="330"/>
    </row>
    <row r="187" spans="1:26" ht="62.5" hidden="1">
      <c r="A187" s="339">
        <v>180</v>
      </c>
      <c r="B187" s="338" t="s">
        <v>1198</v>
      </c>
      <c r="C187" s="340">
        <v>36161</v>
      </c>
      <c r="D187" s="338" t="s">
        <v>4865</v>
      </c>
      <c r="E187" s="341" t="s">
        <v>3663</v>
      </c>
      <c r="F187" s="338"/>
      <c r="G187" s="338"/>
      <c r="H187" s="339" t="s">
        <v>249</v>
      </c>
      <c r="I187" s="339">
        <v>1</v>
      </c>
      <c r="J187" s="342">
        <v>13758525</v>
      </c>
      <c r="K187" s="342">
        <v>0</v>
      </c>
      <c r="L187" s="342">
        <v>0</v>
      </c>
      <c r="M187" s="343">
        <v>0</v>
      </c>
      <c r="N187" s="343">
        <v>0</v>
      </c>
      <c r="O187" s="343">
        <v>0</v>
      </c>
      <c r="P187" s="338"/>
      <c r="Q187" s="339" t="s">
        <v>20</v>
      </c>
      <c r="R187" s="339" t="s">
        <v>284</v>
      </c>
      <c r="S187" s="341" t="s">
        <v>1224</v>
      </c>
      <c r="T187" s="338"/>
      <c r="U187" s="327"/>
      <c r="V187" s="327"/>
      <c r="W187" s="327"/>
      <c r="X187" s="327"/>
      <c r="Y187" s="327"/>
      <c r="Z187" s="330"/>
    </row>
    <row r="188" spans="1:26" ht="62.5" hidden="1">
      <c r="A188" s="339">
        <v>181</v>
      </c>
      <c r="B188" s="338" t="s">
        <v>1198</v>
      </c>
      <c r="C188" s="340">
        <v>36161</v>
      </c>
      <c r="D188" s="338" t="s">
        <v>4866</v>
      </c>
      <c r="E188" s="341" t="s">
        <v>3663</v>
      </c>
      <c r="F188" s="338"/>
      <c r="G188" s="338"/>
      <c r="H188" s="339" t="s">
        <v>249</v>
      </c>
      <c r="I188" s="339">
        <v>1</v>
      </c>
      <c r="J188" s="342">
        <v>13758525</v>
      </c>
      <c r="K188" s="342">
        <v>0</v>
      </c>
      <c r="L188" s="342">
        <v>0</v>
      </c>
      <c r="M188" s="343">
        <v>0</v>
      </c>
      <c r="N188" s="343">
        <v>0</v>
      </c>
      <c r="O188" s="343">
        <v>0</v>
      </c>
      <c r="P188" s="338"/>
      <c r="Q188" s="339" t="s">
        <v>20</v>
      </c>
      <c r="R188" s="339" t="s">
        <v>284</v>
      </c>
      <c r="S188" s="341" t="s">
        <v>1224</v>
      </c>
      <c r="T188" s="338"/>
      <c r="U188" s="327"/>
      <c r="V188" s="327"/>
      <c r="W188" s="327"/>
      <c r="X188" s="327"/>
      <c r="Y188" s="327"/>
      <c r="Z188" s="330"/>
    </row>
    <row r="189" spans="1:26" ht="62.5" hidden="1">
      <c r="A189" s="339">
        <v>182</v>
      </c>
      <c r="B189" s="338" t="s">
        <v>1198</v>
      </c>
      <c r="C189" s="340">
        <v>36161</v>
      </c>
      <c r="D189" s="338" t="s">
        <v>4867</v>
      </c>
      <c r="E189" s="341" t="s">
        <v>3663</v>
      </c>
      <c r="F189" s="338"/>
      <c r="G189" s="338"/>
      <c r="H189" s="339" t="s">
        <v>249</v>
      </c>
      <c r="I189" s="339">
        <v>1</v>
      </c>
      <c r="J189" s="342">
        <v>13758525</v>
      </c>
      <c r="K189" s="342">
        <v>0</v>
      </c>
      <c r="L189" s="342">
        <v>0</v>
      </c>
      <c r="M189" s="343">
        <v>0</v>
      </c>
      <c r="N189" s="343">
        <v>0</v>
      </c>
      <c r="O189" s="343">
        <v>0</v>
      </c>
      <c r="P189" s="338"/>
      <c r="Q189" s="339" t="s">
        <v>20</v>
      </c>
      <c r="R189" s="339" t="s">
        <v>284</v>
      </c>
      <c r="S189" s="341" t="s">
        <v>1224</v>
      </c>
      <c r="T189" s="338"/>
      <c r="U189" s="327"/>
      <c r="V189" s="327"/>
      <c r="W189" s="327"/>
      <c r="X189" s="327"/>
      <c r="Y189" s="327"/>
      <c r="Z189" s="330"/>
    </row>
    <row r="190" spans="1:26" ht="62.5" hidden="1">
      <c r="A190" s="347">
        <v>183</v>
      </c>
      <c r="B190" s="338" t="s">
        <v>1198</v>
      </c>
      <c r="C190" s="348">
        <v>36161</v>
      </c>
      <c r="D190" s="338" t="s">
        <v>4868</v>
      </c>
      <c r="E190" s="349" t="s">
        <v>3663</v>
      </c>
      <c r="F190" s="338"/>
      <c r="G190" s="338"/>
      <c r="H190" s="347" t="s">
        <v>249</v>
      </c>
      <c r="I190" s="347">
        <v>1</v>
      </c>
      <c r="J190" s="342">
        <v>13758525</v>
      </c>
      <c r="K190" s="342">
        <v>0</v>
      </c>
      <c r="L190" s="342">
        <v>0</v>
      </c>
      <c r="M190" s="343">
        <v>0</v>
      </c>
      <c r="N190" s="343">
        <v>0</v>
      </c>
      <c r="O190" s="343">
        <v>0</v>
      </c>
      <c r="P190" s="338"/>
      <c r="Q190" s="347" t="s">
        <v>20</v>
      </c>
      <c r="R190" s="347" t="s">
        <v>21</v>
      </c>
      <c r="S190" s="349" t="s">
        <v>22</v>
      </c>
      <c r="T190" s="338"/>
      <c r="U190" s="351" t="s">
        <v>4663</v>
      </c>
      <c r="V190" s="327"/>
      <c r="W190" s="327"/>
      <c r="X190" s="327"/>
      <c r="Y190" s="327"/>
      <c r="Z190" s="330"/>
    </row>
    <row r="191" spans="1:26" ht="50" hidden="1">
      <c r="A191" s="339">
        <v>184</v>
      </c>
      <c r="B191" s="338" t="s">
        <v>1198</v>
      </c>
      <c r="C191" s="340">
        <v>36161</v>
      </c>
      <c r="D191" s="338" t="s">
        <v>4869</v>
      </c>
      <c r="E191" s="341" t="s">
        <v>3664</v>
      </c>
      <c r="F191" s="338"/>
      <c r="G191" s="338"/>
      <c r="H191" s="339" t="s">
        <v>249</v>
      </c>
      <c r="I191" s="339">
        <v>1</v>
      </c>
      <c r="J191" s="342">
        <v>25974300</v>
      </c>
      <c r="K191" s="342">
        <v>0</v>
      </c>
      <c r="L191" s="342">
        <v>0</v>
      </c>
      <c r="M191" s="343">
        <v>0</v>
      </c>
      <c r="N191" s="343">
        <v>0</v>
      </c>
      <c r="O191" s="343">
        <v>0</v>
      </c>
      <c r="P191" s="338"/>
      <c r="Q191" s="339" t="s">
        <v>20</v>
      </c>
      <c r="R191" s="339" t="s">
        <v>284</v>
      </c>
      <c r="S191" s="341" t="s">
        <v>2173</v>
      </c>
      <c r="T191" s="338"/>
      <c r="U191" s="327"/>
      <c r="V191" s="327"/>
      <c r="W191" s="327"/>
      <c r="X191" s="327"/>
      <c r="Y191" s="327"/>
      <c r="Z191" s="330"/>
    </row>
    <row r="192" spans="1:26" ht="37.5" hidden="1">
      <c r="A192" s="339">
        <v>185</v>
      </c>
      <c r="B192" s="338" t="s">
        <v>1516</v>
      </c>
      <c r="C192" s="340">
        <v>40144</v>
      </c>
      <c r="D192" s="338" t="s">
        <v>4870</v>
      </c>
      <c r="E192" s="341" t="s">
        <v>3666</v>
      </c>
      <c r="F192" s="338"/>
      <c r="G192" s="338" t="s">
        <v>573</v>
      </c>
      <c r="H192" s="339" t="s">
        <v>19</v>
      </c>
      <c r="I192" s="339">
        <v>1</v>
      </c>
      <c r="J192" s="342">
        <v>29026540</v>
      </c>
      <c r="K192" s="342">
        <v>11610606</v>
      </c>
      <c r="L192" s="342">
        <v>0</v>
      </c>
      <c r="M192" s="343">
        <v>0</v>
      </c>
      <c r="N192" s="343">
        <v>0</v>
      </c>
      <c r="O192" s="343">
        <v>0</v>
      </c>
      <c r="P192" s="338"/>
      <c r="Q192" s="339" t="s">
        <v>20</v>
      </c>
      <c r="R192" s="339" t="s">
        <v>284</v>
      </c>
      <c r="S192" s="341" t="s">
        <v>3667</v>
      </c>
      <c r="T192" s="338" t="s">
        <v>923</v>
      </c>
      <c r="U192" s="327"/>
      <c r="V192" s="327"/>
      <c r="W192" s="327"/>
      <c r="X192" s="327"/>
      <c r="Y192" s="327"/>
      <c r="Z192" s="330"/>
    </row>
    <row r="193" spans="1:26" ht="37.5" hidden="1">
      <c r="A193" s="339">
        <v>186</v>
      </c>
      <c r="B193" s="338" t="s">
        <v>1516</v>
      </c>
      <c r="C193" s="340">
        <v>40144</v>
      </c>
      <c r="D193" s="338" t="s">
        <v>4871</v>
      </c>
      <c r="E193" s="341" t="s">
        <v>3666</v>
      </c>
      <c r="F193" s="338"/>
      <c r="G193" s="338" t="s">
        <v>573</v>
      </c>
      <c r="H193" s="339" t="s">
        <v>19</v>
      </c>
      <c r="I193" s="339">
        <v>1</v>
      </c>
      <c r="J193" s="342">
        <v>29026540</v>
      </c>
      <c r="K193" s="342">
        <v>11610606</v>
      </c>
      <c r="L193" s="342">
        <v>0</v>
      </c>
      <c r="M193" s="343">
        <v>0</v>
      </c>
      <c r="N193" s="343">
        <v>0</v>
      </c>
      <c r="O193" s="343">
        <v>0</v>
      </c>
      <c r="P193" s="338"/>
      <c r="Q193" s="339" t="s">
        <v>20</v>
      </c>
      <c r="R193" s="339" t="s">
        <v>284</v>
      </c>
      <c r="S193" s="341" t="s">
        <v>2122</v>
      </c>
      <c r="T193" s="338"/>
      <c r="U193" s="327"/>
      <c r="V193" s="327"/>
      <c r="W193" s="327"/>
      <c r="X193" s="327"/>
      <c r="Y193" s="327"/>
      <c r="Z193" s="330"/>
    </row>
    <row r="194" spans="1:26" ht="37.5" hidden="1">
      <c r="A194" s="339">
        <v>187</v>
      </c>
      <c r="B194" s="338" t="s">
        <v>1516</v>
      </c>
      <c r="C194" s="340">
        <v>40144</v>
      </c>
      <c r="D194" s="338" t="s">
        <v>4872</v>
      </c>
      <c r="E194" s="341" t="s">
        <v>3666</v>
      </c>
      <c r="F194" s="338"/>
      <c r="G194" s="338" t="s">
        <v>573</v>
      </c>
      <c r="H194" s="339" t="s">
        <v>19</v>
      </c>
      <c r="I194" s="339">
        <v>1</v>
      </c>
      <c r="J194" s="342">
        <v>29026540</v>
      </c>
      <c r="K194" s="342">
        <v>11610606</v>
      </c>
      <c r="L194" s="342">
        <v>0</v>
      </c>
      <c r="M194" s="343">
        <v>0</v>
      </c>
      <c r="N194" s="343">
        <v>0</v>
      </c>
      <c r="O194" s="343">
        <v>0</v>
      </c>
      <c r="P194" s="338" t="s">
        <v>3480</v>
      </c>
      <c r="Q194" s="339" t="s">
        <v>20</v>
      </c>
      <c r="R194" s="339" t="s">
        <v>284</v>
      </c>
      <c r="S194" s="341" t="s">
        <v>3660</v>
      </c>
      <c r="T194" s="338"/>
      <c r="U194" s="327"/>
      <c r="V194" s="327"/>
      <c r="W194" s="327"/>
      <c r="X194" s="327"/>
      <c r="Y194" s="327"/>
      <c r="Z194" s="330"/>
    </row>
    <row r="195" spans="1:26" ht="37.5" hidden="1">
      <c r="A195" s="347">
        <v>188</v>
      </c>
      <c r="B195" s="338" t="s">
        <v>1516</v>
      </c>
      <c r="C195" s="348">
        <v>40144</v>
      </c>
      <c r="D195" s="338" t="s">
        <v>4873</v>
      </c>
      <c r="E195" s="349" t="s">
        <v>3666</v>
      </c>
      <c r="F195" s="338"/>
      <c r="G195" s="338" t="s">
        <v>573</v>
      </c>
      <c r="H195" s="347" t="s">
        <v>19</v>
      </c>
      <c r="I195" s="347">
        <v>1</v>
      </c>
      <c r="J195" s="342">
        <v>29026540</v>
      </c>
      <c r="K195" s="342">
        <v>11610606</v>
      </c>
      <c r="L195" s="342">
        <v>0</v>
      </c>
      <c r="M195" s="343">
        <v>0</v>
      </c>
      <c r="N195" s="343">
        <v>0</v>
      </c>
      <c r="O195" s="343">
        <v>0</v>
      </c>
      <c r="P195" s="221" t="s">
        <v>3480</v>
      </c>
      <c r="Q195" s="347" t="s">
        <v>20</v>
      </c>
      <c r="R195" s="347" t="s">
        <v>21</v>
      </c>
      <c r="S195" s="349" t="s">
        <v>22</v>
      </c>
      <c r="T195" s="221" t="s">
        <v>3669</v>
      </c>
      <c r="U195" s="351" t="s">
        <v>4663</v>
      </c>
      <c r="V195" s="327"/>
      <c r="W195" s="327"/>
      <c r="X195" s="327"/>
      <c r="Y195" s="327"/>
      <c r="Z195" s="330"/>
    </row>
    <row r="196" spans="1:26" ht="37.5" hidden="1">
      <c r="A196" s="339">
        <v>189</v>
      </c>
      <c r="B196" s="338" t="s">
        <v>1516</v>
      </c>
      <c r="C196" s="340">
        <v>40144</v>
      </c>
      <c r="D196" s="338" t="s">
        <v>4874</v>
      </c>
      <c r="E196" s="341" t="s">
        <v>3666</v>
      </c>
      <c r="F196" s="338"/>
      <c r="G196" s="338" t="s">
        <v>573</v>
      </c>
      <c r="H196" s="339" t="s">
        <v>19</v>
      </c>
      <c r="I196" s="339">
        <v>1</v>
      </c>
      <c r="J196" s="342">
        <v>29026540</v>
      </c>
      <c r="K196" s="342">
        <v>11610606</v>
      </c>
      <c r="L196" s="342">
        <v>0</v>
      </c>
      <c r="M196" s="343">
        <v>0</v>
      </c>
      <c r="N196" s="343">
        <v>0</v>
      </c>
      <c r="O196" s="343">
        <v>0</v>
      </c>
      <c r="P196" s="338" t="s">
        <v>3480</v>
      </c>
      <c r="Q196" s="339" t="s">
        <v>20</v>
      </c>
      <c r="R196" s="339" t="s">
        <v>284</v>
      </c>
      <c r="S196" s="341" t="s">
        <v>2122</v>
      </c>
      <c r="T196" s="338"/>
      <c r="U196" s="327"/>
      <c r="V196" s="327"/>
      <c r="W196" s="327"/>
      <c r="X196" s="327"/>
      <c r="Y196" s="327"/>
      <c r="Z196" s="330"/>
    </row>
    <row r="197" spans="1:26" ht="37.5" hidden="1">
      <c r="A197" s="339">
        <v>190</v>
      </c>
      <c r="B197" s="338" t="s">
        <v>1516</v>
      </c>
      <c r="C197" s="340">
        <v>40144</v>
      </c>
      <c r="D197" s="338" t="s">
        <v>4875</v>
      </c>
      <c r="E197" s="341" t="s">
        <v>3666</v>
      </c>
      <c r="F197" s="338"/>
      <c r="G197" s="338" t="s">
        <v>573</v>
      </c>
      <c r="H197" s="339" t="s">
        <v>19</v>
      </c>
      <c r="I197" s="339">
        <v>1</v>
      </c>
      <c r="J197" s="342">
        <v>29026540</v>
      </c>
      <c r="K197" s="342">
        <v>11610606</v>
      </c>
      <c r="L197" s="342">
        <v>0</v>
      </c>
      <c r="M197" s="343">
        <v>0</v>
      </c>
      <c r="N197" s="343">
        <v>0</v>
      </c>
      <c r="O197" s="343">
        <v>0</v>
      </c>
      <c r="P197" s="338" t="s">
        <v>3480</v>
      </c>
      <c r="Q197" s="339" t="s">
        <v>20</v>
      </c>
      <c r="R197" s="339" t="s">
        <v>284</v>
      </c>
      <c r="S197" s="341" t="s">
        <v>2122</v>
      </c>
      <c r="T197" s="338"/>
      <c r="U197" s="327"/>
      <c r="V197" s="327"/>
      <c r="W197" s="327"/>
      <c r="X197" s="327"/>
      <c r="Y197" s="327"/>
      <c r="Z197" s="330"/>
    </row>
    <row r="198" spans="1:26" ht="37.5" hidden="1">
      <c r="A198" s="339">
        <v>191</v>
      </c>
      <c r="B198" s="338" t="s">
        <v>1516</v>
      </c>
      <c r="C198" s="340">
        <v>40144</v>
      </c>
      <c r="D198" s="338" t="s">
        <v>4876</v>
      </c>
      <c r="E198" s="341" t="s">
        <v>3666</v>
      </c>
      <c r="F198" s="338"/>
      <c r="G198" s="338" t="s">
        <v>573</v>
      </c>
      <c r="H198" s="339" t="s">
        <v>19</v>
      </c>
      <c r="I198" s="339">
        <v>1</v>
      </c>
      <c r="J198" s="342">
        <v>29026540</v>
      </c>
      <c r="K198" s="342">
        <v>11610606</v>
      </c>
      <c r="L198" s="342">
        <v>0</v>
      </c>
      <c r="M198" s="343">
        <v>0</v>
      </c>
      <c r="N198" s="343">
        <v>0</v>
      </c>
      <c r="O198" s="343">
        <v>0</v>
      </c>
      <c r="P198" s="338"/>
      <c r="Q198" s="339" t="s">
        <v>20</v>
      </c>
      <c r="R198" s="339" t="s">
        <v>284</v>
      </c>
      <c r="S198" s="341" t="s">
        <v>2122</v>
      </c>
      <c r="T198" s="338"/>
      <c r="U198" s="327"/>
      <c r="V198" s="327"/>
      <c r="W198" s="327"/>
      <c r="X198" s="327"/>
      <c r="Y198" s="327"/>
      <c r="Z198" s="330"/>
    </row>
    <row r="199" spans="1:26" ht="37.5" hidden="1">
      <c r="A199" s="339">
        <v>192</v>
      </c>
      <c r="B199" s="338" t="s">
        <v>1516</v>
      </c>
      <c r="C199" s="340">
        <v>40144</v>
      </c>
      <c r="D199" s="338" t="s">
        <v>4877</v>
      </c>
      <c r="E199" s="341" t="s">
        <v>3666</v>
      </c>
      <c r="F199" s="338"/>
      <c r="G199" s="338" t="s">
        <v>573</v>
      </c>
      <c r="H199" s="339" t="s">
        <v>19</v>
      </c>
      <c r="I199" s="339">
        <v>1</v>
      </c>
      <c r="J199" s="342">
        <v>29026540</v>
      </c>
      <c r="K199" s="342">
        <v>11610606</v>
      </c>
      <c r="L199" s="342">
        <v>0</v>
      </c>
      <c r="M199" s="343">
        <v>0</v>
      </c>
      <c r="N199" s="343">
        <v>0</v>
      </c>
      <c r="O199" s="343">
        <v>0</v>
      </c>
      <c r="P199" s="338" t="s">
        <v>3480</v>
      </c>
      <c r="Q199" s="339" t="s">
        <v>20</v>
      </c>
      <c r="R199" s="339" t="s">
        <v>284</v>
      </c>
      <c r="S199" s="341" t="s">
        <v>2122</v>
      </c>
      <c r="T199" s="338"/>
      <c r="U199" s="327"/>
      <c r="V199" s="327"/>
      <c r="W199" s="327"/>
      <c r="X199" s="327"/>
      <c r="Y199" s="327"/>
      <c r="Z199" s="330"/>
    </row>
    <row r="200" spans="1:26" ht="37.5" hidden="1">
      <c r="A200" s="339">
        <v>193</v>
      </c>
      <c r="B200" s="338" t="s">
        <v>1516</v>
      </c>
      <c r="C200" s="340">
        <v>40144</v>
      </c>
      <c r="D200" s="338" t="s">
        <v>4878</v>
      </c>
      <c r="E200" s="341" t="s">
        <v>3666</v>
      </c>
      <c r="F200" s="338"/>
      <c r="G200" s="338" t="s">
        <v>573</v>
      </c>
      <c r="H200" s="339" t="s">
        <v>19</v>
      </c>
      <c r="I200" s="339">
        <v>1</v>
      </c>
      <c r="J200" s="342">
        <v>29026540</v>
      </c>
      <c r="K200" s="342">
        <v>11610606</v>
      </c>
      <c r="L200" s="342">
        <v>0</v>
      </c>
      <c r="M200" s="343">
        <v>0</v>
      </c>
      <c r="N200" s="343">
        <v>0</v>
      </c>
      <c r="O200" s="343">
        <v>0</v>
      </c>
      <c r="P200" s="338" t="s">
        <v>3480</v>
      </c>
      <c r="Q200" s="339" t="s">
        <v>20</v>
      </c>
      <c r="R200" s="339" t="s">
        <v>284</v>
      </c>
      <c r="S200" s="341" t="s">
        <v>2122</v>
      </c>
      <c r="T200" s="338"/>
      <c r="U200" s="327"/>
      <c r="V200" s="327"/>
      <c r="W200" s="327"/>
      <c r="X200" s="327"/>
      <c r="Y200" s="327"/>
      <c r="Z200" s="330"/>
    </row>
    <row r="201" spans="1:26" ht="37.5" hidden="1">
      <c r="A201" s="339">
        <v>194</v>
      </c>
      <c r="B201" s="338" t="s">
        <v>1516</v>
      </c>
      <c r="C201" s="340">
        <v>40144</v>
      </c>
      <c r="D201" s="338" t="s">
        <v>4879</v>
      </c>
      <c r="E201" s="341" t="s">
        <v>3666</v>
      </c>
      <c r="F201" s="338"/>
      <c r="G201" s="338" t="s">
        <v>573</v>
      </c>
      <c r="H201" s="339" t="s">
        <v>19</v>
      </c>
      <c r="I201" s="339">
        <v>1</v>
      </c>
      <c r="J201" s="342">
        <v>29026540</v>
      </c>
      <c r="K201" s="342">
        <v>11610606</v>
      </c>
      <c r="L201" s="342">
        <v>0</v>
      </c>
      <c r="M201" s="343">
        <v>0</v>
      </c>
      <c r="N201" s="343">
        <v>0</v>
      </c>
      <c r="O201" s="343">
        <v>0</v>
      </c>
      <c r="P201" s="338" t="s">
        <v>3480</v>
      </c>
      <c r="Q201" s="339" t="s">
        <v>20</v>
      </c>
      <c r="R201" s="339" t="s">
        <v>284</v>
      </c>
      <c r="S201" s="341" t="s">
        <v>2122</v>
      </c>
      <c r="T201" s="338"/>
      <c r="U201" s="327"/>
      <c r="V201" s="327"/>
      <c r="W201" s="327"/>
      <c r="X201" s="327"/>
      <c r="Y201" s="327"/>
      <c r="Z201" s="330"/>
    </row>
    <row r="202" spans="1:26" ht="37.5" hidden="1">
      <c r="A202" s="339">
        <v>195</v>
      </c>
      <c r="B202" s="338" t="s">
        <v>1516</v>
      </c>
      <c r="C202" s="340">
        <v>40144</v>
      </c>
      <c r="D202" s="338" t="s">
        <v>4880</v>
      </c>
      <c r="E202" s="341" t="s">
        <v>3666</v>
      </c>
      <c r="F202" s="338"/>
      <c r="G202" s="338" t="s">
        <v>573</v>
      </c>
      <c r="H202" s="339" t="s">
        <v>19</v>
      </c>
      <c r="I202" s="339">
        <v>1</v>
      </c>
      <c r="J202" s="342">
        <v>29026540</v>
      </c>
      <c r="K202" s="342">
        <v>11610606</v>
      </c>
      <c r="L202" s="342">
        <v>0</v>
      </c>
      <c r="M202" s="343">
        <v>0</v>
      </c>
      <c r="N202" s="343">
        <v>0</v>
      </c>
      <c r="O202" s="343">
        <v>0</v>
      </c>
      <c r="P202" s="338" t="s">
        <v>3480</v>
      </c>
      <c r="Q202" s="339" t="s">
        <v>20</v>
      </c>
      <c r="R202" s="339" t="s">
        <v>284</v>
      </c>
      <c r="S202" s="341" t="s">
        <v>2122</v>
      </c>
      <c r="T202" s="338"/>
      <c r="U202" s="327"/>
      <c r="V202" s="327"/>
      <c r="W202" s="327"/>
      <c r="X202" s="327"/>
      <c r="Y202" s="327"/>
      <c r="Z202" s="330"/>
    </row>
    <row r="203" spans="1:26" ht="37.5" hidden="1">
      <c r="A203" s="339">
        <v>196</v>
      </c>
      <c r="B203" s="338" t="s">
        <v>1516</v>
      </c>
      <c r="C203" s="340">
        <v>40144</v>
      </c>
      <c r="D203" s="338" t="s">
        <v>4881</v>
      </c>
      <c r="E203" s="341" t="s">
        <v>3666</v>
      </c>
      <c r="F203" s="338"/>
      <c r="G203" s="338" t="s">
        <v>573</v>
      </c>
      <c r="H203" s="339" t="s">
        <v>19</v>
      </c>
      <c r="I203" s="339">
        <v>1</v>
      </c>
      <c r="J203" s="342">
        <v>29026540</v>
      </c>
      <c r="K203" s="342">
        <v>11610606</v>
      </c>
      <c r="L203" s="342">
        <v>0</v>
      </c>
      <c r="M203" s="343">
        <v>0</v>
      </c>
      <c r="N203" s="343">
        <v>0</v>
      </c>
      <c r="O203" s="343">
        <v>0</v>
      </c>
      <c r="P203" s="338" t="s">
        <v>3480</v>
      </c>
      <c r="Q203" s="339" t="s">
        <v>20</v>
      </c>
      <c r="R203" s="339" t="s">
        <v>284</v>
      </c>
      <c r="S203" s="341" t="s">
        <v>2122</v>
      </c>
      <c r="T203" s="338"/>
      <c r="U203" s="327"/>
      <c r="V203" s="327"/>
      <c r="W203" s="327"/>
      <c r="X203" s="327"/>
      <c r="Y203" s="327"/>
      <c r="Z203" s="330"/>
    </row>
    <row r="204" spans="1:26" ht="37.5" hidden="1">
      <c r="A204" s="339">
        <v>197</v>
      </c>
      <c r="B204" s="338" t="s">
        <v>1516</v>
      </c>
      <c r="C204" s="340">
        <v>40144</v>
      </c>
      <c r="D204" s="338" t="s">
        <v>4882</v>
      </c>
      <c r="E204" s="341" t="s">
        <v>3666</v>
      </c>
      <c r="F204" s="338"/>
      <c r="G204" s="338" t="s">
        <v>573</v>
      </c>
      <c r="H204" s="339" t="s">
        <v>19</v>
      </c>
      <c r="I204" s="339">
        <v>1</v>
      </c>
      <c r="J204" s="342">
        <v>29026540</v>
      </c>
      <c r="K204" s="342">
        <v>11610606</v>
      </c>
      <c r="L204" s="342">
        <v>0</v>
      </c>
      <c r="M204" s="343">
        <v>0</v>
      </c>
      <c r="N204" s="343">
        <v>0</v>
      </c>
      <c r="O204" s="343">
        <v>0</v>
      </c>
      <c r="P204" s="338" t="s">
        <v>3480</v>
      </c>
      <c r="Q204" s="339" t="s">
        <v>20</v>
      </c>
      <c r="R204" s="339" t="s">
        <v>284</v>
      </c>
      <c r="S204" s="341" t="s">
        <v>3660</v>
      </c>
      <c r="T204" s="338"/>
      <c r="U204" s="327"/>
      <c r="V204" s="327"/>
      <c r="W204" s="327"/>
      <c r="X204" s="327"/>
      <c r="Y204" s="327"/>
      <c r="Z204" s="330"/>
    </row>
    <row r="205" spans="1:26" ht="37.5" hidden="1">
      <c r="A205" s="339">
        <v>198</v>
      </c>
      <c r="B205" s="338" t="s">
        <v>1516</v>
      </c>
      <c r="C205" s="340">
        <v>40144</v>
      </c>
      <c r="D205" s="338" t="s">
        <v>4883</v>
      </c>
      <c r="E205" s="341" t="s">
        <v>3666</v>
      </c>
      <c r="F205" s="338"/>
      <c r="G205" s="338" t="s">
        <v>573</v>
      </c>
      <c r="H205" s="339" t="s">
        <v>19</v>
      </c>
      <c r="I205" s="339">
        <v>1</v>
      </c>
      <c r="J205" s="342">
        <v>29026540</v>
      </c>
      <c r="K205" s="342">
        <v>11610606</v>
      </c>
      <c r="L205" s="342">
        <v>0</v>
      </c>
      <c r="M205" s="343">
        <v>0</v>
      </c>
      <c r="N205" s="343">
        <v>0</v>
      </c>
      <c r="O205" s="343">
        <v>0</v>
      </c>
      <c r="P205" s="338" t="s">
        <v>3480</v>
      </c>
      <c r="Q205" s="339" t="s">
        <v>20</v>
      </c>
      <c r="R205" s="339" t="s">
        <v>284</v>
      </c>
      <c r="S205" s="341" t="s">
        <v>3660</v>
      </c>
      <c r="T205" s="338"/>
      <c r="U205" s="327"/>
      <c r="V205" s="327"/>
      <c r="W205" s="327"/>
      <c r="X205" s="327"/>
      <c r="Y205" s="327"/>
      <c r="Z205" s="330"/>
    </row>
    <row r="206" spans="1:26" ht="37.5" hidden="1">
      <c r="A206" s="339">
        <v>199</v>
      </c>
      <c r="B206" s="338" t="s">
        <v>1516</v>
      </c>
      <c r="C206" s="340">
        <v>40144</v>
      </c>
      <c r="D206" s="338" t="s">
        <v>4884</v>
      </c>
      <c r="E206" s="341" t="s">
        <v>3666</v>
      </c>
      <c r="F206" s="338"/>
      <c r="G206" s="338" t="s">
        <v>573</v>
      </c>
      <c r="H206" s="339" t="s">
        <v>19</v>
      </c>
      <c r="I206" s="339">
        <v>1</v>
      </c>
      <c r="J206" s="342">
        <v>29026540</v>
      </c>
      <c r="K206" s="342">
        <v>11610606</v>
      </c>
      <c r="L206" s="342">
        <v>0</v>
      </c>
      <c r="M206" s="343">
        <v>0</v>
      </c>
      <c r="N206" s="343">
        <v>0</v>
      </c>
      <c r="O206" s="343">
        <v>0</v>
      </c>
      <c r="P206" s="338" t="s">
        <v>3480</v>
      </c>
      <c r="Q206" s="339" t="s">
        <v>20</v>
      </c>
      <c r="R206" s="339" t="s">
        <v>284</v>
      </c>
      <c r="S206" s="341" t="s">
        <v>3660</v>
      </c>
      <c r="T206" s="338"/>
      <c r="U206" s="327"/>
      <c r="V206" s="327"/>
      <c r="W206" s="327"/>
      <c r="X206" s="327"/>
      <c r="Y206" s="327"/>
      <c r="Z206" s="330"/>
    </row>
    <row r="207" spans="1:26" ht="62.5" hidden="1">
      <c r="A207" s="339">
        <v>200</v>
      </c>
      <c r="B207" s="338" t="s">
        <v>1516</v>
      </c>
      <c r="C207" s="340">
        <v>40144</v>
      </c>
      <c r="D207" s="338" t="s">
        <v>4885</v>
      </c>
      <c r="E207" s="341" t="s">
        <v>3671</v>
      </c>
      <c r="F207" s="341" t="s">
        <v>4886</v>
      </c>
      <c r="G207" s="338" t="s">
        <v>248</v>
      </c>
      <c r="H207" s="339" t="s">
        <v>19</v>
      </c>
      <c r="I207" s="339">
        <v>1</v>
      </c>
      <c r="J207" s="342">
        <v>25732748</v>
      </c>
      <c r="K207" s="342">
        <v>10293103</v>
      </c>
      <c r="L207" s="342">
        <v>0</v>
      </c>
      <c r="M207" s="343">
        <v>0</v>
      </c>
      <c r="N207" s="343">
        <v>0</v>
      </c>
      <c r="O207" s="343">
        <v>0</v>
      </c>
      <c r="P207" s="338" t="s">
        <v>3480</v>
      </c>
      <c r="Q207" s="339" t="s">
        <v>20</v>
      </c>
      <c r="R207" s="339" t="s">
        <v>284</v>
      </c>
      <c r="S207" s="341" t="s">
        <v>3672</v>
      </c>
      <c r="T207" s="338"/>
      <c r="U207" s="327"/>
      <c r="V207" s="327"/>
      <c r="W207" s="327"/>
      <c r="X207" s="327"/>
      <c r="Y207" s="327"/>
      <c r="Z207" s="330"/>
    </row>
    <row r="208" spans="1:26" ht="62.5" hidden="1">
      <c r="A208" s="339">
        <v>201</v>
      </c>
      <c r="B208" s="338" t="s">
        <v>1516</v>
      </c>
      <c r="C208" s="340">
        <v>40144</v>
      </c>
      <c r="D208" s="338" t="s">
        <v>4887</v>
      </c>
      <c r="E208" s="341" t="s">
        <v>3671</v>
      </c>
      <c r="F208" s="341" t="s">
        <v>4888</v>
      </c>
      <c r="G208" s="338" t="s">
        <v>248</v>
      </c>
      <c r="H208" s="339" t="s">
        <v>19</v>
      </c>
      <c r="I208" s="339">
        <v>1</v>
      </c>
      <c r="J208" s="342">
        <v>25732748</v>
      </c>
      <c r="K208" s="342">
        <v>10293103</v>
      </c>
      <c r="L208" s="342">
        <v>0</v>
      </c>
      <c r="M208" s="343">
        <v>0</v>
      </c>
      <c r="N208" s="343">
        <v>0</v>
      </c>
      <c r="O208" s="343">
        <v>0</v>
      </c>
      <c r="P208" s="338" t="s">
        <v>3480</v>
      </c>
      <c r="Q208" s="339" t="s">
        <v>20</v>
      </c>
      <c r="R208" s="339" t="s">
        <v>284</v>
      </c>
      <c r="S208" s="341" t="s">
        <v>3673</v>
      </c>
      <c r="T208" s="338"/>
      <c r="U208" s="327"/>
      <c r="V208" s="327"/>
      <c r="W208" s="327"/>
      <c r="X208" s="327"/>
      <c r="Y208" s="327"/>
      <c r="Z208" s="330"/>
    </row>
    <row r="209" spans="1:26" ht="62.5" hidden="1">
      <c r="A209" s="339">
        <v>202</v>
      </c>
      <c r="B209" s="338" t="s">
        <v>1516</v>
      </c>
      <c r="C209" s="340">
        <v>40144</v>
      </c>
      <c r="D209" s="338" t="s">
        <v>4889</v>
      </c>
      <c r="E209" s="341" t="s">
        <v>3671</v>
      </c>
      <c r="F209" s="341" t="s">
        <v>4890</v>
      </c>
      <c r="G209" s="338" t="s">
        <v>248</v>
      </c>
      <c r="H209" s="339" t="s">
        <v>19</v>
      </c>
      <c r="I209" s="339">
        <v>1</v>
      </c>
      <c r="J209" s="342">
        <v>25732748</v>
      </c>
      <c r="K209" s="342">
        <v>10293103</v>
      </c>
      <c r="L209" s="342">
        <v>0</v>
      </c>
      <c r="M209" s="343">
        <v>0</v>
      </c>
      <c r="N209" s="343">
        <v>0</v>
      </c>
      <c r="O209" s="343">
        <v>0</v>
      </c>
      <c r="P209" s="338" t="s">
        <v>3480</v>
      </c>
      <c r="Q209" s="339" t="s">
        <v>20</v>
      </c>
      <c r="R209" s="339" t="s">
        <v>284</v>
      </c>
      <c r="S209" s="341" t="s">
        <v>3674</v>
      </c>
      <c r="T209" s="338"/>
      <c r="U209" s="327"/>
      <c r="V209" s="327"/>
      <c r="W209" s="327"/>
      <c r="X209" s="327"/>
      <c r="Y209" s="327"/>
      <c r="Z209" s="330"/>
    </row>
    <row r="210" spans="1:26" ht="62.5" hidden="1">
      <c r="A210" s="339">
        <v>203</v>
      </c>
      <c r="B210" s="338" t="s">
        <v>1516</v>
      </c>
      <c r="C210" s="340">
        <v>40144</v>
      </c>
      <c r="D210" s="338" t="s">
        <v>4891</v>
      </c>
      <c r="E210" s="341" t="s">
        <v>3671</v>
      </c>
      <c r="F210" s="341" t="s">
        <v>4892</v>
      </c>
      <c r="G210" s="338" t="s">
        <v>248</v>
      </c>
      <c r="H210" s="339" t="s">
        <v>19</v>
      </c>
      <c r="I210" s="339">
        <v>1</v>
      </c>
      <c r="J210" s="342">
        <v>25732748</v>
      </c>
      <c r="K210" s="342">
        <v>10293103</v>
      </c>
      <c r="L210" s="342">
        <v>0</v>
      </c>
      <c r="M210" s="343">
        <v>0</v>
      </c>
      <c r="N210" s="343">
        <v>0</v>
      </c>
      <c r="O210" s="343">
        <v>0</v>
      </c>
      <c r="P210" s="338" t="s">
        <v>3480</v>
      </c>
      <c r="Q210" s="339" t="s">
        <v>20</v>
      </c>
      <c r="R210" s="339" t="s">
        <v>284</v>
      </c>
      <c r="S210" s="341" t="s">
        <v>3675</v>
      </c>
      <c r="T210" s="338"/>
      <c r="U210" s="327"/>
      <c r="V210" s="327"/>
      <c r="W210" s="327"/>
      <c r="X210" s="327"/>
      <c r="Y210" s="327"/>
      <c r="Z210" s="330"/>
    </row>
    <row r="211" spans="1:26" ht="62.5" hidden="1">
      <c r="A211" s="339">
        <v>204</v>
      </c>
      <c r="B211" s="338" t="s">
        <v>1516</v>
      </c>
      <c r="C211" s="340">
        <v>40144</v>
      </c>
      <c r="D211" s="338" t="s">
        <v>4893</v>
      </c>
      <c r="E211" s="341" t="s">
        <v>3671</v>
      </c>
      <c r="F211" s="341" t="s">
        <v>4894</v>
      </c>
      <c r="G211" s="338" t="s">
        <v>248</v>
      </c>
      <c r="H211" s="339" t="s">
        <v>19</v>
      </c>
      <c r="I211" s="339">
        <v>1</v>
      </c>
      <c r="J211" s="342">
        <v>25732748</v>
      </c>
      <c r="K211" s="342">
        <v>10293103</v>
      </c>
      <c r="L211" s="342">
        <v>0</v>
      </c>
      <c r="M211" s="343">
        <v>0</v>
      </c>
      <c r="N211" s="343">
        <v>0</v>
      </c>
      <c r="O211" s="343">
        <v>0</v>
      </c>
      <c r="P211" s="338"/>
      <c r="Q211" s="339" t="s">
        <v>20</v>
      </c>
      <c r="R211" s="339" t="s">
        <v>284</v>
      </c>
      <c r="S211" s="341" t="s">
        <v>3676</v>
      </c>
      <c r="T211" s="338"/>
      <c r="U211" s="327"/>
      <c r="V211" s="327"/>
      <c r="W211" s="327"/>
      <c r="X211" s="327"/>
      <c r="Y211" s="327"/>
      <c r="Z211" s="330"/>
    </row>
    <row r="212" spans="1:26" ht="62.5" hidden="1">
      <c r="A212" s="339">
        <v>205</v>
      </c>
      <c r="B212" s="338" t="s">
        <v>1516</v>
      </c>
      <c r="C212" s="340">
        <v>40144</v>
      </c>
      <c r="D212" s="338" t="s">
        <v>4895</v>
      </c>
      <c r="E212" s="341" t="s">
        <v>3671</v>
      </c>
      <c r="F212" s="341" t="s">
        <v>4896</v>
      </c>
      <c r="G212" s="338" t="s">
        <v>248</v>
      </c>
      <c r="H212" s="339" t="s">
        <v>19</v>
      </c>
      <c r="I212" s="339">
        <v>1</v>
      </c>
      <c r="J212" s="342">
        <v>25732748</v>
      </c>
      <c r="K212" s="342">
        <v>10293103</v>
      </c>
      <c r="L212" s="342">
        <v>0</v>
      </c>
      <c r="M212" s="343">
        <v>0</v>
      </c>
      <c r="N212" s="343">
        <v>0</v>
      </c>
      <c r="O212" s="343">
        <v>0</v>
      </c>
      <c r="P212" s="338"/>
      <c r="Q212" s="339" t="s">
        <v>20</v>
      </c>
      <c r="R212" s="339" t="s">
        <v>284</v>
      </c>
      <c r="S212" s="341" t="s">
        <v>3675</v>
      </c>
      <c r="T212" s="338"/>
      <c r="U212" s="327"/>
      <c r="V212" s="327"/>
      <c r="W212" s="327"/>
      <c r="X212" s="327"/>
      <c r="Y212" s="327"/>
      <c r="Z212" s="330"/>
    </row>
    <row r="213" spans="1:26" ht="62.5" hidden="1">
      <c r="A213" s="339">
        <v>206</v>
      </c>
      <c r="B213" s="338" t="s">
        <v>1516</v>
      </c>
      <c r="C213" s="340">
        <v>40144</v>
      </c>
      <c r="D213" s="338" t="s">
        <v>4897</v>
      </c>
      <c r="E213" s="341" t="s">
        <v>3671</v>
      </c>
      <c r="F213" s="341" t="s">
        <v>4898</v>
      </c>
      <c r="G213" s="338" t="s">
        <v>248</v>
      </c>
      <c r="H213" s="339" t="s">
        <v>19</v>
      </c>
      <c r="I213" s="339">
        <v>1</v>
      </c>
      <c r="J213" s="342">
        <v>25732748</v>
      </c>
      <c r="K213" s="342">
        <v>10293103</v>
      </c>
      <c r="L213" s="342">
        <v>0</v>
      </c>
      <c r="M213" s="343">
        <v>0</v>
      </c>
      <c r="N213" s="343">
        <v>0</v>
      </c>
      <c r="O213" s="343">
        <v>0</v>
      </c>
      <c r="P213" s="338" t="s">
        <v>3480</v>
      </c>
      <c r="Q213" s="339" t="s">
        <v>20</v>
      </c>
      <c r="R213" s="339" t="s">
        <v>284</v>
      </c>
      <c r="S213" s="341" t="s">
        <v>3677</v>
      </c>
      <c r="T213" s="338"/>
      <c r="U213" s="327"/>
      <c r="V213" s="327"/>
      <c r="W213" s="327"/>
      <c r="X213" s="327"/>
      <c r="Y213" s="327"/>
      <c r="Z213" s="330"/>
    </row>
    <row r="214" spans="1:26" ht="62.5" hidden="1">
      <c r="A214" s="339">
        <v>207</v>
      </c>
      <c r="B214" s="338" t="s">
        <v>1516</v>
      </c>
      <c r="C214" s="340">
        <v>40144</v>
      </c>
      <c r="D214" s="338" t="s">
        <v>4899</v>
      </c>
      <c r="E214" s="341" t="s">
        <v>3671</v>
      </c>
      <c r="F214" s="341" t="s">
        <v>4900</v>
      </c>
      <c r="G214" s="338" t="s">
        <v>248</v>
      </c>
      <c r="H214" s="339" t="s">
        <v>19</v>
      </c>
      <c r="I214" s="339">
        <v>1</v>
      </c>
      <c r="J214" s="342">
        <v>25732748</v>
      </c>
      <c r="K214" s="342">
        <v>10293103</v>
      </c>
      <c r="L214" s="342">
        <v>0</v>
      </c>
      <c r="M214" s="343">
        <v>0</v>
      </c>
      <c r="N214" s="343">
        <v>0</v>
      </c>
      <c r="O214" s="343">
        <v>0</v>
      </c>
      <c r="P214" s="338" t="s">
        <v>3480</v>
      </c>
      <c r="Q214" s="339" t="s">
        <v>20</v>
      </c>
      <c r="R214" s="339" t="s">
        <v>284</v>
      </c>
      <c r="S214" s="341" t="s">
        <v>3675</v>
      </c>
      <c r="T214" s="338"/>
      <c r="U214" s="327"/>
      <c r="V214" s="327"/>
      <c r="W214" s="327"/>
      <c r="X214" s="327"/>
      <c r="Y214" s="327"/>
      <c r="Z214" s="330"/>
    </row>
    <row r="215" spans="1:26" ht="62.5" hidden="1">
      <c r="A215" s="339">
        <v>208</v>
      </c>
      <c r="B215" s="338" t="s">
        <v>1516</v>
      </c>
      <c r="C215" s="340">
        <v>40144</v>
      </c>
      <c r="D215" s="338" t="s">
        <v>4901</v>
      </c>
      <c r="E215" s="341" t="s">
        <v>3671</v>
      </c>
      <c r="F215" s="341" t="s">
        <v>4902</v>
      </c>
      <c r="G215" s="338" t="s">
        <v>248</v>
      </c>
      <c r="H215" s="339" t="s">
        <v>19</v>
      </c>
      <c r="I215" s="339">
        <v>1</v>
      </c>
      <c r="J215" s="342">
        <v>25732748</v>
      </c>
      <c r="K215" s="342">
        <v>10293103</v>
      </c>
      <c r="L215" s="342">
        <v>0</v>
      </c>
      <c r="M215" s="343">
        <v>0</v>
      </c>
      <c r="N215" s="343">
        <v>0</v>
      </c>
      <c r="O215" s="343">
        <v>0</v>
      </c>
      <c r="P215" s="338"/>
      <c r="Q215" s="339" t="s">
        <v>20</v>
      </c>
      <c r="R215" s="339" t="s">
        <v>284</v>
      </c>
      <c r="S215" s="341" t="s">
        <v>3678</v>
      </c>
      <c r="T215" s="338"/>
      <c r="U215" s="327"/>
      <c r="V215" s="327"/>
      <c r="W215" s="327"/>
      <c r="X215" s="327"/>
      <c r="Y215" s="327"/>
      <c r="Z215" s="330"/>
    </row>
    <row r="216" spans="1:26" ht="37.5" hidden="1">
      <c r="A216" s="339">
        <v>209</v>
      </c>
      <c r="B216" s="338" t="s">
        <v>2476</v>
      </c>
      <c r="C216" s="340">
        <v>36892</v>
      </c>
      <c r="D216" s="338" t="s">
        <v>4903</v>
      </c>
      <c r="E216" s="341" t="s">
        <v>1402</v>
      </c>
      <c r="F216" s="338"/>
      <c r="G216" s="338"/>
      <c r="H216" s="339" t="s">
        <v>19</v>
      </c>
      <c r="I216" s="339">
        <v>1</v>
      </c>
      <c r="J216" s="342">
        <v>10670053</v>
      </c>
      <c r="K216" s="342">
        <v>0</v>
      </c>
      <c r="L216" s="342">
        <v>0</v>
      </c>
      <c r="M216" s="343">
        <v>0</v>
      </c>
      <c r="N216" s="343">
        <v>0</v>
      </c>
      <c r="O216" s="343">
        <v>0</v>
      </c>
      <c r="P216" s="338"/>
      <c r="Q216" s="339" t="s">
        <v>36</v>
      </c>
      <c r="R216" s="339" t="s">
        <v>37</v>
      </c>
      <c r="S216" s="363" t="s">
        <v>4904</v>
      </c>
      <c r="T216" s="338"/>
      <c r="U216" s="327"/>
      <c r="V216" s="327"/>
      <c r="W216" s="327"/>
      <c r="X216" s="327"/>
      <c r="Y216" s="327"/>
      <c r="Z216" s="330"/>
    </row>
    <row r="217" spans="1:26" ht="37.5" hidden="1">
      <c r="A217" s="339">
        <v>210</v>
      </c>
      <c r="B217" s="338" t="s">
        <v>1064</v>
      </c>
      <c r="C217" s="340">
        <v>39871</v>
      </c>
      <c r="D217" s="338" t="s">
        <v>4905</v>
      </c>
      <c r="E217" s="341" t="s">
        <v>3681</v>
      </c>
      <c r="F217" s="341" t="s">
        <v>3682</v>
      </c>
      <c r="G217" s="338" t="s">
        <v>35</v>
      </c>
      <c r="H217" s="339" t="s">
        <v>249</v>
      </c>
      <c r="I217" s="339">
        <v>1</v>
      </c>
      <c r="J217" s="342">
        <v>6556539</v>
      </c>
      <c r="K217" s="342">
        <v>765453</v>
      </c>
      <c r="L217" s="342">
        <v>0</v>
      </c>
      <c r="M217" s="343">
        <v>0</v>
      </c>
      <c r="N217" s="343">
        <v>0</v>
      </c>
      <c r="O217" s="343">
        <v>0</v>
      </c>
      <c r="P217" s="338" t="s">
        <v>3400</v>
      </c>
      <c r="Q217" s="339" t="s">
        <v>206</v>
      </c>
      <c r="R217" s="339" t="s">
        <v>2906</v>
      </c>
      <c r="S217" s="341" t="s">
        <v>3683</v>
      </c>
      <c r="T217" s="338"/>
      <c r="U217" s="327"/>
      <c r="V217" s="327"/>
      <c r="W217" s="327"/>
      <c r="X217" s="327"/>
      <c r="Y217" s="327"/>
      <c r="Z217" s="330"/>
    </row>
    <row r="218" spans="1:26" ht="62.5" hidden="1">
      <c r="A218" s="339">
        <v>211</v>
      </c>
      <c r="B218" s="338" t="s">
        <v>2471</v>
      </c>
      <c r="C218" s="340">
        <v>35431</v>
      </c>
      <c r="D218" s="338" t="s">
        <v>4906</v>
      </c>
      <c r="E218" s="341" t="s">
        <v>3684</v>
      </c>
      <c r="F218" s="341" t="s">
        <v>4907</v>
      </c>
      <c r="G218" s="338"/>
      <c r="H218" s="339" t="s">
        <v>19</v>
      </c>
      <c r="I218" s="339">
        <v>1</v>
      </c>
      <c r="J218" s="342">
        <v>22570949</v>
      </c>
      <c r="K218" s="342">
        <v>0</v>
      </c>
      <c r="L218" s="342">
        <v>0</v>
      </c>
      <c r="M218" s="343">
        <v>0</v>
      </c>
      <c r="N218" s="343">
        <v>0</v>
      </c>
      <c r="O218" s="343">
        <v>0</v>
      </c>
      <c r="P218" s="338"/>
      <c r="Q218" s="339" t="s">
        <v>206</v>
      </c>
      <c r="R218" s="339" t="s">
        <v>1514</v>
      </c>
      <c r="S218" s="341" t="s">
        <v>3685</v>
      </c>
      <c r="T218" s="338"/>
      <c r="U218" s="327"/>
      <c r="V218" s="327"/>
      <c r="W218" s="327"/>
      <c r="X218" s="327"/>
      <c r="Y218" s="327"/>
      <c r="Z218" s="330"/>
    </row>
    <row r="219" spans="1:26" ht="50">
      <c r="A219" s="339">
        <v>212</v>
      </c>
      <c r="B219" s="338" t="s">
        <v>3686</v>
      </c>
      <c r="C219" s="340">
        <v>37622</v>
      </c>
      <c r="D219" s="338" t="s">
        <v>4908</v>
      </c>
      <c r="E219" s="341" t="s">
        <v>3687</v>
      </c>
      <c r="F219" s="341" t="s">
        <v>3688</v>
      </c>
      <c r="G219" s="338"/>
      <c r="H219" s="339" t="s">
        <v>19</v>
      </c>
      <c r="I219" s="339">
        <v>1</v>
      </c>
      <c r="J219" s="342">
        <v>8239485</v>
      </c>
      <c r="K219" s="342">
        <v>0</v>
      </c>
      <c r="L219" s="342">
        <v>0</v>
      </c>
      <c r="M219" s="343">
        <v>0</v>
      </c>
      <c r="N219" s="343">
        <v>0</v>
      </c>
      <c r="O219" s="343">
        <v>0</v>
      </c>
      <c r="P219" s="338"/>
      <c r="Q219" s="339" t="s">
        <v>20</v>
      </c>
      <c r="R219" s="339" t="s">
        <v>423</v>
      </c>
      <c r="S219" s="341" t="s">
        <v>3689</v>
      </c>
      <c r="T219" s="338"/>
      <c r="U219" s="327"/>
      <c r="V219" s="327"/>
      <c r="W219" s="327"/>
      <c r="X219" s="327"/>
      <c r="Y219" s="327"/>
      <c r="Z219" s="330"/>
    </row>
    <row r="220" spans="1:26" ht="137.5" hidden="1">
      <c r="A220" s="347">
        <v>213</v>
      </c>
      <c r="B220" s="338" t="s">
        <v>1377</v>
      </c>
      <c r="C220" s="348">
        <v>37987</v>
      </c>
      <c r="D220" s="338" t="s">
        <v>4909</v>
      </c>
      <c r="E220" s="349" t="s">
        <v>4910</v>
      </c>
      <c r="F220" s="349" t="s">
        <v>4911</v>
      </c>
      <c r="G220" s="338"/>
      <c r="H220" s="338"/>
      <c r="I220" s="347">
        <v>1</v>
      </c>
      <c r="J220" s="342">
        <v>26051126</v>
      </c>
      <c r="K220" s="342">
        <v>0</v>
      </c>
      <c r="L220" s="342">
        <v>0</v>
      </c>
      <c r="M220" s="343">
        <v>0</v>
      </c>
      <c r="N220" s="343">
        <v>0</v>
      </c>
      <c r="O220" s="343">
        <v>0</v>
      </c>
      <c r="P220" s="221" t="s">
        <v>3400</v>
      </c>
      <c r="Q220" s="347" t="s">
        <v>20</v>
      </c>
      <c r="R220" s="347" t="s">
        <v>21</v>
      </c>
      <c r="S220" s="349" t="s">
        <v>22</v>
      </c>
      <c r="T220" s="338"/>
      <c r="U220" s="351" t="s">
        <v>4663</v>
      </c>
      <c r="V220" s="327"/>
      <c r="W220" s="327"/>
      <c r="X220" s="327"/>
      <c r="Y220" s="327"/>
      <c r="Z220" s="330"/>
    </row>
    <row r="221" spans="1:26" ht="25" hidden="1">
      <c r="A221" s="339">
        <v>214</v>
      </c>
      <c r="B221" s="338" t="s">
        <v>1377</v>
      </c>
      <c r="C221" s="340">
        <v>37987</v>
      </c>
      <c r="D221" s="338" t="s">
        <v>4912</v>
      </c>
      <c r="E221" s="341" t="s">
        <v>3691</v>
      </c>
      <c r="F221" s="338"/>
      <c r="G221" s="338"/>
      <c r="H221" s="338"/>
      <c r="I221" s="339">
        <v>1</v>
      </c>
      <c r="J221" s="342">
        <v>26051126</v>
      </c>
      <c r="K221" s="342">
        <v>0</v>
      </c>
      <c r="L221" s="342">
        <v>0</v>
      </c>
      <c r="M221" s="343">
        <v>0</v>
      </c>
      <c r="N221" s="343">
        <v>0</v>
      </c>
      <c r="O221" s="343">
        <v>0</v>
      </c>
      <c r="P221" s="338"/>
      <c r="Q221" s="339" t="s">
        <v>206</v>
      </c>
      <c r="R221" s="339" t="s">
        <v>1514</v>
      </c>
      <c r="S221" s="341" t="s">
        <v>880</v>
      </c>
      <c r="T221" s="338"/>
      <c r="U221" s="327"/>
      <c r="V221" s="327"/>
      <c r="W221" s="327"/>
      <c r="X221" s="327"/>
      <c r="Y221" s="327"/>
      <c r="Z221" s="330"/>
    </row>
    <row r="222" spans="1:26" ht="25" hidden="1">
      <c r="A222" s="339">
        <v>215</v>
      </c>
      <c r="B222" s="338" t="s">
        <v>1377</v>
      </c>
      <c r="C222" s="340">
        <v>37987</v>
      </c>
      <c r="D222" s="338" t="s">
        <v>4913</v>
      </c>
      <c r="E222" s="341" t="s">
        <v>3691</v>
      </c>
      <c r="F222" s="341" t="s">
        <v>4914</v>
      </c>
      <c r="G222" s="338"/>
      <c r="H222" s="338"/>
      <c r="I222" s="339">
        <v>1</v>
      </c>
      <c r="J222" s="342">
        <v>26051126</v>
      </c>
      <c r="K222" s="342">
        <v>0</v>
      </c>
      <c r="L222" s="342">
        <v>0</v>
      </c>
      <c r="M222" s="343">
        <v>0</v>
      </c>
      <c r="N222" s="343">
        <v>0</v>
      </c>
      <c r="O222" s="343">
        <v>0</v>
      </c>
      <c r="P222" s="338"/>
      <c r="Q222" s="339" t="s">
        <v>36</v>
      </c>
      <c r="R222" s="339" t="s">
        <v>169</v>
      </c>
      <c r="S222" s="341" t="s">
        <v>3692</v>
      </c>
      <c r="T222" s="338"/>
      <c r="U222" s="327"/>
      <c r="V222" s="327"/>
      <c r="W222" s="327"/>
      <c r="X222" s="327"/>
      <c r="Y222" s="327"/>
      <c r="Z222" s="330"/>
    </row>
    <row r="223" spans="1:26" ht="25" hidden="1">
      <c r="A223" s="339">
        <v>216</v>
      </c>
      <c r="B223" s="338" t="s">
        <v>1377</v>
      </c>
      <c r="C223" s="340">
        <v>37987</v>
      </c>
      <c r="D223" s="338" t="s">
        <v>4915</v>
      </c>
      <c r="E223" s="341" t="s">
        <v>3691</v>
      </c>
      <c r="F223" s="341" t="s">
        <v>4916</v>
      </c>
      <c r="G223" s="338"/>
      <c r="H223" s="338"/>
      <c r="I223" s="339">
        <v>1</v>
      </c>
      <c r="J223" s="342">
        <v>26051126</v>
      </c>
      <c r="K223" s="342">
        <v>0</v>
      </c>
      <c r="L223" s="342">
        <v>0</v>
      </c>
      <c r="M223" s="343">
        <v>0</v>
      </c>
      <c r="N223" s="343">
        <v>0</v>
      </c>
      <c r="O223" s="343">
        <v>0</v>
      </c>
      <c r="P223" s="338"/>
      <c r="Q223" s="339" t="s">
        <v>36</v>
      </c>
      <c r="R223" s="339" t="s">
        <v>169</v>
      </c>
      <c r="S223" s="341" t="s">
        <v>3692</v>
      </c>
      <c r="T223" s="338"/>
      <c r="U223" s="327"/>
      <c r="V223" s="327"/>
      <c r="W223" s="327"/>
      <c r="X223" s="327"/>
      <c r="Y223" s="327"/>
      <c r="Z223" s="330"/>
    </row>
    <row r="224" spans="1:26" ht="25" hidden="1">
      <c r="A224" s="339">
        <v>217</v>
      </c>
      <c r="B224" s="338" t="s">
        <v>3693</v>
      </c>
      <c r="C224" s="340">
        <v>34760</v>
      </c>
      <c r="D224" s="338" t="s">
        <v>4917</v>
      </c>
      <c r="E224" s="341" t="s">
        <v>4918</v>
      </c>
      <c r="F224" s="338"/>
      <c r="G224" s="338"/>
      <c r="H224" s="338"/>
      <c r="I224" s="339">
        <v>1</v>
      </c>
      <c r="J224" s="342">
        <v>8470000</v>
      </c>
      <c r="K224" s="342">
        <v>0</v>
      </c>
      <c r="L224" s="342">
        <v>0</v>
      </c>
      <c r="M224" s="343">
        <v>0</v>
      </c>
      <c r="N224" s="343">
        <v>0</v>
      </c>
      <c r="O224" s="343">
        <v>0</v>
      </c>
      <c r="P224" s="338"/>
      <c r="Q224" s="339" t="s">
        <v>206</v>
      </c>
      <c r="R224" s="339" t="s">
        <v>1514</v>
      </c>
      <c r="S224" s="341" t="s">
        <v>3685</v>
      </c>
      <c r="T224" s="338"/>
      <c r="U224" s="327"/>
      <c r="V224" s="327"/>
      <c r="W224" s="327"/>
      <c r="X224" s="327"/>
      <c r="Y224" s="327"/>
      <c r="Z224" s="330"/>
    </row>
    <row r="225" spans="1:26" ht="87.5" hidden="1">
      <c r="A225" s="339">
        <v>218</v>
      </c>
      <c r="B225" s="338" t="s">
        <v>3695</v>
      </c>
      <c r="C225" s="340">
        <v>37096</v>
      </c>
      <c r="D225" s="338" t="s">
        <v>4919</v>
      </c>
      <c r="E225" s="341" t="s">
        <v>4920</v>
      </c>
      <c r="F225" s="338"/>
      <c r="G225" s="338"/>
      <c r="H225" s="338"/>
      <c r="I225" s="339">
        <v>1</v>
      </c>
      <c r="J225" s="342">
        <v>17770000</v>
      </c>
      <c r="K225" s="342">
        <v>0</v>
      </c>
      <c r="L225" s="342">
        <v>0</v>
      </c>
      <c r="M225" s="343">
        <v>0</v>
      </c>
      <c r="N225" s="343">
        <v>0</v>
      </c>
      <c r="O225" s="343">
        <v>0</v>
      </c>
      <c r="P225" s="338"/>
      <c r="Q225" s="339" t="s">
        <v>206</v>
      </c>
      <c r="R225" s="339" t="s">
        <v>1514</v>
      </c>
      <c r="S225" s="341" t="s">
        <v>3685</v>
      </c>
      <c r="T225" s="338"/>
      <c r="U225" s="327"/>
      <c r="V225" s="327"/>
      <c r="W225" s="327"/>
      <c r="X225" s="327"/>
      <c r="Y225" s="327"/>
      <c r="Z225" s="330"/>
    </row>
    <row r="226" spans="1:26" ht="37.5" hidden="1">
      <c r="A226" s="339">
        <v>219</v>
      </c>
      <c r="B226" s="338" t="s">
        <v>3697</v>
      </c>
      <c r="C226" s="340">
        <v>37750</v>
      </c>
      <c r="D226" s="338" t="s">
        <v>4921</v>
      </c>
      <c r="E226" s="341" t="s">
        <v>4922</v>
      </c>
      <c r="F226" s="338"/>
      <c r="G226" s="338"/>
      <c r="H226" s="338"/>
      <c r="I226" s="339">
        <v>1</v>
      </c>
      <c r="J226" s="342">
        <v>5347500</v>
      </c>
      <c r="K226" s="342">
        <v>0</v>
      </c>
      <c r="L226" s="342">
        <v>0</v>
      </c>
      <c r="M226" s="343">
        <v>0</v>
      </c>
      <c r="N226" s="343">
        <v>0</v>
      </c>
      <c r="O226" s="343">
        <v>0</v>
      </c>
      <c r="P226" s="338"/>
      <c r="Q226" s="339" t="s">
        <v>20</v>
      </c>
      <c r="R226" s="339" t="s">
        <v>233</v>
      </c>
      <c r="S226" s="341" t="s">
        <v>3699</v>
      </c>
      <c r="T226" s="338"/>
      <c r="U226" s="327"/>
      <c r="V226" s="327"/>
      <c r="W226" s="327"/>
      <c r="X226" s="327"/>
      <c r="Y226" s="327"/>
      <c r="Z226" s="330"/>
    </row>
    <row r="227" spans="1:26" ht="37.5" hidden="1">
      <c r="A227" s="339">
        <v>220</v>
      </c>
      <c r="B227" s="338" t="s">
        <v>4923</v>
      </c>
      <c r="C227" s="340">
        <v>38982</v>
      </c>
      <c r="D227" s="338" t="s">
        <v>4924</v>
      </c>
      <c r="E227" s="341" t="s">
        <v>4925</v>
      </c>
      <c r="F227" s="341" t="s">
        <v>3701</v>
      </c>
      <c r="G227" s="338"/>
      <c r="H227" s="338"/>
      <c r="I227" s="339">
        <v>1</v>
      </c>
      <c r="J227" s="342">
        <v>5680000</v>
      </c>
      <c r="K227" s="342">
        <v>0</v>
      </c>
      <c r="L227" s="342">
        <v>0</v>
      </c>
      <c r="M227" s="343">
        <v>0</v>
      </c>
      <c r="N227" s="343">
        <v>0</v>
      </c>
      <c r="O227" s="343">
        <v>0</v>
      </c>
      <c r="P227" s="338" t="s">
        <v>3480</v>
      </c>
      <c r="Q227" s="339" t="s">
        <v>20</v>
      </c>
      <c r="R227" s="339" t="s">
        <v>295</v>
      </c>
      <c r="S227" s="341" t="s">
        <v>3702</v>
      </c>
      <c r="T227" s="338" t="s">
        <v>923</v>
      </c>
      <c r="U227" s="327"/>
      <c r="V227" s="327"/>
      <c r="W227" s="327"/>
      <c r="X227" s="327"/>
      <c r="Y227" s="327"/>
      <c r="Z227" s="330"/>
    </row>
    <row r="228" spans="1:26" ht="25" hidden="1">
      <c r="A228" s="339">
        <v>221</v>
      </c>
      <c r="B228" s="338" t="s">
        <v>3703</v>
      </c>
      <c r="C228" s="340">
        <v>34206</v>
      </c>
      <c r="D228" s="338" t="s">
        <v>4926</v>
      </c>
      <c r="E228" s="341" t="s">
        <v>3704</v>
      </c>
      <c r="F228" s="338"/>
      <c r="G228" s="338"/>
      <c r="H228" s="338"/>
      <c r="I228" s="339">
        <v>1</v>
      </c>
      <c r="J228" s="342">
        <v>812000</v>
      </c>
      <c r="K228" s="342">
        <v>0</v>
      </c>
      <c r="L228" s="342">
        <v>0</v>
      </c>
      <c r="M228" s="343">
        <v>0</v>
      </c>
      <c r="N228" s="343">
        <v>0</v>
      </c>
      <c r="O228" s="343">
        <v>0</v>
      </c>
      <c r="P228" s="338"/>
      <c r="Q228" s="339" t="s">
        <v>206</v>
      </c>
      <c r="R228" s="339" t="s">
        <v>1514</v>
      </c>
      <c r="S228" s="341" t="s">
        <v>3685</v>
      </c>
      <c r="T228" s="338"/>
      <c r="U228" s="327"/>
      <c r="V228" s="327"/>
      <c r="W228" s="327"/>
      <c r="X228" s="327"/>
      <c r="Y228" s="327"/>
      <c r="Z228" s="330"/>
    </row>
    <row r="229" spans="1:26" ht="62.5" hidden="1">
      <c r="A229" s="339">
        <v>222</v>
      </c>
      <c r="B229" s="338" t="s">
        <v>4927</v>
      </c>
      <c r="C229" s="340">
        <v>38775</v>
      </c>
      <c r="D229" s="338" t="s">
        <v>4928</v>
      </c>
      <c r="E229" s="341" t="s">
        <v>3705</v>
      </c>
      <c r="F229" s="338"/>
      <c r="G229" s="338"/>
      <c r="H229" s="338"/>
      <c r="I229" s="339">
        <v>1</v>
      </c>
      <c r="J229" s="342">
        <v>6179000</v>
      </c>
      <c r="K229" s="342">
        <v>0</v>
      </c>
      <c r="L229" s="342">
        <v>0</v>
      </c>
      <c r="M229" s="343">
        <v>0</v>
      </c>
      <c r="N229" s="343">
        <v>0</v>
      </c>
      <c r="O229" s="343">
        <v>0</v>
      </c>
      <c r="P229" s="338"/>
      <c r="Q229" s="339" t="s">
        <v>206</v>
      </c>
      <c r="R229" s="339" t="s">
        <v>1514</v>
      </c>
      <c r="S229" s="341" t="s">
        <v>3685</v>
      </c>
      <c r="T229" s="338"/>
      <c r="U229" s="327"/>
      <c r="V229" s="327"/>
      <c r="W229" s="327"/>
      <c r="X229" s="327"/>
      <c r="Y229" s="327"/>
      <c r="Z229" s="330"/>
    </row>
    <row r="230" spans="1:26" ht="25" hidden="1">
      <c r="A230" s="339">
        <v>223</v>
      </c>
      <c r="B230" s="338" t="s">
        <v>52</v>
      </c>
      <c r="C230" s="340">
        <v>40816</v>
      </c>
      <c r="D230" s="338" t="s">
        <v>4929</v>
      </c>
      <c r="E230" s="341" t="s">
        <v>3706</v>
      </c>
      <c r="F230" s="341" t="s">
        <v>4930</v>
      </c>
      <c r="G230" s="338" t="s">
        <v>1754</v>
      </c>
      <c r="H230" s="339" t="s">
        <v>19</v>
      </c>
      <c r="I230" s="339">
        <v>1</v>
      </c>
      <c r="J230" s="342">
        <v>28025838</v>
      </c>
      <c r="K230" s="342">
        <v>14012925</v>
      </c>
      <c r="L230" s="342">
        <v>0</v>
      </c>
      <c r="M230" s="343">
        <v>0</v>
      </c>
      <c r="N230" s="343">
        <v>0</v>
      </c>
      <c r="O230" s="343">
        <v>0</v>
      </c>
      <c r="P230" s="338"/>
      <c r="Q230" s="339" t="s">
        <v>36</v>
      </c>
      <c r="R230" s="339" t="s">
        <v>169</v>
      </c>
      <c r="S230" s="341" t="s">
        <v>3692</v>
      </c>
      <c r="T230" s="338"/>
      <c r="U230" s="327"/>
      <c r="V230" s="327"/>
      <c r="W230" s="327"/>
      <c r="X230" s="327"/>
      <c r="Y230" s="327"/>
      <c r="Z230" s="330"/>
    </row>
    <row r="231" spans="1:26" ht="25" hidden="1">
      <c r="A231" s="339">
        <v>224</v>
      </c>
      <c r="B231" s="338" t="s">
        <v>52</v>
      </c>
      <c r="C231" s="340">
        <v>40816</v>
      </c>
      <c r="D231" s="338" t="s">
        <v>4931</v>
      </c>
      <c r="E231" s="341" t="s">
        <v>3706</v>
      </c>
      <c r="F231" s="341" t="s">
        <v>4932</v>
      </c>
      <c r="G231" s="338" t="s">
        <v>1754</v>
      </c>
      <c r="H231" s="339" t="s">
        <v>19</v>
      </c>
      <c r="I231" s="339">
        <v>1</v>
      </c>
      <c r="J231" s="342">
        <v>28025838</v>
      </c>
      <c r="K231" s="342">
        <v>14012925</v>
      </c>
      <c r="L231" s="342">
        <v>0</v>
      </c>
      <c r="M231" s="343">
        <v>0</v>
      </c>
      <c r="N231" s="343">
        <v>0</v>
      </c>
      <c r="O231" s="343">
        <v>0</v>
      </c>
      <c r="P231" s="338"/>
      <c r="Q231" s="339" t="s">
        <v>36</v>
      </c>
      <c r="R231" s="339" t="s">
        <v>169</v>
      </c>
      <c r="S231" s="341" t="s">
        <v>3692</v>
      </c>
      <c r="T231" s="338"/>
      <c r="U231" s="327"/>
      <c r="V231" s="327"/>
      <c r="W231" s="327"/>
      <c r="X231" s="327"/>
      <c r="Y231" s="327"/>
      <c r="Z231" s="330"/>
    </row>
    <row r="232" spans="1:26" ht="25" hidden="1">
      <c r="A232" s="339">
        <v>225</v>
      </c>
      <c r="B232" s="338" t="s">
        <v>52</v>
      </c>
      <c r="C232" s="340">
        <v>40816</v>
      </c>
      <c r="D232" s="338" t="s">
        <v>4933</v>
      </c>
      <c r="E232" s="341" t="s">
        <v>3706</v>
      </c>
      <c r="F232" s="341" t="s">
        <v>4934</v>
      </c>
      <c r="G232" s="338" t="s">
        <v>1754</v>
      </c>
      <c r="H232" s="339" t="s">
        <v>19</v>
      </c>
      <c r="I232" s="339">
        <v>1</v>
      </c>
      <c r="J232" s="342">
        <v>28025838</v>
      </c>
      <c r="K232" s="342">
        <v>14012925</v>
      </c>
      <c r="L232" s="342">
        <v>0</v>
      </c>
      <c r="M232" s="343">
        <v>0</v>
      </c>
      <c r="N232" s="343">
        <v>0</v>
      </c>
      <c r="O232" s="343">
        <v>0</v>
      </c>
      <c r="P232" s="338"/>
      <c r="Q232" s="339" t="s">
        <v>36</v>
      </c>
      <c r="R232" s="339" t="s">
        <v>169</v>
      </c>
      <c r="S232" s="341" t="s">
        <v>3692</v>
      </c>
      <c r="T232" s="338"/>
      <c r="U232" s="327"/>
      <c r="V232" s="327"/>
      <c r="W232" s="327"/>
      <c r="X232" s="327"/>
      <c r="Y232" s="327"/>
      <c r="Z232" s="330"/>
    </row>
    <row r="233" spans="1:26" ht="25" hidden="1">
      <c r="A233" s="339">
        <v>226</v>
      </c>
      <c r="B233" s="338" t="s">
        <v>52</v>
      </c>
      <c r="C233" s="340">
        <v>40816</v>
      </c>
      <c r="D233" s="338" t="s">
        <v>4935</v>
      </c>
      <c r="E233" s="341" t="s">
        <v>3706</v>
      </c>
      <c r="F233" s="341" t="s">
        <v>4936</v>
      </c>
      <c r="G233" s="338" t="s">
        <v>1754</v>
      </c>
      <c r="H233" s="339" t="s">
        <v>19</v>
      </c>
      <c r="I233" s="339">
        <v>1</v>
      </c>
      <c r="J233" s="342">
        <v>28025839</v>
      </c>
      <c r="K233" s="342">
        <v>14012926</v>
      </c>
      <c r="L233" s="342">
        <v>0</v>
      </c>
      <c r="M233" s="343">
        <v>0</v>
      </c>
      <c r="N233" s="343">
        <v>0</v>
      </c>
      <c r="O233" s="343">
        <v>0</v>
      </c>
      <c r="P233" s="338"/>
      <c r="Q233" s="339" t="s">
        <v>36</v>
      </c>
      <c r="R233" s="339" t="s">
        <v>169</v>
      </c>
      <c r="S233" s="341" t="s">
        <v>3692</v>
      </c>
      <c r="T233" s="338"/>
      <c r="U233" s="327"/>
      <c r="V233" s="327"/>
      <c r="W233" s="327"/>
      <c r="X233" s="327"/>
      <c r="Y233" s="327"/>
      <c r="Z233" s="330"/>
    </row>
    <row r="234" spans="1:26" ht="12.5" hidden="1">
      <c r="A234" s="339">
        <v>227</v>
      </c>
      <c r="B234" s="338" t="s">
        <v>4937</v>
      </c>
      <c r="C234" s="340">
        <v>38681</v>
      </c>
      <c r="D234" s="338" t="s">
        <v>4938</v>
      </c>
      <c r="E234" s="341" t="s">
        <v>4939</v>
      </c>
      <c r="F234" s="341" t="s">
        <v>3708</v>
      </c>
      <c r="G234" s="338"/>
      <c r="H234" s="338"/>
      <c r="I234" s="339">
        <v>1</v>
      </c>
      <c r="J234" s="342">
        <v>2592235</v>
      </c>
      <c r="K234" s="342">
        <v>0</v>
      </c>
      <c r="L234" s="342">
        <v>0</v>
      </c>
      <c r="M234" s="343">
        <v>0</v>
      </c>
      <c r="N234" s="343">
        <v>0</v>
      </c>
      <c r="O234" s="343">
        <v>0</v>
      </c>
      <c r="P234" s="338" t="s">
        <v>3400</v>
      </c>
      <c r="Q234" s="339" t="s">
        <v>206</v>
      </c>
      <c r="R234" s="339" t="s">
        <v>1514</v>
      </c>
      <c r="S234" s="341" t="s">
        <v>3709</v>
      </c>
      <c r="T234" s="338"/>
      <c r="U234" s="327"/>
      <c r="V234" s="327"/>
      <c r="W234" s="327"/>
      <c r="X234" s="327"/>
      <c r="Y234" s="327"/>
      <c r="Z234" s="330"/>
    </row>
    <row r="235" spans="1:26" ht="12.5" hidden="1">
      <c r="A235" s="352">
        <v>228</v>
      </c>
      <c r="B235" s="353" t="s">
        <v>4937</v>
      </c>
      <c r="C235" s="354">
        <v>38681</v>
      </c>
      <c r="D235" s="338" t="s">
        <v>4940</v>
      </c>
      <c r="E235" s="355" t="s">
        <v>4939</v>
      </c>
      <c r="F235" s="355" t="s">
        <v>3710</v>
      </c>
      <c r="G235" s="353"/>
      <c r="H235" s="353"/>
      <c r="I235" s="352">
        <v>1</v>
      </c>
      <c r="J235" s="356">
        <v>2592235</v>
      </c>
      <c r="K235" s="356">
        <v>0</v>
      </c>
      <c r="L235" s="356">
        <v>0</v>
      </c>
      <c r="M235" s="357">
        <v>0</v>
      </c>
      <c r="N235" s="357">
        <v>0</v>
      </c>
      <c r="O235" s="357">
        <v>0</v>
      </c>
      <c r="P235" s="353" t="s">
        <v>3400</v>
      </c>
      <c r="Q235" s="352" t="s">
        <v>206</v>
      </c>
      <c r="R235" s="352" t="s">
        <v>1514</v>
      </c>
      <c r="S235" s="355" t="s">
        <v>2023</v>
      </c>
      <c r="T235" s="338"/>
      <c r="U235" s="327"/>
      <c r="V235" s="327"/>
      <c r="W235" s="327"/>
      <c r="X235" s="327"/>
      <c r="Y235" s="327"/>
      <c r="Z235" s="330"/>
    </row>
    <row r="236" spans="1:26" ht="12.5" hidden="1">
      <c r="A236" s="339">
        <v>229</v>
      </c>
      <c r="B236" s="338" t="s">
        <v>3711</v>
      </c>
      <c r="C236" s="340">
        <v>39611</v>
      </c>
      <c r="D236" s="338" t="s">
        <v>4941</v>
      </c>
      <c r="E236" s="341" t="s">
        <v>3712</v>
      </c>
      <c r="F236" s="341" t="s">
        <v>3713</v>
      </c>
      <c r="G236" s="338" t="s">
        <v>35</v>
      </c>
      <c r="H236" s="339" t="s">
        <v>249</v>
      </c>
      <c r="I236" s="339">
        <v>1</v>
      </c>
      <c r="J236" s="342">
        <v>3136000</v>
      </c>
      <c r="K236" s="342">
        <v>209057</v>
      </c>
      <c r="L236" s="342">
        <v>0</v>
      </c>
      <c r="M236" s="343">
        <v>0</v>
      </c>
      <c r="N236" s="343">
        <v>0</v>
      </c>
      <c r="O236" s="343">
        <v>0</v>
      </c>
      <c r="P236" s="338"/>
      <c r="Q236" s="339" t="s">
        <v>36</v>
      </c>
      <c r="R236" s="339" t="s">
        <v>169</v>
      </c>
      <c r="S236" s="341" t="s">
        <v>3692</v>
      </c>
      <c r="T236" s="338"/>
      <c r="U236" s="327"/>
      <c r="V236" s="327"/>
      <c r="W236" s="327"/>
      <c r="X236" s="327"/>
      <c r="Y236" s="327"/>
      <c r="Z236" s="330"/>
    </row>
    <row r="237" spans="1:26" ht="25" hidden="1">
      <c r="A237" s="339">
        <v>230</v>
      </c>
      <c r="B237" s="338" t="s">
        <v>3715</v>
      </c>
      <c r="C237" s="340">
        <v>40543</v>
      </c>
      <c r="D237" s="338" t="s">
        <v>4942</v>
      </c>
      <c r="E237" s="341" t="s">
        <v>3716</v>
      </c>
      <c r="F237" s="341" t="s">
        <v>3717</v>
      </c>
      <c r="G237" s="338"/>
      <c r="H237" s="339" t="s">
        <v>249</v>
      </c>
      <c r="I237" s="339">
        <v>1</v>
      </c>
      <c r="J237" s="342">
        <v>13181818</v>
      </c>
      <c r="K237" s="342">
        <v>6590908</v>
      </c>
      <c r="L237" s="342">
        <v>0</v>
      </c>
      <c r="M237" s="343">
        <v>0</v>
      </c>
      <c r="N237" s="343">
        <v>0</v>
      </c>
      <c r="O237" s="343">
        <v>0</v>
      </c>
      <c r="P237" s="338"/>
      <c r="Q237" s="339" t="s">
        <v>36</v>
      </c>
      <c r="R237" s="339" t="s">
        <v>3512</v>
      </c>
      <c r="S237" s="341" t="s">
        <v>3718</v>
      </c>
      <c r="T237" s="338"/>
      <c r="U237" s="327"/>
      <c r="V237" s="327"/>
      <c r="W237" s="327"/>
      <c r="X237" s="327"/>
      <c r="Y237" s="327"/>
      <c r="Z237" s="330"/>
    </row>
    <row r="238" spans="1:26" ht="25" hidden="1">
      <c r="A238" s="339">
        <v>231</v>
      </c>
      <c r="B238" s="338" t="s">
        <v>3715</v>
      </c>
      <c r="C238" s="340">
        <v>40543</v>
      </c>
      <c r="D238" s="338" t="s">
        <v>4943</v>
      </c>
      <c r="E238" s="341" t="s">
        <v>3716</v>
      </c>
      <c r="F238" s="341" t="s">
        <v>3719</v>
      </c>
      <c r="G238" s="338"/>
      <c r="H238" s="339" t="s">
        <v>249</v>
      </c>
      <c r="I238" s="339">
        <v>1</v>
      </c>
      <c r="J238" s="342">
        <v>13181818</v>
      </c>
      <c r="K238" s="342">
        <v>6590908</v>
      </c>
      <c r="L238" s="342">
        <v>0</v>
      </c>
      <c r="M238" s="343">
        <v>0</v>
      </c>
      <c r="N238" s="343">
        <v>0</v>
      </c>
      <c r="O238" s="343">
        <v>0</v>
      </c>
      <c r="P238" s="338"/>
      <c r="Q238" s="339" t="s">
        <v>36</v>
      </c>
      <c r="R238" s="339" t="s">
        <v>169</v>
      </c>
      <c r="S238" s="341" t="s">
        <v>3720</v>
      </c>
      <c r="T238" s="338"/>
      <c r="U238" s="327"/>
      <c r="V238" s="327"/>
      <c r="W238" s="327"/>
      <c r="X238" s="327"/>
      <c r="Y238" s="327"/>
      <c r="Z238" s="330"/>
    </row>
    <row r="239" spans="1:26" ht="25" hidden="1">
      <c r="A239" s="339">
        <v>232</v>
      </c>
      <c r="B239" s="338" t="s">
        <v>4743</v>
      </c>
      <c r="C239" s="340">
        <v>40638</v>
      </c>
      <c r="D239" s="338" t="s">
        <v>4944</v>
      </c>
      <c r="E239" s="341" t="s">
        <v>3716</v>
      </c>
      <c r="F239" s="341" t="s">
        <v>3721</v>
      </c>
      <c r="G239" s="338" t="s">
        <v>35</v>
      </c>
      <c r="H239" s="339" t="s">
        <v>249</v>
      </c>
      <c r="I239" s="339">
        <v>1</v>
      </c>
      <c r="J239" s="342">
        <v>8200000</v>
      </c>
      <c r="K239" s="342">
        <v>4646658</v>
      </c>
      <c r="L239" s="342">
        <v>0</v>
      </c>
      <c r="M239" s="343">
        <v>0</v>
      </c>
      <c r="N239" s="343">
        <v>0</v>
      </c>
      <c r="O239" s="343">
        <v>0</v>
      </c>
      <c r="P239" s="338"/>
      <c r="Q239" s="339" t="s">
        <v>206</v>
      </c>
      <c r="R239" s="338"/>
      <c r="S239" s="341" t="s">
        <v>4945</v>
      </c>
      <c r="T239" s="338"/>
      <c r="U239" s="327"/>
      <c r="V239" s="327"/>
      <c r="W239" s="327"/>
      <c r="X239" s="327"/>
      <c r="Y239" s="327"/>
      <c r="Z239" s="330"/>
    </row>
    <row r="240" spans="1:26" ht="25" hidden="1">
      <c r="A240" s="339">
        <v>234</v>
      </c>
      <c r="B240" s="338" t="s">
        <v>4743</v>
      </c>
      <c r="C240" s="340">
        <v>40638</v>
      </c>
      <c r="D240" s="338" t="s">
        <v>3722</v>
      </c>
      <c r="E240" s="341" t="s">
        <v>3723</v>
      </c>
      <c r="F240" s="341" t="s">
        <v>3724</v>
      </c>
      <c r="G240" s="338" t="s">
        <v>35</v>
      </c>
      <c r="H240" s="339" t="s">
        <v>249</v>
      </c>
      <c r="I240" s="339">
        <v>1</v>
      </c>
      <c r="J240" s="342">
        <v>20050000</v>
      </c>
      <c r="K240" s="342">
        <v>11361658</v>
      </c>
      <c r="L240" s="342">
        <v>0</v>
      </c>
      <c r="M240" s="343">
        <v>0</v>
      </c>
      <c r="N240" s="343">
        <v>0</v>
      </c>
      <c r="O240" s="343">
        <v>0</v>
      </c>
      <c r="P240" s="338"/>
      <c r="Q240" s="339" t="s">
        <v>20</v>
      </c>
      <c r="R240" s="346" t="s">
        <v>229</v>
      </c>
      <c r="S240" s="341" t="str">
        <f>IFERROR(VLOOKUP(D240, CCDC_XUAN!$D$16:$S$693, 16, 0), "Không tìm thấy")</f>
        <v>A2-MC</v>
      </c>
      <c r="T240" s="338"/>
      <c r="U240" s="327"/>
      <c r="V240" s="327"/>
      <c r="W240" s="327"/>
      <c r="X240" s="327"/>
      <c r="Y240" s="327"/>
      <c r="Z240" s="330"/>
    </row>
    <row r="241" spans="1:26" ht="37.5">
      <c r="A241" s="339">
        <v>235</v>
      </c>
      <c r="B241" s="338" t="s">
        <v>2723</v>
      </c>
      <c r="C241" s="340">
        <v>41502</v>
      </c>
      <c r="D241" s="338" t="s">
        <v>4946</v>
      </c>
      <c r="E241" s="341" t="s">
        <v>3725</v>
      </c>
      <c r="F241" s="341" t="s">
        <v>4947</v>
      </c>
      <c r="G241" s="338" t="s">
        <v>1435</v>
      </c>
      <c r="H241" s="339" t="s">
        <v>249</v>
      </c>
      <c r="I241" s="339">
        <v>1</v>
      </c>
      <c r="J241" s="342">
        <v>28900000</v>
      </c>
      <c r="K241" s="342">
        <v>28900000</v>
      </c>
      <c r="L241" s="342">
        <v>0</v>
      </c>
      <c r="M241" s="343">
        <v>0</v>
      </c>
      <c r="N241" s="343">
        <v>0</v>
      </c>
      <c r="O241" s="343">
        <v>0</v>
      </c>
      <c r="P241" s="338"/>
      <c r="Q241" s="339" t="s">
        <v>20</v>
      </c>
      <c r="R241" s="339" t="s">
        <v>423</v>
      </c>
      <c r="S241" s="341" t="s">
        <v>3335</v>
      </c>
      <c r="T241" s="338"/>
      <c r="U241" s="327"/>
      <c r="V241" s="327"/>
      <c r="W241" s="327"/>
      <c r="X241" s="327"/>
      <c r="Y241" s="327"/>
      <c r="Z241" s="330"/>
    </row>
    <row r="242" spans="1:26" ht="37.5" hidden="1">
      <c r="A242" s="339">
        <v>236</v>
      </c>
      <c r="B242" s="338" t="s">
        <v>2723</v>
      </c>
      <c r="C242" s="340">
        <v>41502</v>
      </c>
      <c r="D242" s="338" t="s">
        <v>3726</v>
      </c>
      <c r="E242" s="341" t="s">
        <v>3725</v>
      </c>
      <c r="F242" s="341" t="s">
        <v>4948</v>
      </c>
      <c r="G242" s="338" t="s">
        <v>1435</v>
      </c>
      <c r="H242" s="339" t="s">
        <v>249</v>
      </c>
      <c r="I242" s="339">
        <v>1</v>
      </c>
      <c r="J242" s="342">
        <v>28900000</v>
      </c>
      <c r="K242" s="342">
        <v>28900000</v>
      </c>
      <c r="L242" s="342">
        <v>0</v>
      </c>
      <c r="M242" s="343">
        <v>0</v>
      </c>
      <c r="N242" s="343">
        <v>0</v>
      </c>
      <c r="O242" s="343">
        <v>0</v>
      </c>
      <c r="P242" s="338"/>
      <c r="Q242" s="339" t="s">
        <v>20</v>
      </c>
      <c r="R242" s="346" t="s">
        <v>229</v>
      </c>
      <c r="S242" s="341" t="str">
        <f>IFERROR(VLOOKUP(D242, CCDC_XUAN!$D$16:$S$693, 16, 0), "Không tìm thấy")</f>
        <v>A2-Control: TV kiểm sóng</v>
      </c>
      <c r="T242" s="338"/>
      <c r="U242" s="327"/>
      <c r="V242" s="327"/>
      <c r="W242" s="327"/>
      <c r="X242" s="327"/>
      <c r="Y242" s="327"/>
      <c r="Z242" s="330"/>
    </row>
    <row r="243" spans="1:26" ht="37.5" hidden="1">
      <c r="A243" s="339">
        <v>237</v>
      </c>
      <c r="B243" s="338" t="s">
        <v>2723</v>
      </c>
      <c r="C243" s="340">
        <v>41502</v>
      </c>
      <c r="D243" s="338" t="s">
        <v>4949</v>
      </c>
      <c r="E243" s="341" t="s">
        <v>3725</v>
      </c>
      <c r="F243" s="341" t="s">
        <v>4950</v>
      </c>
      <c r="G243" s="338" t="s">
        <v>1435</v>
      </c>
      <c r="H243" s="339" t="s">
        <v>249</v>
      </c>
      <c r="I243" s="339">
        <v>1</v>
      </c>
      <c r="J243" s="342">
        <v>28900000</v>
      </c>
      <c r="K243" s="342">
        <v>28900000</v>
      </c>
      <c r="L243" s="342">
        <v>0</v>
      </c>
      <c r="M243" s="343">
        <v>0</v>
      </c>
      <c r="N243" s="343">
        <v>0</v>
      </c>
      <c r="O243" s="343">
        <v>0</v>
      </c>
      <c r="P243" s="338"/>
      <c r="Q243" s="339" t="s">
        <v>20</v>
      </c>
      <c r="R243" s="339" t="s">
        <v>233</v>
      </c>
      <c r="S243" s="341" t="s">
        <v>3728</v>
      </c>
      <c r="T243" s="338"/>
      <c r="U243" s="327"/>
      <c r="V243" s="327"/>
      <c r="W243" s="327"/>
      <c r="X243" s="327"/>
      <c r="Y243" s="327"/>
      <c r="Z243" s="330"/>
    </row>
    <row r="244" spans="1:26" ht="25" hidden="1">
      <c r="A244" s="339">
        <v>238</v>
      </c>
      <c r="B244" s="338" t="s">
        <v>3518</v>
      </c>
      <c r="C244" s="340">
        <v>41509</v>
      </c>
      <c r="D244" s="338" t="s">
        <v>4951</v>
      </c>
      <c r="E244" s="341" t="s">
        <v>3729</v>
      </c>
      <c r="F244" s="341" t="s">
        <v>3730</v>
      </c>
      <c r="G244" s="338" t="s">
        <v>1435</v>
      </c>
      <c r="H244" s="339" t="s">
        <v>19</v>
      </c>
      <c r="I244" s="339">
        <v>1</v>
      </c>
      <c r="J244" s="342">
        <v>9950000</v>
      </c>
      <c r="K244" s="342">
        <v>9950000</v>
      </c>
      <c r="L244" s="342">
        <v>0</v>
      </c>
      <c r="M244" s="343">
        <v>0</v>
      </c>
      <c r="N244" s="343">
        <v>0</v>
      </c>
      <c r="O244" s="343">
        <v>0</v>
      </c>
      <c r="P244" s="338"/>
      <c r="Q244" s="339" t="s">
        <v>887</v>
      </c>
      <c r="R244" s="339" t="s">
        <v>888</v>
      </c>
      <c r="S244" s="341" t="s">
        <v>888</v>
      </c>
      <c r="T244" s="338"/>
      <c r="U244" s="327"/>
      <c r="V244" s="327"/>
      <c r="W244" s="327"/>
      <c r="X244" s="327"/>
      <c r="Y244" s="327"/>
      <c r="Z244" s="330"/>
    </row>
    <row r="245" spans="1:26" ht="25" hidden="1">
      <c r="A245" s="339">
        <v>239</v>
      </c>
      <c r="B245" s="338" t="s">
        <v>3518</v>
      </c>
      <c r="C245" s="340">
        <v>41509</v>
      </c>
      <c r="D245" s="338" t="s">
        <v>4952</v>
      </c>
      <c r="E245" s="341" t="s">
        <v>3729</v>
      </c>
      <c r="F245" s="341" t="s">
        <v>3731</v>
      </c>
      <c r="G245" s="338" t="s">
        <v>1435</v>
      </c>
      <c r="H245" s="339" t="s">
        <v>19</v>
      </c>
      <c r="I245" s="339">
        <v>1</v>
      </c>
      <c r="J245" s="342">
        <v>9950000</v>
      </c>
      <c r="K245" s="342">
        <v>9950000</v>
      </c>
      <c r="L245" s="342">
        <v>0</v>
      </c>
      <c r="M245" s="343">
        <v>0</v>
      </c>
      <c r="N245" s="343">
        <v>0</v>
      </c>
      <c r="O245" s="343">
        <v>0</v>
      </c>
      <c r="P245" s="338"/>
      <c r="Q245" s="339" t="s">
        <v>206</v>
      </c>
      <c r="R245" s="339" t="s">
        <v>1514</v>
      </c>
      <c r="S245" s="341" t="s">
        <v>3732</v>
      </c>
      <c r="T245" s="338"/>
      <c r="U245" s="327"/>
      <c r="V245" s="327"/>
      <c r="W245" s="327"/>
      <c r="X245" s="327"/>
      <c r="Y245" s="327"/>
      <c r="Z245" s="330"/>
    </row>
    <row r="246" spans="1:26" ht="50" hidden="1">
      <c r="A246" s="339">
        <v>240</v>
      </c>
      <c r="B246" s="338" t="s">
        <v>3733</v>
      </c>
      <c r="C246" s="340">
        <v>37750</v>
      </c>
      <c r="D246" s="338" t="s">
        <v>4953</v>
      </c>
      <c r="E246" s="341" t="s">
        <v>3734</v>
      </c>
      <c r="F246" s="338"/>
      <c r="G246" s="338"/>
      <c r="H246" s="338"/>
      <c r="I246" s="339">
        <v>1</v>
      </c>
      <c r="J246" s="342">
        <v>3766500</v>
      </c>
      <c r="K246" s="342">
        <v>0</v>
      </c>
      <c r="L246" s="342">
        <v>0</v>
      </c>
      <c r="M246" s="343">
        <v>0</v>
      </c>
      <c r="N246" s="343">
        <v>0</v>
      </c>
      <c r="O246" s="343">
        <v>0</v>
      </c>
      <c r="P246" s="338"/>
      <c r="Q246" s="339" t="s">
        <v>206</v>
      </c>
      <c r="R246" s="339" t="s">
        <v>1514</v>
      </c>
      <c r="S246" s="341" t="s">
        <v>3732</v>
      </c>
      <c r="T246" s="338"/>
      <c r="U246" s="327"/>
      <c r="V246" s="327"/>
      <c r="W246" s="327"/>
      <c r="X246" s="327"/>
      <c r="Y246" s="327"/>
      <c r="Z246" s="330"/>
    </row>
    <row r="247" spans="1:26" ht="50" hidden="1">
      <c r="A247" s="339">
        <v>241</v>
      </c>
      <c r="B247" s="338" t="s">
        <v>3733</v>
      </c>
      <c r="C247" s="340">
        <v>37750</v>
      </c>
      <c r="D247" s="338" t="s">
        <v>4954</v>
      </c>
      <c r="E247" s="341" t="s">
        <v>3734</v>
      </c>
      <c r="F247" s="338"/>
      <c r="G247" s="338"/>
      <c r="H247" s="338"/>
      <c r="I247" s="339">
        <v>1</v>
      </c>
      <c r="J247" s="342">
        <v>3766500</v>
      </c>
      <c r="K247" s="342">
        <v>0</v>
      </c>
      <c r="L247" s="342">
        <v>0</v>
      </c>
      <c r="M247" s="343">
        <v>0</v>
      </c>
      <c r="N247" s="343">
        <v>0</v>
      </c>
      <c r="O247" s="343">
        <v>0</v>
      </c>
      <c r="P247" s="338"/>
      <c r="Q247" s="339" t="s">
        <v>206</v>
      </c>
      <c r="R247" s="339" t="s">
        <v>1514</v>
      </c>
      <c r="S247" s="341" t="s">
        <v>3732</v>
      </c>
      <c r="T247" s="338"/>
      <c r="U247" s="327"/>
      <c r="V247" s="327"/>
      <c r="W247" s="327"/>
      <c r="X247" s="327"/>
      <c r="Y247" s="327"/>
      <c r="Z247" s="330"/>
    </row>
    <row r="248" spans="1:26" ht="62.5" hidden="1">
      <c r="A248" s="339">
        <v>242</v>
      </c>
      <c r="B248" s="338" t="s">
        <v>3735</v>
      </c>
      <c r="C248" s="340">
        <v>41107</v>
      </c>
      <c r="D248" s="338" t="s">
        <v>4955</v>
      </c>
      <c r="E248" s="341" t="s">
        <v>3736</v>
      </c>
      <c r="F248" s="338"/>
      <c r="G248" s="338"/>
      <c r="H248" s="339" t="s">
        <v>249</v>
      </c>
      <c r="I248" s="339">
        <v>1</v>
      </c>
      <c r="J248" s="342">
        <v>12700000</v>
      </c>
      <c r="K248" s="342">
        <v>10371663</v>
      </c>
      <c r="L248" s="342">
        <v>0</v>
      </c>
      <c r="M248" s="343">
        <v>0</v>
      </c>
      <c r="N248" s="343">
        <v>0</v>
      </c>
      <c r="O248" s="343">
        <v>0</v>
      </c>
      <c r="P248" s="338"/>
      <c r="Q248" s="338"/>
      <c r="R248" s="339" t="s">
        <v>3737</v>
      </c>
      <c r="S248" s="341" t="s">
        <v>3738</v>
      </c>
      <c r="T248" s="338"/>
      <c r="U248" s="327"/>
      <c r="V248" s="327"/>
      <c r="W248" s="327"/>
      <c r="X248" s="327"/>
      <c r="Y248" s="327"/>
      <c r="Z248" s="330"/>
    </row>
    <row r="249" spans="1:26" ht="50" hidden="1">
      <c r="A249" s="352">
        <v>243</v>
      </c>
      <c r="B249" s="353" t="s">
        <v>197</v>
      </c>
      <c r="C249" s="354">
        <v>40948</v>
      </c>
      <c r="D249" s="338" t="s">
        <v>4956</v>
      </c>
      <c r="E249" s="355" t="s">
        <v>3739</v>
      </c>
      <c r="F249" s="353"/>
      <c r="G249" s="353"/>
      <c r="H249" s="352" t="s">
        <v>19</v>
      </c>
      <c r="I249" s="352">
        <v>1</v>
      </c>
      <c r="J249" s="356">
        <v>12565809</v>
      </c>
      <c r="K249" s="356">
        <v>9214929</v>
      </c>
      <c r="L249" s="356">
        <v>0</v>
      </c>
      <c r="M249" s="357">
        <v>0</v>
      </c>
      <c r="N249" s="357">
        <v>0</v>
      </c>
      <c r="O249" s="357">
        <v>0</v>
      </c>
      <c r="P249" s="353"/>
      <c r="Q249" s="352" t="s">
        <v>206</v>
      </c>
      <c r="R249" s="352" t="s">
        <v>1514</v>
      </c>
      <c r="S249" s="355" t="s">
        <v>3740</v>
      </c>
      <c r="T249" s="338"/>
      <c r="U249" s="327"/>
      <c r="V249" s="327"/>
      <c r="W249" s="327"/>
      <c r="X249" s="327"/>
      <c r="Y249" s="327"/>
      <c r="Z249" s="330"/>
    </row>
    <row r="250" spans="1:26" ht="50" hidden="1">
      <c r="A250" s="352">
        <v>244</v>
      </c>
      <c r="B250" s="353" t="s">
        <v>197</v>
      </c>
      <c r="C250" s="354">
        <v>40948</v>
      </c>
      <c r="D250" s="338" t="s">
        <v>4957</v>
      </c>
      <c r="E250" s="355" t="s">
        <v>3739</v>
      </c>
      <c r="F250" s="353"/>
      <c r="G250" s="353"/>
      <c r="H250" s="352" t="s">
        <v>19</v>
      </c>
      <c r="I250" s="352">
        <v>1</v>
      </c>
      <c r="J250" s="356">
        <v>12565809</v>
      </c>
      <c r="K250" s="356">
        <v>9214929</v>
      </c>
      <c r="L250" s="356">
        <v>0</v>
      </c>
      <c r="M250" s="357">
        <v>0</v>
      </c>
      <c r="N250" s="357">
        <v>0</v>
      </c>
      <c r="O250" s="357">
        <v>0</v>
      </c>
      <c r="P250" s="353"/>
      <c r="Q250" s="352" t="s">
        <v>206</v>
      </c>
      <c r="R250" s="352" t="s">
        <v>1514</v>
      </c>
      <c r="S250" s="355" t="s">
        <v>3732</v>
      </c>
      <c r="T250" s="338"/>
      <c r="U250" s="327"/>
      <c r="V250" s="327"/>
      <c r="W250" s="327"/>
      <c r="X250" s="327"/>
      <c r="Y250" s="327"/>
      <c r="Z250" s="330"/>
    </row>
    <row r="251" spans="1:26" ht="37.5" hidden="1">
      <c r="A251" s="339">
        <v>245</v>
      </c>
      <c r="B251" s="338" t="s">
        <v>4958</v>
      </c>
      <c r="C251" s="340">
        <v>38125</v>
      </c>
      <c r="D251" s="338" t="s">
        <v>4959</v>
      </c>
      <c r="E251" s="341" t="s">
        <v>4960</v>
      </c>
      <c r="F251" s="338"/>
      <c r="G251" s="338"/>
      <c r="H251" s="338"/>
      <c r="I251" s="339">
        <v>1</v>
      </c>
      <c r="J251" s="342">
        <v>12576800</v>
      </c>
      <c r="K251" s="342">
        <v>0</v>
      </c>
      <c r="L251" s="342">
        <v>0</v>
      </c>
      <c r="M251" s="343">
        <v>0</v>
      </c>
      <c r="N251" s="343">
        <v>0</v>
      </c>
      <c r="O251" s="343">
        <v>0</v>
      </c>
      <c r="P251" s="338" t="s">
        <v>3480</v>
      </c>
      <c r="Q251" s="338"/>
      <c r="R251" s="338"/>
      <c r="S251" s="341" t="s">
        <v>3742</v>
      </c>
      <c r="T251" s="338"/>
      <c r="U251" s="327"/>
      <c r="V251" s="327"/>
      <c r="W251" s="327"/>
      <c r="X251" s="327"/>
      <c r="Y251" s="327"/>
      <c r="Z251" s="330"/>
    </row>
    <row r="252" spans="1:26" ht="50" hidden="1">
      <c r="A252" s="339">
        <v>246</v>
      </c>
      <c r="B252" s="338" t="s">
        <v>3743</v>
      </c>
      <c r="C252" s="340">
        <v>43398</v>
      </c>
      <c r="D252" s="338" t="s">
        <v>3744</v>
      </c>
      <c r="E252" s="341" t="s">
        <v>3745</v>
      </c>
      <c r="F252" s="341" t="s">
        <v>3746</v>
      </c>
      <c r="G252" s="338" t="s">
        <v>55</v>
      </c>
      <c r="H252" s="339" t="s">
        <v>19</v>
      </c>
      <c r="I252" s="339">
        <v>1</v>
      </c>
      <c r="J252" s="342">
        <v>16800000</v>
      </c>
      <c r="K252" s="342">
        <v>16800000</v>
      </c>
      <c r="L252" s="342">
        <v>11200000</v>
      </c>
      <c r="M252" s="343">
        <v>33</v>
      </c>
      <c r="N252" s="343">
        <v>5600000</v>
      </c>
      <c r="O252" s="343">
        <v>5600000</v>
      </c>
      <c r="P252" s="338"/>
      <c r="Q252" s="339" t="s">
        <v>20</v>
      </c>
      <c r="R252" s="346" t="s">
        <v>229</v>
      </c>
      <c r="S252" s="341" t="str">
        <f>IFERROR(VLOOKUP(D252, CCDC_XUAN!$D$16:$S$693, 16, 0), "Không tìm thấy")</f>
        <v>PHTKT bộ 13 tủ hồ sơ 1 chờ thanh lý</v>
      </c>
      <c r="T252" s="338" t="s">
        <v>923</v>
      </c>
      <c r="U252" s="327"/>
      <c r="V252" s="327"/>
      <c r="W252" s="327"/>
      <c r="X252" s="327"/>
      <c r="Y252" s="327"/>
      <c r="Z252" s="330"/>
    </row>
    <row r="253" spans="1:26" ht="50" hidden="1">
      <c r="A253" s="339">
        <v>247</v>
      </c>
      <c r="B253" s="338" t="s">
        <v>3743</v>
      </c>
      <c r="C253" s="340">
        <v>43398</v>
      </c>
      <c r="D253" s="338" t="s">
        <v>3748</v>
      </c>
      <c r="E253" s="341" t="s">
        <v>3745</v>
      </c>
      <c r="F253" s="341" t="s">
        <v>3749</v>
      </c>
      <c r="G253" s="338" t="s">
        <v>55</v>
      </c>
      <c r="H253" s="339" t="s">
        <v>19</v>
      </c>
      <c r="I253" s="339">
        <v>1</v>
      </c>
      <c r="J253" s="342">
        <v>16800000</v>
      </c>
      <c r="K253" s="342">
        <v>16800000</v>
      </c>
      <c r="L253" s="342">
        <v>11200000</v>
      </c>
      <c r="M253" s="343">
        <v>33</v>
      </c>
      <c r="N253" s="343">
        <v>5600000</v>
      </c>
      <c r="O253" s="343">
        <v>5600000</v>
      </c>
      <c r="P253" s="338"/>
      <c r="Q253" s="339" t="s">
        <v>20</v>
      </c>
      <c r="R253" s="339" t="s">
        <v>233</v>
      </c>
      <c r="S253" s="341" t="s">
        <v>4961</v>
      </c>
      <c r="T253" s="344"/>
      <c r="U253" s="327"/>
      <c r="V253" s="327"/>
      <c r="W253" s="327"/>
      <c r="X253" s="327"/>
      <c r="Y253" s="327"/>
      <c r="Z253" s="330"/>
    </row>
    <row r="254" spans="1:26" ht="50">
      <c r="A254" s="339">
        <v>248</v>
      </c>
      <c r="B254" s="338" t="s">
        <v>3743</v>
      </c>
      <c r="C254" s="365">
        <v>43398</v>
      </c>
      <c r="D254" s="338" t="s">
        <v>3751</v>
      </c>
      <c r="E254" s="366" t="s">
        <v>3745</v>
      </c>
      <c r="F254" s="366" t="s">
        <v>3752</v>
      </c>
      <c r="G254" s="338" t="s">
        <v>55</v>
      </c>
      <c r="H254" s="339" t="s">
        <v>19</v>
      </c>
      <c r="I254" s="339">
        <v>1</v>
      </c>
      <c r="J254" s="342">
        <v>16800000</v>
      </c>
      <c r="K254" s="342">
        <v>16800000</v>
      </c>
      <c r="L254" s="342">
        <v>11200000</v>
      </c>
      <c r="M254" s="343">
        <v>33</v>
      </c>
      <c r="N254" s="343">
        <v>5600000</v>
      </c>
      <c r="O254" s="343">
        <v>5600000</v>
      </c>
      <c r="P254" s="338"/>
      <c r="Q254" s="339" t="s">
        <v>20</v>
      </c>
      <c r="R254" s="367" t="s">
        <v>423</v>
      </c>
      <c r="S254" s="368" t="s">
        <v>4962</v>
      </c>
      <c r="T254" s="338"/>
      <c r="U254" s="327"/>
      <c r="V254" s="327"/>
      <c r="W254" s="327"/>
      <c r="X254" s="327"/>
      <c r="Y254" s="327"/>
      <c r="Z254" s="330"/>
    </row>
    <row r="255" spans="1:26" ht="50">
      <c r="A255" s="339">
        <v>249</v>
      </c>
      <c r="B255" s="338" t="s">
        <v>3743</v>
      </c>
      <c r="C255" s="340">
        <v>43398</v>
      </c>
      <c r="D255" s="338" t="s">
        <v>3754</v>
      </c>
      <c r="E255" s="341" t="s">
        <v>3745</v>
      </c>
      <c r="F255" s="341" t="s">
        <v>3755</v>
      </c>
      <c r="G255" s="338" t="s">
        <v>55</v>
      </c>
      <c r="H255" s="339" t="s">
        <v>19</v>
      </c>
      <c r="I255" s="339">
        <v>1</v>
      </c>
      <c r="J255" s="342">
        <v>16800000</v>
      </c>
      <c r="K255" s="342">
        <v>16800000</v>
      </c>
      <c r="L255" s="342">
        <v>11200000</v>
      </c>
      <c r="M255" s="343">
        <v>33</v>
      </c>
      <c r="N255" s="343">
        <v>5600000</v>
      </c>
      <c r="O255" s="343">
        <v>5600000</v>
      </c>
      <c r="P255" s="338"/>
      <c r="Q255" s="339" t="s">
        <v>20</v>
      </c>
      <c r="R255" s="339" t="s">
        <v>423</v>
      </c>
      <c r="S255" s="363" t="s">
        <v>4963</v>
      </c>
      <c r="T255" s="344"/>
      <c r="U255" s="327"/>
      <c r="V255" s="327"/>
      <c r="W255" s="327"/>
      <c r="X255" s="327"/>
      <c r="Y255" s="327"/>
      <c r="Z255" s="330"/>
    </row>
    <row r="256" spans="1:26" ht="37.5" hidden="1">
      <c r="A256" s="339">
        <v>250</v>
      </c>
      <c r="B256" s="338" t="s">
        <v>3757</v>
      </c>
      <c r="C256" s="340">
        <v>42733</v>
      </c>
      <c r="D256" s="338" t="s">
        <v>3758</v>
      </c>
      <c r="E256" s="341" t="s">
        <v>3759</v>
      </c>
      <c r="F256" s="341" t="s">
        <v>4964</v>
      </c>
      <c r="G256" s="338" t="s">
        <v>1868</v>
      </c>
      <c r="H256" s="339" t="s">
        <v>19</v>
      </c>
      <c r="I256" s="339">
        <v>1</v>
      </c>
      <c r="J256" s="342">
        <v>18990000</v>
      </c>
      <c r="K256" s="342">
        <v>18990000</v>
      </c>
      <c r="L256" s="342">
        <v>0</v>
      </c>
      <c r="M256" s="343">
        <v>0</v>
      </c>
      <c r="N256" s="343">
        <v>0</v>
      </c>
      <c r="O256" s="343">
        <v>0</v>
      </c>
      <c r="P256" s="338"/>
      <c r="Q256" s="339" t="s">
        <v>20</v>
      </c>
      <c r="R256" s="339" t="s">
        <v>233</v>
      </c>
      <c r="S256" s="341" t="s">
        <v>3760</v>
      </c>
      <c r="T256" s="338"/>
      <c r="U256" s="327"/>
      <c r="V256" s="327"/>
      <c r="W256" s="327"/>
      <c r="X256" s="327"/>
      <c r="Y256" s="327"/>
      <c r="Z256" s="330"/>
    </row>
    <row r="257" spans="1:26" ht="37.5" hidden="1">
      <c r="A257" s="339">
        <v>251</v>
      </c>
      <c r="B257" s="338" t="s">
        <v>3757</v>
      </c>
      <c r="C257" s="340">
        <v>42733</v>
      </c>
      <c r="D257" s="338" t="s">
        <v>3761</v>
      </c>
      <c r="E257" s="341" t="s">
        <v>3759</v>
      </c>
      <c r="F257" s="341" t="s">
        <v>4965</v>
      </c>
      <c r="G257" s="338" t="s">
        <v>1868</v>
      </c>
      <c r="H257" s="339" t="s">
        <v>19</v>
      </c>
      <c r="I257" s="339">
        <v>1</v>
      </c>
      <c r="J257" s="342">
        <v>18990000</v>
      </c>
      <c r="K257" s="342">
        <v>18990000</v>
      </c>
      <c r="L257" s="342">
        <v>0</v>
      </c>
      <c r="M257" s="343">
        <v>0</v>
      </c>
      <c r="N257" s="343">
        <v>0</v>
      </c>
      <c r="O257" s="343">
        <v>0</v>
      </c>
      <c r="P257" s="338"/>
      <c r="Q257" s="339" t="s">
        <v>20</v>
      </c>
      <c r="R257" s="339" t="s">
        <v>295</v>
      </c>
      <c r="S257" s="341" t="s">
        <v>2077</v>
      </c>
      <c r="T257" s="338"/>
      <c r="U257" s="327"/>
      <c r="V257" s="327"/>
      <c r="W257" s="327"/>
      <c r="X257" s="327"/>
      <c r="Y257" s="327"/>
      <c r="Z257" s="330"/>
    </row>
    <row r="258" spans="1:26" ht="37.5" hidden="1">
      <c r="A258" s="339">
        <v>252</v>
      </c>
      <c r="B258" s="338" t="s">
        <v>3763</v>
      </c>
      <c r="C258" s="340">
        <v>42733</v>
      </c>
      <c r="D258" s="338" t="s">
        <v>3764</v>
      </c>
      <c r="E258" s="341" t="s">
        <v>3765</v>
      </c>
      <c r="F258" s="341" t="s">
        <v>4966</v>
      </c>
      <c r="G258" s="338" t="s">
        <v>1868</v>
      </c>
      <c r="H258" s="339" t="s">
        <v>19</v>
      </c>
      <c r="I258" s="339">
        <v>1</v>
      </c>
      <c r="J258" s="342">
        <v>4750000</v>
      </c>
      <c r="K258" s="342">
        <v>4750000</v>
      </c>
      <c r="L258" s="342">
        <v>0</v>
      </c>
      <c r="M258" s="343">
        <v>0</v>
      </c>
      <c r="N258" s="343">
        <v>0</v>
      </c>
      <c r="O258" s="343">
        <v>0</v>
      </c>
      <c r="P258" s="338"/>
      <c r="Q258" s="339" t="s">
        <v>20</v>
      </c>
      <c r="R258" s="339" t="s">
        <v>295</v>
      </c>
      <c r="S258" s="341" t="s">
        <v>2077</v>
      </c>
      <c r="T258" s="338"/>
      <c r="U258" s="327"/>
      <c r="V258" s="327"/>
      <c r="W258" s="327"/>
      <c r="X258" s="327"/>
      <c r="Y258" s="327"/>
      <c r="Z258" s="330"/>
    </row>
    <row r="259" spans="1:26" ht="37.5" hidden="1">
      <c r="A259" s="339">
        <v>253</v>
      </c>
      <c r="B259" s="338" t="s">
        <v>3763</v>
      </c>
      <c r="C259" s="340">
        <v>42733</v>
      </c>
      <c r="D259" s="338" t="s">
        <v>3766</v>
      </c>
      <c r="E259" s="341" t="s">
        <v>3765</v>
      </c>
      <c r="F259" s="341" t="s">
        <v>4967</v>
      </c>
      <c r="G259" s="338" t="s">
        <v>1868</v>
      </c>
      <c r="H259" s="339" t="s">
        <v>19</v>
      </c>
      <c r="I259" s="339">
        <v>1</v>
      </c>
      <c r="J259" s="342">
        <v>4750000</v>
      </c>
      <c r="K259" s="342">
        <v>4750000</v>
      </c>
      <c r="L259" s="342">
        <v>0</v>
      </c>
      <c r="M259" s="343">
        <v>0</v>
      </c>
      <c r="N259" s="343">
        <v>0</v>
      </c>
      <c r="O259" s="343">
        <v>0</v>
      </c>
      <c r="P259" s="338"/>
      <c r="Q259" s="339" t="s">
        <v>20</v>
      </c>
      <c r="R259" s="339" t="s">
        <v>295</v>
      </c>
      <c r="S259" s="341" t="s">
        <v>2077</v>
      </c>
      <c r="T259" s="338"/>
      <c r="U259" s="327"/>
      <c r="V259" s="327"/>
      <c r="W259" s="327"/>
      <c r="X259" s="327"/>
      <c r="Y259" s="327"/>
      <c r="Z259" s="330"/>
    </row>
    <row r="260" spans="1:26" ht="37.5" hidden="1">
      <c r="A260" s="339">
        <v>254</v>
      </c>
      <c r="B260" s="338" t="s">
        <v>3763</v>
      </c>
      <c r="C260" s="340">
        <v>42733</v>
      </c>
      <c r="D260" s="338" t="s">
        <v>3767</v>
      </c>
      <c r="E260" s="341" t="s">
        <v>3765</v>
      </c>
      <c r="F260" s="341" t="s">
        <v>4968</v>
      </c>
      <c r="G260" s="338" t="s">
        <v>1868</v>
      </c>
      <c r="H260" s="339" t="s">
        <v>19</v>
      </c>
      <c r="I260" s="339">
        <v>1</v>
      </c>
      <c r="J260" s="342">
        <v>4750000</v>
      </c>
      <c r="K260" s="342">
        <v>4750000</v>
      </c>
      <c r="L260" s="342">
        <v>0</v>
      </c>
      <c r="M260" s="343">
        <v>0</v>
      </c>
      <c r="N260" s="343">
        <v>0</v>
      </c>
      <c r="O260" s="343">
        <v>0</v>
      </c>
      <c r="P260" s="338"/>
      <c r="Q260" s="339" t="s">
        <v>20</v>
      </c>
      <c r="R260" s="339" t="s">
        <v>295</v>
      </c>
      <c r="S260" s="341" t="s">
        <v>2077</v>
      </c>
      <c r="T260" s="338"/>
      <c r="U260" s="327"/>
      <c r="V260" s="327"/>
      <c r="W260" s="327"/>
      <c r="X260" s="327"/>
      <c r="Y260" s="327"/>
      <c r="Z260" s="330"/>
    </row>
    <row r="261" spans="1:26" ht="75" hidden="1">
      <c r="A261" s="339">
        <v>255</v>
      </c>
      <c r="B261" s="338" t="s">
        <v>3757</v>
      </c>
      <c r="C261" s="340">
        <v>42733</v>
      </c>
      <c r="D261" s="338" t="s">
        <v>3768</v>
      </c>
      <c r="E261" s="341" t="s">
        <v>3769</v>
      </c>
      <c r="F261" s="341" t="s">
        <v>4969</v>
      </c>
      <c r="G261" s="338" t="s">
        <v>307</v>
      </c>
      <c r="H261" s="339" t="s">
        <v>19</v>
      </c>
      <c r="I261" s="339">
        <v>1</v>
      </c>
      <c r="J261" s="342">
        <v>13750000</v>
      </c>
      <c r="K261" s="342">
        <v>13750000</v>
      </c>
      <c r="L261" s="342">
        <v>0</v>
      </c>
      <c r="M261" s="343">
        <v>0</v>
      </c>
      <c r="N261" s="343">
        <v>0</v>
      </c>
      <c r="O261" s="343">
        <v>0</v>
      </c>
      <c r="P261" s="338"/>
      <c r="Q261" s="339" t="s">
        <v>206</v>
      </c>
      <c r="R261" s="339" t="s">
        <v>1514</v>
      </c>
      <c r="S261" s="341" t="s">
        <v>3770</v>
      </c>
      <c r="T261" s="338"/>
      <c r="U261" s="327"/>
      <c r="V261" s="327"/>
      <c r="W261" s="327"/>
      <c r="X261" s="327"/>
      <c r="Y261" s="327"/>
      <c r="Z261" s="330"/>
    </row>
    <row r="262" spans="1:26" ht="75" hidden="1">
      <c r="A262" s="339">
        <v>256</v>
      </c>
      <c r="B262" s="338" t="s">
        <v>3757</v>
      </c>
      <c r="C262" s="340">
        <v>42733</v>
      </c>
      <c r="D262" s="338" t="s">
        <v>3771</v>
      </c>
      <c r="E262" s="341" t="s">
        <v>3769</v>
      </c>
      <c r="F262" s="341" t="s">
        <v>4970</v>
      </c>
      <c r="G262" s="338" t="s">
        <v>307</v>
      </c>
      <c r="H262" s="339" t="s">
        <v>19</v>
      </c>
      <c r="I262" s="339">
        <v>1</v>
      </c>
      <c r="J262" s="342">
        <v>13750000</v>
      </c>
      <c r="K262" s="342">
        <v>13750000</v>
      </c>
      <c r="L262" s="342">
        <v>0</v>
      </c>
      <c r="M262" s="343">
        <v>0</v>
      </c>
      <c r="N262" s="343">
        <v>0</v>
      </c>
      <c r="O262" s="343">
        <v>0</v>
      </c>
      <c r="P262" s="338"/>
      <c r="Q262" s="339" t="s">
        <v>206</v>
      </c>
      <c r="R262" s="339" t="s">
        <v>1514</v>
      </c>
      <c r="S262" s="341" t="s">
        <v>3770</v>
      </c>
      <c r="T262" s="338"/>
      <c r="U262" s="327"/>
      <c r="V262" s="327"/>
      <c r="W262" s="327"/>
      <c r="X262" s="327"/>
      <c r="Y262" s="327"/>
      <c r="Z262" s="330"/>
    </row>
    <row r="263" spans="1:26" ht="75" hidden="1">
      <c r="A263" s="339">
        <v>257</v>
      </c>
      <c r="B263" s="338" t="s">
        <v>3757</v>
      </c>
      <c r="C263" s="340">
        <v>42733</v>
      </c>
      <c r="D263" s="338" t="s">
        <v>3772</v>
      </c>
      <c r="E263" s="341" t="s">
        <v>3769</v>
      </c>
      <c r="F263" s="341" t="s">
        <v>4971</v>
      </c>
      <c r="G263" s="338" t="s">
        <v>307</v>
      </c>
      <c r="H263" s="339" t="s">
        <v>19</v>
      </c>
      <c r="I263" s="339">
        <v>1</v>
      </c>
      <c r="J263" s="342">
        <v>13750000</v>
      </c>
      <c r="K263" s="342">
        <v>13750000</v>
      </c>
      <c r="L263" s="342">
        <v>0</v>
      </c>
      <c r="M263" s="343">
        <v>0</v>
      </c>
      <c r="N263" s="343">
        <v>0</v>
      </c>
      <c r="O263" s="343">
        <v>0</v>
      </c>
      <c r="P263" s="338"/>
      <c r="Q263" s="339" t="s">
        <v>20</v>
      </c>
      <c r="R263" s="339" t="s">
        <v>295</v>
      </c>
      <c r="S263" s="341" t="s">
        <v>2077</v>
      </c>
      <c r="T263" s="338"/>
      <c r="U263" s="327"/>
      <c r="V263" s="327"/>
      <c r="W263" s="327"/>
      <c r="X263" s="327"/>
      <c r="Y263" s="327"/>
      <c r="Z263" s="330"/>
    </row>
    <row r="264" spans="1:26" ht="75" hidden="1">
      <c r="A264" s="339">
        <v>258</v>
      </c>
      <c r="B264" s="338" t="s">
        <v>3757</v>
      </c>
      <c r="C264" s="340">
        <v>42733</v>
      </c>
      <c r="D264" s="338" t="s">
        <v>3773</v>
      </c>
      <c r="E264" s="341" t="s">
        <v>3769</v>
      </c>
      <c r="F264" s="341" t="s">
        <v>4972</v>
      </c>
      <c r="G264" s="338" t="s">
        <v>307</v>
      </c>
      <c r="H264" s="339" t="s">
        <v>19</v>
      </c>
      <c r="I264" s="339">
        <v>1</v>
      </c>
      <c r="J264" s="342">
        <v>13750000</v>
      </c>
      <c r="K264" s="342">
        <v>13750000</v>
      </c>
      <c r="L264" s="342">
        <v>0</v>
      </c>
      <c r="M264" s="343">
        <v>0</v>
      </c>
      <c r="N264" s="343">
        <v>0</v>
      </c>
      <c r="O264" s="343">
        <v>0</v>
      </c>
      <c r="P264" s="338"/>
      <c r="Q264" s="339" t="s">
        <v>20</v>
      </c>
      <c r="R264" s="346" t="s">
        <v>229</v>
      </c>
      <c r="S264" s="341" t="str">
        <f>IFERROR(VLOOKUP(D264, CCDC_XUAN!$D$16:$S$693, 16, 0), "Không tìm thấy")</f>
        <v>A2-R8 gắn sau rack</v>
      </c>
      <c r="T264" s="338"/>
      <c r="U264" s="327"/>
      <c r="V264" s="327"/>
      <c r="W264" s="327"/>
      <c r="X264" s="327"/>
      <c r="Y264" s="327"/>
      <c r="Z264" s="330"/>
    </row>
    <row r="265" spans="1:26" ht="87.5" hidden="1">
      <c r="A265" s="339">
        <v>259</v>
      </c>
      <c r="B265" s="338" t="s">
        <v>3763</v>
      </c>
      <c r="C265" s="340">
        <v>42733</v>
      </c>
      <c r="D265" s="338" t="s">
        <v>3775</v>
      </c>
      <c r="E265" s="341" t="s">
        <v>3776</v>
      </c>
      <c r="F265" s="341" t="s">
        <v>4973</v>
      </c>
      <c r="G265" s="338" t="s">
        <v>307</v>
      </c>
      <c r="H265" s="339" t="s">
        <v>19</v>
      </c>
      <c r="I265" s="339">
        <v>1</v>
      </c>
      <c r="J265" s="342">
        <v>8200000</v>
      </c>
      <c r="K265" s="342">
        <v>8200000</v>
      </c>
      <c r="L265" s="342">
        <v>0</v>
      </c>
      <c r="M265" s="343">
        <v>0</v>
      </c>
      <c r="N265" s="343">
        <v>0</v>
      </c>
      <c r="O265" s="343">
        <v>0</v>
      </c>
      <c r="P265" s="338"/>
      <c r="Q265" s="339" t="s">
        <v>20</v>
      </c>
      <c r="R265" s="339" t="s">
        <v>295</v>
      </c>
      <c r="S265" s="341" t="s">
        <v>2077</v>
      </c>
      <c r="T265" s="344" t="s">
        <v>4974</v>
      </c>
      <c r="U265" s="327"/>
      <c r="V265" s="327"/>
      <c r="W265" s="327"/>
      <c r="X265" s="327"/>
      <c r="Y265" s="327"/>
      <c r="Z265" s="330"/>
    </row>
    <row r="266" spans="1:26" ht="87.5" hidden="1">
      <c r="A266" s="339">
        <v>260</v>
      </c>
      <c r="B266" s="338" t="s">
        <v>3763</v>
      </c>
      <c r="C266" s="340">
        <v>42733</v>
      </c>
      <c r="D266" s="338" t="s">
        <v>3777</v>
      </c>
      <c r="E266" s="341" t="s">
        <v>3776</v>
      </c>
      <c r="F266" s="341" t="s">
        <v>4975</v>
      </c>
      <c r="G266" s="338" t="s">
        <v>307</v>
      </c>
      <c r="H266" s="339" t="s">
        <v>19</v>
      </c>
      <c r="I266" s="339">
        <v>1</v>
      </c>
      <c r="J266" s="342">
        <v>8200000</v>
      </c>
      <c r="K266" s="342">
        <v>8200000</v>
      </c>
      <c r="L266" s="342">
        <v>0</v>
      </c>
      <c r="M266" s="343">
        <v>0</v>
      </c>
      <c r="N266" s="343">
        <v>0</v>
      </c>
      <c r="O266" s="343">
        <v>0</v>
      </c>
      <c r="P266" s="338"/>
      <c r="Q266" s="339" t="s">
        <v>20</v>
      </c>
      <c r="R266" s="339" t="s">
        <v>295</v>
      </c>
      <c r="S266" s="341" t="s">
        <v>2077</v>
      </c>
      <c r="T266" s="338"/>
      <c r="U266" s="327"/>
      <c r="V266" s="327"/>
      <c r="W266" s="327"/>
      <c r="X266" s="327"/>
      <c r="Y266" s="327"/>
      <c r="Z266" s="330"/>
    </row>
    <row r="267" spans="1:26" ht="87.5">
      <c r="A267" s="339">
        <v>261</v>
      </c>
      <c r="B267" s="338" t="s">
        <v>3763</v>
      </c>
      <c r="C267" s="340">
        <v>42733</v>
      </c>
      <c r="D267" s="338" t="s">
        <v>3778</v>
      </c>
      <c r="E267" s="341" t="s">
        <v>3779</v>
      </c>
      <c r="F267" s="341" t="s">
        <v>4976</v>
      </c>
      <c r="G267" s="338" t="s">
        <v>307</v>
      </c>
      <c r="H267" s="339" t="s">
        <v>19</v>
      </c>
      <c r="I267" s="339">
        <v>1</v>
      </c>
      <c r="J267" s="342">
        <v>8200000</v>
      </c>
      <c r="K267" s="342">
        <v>8200000</v>
      </c>
      <c r="L267" s="342">
        <v>0</v>
      </c>
      <c r="M267" s="343">
        <v>0</v>
      </c>
      <c r="N267" s="343">
        <v>0</v>
      </c>
      <c r="O267" s="343">
        <v>0</v>
      </c>
      <c r="P267" s="338"/>
      <c r="Q267" s="339" t="s">
        <v>20</v>
      </c>
      <c r="R267" s="339" t="s">
        <v>423</v>
      </c>
      <c r="S267" s="341" t="s">
        <v>4977</v>
      </c>
      <c r="T267" s="338"/>
      <c r="U267" s="327"/>
      <c r="V267" s="327"/>
      <c r="W267" s="327"/>
      <c r="X267" s="327"/>
      <c r="Y267" s="327"/>
      <c r="Z267" s="330"/>
    </row>
    <row r="268" spans="1:26" ht="87.5">
      <c r="A268" s="339">
        <v>262</v>
      </c>
      <c r="B268" s="338" t="s">
        <v>3763</v>
      </c>
      <c r="C268" s="365">
        <v>42733</v>
      </c>
      <c r="D268" s="338" t="s">
        <v>3781</v>
      </c>
      <c r="E268" s="366" t="s">
        <v>3779</v>
      </c>
      <c r="F268" s="366" t="s">
        <v>4978</v>
      </c>
      <c r="G268" s="338" t="s">
        <v>307</v>
      </c>
      <c r="H268" s="339" t="s">
        <v>19</v>
      </c>
      <c r="I268" s="339">
        <v>1</v>
      </c>
      <c r="J268" s="342">
        <v>8200000</v>
      </c>
      <c r="K268" s="342">
        <v>8200000</v>
      </c>
      <c r="L268" s="342">
        <v>0</v>
      </c>
      <c r="M268" s="343">
        <v>0</v>
      </c>
      <c r="N268" s="343">
        <v>0</v>
      </c>
      <c r="O268" s="343">
        <v>0</v>
      </c>
      <c r="P268" s="338"/>
      <c r="Q268" s="339" t="s">
        <v>20</v>
      </c>
      <c r="R268" s="367" t="s">
        <v>423</v>
      </c>
      <c r="S268" s="368" t="s">
        <v>4979</v>
      </c>
      <c r="T268" s="338"/>
      <c r="U268" s="327"/>
      <c r="V268" s="327"/>
      <c r="W268" s="327"/>
      <c r="X268" s="327"/>
      <c r="Y268" s="327"/>
      <c r="Z268" s="330"/>
    </row>
    <row r="269" spans="1:26" ht="25" hidden="1">
      <c r="A269" s="339">
        <v>263</v>
      </c>
      <c r="B269" s="338" t="s">
        <v>3783</v>
      </c>
      <c r="C269" s="340">
        <v>42731</v>
      </c>
      <c r="D269" s="338" t="s">
        <v>3784</v>
      </c>
      <c r="E269" s="341" t="s">
        <v>3785</v>
      </c>
      <c r="F269" s="338"/>
      <c r="G269" s="338" t="s">
        <v>407</v>
      </c>
      <c r="H269" s="339" t="s">
        <v>249</v>
      </c>
      <c r="I269" s="339">
        <v>1</v>
      </c>
      <c r="J269" s="342">
        <v>6500000</v>
      </c>
      <c r="K269" s="342">
        <v>6500000</v>
      </c>
      <c r="L269" s="342">
        <v>0</v>
      </c>
      <c r="M269" s="343">
        <v>0</v>
      </c>
      <c r="N269" s="343">
        <v>0</v>
      </c>
      <c r="O269" s="343">
        <v>0</v>
      </c>
      <c r="P269" s="338"/>
      <c r="Q269" s="339" t="s">
        <v>20</v>
      </c>
      <c r="R269" s="339" t="s">
        <v>233</v>
      </c>
      <c r="S269" s="341" t="s">
        <v>3786</v>
      </c>
      <c r="T269" s="338"/>
      <c r="U269" s="327"/>
      <c r="V269" s="327"/>
      <c r="W269" s="327"/>
      <c r="X269" s="327"/>
      <c r="Y269" s="327"/>
      <c r="Z269" s="330"/>
    </row>
    <row r="270" spans="1:26" ht="25" hidden="1">
      <c r="A270" s="339">
        <v>264</v>
      </c>
      <c r="B270" s="338" t="s">
        <v>3783</v>
      </c>
      <c r="C270" s="340">
        <v>42731</v>
      </c>
      <c r="D270" s="338" t="s">
        <v>3787</v>
      </c>
      <c r="E270" s="341" t="s">
        <v>3785</v>
      </c>
      <c r="F270" s="338"/>
      <c r="G270" s="338" t="s">
        <v>407</v>
      </c>
      <c r="H270" s="339" t="s">
        <v>249</v>
      </c>
      <c r="I270" s="339">
        <v>1</v>
      </c>
      <c r="J270" s="342">
        <v>6500000</v>
      </c>
      <c r="K270" s="342">
        <v>6500000</v>
      </c>
      <c r="L270" s="342">
        <v>0</v>
      </c>
      <c r="M270" s="343">
        <v>0</v>
      </c>
      <c r="N270" s="343">
        <v>0</v>
      </c>
      <c r="O270" s="343">
        <v>0</v>
      </c>
      <c r="P270" s="338"/>
      <c r="Q270" s="339" t="s">
        <v>20</v>
      </c>
      <c r="R270" s="339" t="s">
        <v>233</v>
      </c>
      <c r="S270" s="341" t="s">
        <v>3788</v>
      </c>
      <c r="T270" s="338"/>
      <c r="U270" s="327"/>
      <c r="V270" s="327"/>
      <c r="W270" s="327"/>
      <c r="X270" s="327"/>
      <c r="Y270" s="327"/>
      <c r="Z270" s="330"/>
    </row>
    <row r="271" spans="1:26" ht="25" hidden="1">
      <c r="A271" s="347">
        <v>265</v>
      </c>
      <c r="B271" s="338" t="s">
        <v>3783</v>
      </c>
      <c r="C271" s="348">
        <v>42731</v>
      </c>
      <c r="D271" s="338" t="s">
        <v>3789</v>
      </c>
      <c r="E271" s="349" t="s">
        <v>3785</v>
      </c>
      <c r="F271" s="338"/>
      <c r="G271" s="338" t="s">
        <v>407</v>
      </c>
      <c r="H271" s="347" t="s">
        <v>249</v>
      </c>
      <c r="I271" s="347">
        <v>1</v>
      </c>
      <c r="J271" s="342">
        <v>6500000</v>
      </c>
      <c r="K271" s="342">
        <v>6500000</v>
      </c>
      <c r="L271" s="342">
        <v>0</v>
      </c>
      <c r="M271" s="343">
        <v>0</v>
      </c>
      <c r="N271" s="343">
        <v>0</v>
      </c>
      <c r="O271" s="343">
        <v>0</v>
      </c>
      <c r="P271" s="338"/>
      <c r="Q271" s="347" t="s">
        <v>20</v>
      </c>
      <c r="R271" s="347" t="s">
        <v>21</v>
      </c>
      <c r="S271" s="349" t="s">
        <v>22</v>
      </c>
      <c r="T271" s="338"/>
      <c r="U271" s="351" t="s">
        <v>4663</v>
      </c>
      <c r="V271" s="327"/>
      <c r="W271" s="327"/>
      <c r="X271" s="327"/>
      <c r="Y271" s="327"/>
      <c r="Z271" s="330"/>
    </row>
    <row r="272" spans="1:26" ht="37.5" hidden="1">
      <c r="A272" s="347">
        <v>266</v>
      </c>
      <c r="B272" s="338" t="s">
        <v>3790</v>
      </c>
      <c r="C272" s="348">
        <v>43059</v>
      </c>
      <c r="D272" s="338" t="s">
        <v>3791</v>
      </c>
      <c r="E272" s="349" t="s">
        <v>3792</v>
      </c>
      <c r="F272" s="338"/>
      <c r="G272" s="338"/>
      <c r="H272" s="347" t="s">
        <v>249</v>
      </c>
      <c r="I272" s="347">
        <v>1</v>
      </c>
      <c r="J272" s="342">
        <v>3276000</v>
      </c>
      <c r="K272" s="342">
        <v>3276000</v>
      </c>
      <c r="L272" s="342">
        <v>0</v>
      </c>
      <c r="M272" s="343">
        <v>0</v>
      </c>
      <c r="N272" s="343">
        <v>0</v>
      </c>
      <c r="O272" s="343">
        <v>0</v>
      </c>
      <c r="P272" s="338"/>
      <c r="Q272" s="347" t="s">
        <v>20</v>
      </c>
      <c r="R272" s="347" t="s">
        <v>21</v>
      </c>
      <c r="S272" s="349" t="s">
        <v>22</v>
      </c>
      <c r="T272" s="338"/>
      <c r="U272" s="351" t="s">
        <v>4663</v>
      </c>
      <c r="V272" s="327"/>
      <c r="W272" s="327"/>
      <c r="X272" s="327"/>
      <c r="Y272" s="327"/>
      <c r="Z272" s="330"/>
    </row>
    <row r="273" spans="1:26" ht="37.5" hidden="1">
      <c r="A273" s="347">
        <v>267</v>
      </c>
      <c r="B273" s="338" t="s">
        <v>3790</v>
      </c>
      <c r="C273" s="348">
        <v>43059</v>
      </c>
      <c r="D273" s="338" t="s">
        <v>3793</v>
      </c>
      <c r="E273" s="349" t="s">
        <v>3792</v>
      </c>
      <c r="F273" s="338"/>
      <c r="G273" s="338"/>
      <c r="H273" s="347" t="s">
        <v>249</v>
      </c>
      <c r="I273" s="347">
        <v>1</v>
      </c>
      <c r="J273" s="342">
        <v>3276000</v>
      </c>
      <c r="K273" s="342">
        <v>3276000</v>
      </c>
      <c r="L273" s="342">
        <v>0</v>
      </c>
      <c r="M273" s="343">
        <v>0</v>
      </c>
      <c r="N273" s="343">
        <v>0</v>
      </c>
      <c r="O273" s="343">
        <v>0</v>
      </c>
      <c r="P273" s="338"/>
      <c r="Q273" s="347" t="s">
        <v>20</v>
      </c>
      <c r="R273" s="347" t="s">
        <v>21</v>
      </c>
      <c r="S273" s="349" t="s">
        <v>22</v>
      </c>
      <c r="T273" s="338"/>
      <c r="U273" s="351" t="s">
        <v>4663</v>
      </c>
      <c r="V273" s="327"/>
      <c r="W273" s="327"/>
      <c r="X273" s="327"/>
      <c r="Y273" s="327"/>
      <c r="Z273" s="330"/>
    </row>
    <row r="274" spans="1:26" ht="37.5" hidden="1">
      <c r="A274" s="347">
        <v>268</v>
      </c>
      <c r="B274" s="338" t="s">
        <v>3794</v>
      </c>
      <c r="C274" s="348">
        <v>43069</v>
      </c>
      <c r="D274" s="338" t="s">
        <v>3795</v>
      </c>
      <c r="E274" s="349" t="s">
        <v>3796</v>
      </c>
      <c r="F274" s="338"/>
      <c r="G274" s="338"/>
      <c r="H274" s="347" t="s">
        <v>249</v>
      </c>
      <c r="I274" s="347">
        <v>1</v>
      </c>
      <c r="J274" s="342">
        <v>3276000</v>
      </c>
      <c r="K274" s="342">
        <v>3276000</v>
      </c>
      <c r="L274" s="342">
        <v>0</v>
      </c>
      <c r="M274" s="343">
        <v>0</v>
      </c>
      <c r="N274" s="343">
        <v>0</v>
      </c>
      <c r="O274" s="343">
        <v>0</v>
      </c>
      <c r="P274" s="338"/>
      <c r="Q274" s="347" t="s">
        <v>20</v>
      </c>
      <c r="R274" s="347" t="s">
        <v>21</v>
      </c>
      <c r="S274" s="349" t="s">
        <v>22</v>
      </c>
      <c r="T274" s="338"/>
      <c r="U274" s="351" t="s">
        <v>4663</v>
      </c>
      <c r="V274" s="327"/>
      <c r="W274" s="327"/>
      <c r="X274" s="327"/>
      <c r="Y274" s="327"/>
      <c r="Z274" s="330"/>
    </row>
    <row r="275" spans="1:26" ht="37.5" hidden="1">
      <c r="A275" s="347">
        <v>269</v>
      </c>
      <c r="B275" s="338" t="s">
        <v>3794</v>
      </c>
      <c r="C275" s="348">
        <v>43069</v>
      </c>
      <c r="D275" s="338" t="s">
        <v>3797</v>
      </c>
      <c r="E275" s="349" t="s">
        <v>3796</v>
      </c>
      <c r="F275" s="338"/>
      <c r="G275" s="338"/>
      <c r="H275" s="347" t="s">
        <v>249</v>
      </c>
      <c r="I275" s="347">
        <v>1</v>
      </c>
      <c r="J275" s="342">
        <v>3276000</v>
      </c>
      <c r="K275" s="342">
        <v>3276000</v>
      </c>
      <c r="L275" s="342">
        <v>0</v>
      </c>
      <c r="M275" s="343">
        <v>0</v>
      </c>
      <c r="N275" s="343">
        <v>0</v>
      </c>
      <c r="O275" s="343">
        <v>0</v>
      </c>
      <c r="P275" s="338"/>
      <c r="Q275" s="347" t="s">
        <v>20</v>
      </c>
      <c r="R275" s="347" t="s">
        <v>21</v>
      </c>
      <c r="S275" s="349" t="s">
        <v>22</v>
      </c>
      <c r="T275" s="338"/>
      <c r="U275" s="351" t="s">
        <v>4663</v>
      </c>
      <c r="V275" s="327"/>
      <c r="W275" s="327"/>
      <c r="X275" s="327"/>
      <c r="Y275" s="327"/>
      <c r="Z275" s="330"/>
    </row>
    <row r="276" spans="1:26" ht="12.5" hidden="1">
      <c r="A276" s="367">
        <v>270</v>
      </c>
      <c r="B276" s="338" t="s">
        <v>3798</v>
      </c>
      <c r="C276" s="365">
        <v>42731</v>
      </c>
      <c r="D276" s="338" t="s">
        <v>3799</v>
      </c>
      <c r="E276" s="366" t="s">
        <v>4980</v>
      </c>
      <c r="F276" s="369"/>
      <c r="G276" s="338"/>
      <c r="H276" s="367" t="s">
        <v>249</v>
      </c>
      <c r="I276" s="367">
        <v>1</v>
      </c>
      <c r="J276" s="342">
        <v>10555511</v>
      </c>
      <c r="K276" s="342">
        <v>10555511</v>
      </c>
      <c r="L276" s="342">
        <v>0</v>
      </c>
      <c r="M276" s="343">
        <v>0</v>
      </c>
      <c r="N276" s="343">
        <v>0</v>
      </c>
      <c r="O276" s="343">
        <v>0</v>
      </c>
      <c r="P276" s="338"/>
      <c r="Q276" s="367" t="s">
        <v>36</v>
      </c>
      <c r="R276" s="367" t="s">
        <v>3801</v>
      </c>
      <c r="S276" s="369"/>
      <c r="T276" s="338"/>
      <c r="U276" s="327"/>
      <c r="V276" s="327"/>
      <c r="W276" s="327"/>
      <c r="X276" s="327"/>
      <c r="Y276" s="327"/>
      <c r="Z276" s="330"/>
    </row>
    <row r="277" spans="1:26" ht="12.5" hidden="1">
      <c r="A277" s="367">
        <v>271</v>
      </c>
      <c r="B277" s="338" t="s">
        <v>3798</v>
      </c>
      <c r="C277" s="365">
        <v>42731</v>
      </c>
      <c r="D277" s="338" t="s">
        <v>3802</v>
      </c>
      <c r="E277" s="366" t="s">
        <v>4980</v>
      </c>
      <c r="F277" s="369"/>
      <c r="G277" s="338"/>
      <c r="H277" s="367" t="s">
        <v>249</v>
      </c>
      <c r="I277" s="367">
        <v>1</v>
      </c>
      <c r="J277" s="342">
        <v>10555511</v>
      </c>
      <c r="K277" s="342">
        <v>10555511</v>
      </c>
      <c r="L277" s="342">
        <v>0</v>
      </c>
      <c r="M277" s="343">
        <v>0</v>
      </c>
      <c r="N277" s="343">
        <v>0</v>
      </c>
      <c r="O277" s="343">
        <v>0</v>
      </c>
      <c r="P277" s="338"/>
      <c r="Q277" s="367" t="s">
        <v>36</v>
      </c>
      <c r="R277" s="367" t="s">
        <v>3801</v>
      </c>
      <c r="S277" s="369"/>
      <c r="T277" s="338"/>
      <c r="U277" s="327"/>
      <c r="V277" s="327"/>
      <c r="W277" s="327"/>
      <c r="X277" s="327"/>
      <c r="Y277" s="327"/>
      <c r="Z277" s="330"/>
    </row>
    <row r="278" spans="1:26" ht="12.5" hidden="1">
      <c r="A278" s="367">
        <v>272</v>
      </c>
      <c r="B278" s="338" t="s">
        <v>3798</v>
      </c>
      <c r="C278" s="365">
        <v>42731</v>
      </c>
      <c r="D278" s="338" t="s">
        <v>3803</v>
      </c>
      <c r="E278" s="366" t="s">
        <v>4980</v>
      </c>
      <c r="F278" s="369"/>
      <c r="G278" s="338"/>
      <c r="H278" s="367" t="s">
        <v>249</v>
      </c>
      <c r="I278" s="367">
        <v>1</v>
      </c>
      <c r="J278" s="342">
        <v>10555511</v>
      </c>
      <c r="K278" s="342">
        <v>10555511</v>
      </c>
      <c r="L278" s="342">
        <v>0</v>
      </c>
      <c r="M278" s="343">
        <v>0</v>
      </c>
      <c r="N278" s="343">
        <v>0</v>
      </c>
      <c r="O278" s="343">
        <v>0</v>
      </c>
      <c r="P278" s="338"/>
      <c r="Q278" s="367" t="s">
        <v>36</v>
      </c>
      <c r="R278" s="367" t="s">
        <v>3801</v>
      </c>
      <c r="S278" s="369"/>
      <c r="T278" s="338"/>
      <c r="U278" s="327"/>
      <c r="V278" s="327"/>
      <c r="W278" s="327"/>
      <c r="X278" s="327"/>
      <c r="Y278" s="327"/>
      <c r="Z278" s="330"/>
    </row>
    <row r="279" spans="1:26" ht="12.5" hidden="1">
      <c r="A279" s="367">
        <v>273</v>
      </c>
      <c r="B279" s="338" t="s">
        <v>3798</v>
      </c>
      <c r="C279" s="365">
        <v>42731</v>
      </c>
      <c r="D279" s="338" t="s">
        <v>3804</v>
      </c>
      <c r="E279" s="366" t="s">
        <v>4980</v>
      </c>
      <c r="F279" s="369"/>
      <c r="G279" s="338"/>
      <c r="H279" s="367" t="s">
        <v>249</v>
      </c>
      <c r="I279" s="367">
        <v>1</v>
      </c>
      <c r="J279" s="342">
        <v>10555511</v>
      </c>
      <c r="K279" s="342">
        <v>10555511</v>
      </c>
      <c r="L279" s="342">
        <v>0</v>
      </c>
      <c r="M279" s="343">
        <v>0</v>
      </c>
      <c r="N279" s="343">
        <v>0</v>
      </c>
      <c r="O279" s="343">
        <v>0</v>
      </c>
      <c r="P279" s="338"/>
      <c r="Q279" s="367" t="s">
        <v>36</v>
      </c>
      <c r="R279" s="367" t="s">
        <v>3801</v>
      </c>
      <c r="S279" s="369"/>
      <c r="T279" s="338"/>
      <c r="U279" s="327"/>
      <c r="V279" s="327"/>
      <c r="W279" s="327"/>
      <c r="X279" s="327"/>
      <c r="Y279" s="327"/>
      <c r="Z279" s="330"/>
    </row>
    <row r="280" spans="1:26" ht="37.5" hidden="1">
      <c r="A280" s="339">
        <v>274</v>
      </c>
      <c r="B280" s="338" t="s">
        <v>3805</v>
      </c>
      <c r="C280" s="340">
        <v>42935</v>
      </c>
      <c r="D280" s="338" t="s">
        <v>3806</v>
      </c>
      <c r="E280" s="341" t="s">
        <v>4981</v>
      </c>
      <c r="F280" s="338"/>
      <c r="G280" s="338"/>
      <c r="H280" s="339" t="s">
        <v>249</v>
      </c>
      <c r="I280" s="339">
        <v>1</v>
      </c>
      <c r="J280" s="342">
        <v>1950000</v>
      </c>
      <c r="K280" s="342">
        <v>1950000</v>
      </c>
      <c r="L280" s="342">
        <v>0</v>
      </c>
      <c r="M280" s="343">
        <v>0</v>
      </c>
      <c r="N280" s="343">
        <v>0</v>
      </c>
      <c r="O280" s="343">
        <v>0</v>
      </c>
      <c r="P280" s="338"/>
      <c r="Q280" s="339" t="s">
        <v>36</v>
      </c>
      <c r="R280" s="339" t="s">
        <v>37</v>
      </c>
      <c r="S280" s="341" t="s">
        <v>37</v>
      </c>
      <c r="T280" s="338"/>
      <c r="U280" s="327"/>
      <c r="V280" s="327"/>
      <c r="W280" s="327"/>
      <c r="X280" s="327"/>
      <c r="Y280" s="327"/>
      <c r="Z280" s="330"/>
    </row>
    <row r="281" spans="1:26" ht="37.5" hidden="1">
      <c r="A281" s="339">
        <v>275</v>
      </c>
      <c r="B281" s="338" t="s">
        <v>3805</v>
      </c>
      <c r="C281" s="340">
        <v>42935</v>
      </c>
      <c r="D281" s="338" t="s">
        <v>3808</v>
      </c>
      <c r="E281" s="341" t="s">
        <v>4981</v>
      </c>
      <c r="F281" s="338"/>
      <c r="G281" s="338"/>
      <c r="H281" s="339" t="s">
        <v>249</v>
      </c>
      <c r="I281" s="339">
        <v>1</v>
      </c>
      <c r="J281" s="342">
        <v>1950000</v>
      </c>
      <c r="K281" s="342">
        <v>1950000</v>
      </c>
      <c r="L281" s="342">
        <v>0</v>
      </c>
      <c r="M281" s="343">
        <v>0</v>
      </c>
      <c r="N281" s="343">
        <v>0</v>
      </c>
      <c r="O281" s="343">
        <v>0</v>
      </c>
      <c r="P281" s="338"/>
      <c r="Q281" s="339" t="s">
        <v>206</v>
      </c>
      <c r="R281" s="339" t="s">
        <v>3635</v>
      </c>
      <c r="S281" s="341" t="s">
        <v>3809</v>
      </c>
      <c r="T281" s="338"/>
      <c r="U281" s="327"/>
      <c r="V281" s="327"/>
      <c r="W281" s="327"/>
      <c r="X281" s="327"/>
      <c r="Y281" s="327"/>
      <c r="Z281" s="330"/>
    </row>
    <row r="282" spans="1:26" ht="37.5" hidden="1">
      <c r="A282" s="339">
        <v>276</v>
      </c>
      <c r="B282" s="338" t="s">
        <v>3805</v>
      </c>
      <c r="C282" s="340">
        <v>42935</v>
      </c>
      <c r="D282" s="338" t="s">
        <v>3810</v>
      </c>
      <c r="E282" s="341" t="s">
        <v>4981</v>
      </c>
      <c r="F282" s="338"/>
      <c r="G282" s="338"/>
      <c r="H282" s="339" t="s">
        <v>249</v>
      </c>
      <c r="I282" s="339">
        <v>1</v>
      </c>
      <c r="J282" s="342">
        <v>1950000</v>
      </c>
      <c r="K282" s="342">
        <v>1950000</v>
      </c>
      <c r="L282" s="342">
        <v>0</v>
      </c>
      <c r="M282" s="343">
        <v>0</v>
      </c>
      <c r="N282" s="343">
        <v>0</v>
      </c>
      <c r="O282" s="343">
        <v>0</v>
      </c>
      <c r="P282" s="338"/>
      <c r="Q282" s="339" t="s">
        <v>206</v>
      </c>
      <c r="R282" s="339" t="s">
        <v>3635</v>
      </c>
      <c r="S282" s="341" t="s">
        <v>3811</v>
      </c>
      <c r="T282" s="338"/>
      <c r="U282" s="327"/>
      <c r="V282" s="327"/>
      <c r="W282" s="327"/>
      <c r="X282" s="327"/>
      <c r="Y282" s="327"/>
      <c r="Z282" s="330"/>
    </row>
    <row r="283" spans="1:26" ht="12.5" hidden="1">
      <c r="A283" s="339">
        <v>277</v>
      </c>
      <c r="B283" s="338" t="s">
        <v>3812</v>
      </c>
      <c r="C283" s="340">
        <v>42993</v>
      </c>
      <c r="D283" s="338" t="s">
        <v>3813</v>
      </c>
      <c r="E283" s="341" t="s">
        <v>4980</v>
      </c>
      <c r="F283" s="338"/>
      <c r="G283" s="338"/>
      <c r="H283" s="339" t="s">
        <v>249</v>
      </c>
      <c r="I283" s="339">
        <v>1</v>
      </c>
      <c r="J283" s="342">
        <v>1980000</v>
      </c>
      <c r="K283" s="342">
        <v>1980000</v>
      </c>
      <c r="L283" s="342">
        <v>0</v>
      </c>
      <c r="M283" s="343">
        <v>0</v>
      </c>
      <c r="N283" s="343">
        <v>0</v>
      </c>
      <c r="O283" s="343">
        <v>0</v>
      </c>
      <c r="P283" s="338" t="s">
        <v>3814</v>
      </c>
      <c r="Q283" s="339" t="s">
        <v>20</v>
      </c>
      <c r="R283" s="339" t="s">
        <v>295</v>
      </c>
      <c r="S283" s="341" t="s">
        <v>3815</v>
      </c>
      <c r="T283" s="338"/>
      <c r="U283" s="327"/>
      <c r="V283" s="327"/>
      <c r="W283" s="327"/>
      <c r="X283" s="327"/>
      <c r="Y283" s="327"/>
      <c r="Z283" s="330"/>
    </row>
    <row r="284" spans="1:26" ht="12.5" hidden="1">
      <c r="A284" s="339">
        <v>278</v>
      </c>
      <c r="B284" s="338" t="s">
        <v>3812</v>
      </c>
      <c r="C284" s="340">
        <v>42993</v>
      </c>
      <c r="D284" s="338" t="s">
        <v>3816</v>
      </c>
      <c r="E284" s="341" t="s">
        <v>4980</v>
      </c>
      <c r="F284" s="338"/>
      <c r="G284" s="338"/>
      <c r="H284" s="339" t="s">
        <v>249</v>
      </c>
      <c r="I284" s="339">
        <v>1</v>
      </c>
      <c r="J284" s="342">
        <v>1350000</v>
      </c>
      <c r="K284" s="342">
        <v>1350000</v>
      </c>
      <c r="L284" s="342">
        <v>0</v>
      </c>
      <c r="M284" s="343">
        <v>0</v>
      </c>
      <c r="N284" s="343">
        <v>0</v>
      </c>
      <c r="O284" s="343">
        <v>0</v>
      </c>
      <c r="P284" s="338" t="s">
        <v>3814</v>
      </c>
      <c r="Q284" s="339" t="s">
        <v>20</v>
      </c>
      <c r="R284" s="339" t="s">
        <v>295</v>
      </c>
      <c r="S284" s="341" t="s">
        <v>3815</v>
      </c>
      <c r="T284" s="338"/>
      <c r="U284" s="327"/>
      <c r="V284" s="327"/>
      <c r="W284" s="327"/>
      <c r="X284" s="327"/>
      <c r="Y284" s="327"/>
      <c r="Z284" s="330"/>
    </row>
    <row r="285" spans="1:26" ht="12.5" hidden="1">
      <c r="A285" s="339">
        <v>279</v>
      </c>
      <c r="B285" s="338" t="s">
        <v>3812</v>
      </c>
      <c r="C285" s="340">
        <v>42993</v>
      </c>
      <c r="D285" s="338" t="s">
        <v>3817</v>
      </c>
      <c r="E285" s="341" t="s">
        <v>4980</v>
      </c>
      <c r="F285" s="338"/>
      <c r="G285" s="338"/>
      <c r="H285" s="339" t="s">
        <v>249</v>
      </c>
      <c r="I285" s="339">
        <v>1</v>
      </c>
      <c r="J285" s="342">
        <v>1350000</v>
      </c>
      <c r="K285" s="342">
        <v>1350000</v>
      </c>
      <c r="L285" s="342">
        <v>0</v>
      </c>
      <c r="M285" s="343">
        <v>0</v>
      </c>
      <c r="N285" s="343">
        <v>0</v>
      </c>
      <c r="O285" s="343">
        <v>0</v>
      </c>
      <c r="P285" s="338" t="s">
        <v>3814</v>
      </c>
      <c r="Q285" s="339" t="s">
        <v>20</v>
      </c>
      <c r="R285" s="339" t="s">
        <v>295</v>
      </c>
      <c r="S285" s="341" t="s">
        <v>3815</v>
      </c>
      <c r="T285" s="338"/>
      <c r="U285" s="327"/>
      <c r="V285" s="327"/>
      <c r="W285" s="327"/>
      <c r="X285" s="327"/>
      <c r="Y285" s="327"/>
      <c r="Z285" s="330"/>
    </row>
    <row r="286" spans="1:26" ht="12.5" hidden="1">
      <c r="A286" s="339">
        <v>280</v>
      </c>
      <c r="B286" s="338" t="s">
        <v>3812</v>
      </c>
      <c r="C286" s="340">
        <v>42993</v>
      </c>
      <c r="D286" s="338" t="s">
        <v>3818</v>
      </c>
      <c r="E286" s="341" t="s">
        <v>4980</v>
      </c>
      <c r="F286" s="338"/>
      <c r="G286" s="338"/>
      <c r="H286" s="339" t="s">
        <v>249</v>
      </c>
      <c r="I286" s="339">
        <v>1</v>
      </c>
      <c r="J286" s="342">
        <v>1350000</v>
      </c>
      <c r="K286" s="342">
        <v>1350000</v>
      </c>
      <c r="L286" s="342">
        <v>0</v>
      </c>
      <c r="M286" s="343">
        <v>0</v>
      </c>
      <c r="N286" s="343">
        <v>0</v>
      </c>
      <c r="O286" s="343">
        <v>0</v>
      </c>
      <c r="P286" s="338" t="s">
        <v>3814</v>
      </c>
      <c r="Q286" s="339" t="s">
        <v>20</v>
      </c>
      <c r="R286" s="339" t="s">
        <v>295</v>
      </c>
      <c r="S286" s="341" t="s">
        <v>3815</v>
      </c>
      <c r="T286" s="338"/>
      <c r="U286" s="327"/>
      <c r="V286" s="327"/>
      <c r="W286" s="327"/>
      <c r="X286" s="327"/>
      <c r="Y286" s="327"/>
      <c r="Z286" s="330"/>
    </row>
    <row r="287" spans="1:26" ht="12.5" hidden="1">
      <c r="A287" s="339">
        <v>281</v>
      </c>
      <c r="B287" s="338" t="s">
        <v>3812</v>
      </c>
      <c r="C287" s="340">
        <v>42993</v>
      </c>
      <c r="D287" s="338" t="s">
        <v>3819</v>
      </c>
      <c r="E287" s="341" t="s">
        <v>4980</v>
      </c>
      <c r="F287" s="338"/>
      <c r="G287" s="338"/>
      <c r="H287" s="339" t="s">
        <v>249</v>
      </c>
      <c r="I287" s="339">
        <v>1</v>
      </c>
      <c r="J287" s="342">
        <v>1350000</v>
      </c>
      <c r="K287" s="342">
        <v>1350000</v>
      </c>
      <c r="L287" s="342">
        <v>0</v>
      </c>
      <c r="M287" s="343">
        <v>0</v>
      </c>
      <c r="N287" s="343">
        <v>0</v>
      </c>
      <c r="O287" s="343">
        <v>0</v>
      </c>
      <c r="P287" s="338" t="s">
        <v>3814</v>
      </c>
      <c r="Q287" s="339" t="s">
        <v>20</v>
      </c>
      <c r="R287" s="339" t="s">
        <v>295</v>
      </c>
      <c r="S287" s="341" t="s">
        <v>3815</v>
      </c>
      <c r="T287" s="338"/>
      <c r="U287" s="327"/>
      <c r="V287" s="327"/>
      <c r="W287" s="327"/>
      <c r="X287" s="327"/>
      <c r="Y287" s="327"/>
      <c r="Z287" s="330"/>
    </row>
    <row r="288" spans="1:26" ht="12.5" hidden="1">
      <c r="A288" s="339">
        <v>282</v>
      </c>
      <c r="B288" s="338" t="s">
        <v>3812</v>
      </c>
      <c r="C288" s="340">
        <v>42993</v>
      </c>
      <c r="D288" s="338" t="s">
        <v>3820</v>
      </c>
      <c r="E288" s="341" t="s">
        <v>4980</v>
      </c>
      <c r="F288" s="338"/>
      <c r="G288" s="338"/>
      <c r="H288" s="339" t="s">
        <v>249</v>
      </c>
      <c r="I288" s="339">
        <v>1</v>
      </c>
      <c r="J288" s="342">
        <v>1350000</v>
      </c>
      <c r="K288" s="342">
        <v>1350000</v>
      </c>
      <c r="L288" s="342">
        <v>0</v>
      </c>
      <c r="M288" s="343">
        <v>0</v>
      </c>
      <c r="N288" s="343">
        <v>0</v>
      </c>
      <c r="O288" s="343">
        <v>0</v>
      </c>
      <c r="P288" s="338" t="s">
        <v>3814</v>
      </c>
      <c r="Q288" s="339" t="s">
        <v>20</v>
      </c>
      <c r="R288" s="339" t="s">
        <v>295</v>
      </c>
      <c r="S288" s="341" t="s">
        <v>3815</v>
      </c>
      <c r="T288" s="338"/>
      <c r="U288" s="327"/>
      <c r="V288" s="327"/>
      <c r="W288" s="327"/>
      <c r="X288" s="327"/>
      <c r="Y288" s="327"/>
      <c r="Z288" s="330"/>
    </row>
    <row r="289" spans="1:26" ht="12.5" hidden="1">
      <c r="A289" s="339">
        <v>283</v>
      </c>
      <c r="B289" s="338" t="s">
        <v>3812</v>
      </c>
      <c r="C289" s="340">
        <v>42993</v>
      </c>
      <c r="D289" s="338" t="s">
        <v>3821</v>
      </c>
      <c r="E289" s="341" t="s">
        <v>4980</v>
      </c>
      <c r="F289" s="338"/>
      <c r="G289" s="338"/>
      <c r="H289" s="339" t="s">
        <v>249</v>
      </c>
      <c r="I289" s="339">
        <v>1</v>
      </c>
      <c r="J289" s="342">
        <v>1350000</v>
      </c>
      <c r="K289" s="342">
        <v>1350000</v>
      </c>
      <c r="L289" s="342">
        <v>0</v>
      </c>
      <c r="M289" s="343">
        <v>0</v>
      </c>
      <c r="N289" s="343">
        <v>0</v>
      </c>
      <c r="O289" s="343">
        <v>0</v>
      </c>
      <c r="P289" s="338" t="s">
        <v>3814</v>
      </c>
      <c r="Q289" s="339" t="s">
        <v>20</v>
      </c>
      <c r="R289" s="339" t="s">
        <v>295</v>
      </c>
      <c r="S289" s="341" t="s">
        <v>3815</v>
      </c>
      <c r="T289" s="338"/>
      <c r="U289" s="327"/>
      <c r="V289" s="327"/>
      <c r="W289" s="327"/>
      <c r="X289" s="327"/>
      <c r="Y289" s="327"/>
      <c r="Z289" s="330"/>
    </row>
    <row r="290" spans="1:26" ht="25">
      <c r="A290" s="339">
        <v>284</v>
      </c>
      <c r="B290" s="338" t="s">
        <v>3822</v>
      </c>
      <c r="C290" s="340">
        <v>43099</v>
      </c>
      <c r="D290" s="338" t="s">
        <v>3823</v>
      </c>
      <c r="E290" s="341" t="s">
        <v>4980</v>
      </c>
      <c r="F290" s="338"/>
      <c r="G290" s="338"/>
      <c r="H290" s="339" t="s">
        <v>249</v>
      </c>
      <c r="I290" s="339">
        <v>1</v>
      </c>
      <c r="J290" s="342">
        <v>5113000</v>
      </c>
      <c r="K290" s="342">
        <v>5113000</v>
      </c>
      <c r="L290" s="342">
        <v>0</v>
      </c>
      <c r="M290" s="343">
        <v>0</v>
      </c>
      <c r="N290" s="343">
        <v>0</v>
      </c>
      <c r="O290" s="343">
        <v>0</v>
      </c>
      <c r="P290" s="338" t="s">
        <v>3824</v>
      </c>
      <c r="Q290" s="339" t="s">
        <v>20</v>
      </c>
      <c r="R290" s="339" t="s">
        <v>423</v>
      </c>
      <c r="S290" s="341" t="s">
        <v>3825</v>
      </c>
      <c r="T290" s="338"/>
      <c r="U290" s="327"/>
      <c r="V290" s="327"/>
      <c r="W290" s="327"/>
      <c r="X290" s="327"/>
      <c r="Y290" s="327"/>
      <c r="Z290" s="330"/>
    </row>
    <row r="291" spans="1:26" ht="112.5" hidden="1">
      <c r="A291" s="339">
        <v>285</v>
      </c>
      <c r="B291" s="338" t="s">
        <v>3826</v>
      </c>
      <c r="C291" s="340">
        <v>40623</v>
      </c>
      <c r="D291" s="338" t="s">
        <v>3827</v>
      </c>
      <c r="E291" s="341" t="s">
        <v>3828</v>
      </c>
      <c r="F291" s="338"/>
      <c r="G291" s="338"/>
      <c r="H291" s="339" t="s">
        <v>249</v>
      </c>
      <c r="I291" s="339">
        <v>1</v>
      </c>
      <c r="J291" s="342">
        <v>2000000</v>
      </c>
      <c r="K291" s="342">
        <v>2000000</v>
      </c>
      <c r="L291" s="342">
        <v>0</v>
      </c>
      <c r="M291" s="343">
        <v>0</v>
      </c>
      <c r="N291" s="343">
        <v>0</v>
      </c>
      <c r="O291" s="343">
        <v>0</v>
      </c>
      <c r="P291" s="338" t="s">
        <v>3829</v>
      </c>
      <c r="Q291" s="339" t="s">
        <v>887</v>
      </c>
      <c r="R291" s="339" t="s">
        <v>888</v>
      </c>
      <c r="S291" s="341" t="s">
        <v>3830</v>
      </c>
      <c r="T291" s="338"/>
      <c r="U291" s="327"/>
      <c r="V291" s="327"/>
      <c r="W291" s="327"/>
      <c r="X291" s="327"/>
      <c r="Y291" s="327"/>
      <c r="Z291" s="330"/>
    </row>
    <row r="292" spans="1:26" ht="112.5" hidden="1">
      <c r="A292" s="339">
        <v>286</v>
      </c>
      <c r="B292" s="338" t="s">
        <v>3831</v>
      </c>
      <c r="C292" s="340">
        <v>41054</v>
      </c>
      <c r="D292" s="338" t="s">
        <v>3832</v>
      </c>
      <c r="E292" s="341" t="s">
        <v>3833</v>
      </c>
      <c r="F292" s="338"/>
      <c r="G292" s="338"/>
      <c r="H292" s="339" t="s">
        <v>249</v>
      </c>
      <c r="I292" s="339">
        <v>1</v>
      </c>
      <c r="J292" s="342">
        <v>1840000</v>
      </c>
      <c r="K292" s="342">
        <v>1840000</v>
      </c>
      <c r="L292" s="342">
        <v>0</v>
      </c>
      <c r="M292" s="343">
        <v>0</v>
      </c>
      <c r="N292" s="343">
        <v>0</v>
      </c>
      <c r="O292" s="343">
        <v>0</v>
      </c>
      <c r="P292" s="338" t="s">
        <v>3834</v>
      </c>
      <c r="Q292" s="339" t="s">
        <v>1195</v>
      </c>
      <c r="R292" s="339" t="s">
        <v>3389</v>
      </c>
      <c r="S292" s="341" t="s">
        <v>3835</v>
      </c>
      <c r="T292" s="338"/>
      <c r="U292" s="327"/>
      <c r="V292" s="327"/>
      <c r="W292" s="327"/>
      <c r="X292" s="327"/>
      <c r="Y292" s="327"/>
      <c r="Z292" s="330"/>
    </row>
    <row r="293" spans="1:26" ht="12.5" hidden="1">
      <c r="A293" s="339">
        <v>332</v>
      </c>
      <c r="B293" s="338" t="s">
        <v>3836</v>
      </c>
      <c r="C293" s="340">
        <v>43434</v>
      </c>
      <c r="D293" s="338" t="s">
        <v>3837</v>
      </c>
      <c r="E293" s="341" t="s">
        <v>4982</v>
      </c>
      <c r="F293" s="338"/>
      <c r="G293" s="338"/>
      <c r="H293" s="339" t="s">
        <v>249</v>
      </c>
      <c r="I293" s="339">
        <v>1</v>
      </c>
      <c r="J293" s="342">
        <v>750000</v>
      </c>
      <c r="K293" s="342">
        <v>750000</v>
      </c>
      <c r="L293" s="342">
        <v>0</v>
      </c>
      <c r="M293" s="343">
        <v>0</v>
      </c>
      <c r="N293" s="343">
        <v>0</v>
      </c>
      <c r="O293" s="343">
        <v>0</v>
      </c>
      <c r="P293" s="338"/>
      <c r="Q293" s="339" t="s">
        <v>20</v>
      </c>
      <c r="R293" s="339" t="s">
        <v>229</v>
      </c>
      <c r="S293" s="341" t="str">
        <f>IFERROR(VLOOKUP(D293, CCDC_XUAN!$D$16:$S$693, 16, 0), "Không tìm thấy")</f>
        <v>KHO LẦU 2 TTPH-TL</v>
      </c>
      <c r="T293" s="338"/>
      <c r="U293" s="327"/>
      <c r="V293" s="327"/>
      <c r="W293" s="327"/>
      <c r="X293" s="327"/>
      <c r="Y293" s="327"/>
      <c r="Z293" s="330"/>
    </row>
    <row r="294" spans="1:26" ht="12.5" hidden="1">
      <c r="A294" s="339">
        <v>333</v>
      </c>
      <c r="B294" s="338" t="s">
        <v>3836</v>
      </c>
      <c r="C294" s="340">
        <v>43434</v>
      </c>
      <c r="D294" s="338" t="s">
        <v>3841</v>
      </c>
      <c r="E294" s="341" t="s">
        <v>4982</v>
      </c>
      <c r="F294" s="338"/>
      <c r="G294" s="338"/>
      <c r="H294" s="339" t="s">
        <v>249</v>
      </c>
      <c r="I294" s="339">
        <v>1</v>
      </c>
      <c r="J294" s="342">
        <v>750000</v>
      </c>
      <c r="K294" s="342">
        <v>750000</v>
      </c>
      <c r="L294" s="342">
        <v>0</v>
      </c>
      <c r="M294" s="343">
        <v>0</v>
      </c>
      <c r="N294" s="343">
        <v>0</v>
      </c>
      <c r="O294" s="343">
        <v>0</v>
      </c>
      <c r="P294" s="338"/>
      <c r="Q294" s="339" t="s">
        <v>20</v>
      </c>
      <c r="R294" s="339" t="s">
        <v>229</v>
      </c>
      <c r="S294" s="341" t="str">
        <f>IFERROR(VLOOKUP(D294, CCDC_XUAN!$D$16:$S$693, 16, 0), "Không tìm thấy")</f>
        <v>A2 MC ghế đỏ</v>
      </c>
      <c r="T294" s="338"/>
      <c r="U294" s="327"/>
      <c r="V294" s="327"/>
      <c r="W294" s="327"/>
      <c r="X294" s="327"/>
      <c r="Y294" s="327"/>
      <c r="Z294" s="330"/>
    </row>
    <row r="295" spans="1:26" ht="12.5" hidden="1">
      <c r="A295" s="339">
        <v>334</v>
      </c>
      <c r="B295" s="338" t="s">
        <v>3836</v>
      </c>
      <c r="C295" s="340">
        <v>43434</v>
      </c>
      <c r="D295" s="338" t="s">
        <v>3843</v>
      </c>
      <c r="E295" s="341" t="s">
        <v>4982</v>
      </c>
      <c r="F295" s="338"/>
      <c r="G295" s="338"/>
      <c r="H295" s="339" t="s">
        <v>249</v>
      </c>
      <c r="I295" s="339">
        <v>1</v>
      </c>
      <c r="J295" s="342">
        <v>750000</v>
      </c>
      <c r="K295" s="342">
        <v>750000</v>
      </c>
      <c r="L295" s="342">
        <v>0</v>
      </c>
      <c r="M295" s="343">
        <v>0</v>
      </c>
      <c r="N295" s="343">
        <v>0</v>
      </c>
      <c r="O295" s="343">
        <v>0</v>
      </c>
      <c r="P295" s="338"/>
      <c r="Q295" s="339" t="s">
        <v>20</v>
      </c>
      <c r="R295" s="339" t="s">
        <v>229</v>
      </c>
      <c r="S295" s="341" t="str">
        <f>IFERROR(VLOOKUP(D295, CCDC_XUAN!$D$16:$S$693, 16, 0), "Không tìm thấy")</f>
        <v>A2 MC ghế đỏ</v>
      </c>
      <c r="T295" s="338"/>
      <c r="U295" s="327"/>
      <c r="V295" s="327"/>
      <c r="W295" s="327"/>
      <c r="X295" s="327"/>
      <c r="Y295" s="327"/>
      <c r="Z295" s="330"/>
    </row>
    <row r="296" spans="1:26" ht="12.5" hidden="1">
      <c r="A296" s="339">
        <v>335</v>
      </c>
      <c r="B296" s="338" t="s">
        <v>3836</v>
      </c>
      <c r="C296" s="340">
        <v>43434</v>
      </c>
      <c r="D296" s="338" t="s">
        <v>3844</v>
      </c>
      <c r="E296" s="341" t="s">
        <v>4982</v>
      </c>
      <c r="F296" s="338"/>
      <c r="G296" s="338"/>
      <c r="H296" s="339" t="s">
        <v>249</v>
      </c>
      <c r="I296" s="339">
        <v>1</v>
      </c>
      <c r="J296" s="342">
        <v>750000</v>
      </c>
      <c r="K296" s="342">
        <v>750000</v>
      </c>
      <c r="L296" s="342">
        <v>0</v>
      </c>
      <c r="M296" s="343">
        <v>0</v>
      </c>
      <c r="N296" s="343">
        <v>0</v>
      </c>
      <c r="O296" s="343">
        <v>0</v>
      </c>
      <c r="P296" s="338"/>
      <c r="Q296" s="339" t="s">
        <v>20</v>
      </c>
      <c r="R296" s="339" t="s">
        <v>229</v>
      </c>
      <c r="S296" s="341" t="str">
        <f>IFERROR(VLOOKUP(D296, CCDC_XUAN!$D$16:$S$693, 16, 0), "Không tìm thấy")</f>
        <v>KHO LẦU 2 TTPH-TL</v>
      </c>
      <c r="T296" s="338"/>
      <c r="U296" s="327"/>
      <c r="V296" s="327"/>
      <c r="W296" s="327"/>
      <c r="X296" s="327"/>
      <c r="Y296" s="327"/>
      <c r="Z296" s="330"/>
    </row>
    <row r="297" spans="1:26" ht="12.5" hidden="1">
      <c r="A297" s="339">
        <v>336</v>
      </c>
      <c r="B297" s="338" t="s">
        <v>3836</v>
      </c>
      <c r="C297" s="340">
        <v>43434</v>
      </c>
      <c r="D297" s="338" t="s">
        <v>3845</v>
      </c>
      <c r="E297" s="341" t="s">
        <v>4982</v>
      </c>
      <c r="F297" s="338"/>
      <c r="G297" s="338"/>
      <c r="H297" s="339" t="s">
        <v>249</v>
      </c>
      <c r="I297" s="339">
        <v>1</v>
      </c>
      <c r="J297" s="342">
        <v>750000</v>
      </c>
      <c r="K297" s="342">
        <v>750000</v>
      </c>
      <c r="L297" s="342">
        <v>0</v>
      </c>
      <c r="M297" s="343">
        <v>0</v>
      </c>
      <c r="N297" s="343">
        <v>0</v>
      </c>
      <c r="O297" s="343">
        <v>0</v>
      </c>
      <c r="P297" s="338"/>
      <c r="Q297" s="339" t="s">
        <v>20</v>
      </c>
      <c r="R297" s="339" t="s">
        <v>229</v>
      </c>
      <c r="S297" s="341" t="str">
        <f>IFERROR(VLOOKUP(D297, CCDC_XUAN!$D$16:$S$693, 16, 0), "Không tìm thấy")</f>
        <v>A2 MC ghế đen</v>
      </c>
      <c r="T297" s="338"/>
      <c r="U297" s="327"/>
      <c r="V297" s="327"/>
      <c r="W297" s="327"/>
      <c r="X297" s="327"/>
      <c r="Y297" s="327"/>
      <c r="Z297" s="330"/>
    </row>
    <row r="298" spans="1:26" ht="12.5" hidden="1">
      <c r="A298" s="339">
        <v>337</v>
      </c>
      <c r="B298" s="338" t="s">
        <v>3836</v>
      </c>
      <c r="C298" s="340">
        <v>43434</v>
      </c>
      <c r="D298" s="338" t="s">
        <v>3847</v>
      </c>
      <c r="E298" s="341" t="s">
        <v>4982</v>
      </c>
      <c r="F298" s="338"/>
      <c r="G298" s="338"/>
      <c r="H298" s="339" t="s">
        <v>249</v>
      </c>
      <c r="I298" s="339">
        <v>1</v>
      </c>
      <c r="J298" s="342">
        <v>750000</v>
      </c>
      <c r="K298" s="342">
        <v>750000</v>
      </c>
      <c r="L298" s="342">
        <v>0</v>
      </c>
      <c r="M298" s="343">
        <v>0</v>
      </c>
      <c r="N298" s="343">
        <v>0</v>
      </c>
      <c r="O298" s="343">
        <v>0</v>
      </c>
      <c r="P298" s="338"/>
      <c r="Q298" s="339" t="s">
        <v>20</v>
      </c>
      <c r="R298" s="339" t="s">
        <v>229</v>
      </c>
      <c r="S298" s="341" t="str">
        <f>IFERROR(VLOOKUP(D298, CCDC_XUAN!$D$16:$S$693, 16, 0), "Không tìm thấy")</f>
        <v>Phòng hiện A1 ghế MC</v>
      </c>
      <c r="T298" s="338"/>
      <c r="U298" s="327"/>
      <c r="V298" s="327"/>
      <c r="W298" s="327"/>
      <c r="X298" s="327"/>
      <c r="Y298" s="327"/>
      <c r="Z298" s="330"/>
    </row>
    <row r="299" spans="1:26" ht="37.5" hidden="1">
      <c r="A299" s="339">
        <v>347</v>
      </c>
      <c r="B299" s="338" t="s">
        <v>3826</v>
      </c>
      <c r="C299" s="340">
        <v>40623</v>
      </c>
      <c r="D299" s="338" t="s">
        <v>3849</v>
      </c>
      <c r="E299" s="341" t="s">
        <v>3850</v>
      </c>
      <c r="F299" s="338"/>
      <c r="G299" s="338"/>
      <c r="H299" s="339" t="s">
        <v>249</v>
      </c>
      <c r="I299" s="339">
        <v>1</v>
      </c>
      <c r="J299" s="342">
        <v>2950000</v>
      </c>
      <c r="K299" s="342">
        <v>2950000</v>
      </c>
      <c r="L299" s="342">
        <v>0</v>
      </c>
      <c r="M299" s="343">
        <v>0</v>
      </c>
      <c r="N299" s="343">
        <v>0</v>
      </c>
      <c r="O299" s="343">
        <v>0</v>
      </c>
      <c r="P299" s="338" t="s">
        <v>3851</v>
      </c>
      <c r="Q299" s="339" t="s">
        <v>36</v>
      </c>
      <c r="R299" s="339" t="s">
        <v>169</v>
      </c>
      <c r="S299" s="341" t="s">
        <v>3852</v>
      </c>
      <c r="T299" s="338"/>
      <c r="U299" s="327"/>
      <c r="V299" s="327"/>
      <c r="W299" s="327"/>
      <c r="X299" s="327"/>
      <c r="Y299" s="327"/>
      <c r="Z299" s="330"/>
    </row>
    <row r="300" spans="1:26" ht="50" hidden="1">
      <c r="A300" s="339">
        <v>348</v>
      </c>
      <c r="B300" s="338" t="s">
        <v>3826</v>
      </c>
      <c r="C300" s="340">
        <v>40623</v>
      </c>
      <c r="D300" s="338" t="s">
        <v>3853</v>
      </c>
      <c r="E300" s="341" t="s">
        <v>3854</v>
      </c>
      <c r="F300" s="338"/>
      <c r="G300" s="338"/>
      <c r="H300" s="339" t="s">
        <v>249</v>
      </c>
      <c r="I300" s="339">
        <v>1</v>
      </c>
      <c r="J300" s="342">
        <v>2100000</v>
      </c>
      <c r="K300" s="342">
        <v>2100000</v>
      </c>
      <c r="L300" s="342">
        <v>0</v>
      </c>
      <c r="M300" s="343">
        <v>0</v>
      </c>
      <c r="N300" s="343">
        <v>0</v>
      </c>
      <c r="O300" s="343">
        <v>0</v>
      </c>
      <c r="P300" s="338" t="s">
        <v>3851</v>
      </c>
      <c r="Q300" s="339" t="s">
        <v>36</v>
      </c>
      <c r="R300" s="339" t="s">
        <v>169</v>
      </c>
      <c r="S300" s="341" t="s">
        <v>3852</v>
      </c>
      <c r="T300" s="338"/>
      <c r="U300" s="327"/>
      <c r="V300" s="327"/>
      <c r="W300" s="327"/>
      <c r="X300" s="327"/>
      <c r="Y300" s="327"/>
      <c r="Z300" s="330"/>
    </row>
    <row r="301" spans="1:26" ht="100" hidden="1">
      <c r="A301" s="339">
        <v>349</v>
      </c>
      <c r="B301" s="338" t="s">
        <v>3831</v>
      </c>
      <c r="C301" s="340">
        <v>41054</v>
      </c>
      <c r="D301" s="338" t="s">
        <v>3855</v>
      </c>
      <c r="E301" s="341" t="s">
        <v>3856</v>
      </c>
      <c r="F301" s="338"/>
      <c r="G301" s="338"/>
      <c r="H301" s="339" t="s">
        <v>249</v>
      </c>
      <c r="I301" s="339">
        <v>1</v>
      </c>
      <c r="J301" s="342">
        <v>3950000</v>
      </c>
      <c r="K301" s="342">
        <v>3950000</v>
      </c>
      <c r="L301" s="342">
        <v>0</v>
      </c>
      <c r="M301" s="343">
        <v>0</v>
      </c>
      <c r="N301" s="343">
        <v>0</v>
      </c>
      <c r="O301" s="343">
        <v>0</v>
      </c>
      <c r="P301" s="338" t="s">
        <v>3834</v>
      </c>
      <c r="Q301" s="339" t="s">
        <v>36</v>
      </c>
      <c r="R301" s="327" t="s">
        <v>3512</v>
      </c>
      <c r="S301" s="341" t="s">
        <v>3851</v>
      </c>
      <c r="T301" s="338"/>
      <c r="U301" s="327"/>
      <c r="V301" s="327"/>
      <c r="W301" s="327"/>
      <c r="X301" s="327"/>
      <c r="Y301" s="327"/>
      <c r="Z301" s="330"/>
    </row>
    <row r="302" spans="1:26" ht="37.5" hidden="1">
      <c r="A302" s="339">
        <v>350</v>
      </c>
      <c r="B302" s="338" t="s">
        <v>3857</v>
      </c>
      <c r="C302" s="340">
        <v>40770</v>
      </c>
      <c r="D302" s="338" t="s">
        <v>3858</v>
      </c>
      <c r="E302" s="341" t="s">
        <v>3859</v>
      </c>
      <c r="F302" s="338"/>
      <c r="G302" s="338"/>
      <c r="H302" s="339" t="s">
        <v>249</v>
      </c>
      <c r="I302" s="339">
        <v>1</v>
      </c>
      <c r="J302" s="342">
        <v>4800000</v>
      </c>
      <c r="K302" s="342">
        <v>4800000</v>
      </c>
      <c r="L302" s="342">
        <v>0</v>
      </c>
      <c r="M302" s="343">
        <v>0</v>
      </c>
      <c r="N302" s="343">
        <v>0</v>
      </c>
      <c r="O302" s="343">
        <v>0</v>
      </c>
      <c r="P302" s="338" t="s">
        <v>3860</v>
      </c>
      <c r="Q302" s="339" t="s">
        <v>887</v>
      </c>
      <c r="R302" s="339" t="s">
        <v>888</v>
      </c>
      <c r="S302" s="341" t="s">
        <v>3861</v>
      </c>
      <c r="T302" s="338"/>
      <c r="U302" s="327"/>
      <c r="V302" s="327"/>
      <c r="W302" s="327"/>
      <c r="X302" s="327"/>
      <c r="Y302" s="327"/>
      <c r="Z302" s="330"/>
    </row>
    <row r="303" spans="1:26" ht="25" hidden="1">
      <c r="A303" s="339">
        <v>351</v>
      </c>
      <c r="B303" s="338" t="s">
        <v>3862</v>
      </c>
      <c r="C303" s="340">
        <v>40532</v>
      </c>
      <c r="D303" s="338" t="s">
        <v>3863</v>
      </c>
      <c r="E303" s="341" t="s">
        <v>3864</v>
      </c>
      <c r="F303" s="338"/>
      <c r="G303" s="338"/>
      <c r="H303" s="339" t="s">
        <v>3620</v>
      </c>
      <c r="I303" s="339">
        <v>1</v>
      </c>
      <c r="J303" s="342">
        <v>4545455</v>
      </c>
      <c r="K303" s="342">
        <v>4545455</v>
      </c>
      <c r="L303" s="342">
        <v>0</v>
      </c>
      <c r="M303" s="343">
        <v>0</v>
      </c>
      <c r="N303" s="343">
        <v>0</v>
      </c>
      <c r="O303" s="343">
        <v>0</v>
      </c>
      <c r="P303" s="338"/>
      <c r="Q303" s="339" t="s">
        <v>20</v>
      </c>
      <c r="R303" s="339" t="s">
        <v>233</v>
      </c>
      <c r="S303" s="341" t="s">
        <v>3865</v>
      </c>
      <c r="T303" s="338"/>
      <c r="U303" s="327"/>
      <c r="V303" s="327"/>
      <c r="W303" s="327"/>
      <c r="X303" s="327"/>
      <c r="Y303" s="327"/>
      <c r="Z303" s="330"/>
    </row>
    <row r="304" spans="1:26" ht="125" hidden="1">
      <c r="A304" s="339">
        <v>352</v>
      </c>
      <c r="B304" s="338" t="s">
        <v>3831</v>
      </c>
      <c r="C304" s="340">
        <v>41054</v>
      </c>
      <c r="D304" s="338" t="s">
        <v>3866</v>
      </c>
      <c r="E304" s="341" t="s">
        <v>3867</v>
      </c>
      <c r="F304" s="338"/>
      <c r="G304" s="338"/>
      <c r="H304" s="339" t="s">
        <v>19</v>
      </c>
      <c r="I304" s="339">
        <v>1</v>
      </c>
      <c r="J304" s="342">
        <v>7800000</v>
      </c>
      <c r="K304" s="342">
        <v>7800000</v>
      </c>
      <c r="L304" s="342">
        <v>0</v>
      </c>
      <c r="M304" s="343">
        <v>0</v>
      </c>
      <c r="N304" s="343">
        <v>0</v>
      </c>
      <c r="O304" s="343">
        <v>0</v>
      </c>
      <c r="P304" s="338" t="s">
        <v>3834</v>
      </c>
      <c r="Q304" s="339" t="s">
        <v>1195</v>
      </c>
      <c r="R304" s="339" t="s">
        <v>3389</v>
      </c>
      <c r="S304" s="341" t="s">
        <v>3868</v>
      </c>
      <c r="T304" s="338"/>
      <c r="U304" s="327"/>
      <c r="V304" s="327"/>
      <c r="W304" s="327"/>
      <c r="X304" s="327"/>
      <c r="Y304" s="327"/>
      <c r="Z304" s="330"/>
    </row>
    <row r="305" spans="1:26" ht="137.5" hidden="1">
      <c r="A305" s="339">
        <v>354</v>
      </c>
      <c r="B305" s="338" t="s">
        <v>3831</v>
      </c>
      <c r="C305" s="340">
        <v>41054</v>
      </c>
      <c r="D305" s="338" t="s">
        <v>3869</v>
      </c>
      <c r="E305" s="341" t="s">
        <v>3870</v>
      </c>
      <c r="F305" s="338"/>
      <c r="G305" s="338"/>
      <c r="H305" s="339" t="s">
        <v>249</v>
      </c>
      <c r="I305" s="339">
        <v>1</v>
      </c>
      <c r="J305" s="342">
        <v>5760000</v>
      </c>
      <c r="K305" s="342">
        <v>5760000</v>
      </c>
      <c r="L305" s="342">
        <v>0</v>
      </c>
      <c r="M305" s="343">
        <v>0</v>
      </c>
      <c r="N305" s="343">
        <v>0</v>
      </c>
      <c r="O305" s="343">
        <v>0</v>
      </c>
      <c r="P305" s="338" t="s">
        <v>3834</v>
      </c>
      <c r="Q305" s="339" t="s">
        <v>294</v>
      </c>
      <c r="R305" s="339" t="s">
        <v>1003</v>
      </c>
      <c r="S305" s="341" t="s">
        <v>3834</v>
      </c>
      <c r="T305" s="338"/>
      <c r="U305" s="327"/>
      <c r="V305" s="327"/>
      <c r="W305" s="327"/>
      <c r="X305" s="327"/>
      <c r="Y305" s="327"/>
      <c r="Z305" s="330"/>
    </row>
    <row r="306" spans="1:26" ht="50" hidden="1">
      <c r="A306" s="339">
        <v>355</v>
      </c>
      <c r="B306" s="338" t="s">
        <v>3826</v>
      </c>
      <c r="C306" s="340">
        <v>40623</v>
      </c>
      <c r="D306" s="338" t="s">
        <v>3871</v>
      </c>
      <c r="E306" s="341" t="s">
        <v>3872</v>
      </c>
      <c r="F306" s="338"/>
      <c r="G306" s="338"/>
      <c r="H306" s="339" t="s">
        <v>249</v>
      </c>
      <c r="I306" s="339">
        <v>1</v>
      </c>
      <c r="J306" s="342">
        <v>3300000</v>
      </c>
      <c r="K306" s="342">
        <v>3300000</v>
      </c>
      <c r="L306" s="342">
        <v>0</v>
      </c>
      <c r="M306" s="343">
        <v>0</v>
      </c>
      <c r="N306" s="343">
        <v>0</v>
      </c>
      <c r="O306" s="343">
        <v>0</v>
      </c>
      <c r="P306" s="338" t="s">
        <v>3829</v>
      </c>
      <c r="Q306" s="339" t="s">
        <v>20</v>
      </c>
      <c r="R306" s="339" t="s">
        <v>229</v>
      </c>
      <c r="S306" s="341" t="str">
        <f>IFERROR(VLOOKUP(D306, CCDC_XUAN!$D$16:$S$693, 16, 0), "Không tìm thấy")</f>
        <v>pHTKT, tủ hồ sơ</v>
      </c>
      <c r="T306" s="338"/>
      <c r="U306" s="327"/>
      <c r="V306" s="327"/>
      <c r="W306" s="327"/>
      <c r="X306" s="327"/>
      <c r="Y306" s="327"/>
      <c r="Z306" s="330"/>
    </row>
    <row r="307" spans="1:26" ht="50" hidden="1">
      <c r="A307" s="339">
        <v>356</v>
      </c>
      <c r="B307" s="338" t="s">
        <v>3826</v>
      </c>
      <c r="C307" s="340">
        <v>40623</v>
      </c>
      <c r="D307" s="338" t="s">
        <v>3874</v>
      </c>
      <c r="E307" s="341" t="s">
        <v>3875</v>
      </c>
      <c r="F307" s="338"/>
      <c r="G307" s="338"/>
      <c r="H307" s="339" t="s">
        <v>249</v>
      </c>
      <c r="I307" s="339">
        <v>1</v>
      </c>
      <c r="J307" s="342">
        <v>1700000</v>
      </c>
      <c r="K307" s="342">
        <v>1700000</v>
      </c>
      <c r="L307" s="342">
        <v>0</v>
      </c>
      <c r="M307" s="343">
        <v>0</v>
      </c>
      <c r="N307" s="343">
        <v>0</v>
      </c>
      <c r="O307" s="343">
        <v>0</v>
      </c>
      <c r="P307" s="338" t="s">
        <v>3876</v>
      </c>
      <c r="Q307" s="339" t="s">
        <v>206</v>
      </c>
      <c r="R307" s="338"/>
      <c r="S307" s="341" t="s">
        <v>3876</v>
      </c>
      <c r="T307" s="338"/>
      <c r="U307" s="327"/>
      <c r="V307" s="327"/>
      <c r="W307" s="327"/>
      <c r="X307" s="327"/>
      <c r="Y307" s="327"/>
      <c r="Z307" s="330"/>
    </row>
    <row r="308" spans="1:26" ht="50" hidden="1">
      <c r="A308" s="339">
        <v>357</v>
      </c>
      <c r="B308" s="338" t="s">
        <v>3826</v>
      </c>
      <c r="C308" s="340">
        <v>40623</v>
      </c>
      <c r="D308" s="338" t="s">
        <v>3877</v>
      </c>
      <c r="E308" s="341" t="s">
        <v>3875</v>
      </c>
      <c r="F308" s="338"/>
      <c r="G308" s="338"/>
      <c r="H308" s="339" t="s">
        <v>249</v>
      </c>
      <c r="I308" s="339">
        <v>1</v>
      </c>
      <c r="J308" s="342">
        <v>1700000</v>
      </c>
      <c r="K308" s="342">
        <v>1700000</v>
      </c>
      <c r="L308" s="342">
        <v>0</v>
      </c>
      <c r="M308" s="343">
        <v>0</v>
      </c>
      <c r="N308" s="343">
        <v>0</v>
      </c>
      <c r="O308" s="343">
        <v>0</v>
      </c>
      <c r="P308" s="338" t="s">
        <v>3876</v>
      </c>
      <c r="Q308" s="339" t="s">
        <v>206</v>
      </c>
      <c r="R308" s="338"/>
      <c r="S308" s="341" t="s">
        <v>3876</v>
      </c>
      <c r="T308" s="338"/>
      <c r="U308" s="327"/>
      <c r="V308" s="327"/>
      <c r="W308" s="327"/>
      <c r="X308" s="327"/>
      <c r="Y308" s="327"/>
      <c r="Z308" s="330"/>
    </row>
    <row r="309" spans="1:26" ht="25" hidden="1">
      <c r="A309" s="339">
        <v>358</v>
      </c>
      <c r="B309" s="338" t="s">
        <v>3878</v>
      </c>
      <c r="C309" s="340">
        <v>40193</v>
      </c>
      <c r="D309" s="338" t="s">
        <v>3879</v>
      </c>
      <c r="E309" s="341" t="s">
        <v>3880</v>
      </c>
      <c r="F309" s="338"/>
      <c r="G309" s="338"/>
      <c r="H309" s="339" t="s">
        <v>19</v>
      </c>
      <c r="I309" s="339">
        <v>1</v>
      </c>
      <c r="J309" s="342">
        <v>3200000</v>
      </c>
      <c r="K309" s="342">
        <v>3200000</v>
      </c>
      <c r="L309" s="342">
        <v>0</v>
      </c>
      <c r="M309" s="343">
        <v>0</v>
      </c>
      <c r="N309" s="343">
        <v>0</v>
      </c>
      <c r="O309" s="343">
        <v>0</v>
      </c>
      <c r="P309" s="338"/>
      <c r="Q309" s="339" t="s">
        <v>36</v>
      </c>
      <c r="R309" s="339" t="s">
        <v>3512</v>
      </c>
      <c r="S309" s="341" t="s">
        <v>3881</v>
      </c>
      <c r="T309" s="338"/>
      <c r="U309" s="327"/>
      <c r="V309" s="327"/>
      <c r="W309" s="327"/>
      <c r="X309" s="327"/>
      <c r="Y309" s="327"/>
      <c r="Z309" s="330"/>
    </row>
    <row r="310" spans="1:26" ht="25" hidden="1">
      <c r="A310" s="339">
        <v>359</v>
      </c>
      <c r="B310" s="338" t="s">
        <v>3878</v>
      </c>
      <c r="C310" s="340">
        <v>40193</v>
      </c>
      <c r="D310" s="338" t="s">
        <v>3882</v>
      </c>
      <c r="E310" s="341" t="s">
        <v>3880</v>
      </c>
      <c r="F310" s="338"/>
      <c r="G310" s="338"/>
      <c r="H310" s="339" t="s">
        <v>19</v>
      </c>
      <c r="I310" s="339">
        <v>1</v>
      </c>
      <c r="J310" s="342">
        <v>3200000</v>
      </c>
      <c r="K310" s="342">
        <v>3200000</v>
      </c>
      <c r="L310" s="342">
        <v>0</v>
      </c>
      <c r="M310" s="343">
        <v>0</v>
      </c>
      <c r="N310" s="343">
        <v>0</v>
      </c>
      <c r="O310" s="343">
        <v>0</v>
      </c>
      <c r="P310" s="338"/>
      <c r="Q310" s="339" t="s">
        <v>36</v>
      </c>
      <c r="R310" s="339" t="s">
        <v>3512</v>
      </c>
      <c r="S310" s="341" t="s">
        <v>3881</v>
      </c>
      <c r="T310" s="338"/>
      <c r="U310" s="327"/>
      <c r="V310" s="327"/>
      <c r="W310" s="327"/>
      <c r="X310" s="327"/>
      <c r="Y310" s="327"/>
      <c r="Z310" s="330"/>
    </row>
    <row r="311" spans="1:26" ht="62.5" hidden="1">
      <c r="A311" s="339">
        <v>360</v>
      </c>
      <c r="B311" s="338" t="s">
        <v>3826</v>
      </c>
      <c r="C311" s="340">
        <v>40623</v>
      </c>
      <c r="D311" s="338" t="s">
        <v>3883</v>
      </c>
      <c r="E311" s="341" t="s">
        <v>3884</v>
      </c>
      <c r="F311" s="338"/>
      <c r="G311" s="338"/>
      <c r="H311" s="339" t="s">
        <v>249</v>
      </c>
      <c r="I311" s="339">
        <v>1</v>
      </c>
      <c r="J311" s="342">
        <v>1050000</v>
      </c>
      <c r="K311" s="342">
        <v>1050000</v>
      </c>
      <c r="L311" s="342">
        <v>0</v>
      </c>
      <c r="M311" s="343">
        <v>0</v>
      </c>
      <c r="N311" s="343">
        <v>0</v>
      </c>
      <c r="O311" s="343">
        <v>0</v>
      </c>
      <c r="P311" s="338" t="s">
        <v>3829</v>
      </c>
      <c r="Q311" s="339" t="s">
        <v>20</v>
      </c>
      <c r="R311" s="339" t="s">
        <v>229</v>
      </c>
      <c r="S311" s="341" t="str">
        <f>IFERROR(VLOOKUP(D311, CCDC_XUAN!$D$16:$S$693, 16, 0), "Không tìm thấy")</f>
        <v>pHTKT, bàn trà</v>
      </c>
      <c r="T311" s="338"/>
      <c r="U311" s="327"/>
      <c r="V311" s="327"/>
      <c r="W311" s="327"/>
      <c r="X311" s="327"/>
      <c r="Y311" s="327"/>
      <c r="Z311" s="330"/>
    </row>
    <row r="312" spans="1:26" ht="162.5" hidden="1">
      <c r="A312" s="339">
        <v>361</v>
      </c>
      <c r="B312" s="338" t="s">
        <v>3886</v>
      </c>
      <c r="C312" s="340">
        <v>42004</v>
      </c>
      <c r="D312" s="338" t="s">
        <v>3887</v>
      </c>
      <c r="E312" s="341" t="s">
        <v>3888</v>
      </c>
      <c r="F312" s="338"/>
      <c r="G312" s="338"/>
      <c r="H312" s="339" t="s">
        <v>19</v>
      </c>
      <c r="I312" s="339">
        <v>1</v>
      </c>
      <c r="J312" s="342">
        <v>23957701</v>
      </c>
      <c r="K312" s="342">
        <v>23957701</v>
      </c>
      <c r="L312" s="342">
        <v>0</v>
      </c>
      <c r="M312" s="343">
        <v>0</v>
      </c>
      <c r="N312" s="343">
        <v>0</v>
      </c>
      <c r="O312" s="343">
        <v>0</v>
      </c>
      <c r="P312" s="338"/>
      <c r="Q312" s="339" t="s">
        <v>20</v>
      </c>
      <c r="R312" s="339" t="s">
        <v>284</v>
      </c>
      <c r="S312" s="341" t="s">
        <v>4983</v>
      </c>
      <c r="T312" s="338"/>
      <c r="U312" s="327"/>
      <c r="V312" s="327"/>
      <c r="W312" s="327"/>
      <c r="X312" s="327"/>
      <c r="Y312" s="327"/>
      <c r="Z312" s="330"/>
    </row>
    <row r="313" spans="1:26" ht="162.5" hidden="1">
      <c r="A313" s="339">
        <v>362</v>
      </c>
      <c r="B313" s="338" t="s">
        <v>3886</v>
      </c>
      <c r="C313" s="340">
        <v>42004</v>
      </c>
      <c r="D313" s="338" t="s">
        <v>3890</v>
      </c>
      <c r="E313" s="341" t="s">
        <v>3888</v>
      </c>
      <c r="F313" s="338"/>
      <c r="G313" s="338"/>
      <c r="H313" s="339" t="s">
        <v>19</v>
      </c>
      <c r="I313" s="339">
        <v>1</v>
      </c>
      <c r="J313" s="342">
        <v>23957701</v>
      </c>
      <c r="K313" s="342">
        <v>23957701</v>
      </c>
      <c r="L313" s="342">
        <v>0</v>
      </c>
      <c r="M313" s="343">
        <v>0</v>
      </c>
      <c r="N313" s="343">
        <v>0</v>
      </c>
      <c r="O313" s="343">
        <v>0</v>
      </c>
      <c r="P313" s="338"/>
      <c r="Q313" s="339" t="s">
        <v>20</v>
      </c>
      <c r="R313" s="339" t="s">
        <v>295</v>
      </c>
      <c r="S313" s="341" t="s">
        <v>2077</v>
      </c>
      <c r="T313" s="338"/>
      <c r="U313" s="327"/>
      <c r="V313" s="327"/>
      <c r="W313" s="327"/>
      <c r="X313" s="327"/>
      <c r="Y313" s="327"/>
      <c r="Z313" s="330"/>
    </row>
    <row r="314" spans="1:26" ht="162.5" hidden="1">
      <c r="A314" s="347">
        <v>363</v>
      </c>
      <c r="B314" s="338" t="s">
        <v>3886</v>
      </c>
      <c r="C314" s="348">
        <v>42004</v>
      </c>
      <c r="D314" s="338" t="s">
        <v>3891</v>
      </c>
      <c r="E314" s="349" t="s">
        <v>3888</v>
      </c>
      <c r="F314" s="338"/>
      <c r="G314" s="338"/>
      <c r="H314" s="347" t="s">
        <v>19</v>
      </c>
      <c r="I314" s="347">
        <v>1</v>
      </c>
      <c r="J314" s="342">
        <v>23957701</v>
      </c>
      <c r="K314" s="342">
        <v>23957701</v>
      </c>
      <c r="L314" s="342">
        <v>0</v>
      </c>
      <c r="M314" s="343">
        <v>0</v>
      </c>
      <c r="N314" s="343">
        <v>0</v>
      </c>
      <c r="O314" s="343">
        <v>0</v>
      </c>
      <c r="P314" s="338"/>
      <c r="Q314" s="347" t="s">
        <v>20</v>
      </c>
      <c r="R314" s="347" t="s">
        <v>21</v>
      </c>
      <c r="S314" s="349" t="s">
        <v>22</v>
      </c>
      <c r="T314" s="338"/>
      <c r="U314" s="327"/>
      <c r="V314" s="327"/>
      <c r="W314" s="327"/>
      <c r="X314" s="327"/>
      <c r="Y314" s="327"/>
      <c r="Z314" s="330"/>
    </row>
    <row r="315" spans="1:26" ht="162.5" hidden="1">
      <c r="A315" s="347">
        <v>364</v>
      </c>
      <c r="B315" s="338" t="s">
        <v>3886</v>
      </c>
      <c r="C315" s="348">
        <v>42004</v>
      </c>
      <c r="D315" s="338" t="s">
        <v>3892</v>
      </c>
      <c r="E315" s="349" t="s">
        <v>3888</v>
      </c>
      <c r="F315" s="338"/>
      <c r="G315" s="338"/>
      <c r="H315" s="347" t="s">
        <v>19</v>
      </c>
      <c r="I315" s="347">
        <v>1</v>
      </c>
      <c r="J315" s="342">
        <v>23957701</v>
      </c>
      <c r="K315" s="342">
        <v>23957701</v>
      </c>
      <c r="L315" s="342">
        <v>0</v>
      </c>
      <c r="M315" s="343">
        <v>0</v>
      </c>
      <c r="N315" s="343">
        <v>0</v>
      </c>
      <c r="O315" s="343">
        <v>0</v>
      </c>
      <c r="P315" s="338"/>
      <c r="Q315" s="347" t="s">
        <v>20</v>
      </c>
      <c r="R315" s="347" t="s">
        <v>21</v>
      </c>
      <c r="S315" s="349" t="s">
        <v>22</v>
      </c>
      <c r="T315" s="338"/>
      <c r="U315" s="327"/>
      <c r="V315" s="327"/>
      <c r="W315" s="327"/>
      <c r="X315" s="327"/>
      <c r="Y315" s="327"/>
      <c r="Z315" s="330"/>
    </row>
    <row r="316" spans="1:26" ht="162.5" hidden="1">
      <c r="A316" s="347">
        <v>365</v>
      </c>
      <c r="B316" s="338" t="s">
        <v>3886</v>
      </c>
      <c r="C316" s="348">
        <v>42004</v>
      </c>
      <c r="D316" s="338" t="s">
        <v>3893</v>
      </c>
      <c r="E316" s="349" t="s">
        <v>3888</v>
      </c>
      <c r="F316" s="338"/>
      <c r="G316" s="338"/>
      <c r="H316" s="347" t="s">
        <v>19</v>
      </c>
      <c r="I316" s="347">
        <v>1</v>
      </c>
      <c r="J316" s="342">
        <v>23957701</v>
      </c>
      <c r="K316" s="342">
        <v>23957701</v>
      </c>
      <c r="L316" s="342">
        <v>0</v>
      </c>
      <c r="M316" s="343">
        <v>0</v>
      </c>
      <c r="N316" s="343">
        <v>0</v>
      </c>
      <c r="O316" s="343">
        <v>0</v>
      </c>
      <c r="P316" s="338"/>
      <c r="Q316" s="347" t="s">
        <v>20</v>
      </c>
      <c r="R316" s="347" t="s">
        <v>21</v>
      </c>
      <c r="S316" s="349" t="s">
        <v>22</v>
      </c>
      <c r="T316" s="338"/>
      <c r="U316" s="327"/>
      <c r="V316" s="327"/>
      <c r="W316" s="327"/>
      <c r="X316" s="327"/>
      <c r="Y316" s="327"/>
      <c r="Z316" s="330"/>
    </row>
    <row r="317" spans="1:26" ht="162.5" hidden="1">
      <c r="A317" s="339">
        <v>366</v>
      </c>
      <c r="B317" s="338" t="s">
        <v>3886</v>
      </c>
      <c r="C317" s="340">
        <v>42004</v>
      </c>
      <c r="D317" s="338" t="s">
        <v>3894</v>
      </c>
      <c r="E317" s="341" t="s">
        <v>3888</v>
      </c>
      <c r="F317" s="338"/>
      <c r="G317" s="338"/>
      <c r="H317" s="339" t="s">
        <v>19</v>
      </c>
      <c r="I317" s="339">
        <v>1</v>
      </c>
      <c r="J317" s="342">
        <v>23957701</v>
      </c>
      <c r="K317" s="342">
        <v>23957701</v>
      </c>
      <c r="L317" s="342">
        <v>0</v>
      </c>
      <c r="M317" s="343">
        <v>0</v>
      </c>
      <c r="N317" s="343">
        <v>0</v>
      </c>
      <c r="O317" s="343">
        <v>0</v>
      </c>
      <c r="P317" s="338"/>
      <c r="Q317" s="339" t="s">
        <v>20</v>
      </c>
      <c r="R317" s="339" t="s">
        <v>233</v>
      </c>
      <c r="S317" s="341" t="s">
        <v>3895</v>
      </c>
      <c r="T317" s="338"/>
      <c r="U317" s="327"/>
      <c r="V317" s="327"/>
      <c r="W317" s="327"/>
      <c r="X317" s="327"/>
      <c r="Y317" s="327"/>
      <c r="Z317" s="330"/>
    </row>
    <row r="318" spans="1:26" ht="162.5" hidden="1">
      <c r="A318" s="339">
        <v>367</v>
      </c>
      <c r="B318" s="338" t="s">
        <v>3886</v>
      </c>
      <c r="C318" s="340">
        <v>42004</v>
      </c>
      <c r="D318" s="338" t="s">
        <v>3896</v>
      </c>
      <c r="E318" s="341" t="s">
        <v>3888</v>
      </c>
      <c r="F318" s="338"/>
      <c r="G318" s="338"/>
      <c r="H318" s="339" t="s">
        <v>19</v>
      </c>
      <c r="I318" s="339">
        <v>1</v>
      </c>
      <c r="J318" s="342">
        <v>23957701</v>
      </c>
      <c r="K318" s="342">
        <v>23957701</v>
      </c>
      <c r="L318" s="342">
        <v>0</v>
      </c>
      <c r="M318" s="343">
        <v>0</v>
      </c>
      <c r="N318" s="343">
        <v>0</v>
      </c>
      <c r="O318" s="343">
        <v>0</v>
      </c>
      <c r="P318" s="338"/>
      <c r="Q318" s="339" t="s">
        <v>20</v>
      </c>
      <c r="R318" s="339" t="s">
        <v>284</v>
      </c>
      <c r="S318" s="341" t="s">
        <v>4984</v>
      </c>
      <c r="T318" s="338"/>
      <c r="U318" s="327"/>
      <c r="V318" s="327"/>
      <c r="W318" s="327"/>
      <c r="X318" s="327"/>
      <c r="Y318" s="327"/>
      <c r="Z318" s="330"/>
    </row>
    <row r="319" spans="1:26" ht="162.5" hidden="1">
      <c r="A319" s="339">
        <v>368</v>
      </c>
      <c r="B319" s="338" t="s">
        <v>3886</v>
      </c>
      <c r="C319" s="340">
        <v>42004</v>
      </c>
      <c r="D319" s="338" t="s">
        <v>3898</v>
      </c>
      <c r="E319" s="341" t="s">
        <v>3888</v>
      </c>
      <c r="F319" s="338"/>
      <c r="G319" s="338"/>
      <c r="H319" s="339" t="s">
        <v>19</v>
      </c>
      <c r="I319" s="339">
        <v>1</v>
      </c>
      <c r="J319" s="342">
        <v>23957701</v>
      </c>
      <c r="K319" s="342">
        <v>23957701</v>
      </c>
      <c r="L319" s="342">
        <v>0</v>
      </c>
      <c r="M319" s="343">
        <v>0</v>
      </c>
      <c r="N319" s="343">
        <v>0</v>
      </c>
      <c r="O319" s="343">
        <v>0</v>
      </c>
      <c r="P319" s="338"/>
      <c r="Q319" s="339" t="s">
        <v>20</v>
      </c>
      <c r="R319" s="346" t="s">
        <v>229</v>
      </c>
      <c r="S319" s="341" t="str">
        <f>IFERROR(VLOOKUP(D319, CCDC_XUAN!$D$16:$S$693, 16, 0), "Không tìm thấy")</f>
        <v>tủ hồ sơ 1, chờ thanh lý</v>
      </c>
      <c r="T319" s="338" t="s">
        <v>923</v>
      </c>
      <c r="U319" s="327"/>
      <c r="V319" s="327"/>
      <c r="W319" s="327"/>
      <c r="X319" s="327"/>
      <c r="Y319" s="327"/>
      <c r="Z319" s="330"/>
    </row>
    <row r="320" spans="1:26" ht="162.5">
      <c r="A320" s="339">
        <v>369</v>
      </c>
      <c r="B320" s="338" t="s">
        <v>3886</v>
      </c>
      <c r="C320" s="365">
        <v>42004</v>
      </c>
      <c r="D320" s="338" t="s">
        <v>3900</v>
      </c>
      <c r="E320" s="366" t="s">
        <v>3888</v>
      </c>
      <c r="F320" s="369"/>
      <c r="G320" s="338"/>
      <c r="H320" s="339" t="s">
        <v>19</v>
      </c>
      <c r="I320" s="339">
        <v>1</v>
      </c>
      <c r="J320" s="342">
        <v>23957701</v>
      </c>
      <c r="K320" s="342">
        <v>23957701</v>
      </c>
      <c r="L320" s="342">
        <v>0</v>
      </c>
      <c r="M320" s="343">
        <v>0</v>
      </c>
      <c r="N320" s="343">
        <v>0</v>
      </c>
      <c r="O320" s="343">
        <v>0</v>
      </c>
      <c r="P320" s="338"/>
      <c r="Q320" s="339" t="s">
        <v>20</v>
      </c>
      <c r="R320" s="367" t="s">
        <v>423</v>
      </c>
      <c r="S320" s="366" t="s">
        <v>3901</v>
      </c>
      <c r="T320" s="338"/>
      <c r="U320" s="327"/>
      <c r="V320" s="327"/>
      <c r="W320" s="327"/>
      <c r="X320" s="327"/>
      <c r="Y320" s="327"/>
      <c r="Z320" s="330"/>
    </row>
    <row r="321" spans="1:26" ht="162.5" hidden="1">
      <c r="A321" s="339">
        <v>370</v>
      </c>
      <c r="B321" s="338" t="s">
        <v>3886</v>
      </c>
      <c r="C321" s="340">
        <v>42004</v>
      </c>
      <c r="D321" s="338" t="s">
        <v>3902</v>
      </c>
      <c r="E321" s="341" t="s">
        <v>3888</v>
      </c>
      <c r="F321" s="338"/>
      <c r="G321" s="338"/>
      <c r="H321" s="339" t="s">
        <v>19</v>
      </c>
      <c r="I321" s="339">
        <v>1</v>
      </c>
      <c r="J321" s="342">
        <v>23957701</v>
      </c>
      <c r="K321" s="342">
        <v>23957701</v>
      </c>
      <c r="L321" s="342">
        <v>0</v>
      </c>
      <c r="M321" s="343">
        <v>0</v>
      </c>
      <c r="N321" s="343">
        <v>0</v>
      </c>
      <c r="O321" s="343">
        <v>0</v>
      </c>
      <c r="P321" s="338"/>
      <c r="Q321" s="339" t="s">
        <v>20</v>
      </c>
      <c r="R321" s="339" t="s">
        <v>284</v>
      </c>
      <c r="S321" s="341" t="s">
        <v>3903</v>
      </c>
      <c r="T321" s="338"/>
      <c r="U321" s="327"/>
      <c r="V321" s="327"/>
      <c r="W321" s="327"/>
      <c r="X321" s="327"/>
      <c r="Y321" s="327"/>
      <c r="Z321" s="330"/>
    </row>
    <row r="322" spans="1:26" ht="162.5" hidden="1">
      <c r="A322" s="339">
        <v>371</v>
      </c>
      <c r="B322" s="338" t="s">
        <v>3886</v>
      </c>
      <c r="C322" s="340">
        <v>42004</v>
      </c>
      <c r="D322" s="338" t="s">
        <v>3904</v>
      </c>
      <c r="E322" s="341" t="s">
        <v>3888</v>
      </c>
      <c r="F322" s="338"/>
      <c r="G322" s="338"/>
      <c r="H322" s="339" t="s">
        <v>19</v>
      </c>
      <c r="I322" s="339">
        <v>1</v>
      </c>
      <c r="J322" s="342">
        <v>23957701</v>
      </c>
      <c r="K322" s="342">
        <v>23957701</v>
      </c>
      <c r="L322" s="342">
        <v>0</v>
      </c>
      <c r="M322" s="343">
        <v>0</v>
      </c>
      <c r="N322" s="343">
        <v>0</v>
      </c>
      <c r="O322" s="343">
        <v>0</v>
      </c>
      <c r="P322" s="338"/>
      <c r="Q322" s="339" t="s">
        <v>20</v>
      </c>
      <c r="R322" s="339" t="s">
        <v>284</v>
      </c>
      <c r="S322" s="341" t="s">
        <v>4985</v>
      </c>
      <c r="T322" s="338"/>
      <c r="U322" s="327"/>
      <c r="V322" s="327"/>
      <c r="W322" s="327"/>
      <c r="X322" s="327"/>
      <c r="Y322" s="327"/>
      <c r="Z322" s="330"/>
    </row>
    <row r="323" spans="1:26" ht="162.5" hidden="1">
      <c r="A323" s="339">
        <v>372</v>
      </c>
      <c r="B323" s="338" t="s">
        <v>3886</v>
      </c>
      <c r="C323" s="340">
        <v>42004</v>
      </c>
      <c r="D323" s="338" t="s">
        <v>3906</v>
      </c>
      <c r="E323" s="341" t="s">
        <v>3888</v>
      </c>
      <c r="F323" s="338"/>
      <c r="G323" s="338"/>
      <c r="H323" s="339" t="s">
        <v>19</v>
      </c>
      <c r="I323" s="339">
        <v>1</v>
      </c>
      <c r="J323" s="342">
        <v>23957701</v>
      </c>
      <c r="K323" s="342">
        <v>23957701</v>
      </c>
      <c r="L323" s="342">
        <v>0</v>
      </c>
      <c r="M323" s="343">
        <v>0</v>
      </c>
      <c r="N323" s="343">
        <v>0</v>
      </c>
      <c r="O323" s="343">
        <v>0</v>
      </c>
      <c r="P323" s="338"/>
      <c r="Q323" s="339" t="s">
        <v>20</v>
      </c>
      <c r="R323" s="339" t="s">
        <v>284</v>
      </c>
      <c r="S323" s="341" t="s">
        <v>4986</v>
      </c>
      <c r="T323" s="338"/>
      <c r="U323" s="327"/>
      <c r="V323" s="327"/>
      <c r="W323" s="327"/>
      <c r="X323" s="327"/>
      <c r="Y323" s="327"/>
      <c r="Z323" s="330"/>
    </row>
    <row r="324" spans="1:26" ht="12.5" hidden="1">
      <c r="A324" s="339">
        <v>373</v>
      </c>
      <c r="B324" s="338" t="s">
        <v>3812</v>
      </c>
      <c r="C324" s="340">
        <v>42993</v>
      </c>
      <c r="D324" s="338" t="s">
        <v>3908</v>
      </c>
      <c r="E324" s="341" t="s">
        <v>3909</v>
      </c>
      <c r="F324" s="338"/>
      <c r="G324" s="338" t="s">
        <v>35</v>
      </c>
      <c r="H324" s="339" t="s">
        <v>249</v>
      </c>
      <c r="I324" s="339">
        <v>1</v>
      </c>
      <c r="J324" s="342">
        <v>6590000</v>
      </c>
      <c r="K324" s="342">
        <v>6590000</v>
      </c>
      <c r="L324" s="342">
        <v>0</v>
      </c>
      <c r="M324" s="343">
        <v>0</v>
      </c>
      <c r="N324" s="343">
        <v>0</v>
      </c>
      <c r="O324" s="343">
        <v>0</v>
      </c>
      <c r="P324" s="338" t="s">
        <v>3814</v>
      </c>
      <c r="Q324" s="339" t="s">
        <v>20</v>
      </c>
      <c r="R324" s="339" t="s">
        <v>229</v>
      </c>
      <c r="S324" s="341" t="str">
        <f>IFERROR(VLOOKUP(D324, CCDC_XUAN!$D$16:$S$693, 16, 0), "Không tìm thấy")</f>
        <v>tủ đựng đồ nhân viên</v>
      </c>
      <c r="T324" s="338"/>
      <c r="U324" s="327"/>
      <c r="V324" s="327"/>
      <c r="W324" s="327"/>
      <c r="X324" s="327"/>
      <c r="Y324" s="327"/>
      <c r="Z324" s="330"/>
    </row>
    <row r="325" spans="1:26" ht="37.5" hidden="1">
      <c r="A325" s="339">
        <v>374</v>
      </c>
      <c r="B325" s="338" t="s">
        <v>3805</v>
      </c>
      <c r="C325" s="340">
        <v>42935</v>
      </c>
      <c r="D325" s="338" t="s">
        <v>3911</v>
      </c>
      <c r="E325" s="341" t="s">
        <v>3912</v>
      </c>
      <c r="F325" s="338"/>
      <c r="G325" s="338" t="s">
        <v>35</v>
      </c>
      <c r="H325" s="339" t="s">
        <v>249</v>
      </c>
      <c r="I325" s="339">
        <v>1</v>
      </c>
      <c r="J325" s="342">
        <v>1200000</v>
      </c>
      <c r="K325" s="342">
        <v>1200000</v>
      </c>
      <c r="L325" s="342">
        <v>0</v>
      </c>
      <c r="M325" s="343">
        <v>0</v>
      </c>
      <c r="N325" s="343">
        <v>0</v>
      </c>
      <c r="O325" s="343">
        <v>0</v>
      </c>
      <c r="P325" s="338"/>
      <c r="Q325" s="339" t="s">
        <v>887</v>
      </c>
      <c r="R325" s="339" t="s">
        <v>888</v>
      </c>
      <c r="S325" s="341" t="s">
        <v>3913</v>
      </c>
      <c r="T325" s="338"/>
      <c r="U325" s="327"/>
      <c r="V325" s="327"/>
      <c r="W325" s="327"/>
      <c r="X325" s="327"/>
      <c r="Y325" s="327"/>
      <c r="Z325" s="330"/>
    </row>
    <row r="326" spans="1:26" ht="37.5" hidden="1">
      <c r="A326" s="339">
        <v>375</v>
      </c>
      <c r="B326" s="338" t="s">
        <v>3805</v>
      </c>
      <c r="C326" s="340">
        <v>42935</v>
      </c>
      <c r="D326" s="338" t="s">
        <v>3914</v>
      </c>
      <c r="E326" s="341" t="s">
        <v>3912</v>
      </c>
      <c r="F326" s="338"/>
      <c r="G326" s="338" t="s">
        <v>35</v>
      </c>
      <c r="H326" s="339" t="s">
        <v>249</v>
      </c>
      <c r="I326" s="339">
        <v>1</v>
      </c>
      <c r="J326" s="342">
        <v>1200000</v>
      </c>
      <c r="K326" s="342">
        <v>1200000</v>
      </c>
      <c r="L326" s="342">
        <v>0</v>
      </c>
      <c r="M326" s="343">
        <v>0</v>
      </c>
      <c r="N326" s="343">
        <v>0</v>
      </c>
      <c r="O326" s="343">
        <v>0</v>
      </c>
      <c r="P326" s="338"/>
      <c r="Q326" s="339" t="s">
        <v>887</v>
      </c>
      <c r="R326" s="339" t="s">
        <v>888</v>
      </c>
      <c r="S326" s="341" t="s">
        <v>3913</v>
      </c>
      <c r="T326" s="338"/>
      <c r="U326" s="327"/>
      <c r="V326" s="327"/>
      <c r="W326" s="327"/>
      <c r="X326" s="327"/>
      <c r="Y326" s="327"/>
      <c r="Z326" s="330"/>
    </row>
    <row r="327" spans="1:26" ht="25" hidden="1">
      <c r="A327" s="339">
        <v>376</v>
      </c>
      <c r="B327" s="338" t="s">
        <v>3812</v>
      </c>
      <c r="C327" s="340">
        <v>42993</v>
      </c>
      <c r="D327" s="338" t="s">
        <v>3915</v>
      </c>
      <c r="E327" s="341" t="s">
        <v>1157</v>
      </c>
      <c r="F327" s="338"/>
      <c r="G327" s="338"/>
      <c r="H327" s="339" t="s">
        <v>249</v>
      </c>
      <c r="I327" s="339">
        <v>1</v>
      </c>
      <c r="J327" s="342">
        <v>950000</v>
      </c>
      <c r="K327" s="342">
        <v>950000</v>
      </c>
      <c r="L327" s="342">
        <v>0</v>
      </c>
      <c r="M327" s="343">
        <v>0</v>
      </c>
      <c r="N327" s="343">
        <v>0</v>
      </c>
      <c r="O327" s="343">
        <v>0</v>
      </c>
      <c r="P327" s="338" t="s">
        <v>3814</v>
      </c>
      <c r="Q327" s="339" t="s">
        <v>20</v>
      </c>
      <c r="R327" s="339" t="s">
        <v>229</v>
      </c>
      <c r="S327" s="341" t="str">
        <f>IFERROR(VLOOKUP(D327, CCDC_XUAN!$D$16:$S$693, 16, 0), "Không tìm thấy")</f>
        <v>tủ nằm dưới bàn pHTKT, bàn CQ</v>
      </c>
      <c r="T327" s="338"/>
      <c r="U327" s="327"/>
      <c r="V327" s="327"/>
      <c r="W327" s="327"/>
      <c r="X327" s="327"/>
      <c r="Y327" s="327"/>
      <c r="Z327" s="330"/>
    </row>
    <row r="328" spans="1:26" ht="25" hidden="1">
      <c r="A328" s="339">
        <v>377</v>
      </c>
      <c r="B328" s="338" t="s">
        <v>3812</v>
      </c>
      <c r="C328" s="340">
        <v>42993</v>
      </c>
      <c r="D328" s="338" t="s">
        <v>3917</v>
      </c>
      <c r="E328" s="341" t="s">
        <v>1157</v>
      </c>
      <c r="F328" s="338"/>
      <c r="G328" s="338"/>
      <c r="H328" s="339" t="s">
        <v>249</v>
      </c>
      <c r="I328" s="339">
        <v>1</v>
      </c>
      <c r="J328" s="342">
        <v>950000</v>
      </c>
      <c r="K328" s="342">
        <v>950000</v>
      </c>
      <c r="L328" s="342">
        <v>0</v>
      </c>
      <c r="M328" s="343">
        <v>0</v>
      </c>
      <c r="N328" s="343">
        <v>0</v>
      </c>
      <c r="O328" s="343">
        <v>0</v>
      </c>
      <c r="P328" s="338" t="s">
        <v>3814</v>
      </c>
      <c r="Q328" s="339" t="s">
        <v>20</v>
      </c>
      <c r="R328" s="339" t="s">
        <v>229</v>
      </c>
      <c r="S328" s="341" t="str">
        <f>IFERROR(VLOOKUP(D328, CCDC_XUAN!$D$16:$S$693, 16, 0), "Không tìm thấy")</f>
        <v>tủ nằm dưới bàn pHTKT, bàn Thanh</v>
      </c>
      <c r="T328" s="338"/>
      <c r="U328" s="327"/>
      <c r="V328" s="327"/>
      <c r="W328" s="327"/>
      <c r="X328" s="327"/>
      <c r="Y328" s="327"/>
      <c r="Z328" s="330"/>
    </row>
    <row r="329" spans="1:26" ht="25" hidden="1">
      <c r="A329" s="339">
        <v>378</v>
      </c>
      <c r="B329" s="338" t="s">
        <v>3812</v>
      </c>
      <c r="C329" s="340">
        <v>42993</v>
      </c>
      <c r="D329" s="338" t="s">
        <v>3919</v>
      </c>
      <c r="E329" s="341" t="s">
        <v>1157</v>
      </c>
      <c r="F329" s="338"/>
      <c r="G329" s="338"/>
      <c r="H329" s="339" t="s">
        <v>249</v>
      </c>
      <c r="I329" s="339">
        <v>1</v>
      </c>
      <c r="J329" s="342">
        <v>950000</v>
      </c>
      <c r="K329" s="342">
        <v>950000</v>
      </c>
      <c r="L329" s="342">
        <v>0</v>
      </c>
      <c r="M329" s="343">
        <v>0</v>
      </c>
      <c r="N329" s="343">
        <v>0</v>
      </c>
      <c r="O329" s="343">
        <v>0</v>
      </c>
      <c r="P329" s="338" t="s">
        <v>3814</v>
      </c>
      <c r="Q329" s="339" t="s">
        <v>20</v>
      </c>
      <c r="R329" s="339" t="s">
        <v>229</v>
      </c>
      <c r="S329" s="341" t="str">
        <f>IFERROR(VLOOKUP(D329, CCDC_XUAN!$D$16:$S$693, 16, 0), "Không tìm thấy")</f>
        <v>tủ nằm dưới bàn pHTKT, bàn Quân</v>
      </c>
      <c r="T329" s="338"/>
      <c r="U329" s="327"/>
      <c r="V329" s="327"/>
      <c r="W329" s="327"/>
      <c r="X329" s="327"/>
      <c r="Y329" s="327"/>
      <c r="Z329" s="330"/>
    </row>
    <row r="330" spans="1:26" ht="25" hidden="1">
      <c r="A330" s="339">
        <v>379</v>
      </c>
      <c r="B330" s="338" t="s">
        <v>3812</v>
      </c>
      <c r="C330" s="340">
        <v>42993</v>
      </c>
      <c r="D330" s="338" t="s">
        <v>3921</v>
      </c>
      <c r="E330" s="341" t="s">
        <v>1157</v>
      </c>
      <c r="F330" s="338"/>
      <c r="G330" s="338"/>
      <c r="H330" s="339" t="s">
        <v>249</v>
      </c>
      <c r="I330" s="339">
        <v>1</v>
      </c>
      <c r="J330" s="342">
        <v>950000</v>
      </c>
      <c r="K330" s="342">
        <v>950000</v>
      </c>
      <c r="L330" s="342">
        <v>0</v>
      </c>
      <c r="M330" s="343">
        <v>0</v>
      </c>
      <c r="N330" s="343">
        <v>0</v>
      </c>
      <c r="O330" s="343">
        <v>0</v>
      </c>
      <c r="P330" s="338" t="s">
        <v>3814</v>
      </c>
      <c r="Q330" s="339" t="s">
        <v>20</v>
      </c>
      <c r="R330" s="339" t="s">
        <v>229</v>
      </c>
      <c r="S330" s="341" t="str">
        <f>IFERROR(VLOOKUP(D330, CCDC_XUAN!$D$16:$S$693, 16, 0), "Không tìm thấy")</f>
        <v>tủ nằm dưới bàn pHTKT, bàn sạc pin</v>
      </c>
      <c r="T330" s="338"/>
      <c r="U330" s="327"/>
      <c r="V330" s="327"/>
      <c r="W330" s="327"/>
      <c r="X330" s="327"/>
      <c r="Y330" s="327"/>
      <c r="Z330" s="330"/>
    </row>
    <row r="331" spans="1:26" ht="25" hidden="1">
      <c r="A331" s="339">
        <v>380</v>
      </c>
      <c r="B331" s="338" t="s">
        <v>3812</v>
      </c>
      <c r="C331" s="340">
        <v>42993</v>
      </c>
      <c r="D331" s="338" t="s">
        <v>3923</v>
      </c>
      <c r="E331" s="341" t="s">
        <v>1157</v>
      </c>
      <c r="F331" s="338"/>
      <c r="G331" s="338"/>
      <c r="H331" s="339" t="s">
        <v>249</v>
      </c>
      <c r="I331" s="339">
        <v>1</v>
      </c>
      <c r="J331" s="342">
        <v>950000</v>
      </c>
      <c r="K331" s="342">
        <v>950000</v>
      </c>
      <c r="L331" s="342">
        <v>0</v>
      </c>
      <c r="M331" s="343">
        <v>0</v>
      </c>
      <c r="N331" s="343">
        <v>0</v>
      </c>
      <c r="O331" s="343">
        <v>0</v>
      </c>
      <c r="P331" s="338" t="s">
        <v>3814</v>
      </c>
      <c r="Q331" s="339" t="s">
        <v>20</v>
      </c>
      <c r="R331" s="339" t="s">
        <v>229</v>
      </c>
      <c r="S331" s="341" t="str">
        <f>IFERROR(VLOOKUP(D331, CCDC_XUAN!$D$16:$S$693, 16, 0), "Không tìm thấy")</f>
        <v>tủ nằm dưới bàn pHTKT, bàn Nhật Quang</v>
      </c>
      <c r="T331" s="338"/>
      <c r="U331" s="327"/>
      <c r="V331" s="327"/>
      <c r="W331" s="327"/>
      <c r="X331" s="327"/>
      <c r="Y331" s="327"/>
      <c r="Z331" s="330"/>
    </row>
    <row r="332" spans="1:26" ht="25" hidden="1">
      <c r="A332" s="339">
        <v>381</v>
      </c>
      <c r="B332" s="338" t="s">
        <v>3812</v>
      </c>
      <c r="C332" s="340">
        <v>42993</v>
      </c>
      <c r="D332" s="338" t="s">
        <v>3925</v>
      </c>
      <c r="E332" s="341" t="s">
        <v>1157</v>
      </c>
      <c r="F332" s="338"/>
      <c r="G332" s="338"/>
      <c r="H332" s="339" t="s">
        <v>249</v>
      </c>
      <c r="I332" s="339">
        <v>1</v>
      </c>
      <c r="J332" s="342">
        <v>950000</v>
      </c>
      <c r="K332" s="342">
        <v>950000</v>
      </c>
      <c r="L332" s="342">
        <v>0</v>
      </c>
      <c r="M332" s="343">
        <v>0</v>
      </c>
      <c r="N332" s="343">
        <v>0</v>
      </c>
      <c r="O332" s="343">
        <v>0</v>
      </c>
      <c r="P332" s="338" t="s">
        <v>3814</v>
      </c>
      <c r="Q332" s="339" t="s">
        <v>20</v>
      </c>
      <c r="R332" s="339" t="s">
        <v>229</v>
      </c>
      <c r="S332" s="341" t="str">
        <f>IFERROR(VLOOKUP(D332, CCDC_XUAN!$D$16:$S$693, 16, 0), "Không tìm thấy")</f>
        <v>tủ nằm dưới bàn pHTKT, bàn Hàn</v>
      </c>
      <c r="T332" s="338"/>
      <c r="U332" s="327"/>
      <c r="V332" s="327"/>
      <c r="W332" s="327"/>
      <c r="X332" s="327"/>
      <c r="Y332" s="327"/>
      <c r="Z332" s="330"/>
    </row>
    <row r="333" spans="1:26" ht="37.5" hidden="1">
      <c r="A333" s="339">
        <v>382</v>
      </c>
      <c r="B333" s="338" t="s">
        <v>3927</v>
      </c>
      <c r="C333" s="340">
        <v>43091</v>
      </c>
      <c r="D333" s="338" t="s">
        <v>3928</v>
      </c>
      <c r="E333" s="341" t="s">
        <v>3929</v>
      </c>
      <c r="F333" s="338"/>
      <c r="G333" s="338"/>
      <c r="H333" s="339" t="s">
        <v>19</v>
      </c>
      <c r="I333" s="339">
        <v>1</v>
      </c>
      <c r="J333" s="342">
        <v>1600000</v>
      </c>
      <c r="K333" s="342">
        <v>1600000</v>
      </c>
      <c r="L333" s="342">
        <v>0</v>
      </c>
      <c r="M333" s="343">
        <v>0</v>
      </c>
      <c r="N333" s="343">
        <v>0</v>
      </c>
      <c r="O333" s="343">
        <v>0</v>
      </c>
      <c r="P333" s="338" t="s">
        <v>3930</v>
      </c>
      <c r="Q333" s="339" t="s">
        <v>36</v>
      </c>
      <c r="R333" s="339" t="s">
        <v>3512</v>
      </c>
      <c r="S333" s="341" t="s">
        <v>3931</v>
      </c>
      <c r="T333" s="338"/>
      <c r="U333" s="327"/>
      <c r="V333" s="327"/>
      <c r="W333" s="327"/>
      <c r="X333" s="327"/>
      <c r="Y333" s="327"/>
      <c r="Z333" s="330"/>
    </row>
    <row r="334" spans="1:26" ht="37.5" hidden="1">
      <c r="A334" s="339">
        <v>383</v>
      </c>
      <c r="B334" s="338" t="s">
        <v>3927</v>
      </c>
      <c r="C334" s="340">
        <v>43091</v>
      </c>
      <c r="D334" s="338" t="s">
        <v>3932</v>
      </c>
      <c r="E334" s="341" t="s">
        <v>3929</v>
      </c>
      <c r="F334" s="338"/>
      <c r="G334" s="338"/>
      <c r="H334" s="339" t="s">
        <v>19</v>
      </c>
      <c r="I334" s="339">
        <v>1</v>
      </c>
      <c r="J334" s="342">
        <v>1600000</v>
      </c>
      <c r="K334" s="342">
        <v>1600000</v>
      </c>
      <c r="L334" s="342">
        <v>0</v>
      </c>
      <c r="M334" s="343">
        <v>0</v>
      </c>
      <c r="N334" s="343">
        <v>0</v>
      </c>
      <c r="O334" s="343">
        <v>0</v>
      </c>
      <c r="P334" s="338" t="s">
        <v>3824</v>
      </c>
      <c r="Q334" s="339" t="s">
        <v>36</v>
      </c>
      <c r="R334" s="339" t="s">
        <v>3512</v>
      </c>
      <c r="S334" s="341" t="s">
        <v>3933</v>
      </c>
      <c r="T334" s="338"/>
      <c r="U334" s="327"/>
      <c r="V334" s="327"/>
      <c r="W334" s="327"/>
      <c r="X334" s="327"/>
      <c r="Y334" s="327"/>
      <c r="Z334" s="330"/>
    </row>
    <row r="335" spans="1:26" ht="37.5" hidden="1">
      <c r="A335" s="339">
        <v>384</v>
      </c>
      <c r="B335" s="338" t="s">
        <v>3934</v>
      </c>
      <c r="C335" s="340">
        <v>43307</v>
      </c>
      <c r="D335" s="338" t="s">
        <v>3935</v>
      </c>
      <c r="E335" s="341" t="s">
        <v>3936</v>
      </c>
      <c r="F335" s="341" t="s">
        <v>4987</v>
      </c>
      <c r="G335" s="338" t="s">
        <v>1435</v>
      </c>
      <c r="H335" s="339" t="s">
        <v>249</v>
      </c>
      <c r="I335" s="339">
        <v>1</v>
      </c>
      <c r="J335" s="342">
        <v>7925454</v>
      </c>
      <c r="K335" s="342">
        <v>7925454</v>
      </c>
      <c r="L335" s="342">
        <v>0</v>
      </c>
      <c r="M335" s="343">
        <v>0</v>
      </c>
      <c r="N335" s="343">
        <v>0</v>
      </c>
      <c r="O335" s="343">
        <v>0</v>
      </c>
      <c r="P335" s="338"/>
      <c r="Q335" s="339" t="s">
        <v>206</v>
      </c>
      <c r="R335" s="339" t="s">
        <v>1514</v>
      </c>
      <c r="S335" s="341" t="s">
        <v>3937</v>
      </c>
      <c r="T335" s="338"/>
      <c r="U335" s="327"/>
      <c r="V335" s="327"/>
      <c r="W335" s="327"/>
      <c r="X335" s="327"/>
      <c r="Y335" s="327"/>
      <c r="Z335" s="330"/>
    </row>
    <row r="336" spans="1:26" ht="37.5" hidden="1">
      <c r="A336" s="339">
        <v>385</v>
      </c>
      <c r="B336" s="338" t="s">
        <v>3934</v>
      </c>
      <c r="C336" s="340">
        <v>43307</v>
      </c>
      <c r="D336" s="338" t="s">
        <v>3938</v>
      </c>
      <c r="E336" s="341" t="s">
        <v>3936</v>
      </c>
      <c r="F336" s="341" t="s">
        <v>4988</v>
      </c>
      <c r="G336" s="338" t="s">
        <v>1435</v>
      </c>
      <c r="H336" s="339" t="s">
        <v>249</v>
      </c>
      <c r="I336" s="339">
        <v>1</v>
      </c>
      <c r="J336" s="342">
        <v>7925454</v>
      </c>
      <c r="K336" s="342">
        <v>7925454</v>
      </c>
      <c r="L336" s="342">
        <v>0</v>
      </c>
      <c r="M336" s="343">
        <v>0</v>
      </c>
      <c r="N336" s="343">
        <v>0</v>
      </c>
      <c r="O336" s="343">
        <v>0</v>
      </c>
      <c r="P336" s="338"/>
      <c r="Q336" s="339" t="s">
        <v>36</v>
      </c>
      <c r="R336" s="339" t="s">
        <v>3512</v>
      </c>
      <c r="S336" s="341" t="s">
        <v>3939</v>
      </c>
      <c r="T336" s="338"/>
      <c r="U336" s="327"/>
      <c r="V336" s="327"/>
      <c r="W336" s="327"/>
      <c r="X336" s="327"/>
      <c r="Y336" s="327"/>
      <c r="Z336" s="330"/>
    </row>
    <row r="337" spans="1:26" ht="37.5" hidden="1">
      <c r="A337" s="339">
        <v>386</v>
      </c>
      <c r="B337" s="338" t="s">
        <v>3934</v>
      </c>
      <c r="C337" s="340">
        <v>43307</v>
      </c>
      <c r="D337" s="338" t="s">
        <v>3940</v>
      </c>
      <c r="E337" s="341" t="s">
        <v>3936</v>
      </c>
      <c r="F337" s="341" t="s">
        <v>4989</v>
      </c>
      <c r="G337" s="338" t="s">
        <v>1435</v>
      </c>
      <c r="H337" s="339" t="s">
        <v>249</v>
      </c>
      <c r="I337" s="339">
        <v>1</v>
      </c>
      <c r="J337" s="342">
        <v>7925454</v>
      </c>
      <c r="K337" s="342">
        <v>7925454</v>
      </c>
      <c r="L337" s="342">
        <v>0</v>
      </c>
      <c r="M337" s="343">
        <v>0</v>
      </c>
      <c r="N337" s="343">
        <v>0</v>
      </c>
      <c r="O337" s="343">
        <v>0</v>
      </c>
      <c r="P337" s="338"/>
      <c r="Q337" s="339" t="s">
        <v>206</v>
      </c>
      <c r="R337" s="339" t="s">
        <v>1514</v>
      </c>
      <c r="S337" s="341" t="s">
        <v>3937</v>
      </c>
      <c r="T337" s="338"/>
      <c r="U337" s="327"/>
      <c r="V337" s="327"/>
      <c r="W337" s="327"/>
      <c r="X337" s="327"/>
      <c r="Y337" s="327"/>
      <c r="Z337" s="330"/>
    </row>
    <row r="338" spans="1:26" ht="37.5" hidden="1">
      <c r="A338" s="339">
        <v>387</v>
      </c>
      <c r="B338" s="338" t="s">
        <v>3934</v>
      </c>
      <c r="C338" s="340">
        <v>43307</v>
      </c>
      <c r="D338" s="338" t="s">
        <v>3941</v>
      </c>
      <c r="E338" s="341" t="s">
        <v>3936</v>
      </c>
      <c r="F338" s="341" t="s">
        <v>4990</v>
      </c>
      <c r="G338" s="338" t="s">
        <v>1435</v>
      </c>
      <c r="H338" s="339" t="s">
        <v>249</v>
      </c>
      <c r="I338" s="339">
        <v>1</v>
      </c>
      <c r="J338" s="342">
        <v>7925454</v>
      </c>
      <c r="K338" s="342">
        <v>7925454</v>
      </c>
      <c r="L338" s="342">
        <v>0</v>
      </c>
      <c r="M338" s="343">
        <v>0</v>
      </c>
      <c r="N338" s="343">
        <v>0</v>
      </c>
      <c r="O338" s="343">
        <v>0</v>
      </c>
      <c r="P338" s="338"/>
      <c r="Q338" s="339" t="s">
        <v>206</v>
      </c>
      <c r="R338" s="339" t="s">
        <v>1514</v>
      </c>
      <c r="S338" s="341" t="s">
        <v>3937</v>
      </c>
      <c r="T338" s="338"/>
      <c r="U338" s="327"/>
      <c r="V338" s="327"/>
      <c r="W338" s="327"/>
      <c r="X338" s="327"/>
      <c r="Y338" s="327"/>
      <c r="Z338" s="330"/>
    </row>
    <row r="339" spans="1:26" ht="37.5" hidden="1">
      <c r="A339" s="339">
        <v>388</v>
      </c>
      <c r="B339" s="338" t="s">
        <v>3934</v>
      </c>
      <c r="C339" s="340">
        <v>43307</v>
      </c>
      <c r="D339" s="338" t="s">
        <v>3942</v>
      </c>
      <c r="E339" s="341" t="s">
        <v>3936</v>
      </c>
      <c r="F339" s="341" t="s">
        <v>4991</v>
      </c>
      <c r="G339" s="338" t="s">
        <v>1435</v>
      </c>
      <c r="H339" s="339" t="s">
        <v>249</v>
      </c>
      <c r="I339" s="339">
        <v>1</v>
      </c>
      <c r="J339" s="342">
        <v>7925457</v>
      </c>
      <c r="K339" s="342">
        <v>7925457</v>
      </c>
      <c r="L339" s="342">
        <v>0</v>
      </c>
      <c r="M339" s="343">
        <v>0</v>
      </c>
      <c r="N339" s="343">
        <v>0</v>
      </c>
      <c r="O339" s="343">
        <v>0</v>
      </c>
      <c r="P339" s="338"/>
      <c r="Q339" s="339" t="s">
        <v>36</v>
      </c>
      <c r="R339" s="339" t="s">
        <v>3512</v>
      </c>
      <c r="S339" s="341" t="s">
        <v>3943</v>
      </c>
      <c r="T339" s="338"/>
      <c r="U339" s="327"/>
      <c r="V339" s="327"/>
      <c r="W339" s="327"/>
      <c r="X339" s="327"/>
      <c r="Y339" s="327"/>
      <c r="Z339" s="330"/>
    </row>
    <row r="340" spans="1:26" ht="62.5" hidden="1">
      <c r="A340" s="339">
        <v>389</v>
      </c>
      <c r="B340" s="338" t="s">
        <v>3944</v>
      </c>
      <c r="C340" s="340">
        <v>43343</v>
      </c>
      <c r="D340" s="338" t="s">
        <v>3945</v>
      </c>
      <c r="E340" s="341" t="s">
        <v>3946</v>
      </c>
      <c r="F340" s="341" t="s">
        <v>4992</v>
      </c>
      <c r="G340" s="338" t="s">
        <v>1754</v>
      </c>
      <c r="H340" s="339" t="s">
        <v>19</v>
      </c>
      <c r="I340" s="339">
        <v>1</v>
      </c>
      <c r="J340" s="342">
        <v>4000000</v>
      </c>
      <c r="K340" s="342">
        <v>4000000</v>
      </c>
      <c r="L340" s="342">
        <v>0</v>
      </c>
      <c r="M340" s="343">
        <v>0</v>
      </c>
      <c r="N340" s="343">
        <v>0</v>
      </c>
      <c r="O340" s="343">
        <v>0</v>
      </c>
      <c r="P340" s="338"/>
      <c r="Q340" s="339" t="s">
        <v>206</v>
      </c>
      <c r="R340" s="339" t="s">
        <v>2427</v>
      </c>
      <c r="S340" s="341" t="s">
        <v>3947</v>
      </c>
      <c r="T340" s="338"/>
      <c r="U340" s="327"/>
      <c r="V340" s="327"/>
      <c r="W340" s="327"/>
      <c r="X340" s="327"/>
      <c r="Y340" s="327"/>
      <c r="Z340" s="330"/>
    </row>
    <row r="341" spans="1:26" ht="62.5" hidden="1">
      <c r="A341" s="339">
        <v>390</v>
      </c>
      <c r="B341" s="338" t="s">
        <v>3944</v>
      </c>
      <c r="C341" s="340">
        <v>43343</v>
      </c>
      <c r="D341" s="338" t="s">
        <v>3948</v>
      </c>
      <c r="E341" s="341" t="s">
        <v>3946</v>
      </c>
      <c r="F341" s="341" t="s">
        <v>4993</v>
      </c>
      <c r="G341" s="338" t="s">
        <v>1754</v>
      </c>
      <c r="H341" s="339" t="s">
        <v>19</v>
      </c>
      <c r="I341" s="339">
        <v>1</v>
      </c>
      <c r="J341" s="342">
        <v>4000000</v>
      </c>
      <c r="K341" s="342">
        <v>4000000</v>
      </c>
      <c r="L341" s="342">
        <v>0</v>
      </c>
      <c r="M341" s="343">
        <v>0</v>
      </c>
      <c r="N341" s="343">
        <v>0</v>
      </c>
      <c r="O341" s="343">
        <v>0</v>
      </c>
      <c r="P341" s="338"/>
      <c r="Q341" s="339" t="s">
        <v>206</v>
      </c>
      <c r="R341" s="339" t="s">
        <v>2427</v>
      </c>
      <c r="S341" s="341" t="s">
        <v>3947</v>
      </c>
      <c r="T341" s="338"/>
      <c r="U341" s="327"/>
      <c r="V341" s="327"/>
      <c r="W341" s="327"/>
      <c r="X341" s="327"/>
      <c r="Y341" s="327"/>
      <c r="Z341" s="330"/>
    </row>
    <row r="342" spans="1:26" ht="62.5" hidden="1">
      <c r="A342" s="339">
        <v>391</v>
      </c>
      <c r="B342" s="338" t="s">
        <v>3944</v>
      </c>
      <c r="C342" s="340">
        <v>43343</v>
      </c>
      <c r="D342" s="338" t="s">
        <v>3949</v>
      </c>
      <c r="E342" s="341" t="s">
        <v>3946</v>
      </c>
      <c r="F342" s="341" t="s">
        <v>4994</v>
      </c>
      <c r="G342" s="338" t="s">
        <v>1754</v>
      </c>
      <c r="H342" s="339" t="s">
        <v>19</v>
      </c>
      <c r="I342" s="339">
        <v>1</v>
      </c>
      <c r="J342" s="342">
        <v>4000000</v>
      </c>
      <c r="K342" s="342">
        <v>4000000</v>
      </c>
      <c r="L342" s="342">
        <v>0</v>
      </c>
      <c r="M342" s="343">
        <v>0</v>
      </c>
      <c r="N342" s="343">
        <v>0</v>
      </c>
      <c r="O342" s="343">
        <v>0</v>
      </c>
      <c r="P342" s="338"/>
      <c r="Q342" s="339" t="s">
        <v>206</v>
      </c>
      <c r="R342" s="339" t="s">
        <v>2427</v>
      </c>
      <c r="S342" s="341" t="s">
        <v>3947</v>
      </c>
      <c r="T342" s="338"/>
      <c r="U342" s="327"/>
      <c r="V342" s="327"/>
      <c r="W342" s="327"/>
      <c r="X342" s="327"/>
      <c r="Y342" s="327"/>
      <c r="Z342" s="330"/>
    </row>
    <row r="343" spans="1:26" ht="62.5" hidden="1">
      <c r="A343" s="339">
        <v>392</v>
      </c>
      <c r="B343" s="338" t="s">
        <v>3944</v>
      </c>
      <c r="C343" s="340">
        <v>43343</v>
      </c>
      <c r="D343" s="338" t="s">
        <v>3950</v>
      </c>
      <c r="E343" s="341" t="s">
        <v>3946</v>
      </c>
      <c r="F343" s="341" t="s">
        <v>4995</v>
      </c>
      <c r="G343" s="338" t="s">
        <v>1754</v>
      </c>
      <c r="H343" s="339" t="s">
        <v>19</v>
      </c>
      <c r="I343" s="339">
        <v>1</v>
      </c>
      <c r="J343" s="342">
        <v>4000000</v>
      </c>
      <c r="K343" s="342">
        <v>4000000</v>
      </c>
      <c r="L343" s="342">
        <v>0</v>
      </c>
      <c r="M343" s="343">
        <v>0</v>
      </c>
      <c r="N343" s="343">
        <v>0</v>
      </c>
      <c r="O343" s="343">
        <v>0</v>
      </c>
      <c r="P343" s="338"/>
      <c r="Q343" s="339" t="s">
        <v>206</v>
      </c>
      <c r="R343" s="339" t="s">
        <v>2427</v>
      </c>
      <c r="S343" s="341" t="s">
        <v>3947</v>
      </c>
      <c r="T343" s="338"/>
      <c r="U343" s="327"/>
      <c r="V343" s="327"/>
      <c r="W343" s="327"/>
      <c r="X343" s="327"/>
      <c r="Y343" s="327"/>
      <c r="Z343" s="330"/>
    </row>
    <row r="344" spans="1:26" ht="62.5" hidden="1">
      <c r="A344" s="339">
        <v>393</v>
      </c>
      <c r="B344" s="338" t="s">
        <v>3944</v>
      </c>
      <c r="C344" s="340">
        <v>43343</v>
      </c>
      <c r="D344" s="338" t="s">
        <v>3951</v>
      </c>
      <c r="E344" s="341" t="s">
        <v>3946</v>
      </c>
      <c r="F344" s="341" t="s">
        <v>4996</v>
      </c>
      <c r="G344" s="338" t="s">
        <v>1754</v>
      </c>
      <c r="H344" s="339" t="s">
        <v>19</v>
      </c>
      <c r="I344" s="339">
        <v>1</v>
      </c>
      <c r="J344" s="342">
        <v>4000000</v>
      </c>
      <c r="K344" s="342">
        <v>4000000</v>
      </c>
      <c r="L344" s="342">
        <v>0</v>
      </c>
      <c r="M344" s="343">
        <v>0</v>
      </c>
      <c r="N344" s="343">
        <v>0</v>
      </c>
      <c r="O344" s="343">
        <v>0</v>
      </c>
      <c r="P344" s="338"/>
      <c r="Q344" s="339" t="s">
        <v>206</v>
      </c>
      <c r="R344" s="339" t="s">
        <v>2427</v>
      </c>
      <c r="S344" s="341" t="s">
        <v>3947</v>
      </c>
      <c r="T344" s="338"/>
      <c r="U344" s="327"/>
      <c r="V344" s="327"/>
      <c r="W344" s="327"/>
      <c r="X344" s="327"/>
      <c r="Y344" s="327"/>
      <c r="Z344" s="330"/>
    </row>
    <row r="345" spans="1:26" ht="62.5" hidden="1">
      <c r="A345" s="339">
        <v>394</v>
      </c>
      <c r="B345" s="338" t="s">
        <v>3944</v>
      </c>
      <c r="C345" s="340">
        <v>43343</v>
      </c>
      <c r="D345" s="338" t="s">
        <v>3952</v>
      </c>
      <c r="E345" s="341" t="s">
        <v>3946</v>
      </c>
      <c r="F345" s="341" t="s">
        <v>4997</v>
      </c>
      <c r="G345" s="338" t="s">
        <v>1754</v>
      </c>
      <c r="H345" s="339" t="s">
        <v>19</v>
      </c>
      <c r="I345" s="339">
        <v>1</v>
      </c>
      <c r="J345" s="342">
        <v>4000000</v>
      </c>
      <c r="K345" s="342">
        <v>4000000</v>
      </c>
      <c r="L345" s="342">
        <v>0</v>
      </c>
      <c r="M345" s="343">
        <v>0</v>
      </c>
      <c r="N345" s="343">
        <v>0</v>
      </c>
      <c r="O345" s="343">
        <v>0</v>
      </c>
      <c r="P345" s="338"/>
      <c r="Q345" s="339" t="s">
        <v>206</v>
      </c>
      <c r="R345" s="339" t="s">
        <v>2427</v>
      </c>
      <c r="S345" s="341" t="s">
        <v>3947</v>
      </c>
      <c r="T345" s="338"/>
      <c r="U345" s="327"/>
      <c r="V345" s="327"/>
      <c r="W345" s="327"/>
      <c r="X345" s="327"/>
      <c r="Y345" s="327"/>
      <c r="Z345" s="330"/>
    </row>
    <row r="346" spans="1:26" ht="62.5" hidden="1">
      <c r="A346" s="339">
        <v>395</v>
      </c>
      <c r="B346" s="338" t="s">
        <v>3944</v>
      </c>
      <c r="C346" s="340">
        <v>43343</v>
      </c>
      <c r="D346" s="338" t="s">
        <v>3953</v>
      </c>
      <c r="E346" s="341" t="s">
        <v>3946</v>
      </c>
      <c r="F346" s="341" t="s">
        <v>4998</v>
      </c>
      <c r="G346" s="338" t="s">
        <v>1754</v>
      </c>
      <c r="H346" s="339" t="s">
        <v>19</v>
      </c>
      <c r="I346" s="339">
        <v>1</v>
      </c>
      <c r="J346" s="342">
        <v>4000000</v>
      </c>
      <c r="K346" s="342">
        <v>4000000</v>
      </c>
      <c r="L346" s="342">
        <v>0</v>
      </c>
      <c r="M346" s="343">
        <v>0</v>
      </c>
      <c r="N346" s="343">
        <v>0</v>
      </c>
      <c r="O346" s="343">
        <v>0</v>
      </c>
      <c r="P346" s="338"/>
      <c r="Q346" s="339" t="s">
        <v>206</v>
      </c>
      <c r="R346" s="339" t="s">
        <v>2427</v>
      </c>
      <c r="S346" s="341" t="s">
        <v>3947</v>
      </c>
      <c r="T346" s="338"/>
      <c r="U346" s="327"/>
      <c r="V346" s="327"/>
      <c r="W346" s="327"/>
      <c r="X346" s="327"/>
      <c r="Y346" s="327"/>
      <c r="Z346" s="330"/>
    </row>
    <row r="347" spans="1:26" ht="62.5" hidden="1">
      <c r="A347" s="339">
        <v>396</v>
      </c>
      <c r="B347" s="338" t="s">
        <v>3944</v>
      </c>
      <c r="C347" s="340">
        <v>43343</v>
      </c>
      <c r="D347" s="338" t="s">
        <v>3954</v>
      </c>
      <c r="E347" s="341" t="s">
        <v>3946</v>
      </c>
      <c r="F347" s="341" t="s">
        <v>4999</v>
      </c>
      <c r="G347" s="338" t="s">
        <v>1754</v>
      </c>
      <c r="H347" s="339" t="s">
        <v>19</v>
      </c>
      <c r="I347" s="339">
        <v>1</v>
      </c>
      <c r="J347" s="342">
        <v>4000000</v>
      </c>
      <c r="K347" s="342">
        <v>4000000</v>
      </c>
      <c r="L347" s="342">
        <v>0</v>
      </c>
      <c r="M347" s="343">
        <v>0</v>
      </c>
      <c r="N347" s="343">
        <v>0</v>
      </c>
      <c r="O347" s="343">
        <v>0</v>
      </c>
      <c r="P347" s="338"/>
      <c r="Q347" s="339" t="s">
        <v>206</v>
      </c>
      <c r="R347" s="339" t="s">
        <v>2427</v>
      </c>
      <c r="S347" s="341" t="s">
        <v>3947</v>
      </c>
      <c r="T347" s="338"/>
      <c r="U347" s="327"/>
      <c r="V347" s="327"/>
      <c r="W347" s="327"/>
      <c r="X347" s="327"/>
      <c r="Y347" s="327"/>
      <c r="Z347" s="330"/>
    </row>
    <row r="348" spans="1:26" ht="62.5" hidden="1">
      <c r="A348" s="339">
        <v>397</v>
      </c>
      <c r="B348" s="338" t="s">
        <v>3944</v>
      </c>
      <c r="C348" s="340">
        <v>43343</v>
      </c>
      <c r="D348" s="338" t="s">
        <v>3955</v>
      </c>
      <c r="E348" s="341" t="s">
        <v>3946</v>
      </c>
      <c r="F348" s="341" t="s">
        <v>5000</v>
      </c>
      <c r="G348" s="338" t="s">
        <v>1754</v>
      </c>
      <c r="H348" s="339" t="s">
        <v>19</v>
      </c>
      <c r="I348" s="339">
        <v>1</v>
      </c>
      <c r="J348" s="342">
        <v>4000000</v>
      </c>
      <c r="K348" s="342">
        <v>4000000</v>
      </c>
      <c r="L348" s="342">
        <v>0</v>
      </c>
      <c r="M348" s="343">
        <v>0</v>
      </c>
      <c r="N348" s="343">
        <v>0</v>
      </c>
      <c r="O348" s="343">
        <v>0</v>
      </c>
      <c r="P348" s="338"/>
      <c r="Q348" s="339" t="s">
        <v>206</v>
      </c>
      <c r="R348" s="339" t="s">
        <v>2427</v>
      </c>
      <c r="S348" s="341" t="s">
        <v>3947</v>
      </c>
      <c r="T348" s="338"/>
      <c r="U348" s="327"/>
      <c r="V348" s="327"/>
      <c r="W348" s="327"/>
      <c r="X348" s="327"/>
      <c r="Y348" s="327"/>
      <c r="Z348" s="330"/>
    </row>
    <row r="349" spans="1:26" ht="62.5" hidden="1">
      <c r="A349" s="339">
        <v>398</v>
      </c>
      <c r="B349" s="338" t="s">
        <v>3944</v>
      </c>
      <c r="C349" s="340">
        <v>43343</v>
      </c>
      <c r="D349" s="338" t="s">
        <v>3956</v>
      </c>
      <c r="E349" s="341" t="s">
        <v>3946</v>
      </c>
      <c r="F349" s="341" t="s">
        <v>5001</v>
      </c>
      <c r="G349" s="338" t="s">
        <v>1754</v>
      </c>
      <c r="H349" s="339" t="s">
        <v>19</v>
      </c>
      <c r="I349" s="339">
        <v>1</v>
      </c>
      <c r="J349" s="342">
        <v>4000000</v>
      </c>
      <c r="K349" s="342">
        <v>4000000</v>
      </c>
      <c r="L349" s="342">
        <v>0</v>
      </c>
      <c r="M349" s="343">
        <v>0</v>
      </c>
      <c r="N349" s="343">
        <v>0</v>
      </c>
      <c r="O349" s="343">
        <v>0</v>
      </c>
      <c r="P349" s="338"/>
      <c r="Q349" s="339" t="s">
        <v>206</v>
      </c>
      <c r="R349" s="339" t="s">
        <v>2427</v>
      </c>
      <c r="S349" s="341" t="s">
        <v>3947</v>
      </c>
      <c r="T349" s="338"/>
      <c r="U349" s="327"/>
      <c r="V349" s="327"/>
      <c r="W349" s="327"/>
      <c r="X349" s="327"/>
      <c r="Y349" s="327"/>
      <c r="Z349" s="330"/>
    </row>
    <row r="350" spans="1:26" ht="62.5" hidden="1">
      <c r="A350" s="339">
        <v>399</v>
      </c>
      <c r="B350" s="338" t="s">
        <v>3957</v>
      </c>
      <c r="C350" s="340">
        <v>43343</v>
      </c>
      <c r="D350" s="338" t="s">
        <v>3958</v>
      </c>
      <c r="E350" s="341" t="s">
        <v>3959</v>
      </c>
      <c r="F350" s="341" t="s">
        <v>5002</v>
      </c>
      <c r="G350" s="338" t="s">
        <v>248</v>
      </c>
      <c r="H350" s="339" t="s">
        <v>249</v>
      </c>
      <c r="I350" s="339">
        <v>1</v>
      </c>
      <c r="J350" s="342">
        <v>13500000</v>
      </c>
      <c r="K350" s="342">
        <v>13500000</v>
      </c>
      <c r="L350" s="342">
        <v>9000000</v>
      </c>
      <c r="M350" s="343">
        <v>33</v>
      </c>
      <c r="N350" s="343">
        <v>4500000</v>
      </c>
      <c r="O350" s="343">
        <v>4500000</v>
      </c>
      <c r="P350" s="338"/>
      <c r="Q350" s="339" t="s">
        <v>20</v>
      </c>
      <c r="R350" s="346" t="s">
        <v>229</v>
      </c>
      <c r="S350" s="341" t="str">
        <f>IFERROR(VLOOKUP(D350, CCDC_XUAN!$D$16:$S$693, 16, 0), "Không tìm thấy")</f>
        <v>F1 CONTROL (Chỗ bàn dimmer đèn) card ghép chung Tài sản 673</v>
      </c>
      <c r="T350" s="338"/>
      <c r="U350" s="327"/>
      <c r="V350" s="327"/>
      <c r="W350" s="327"/>
      <c r="X350" s="327"/>
      <c r="Y350" s="327"/>
      <c r="Z350" s="330"/>
    </row>
    <row r="351" spans="1:26" ht="62.5" hidden="1">
      <c r="A351" s="339">
        <v>400</v>
      </c>
      <c r="B351" s="338" t="s">
        <v>3957</v>
      </c>
      <c r="C351" s="340">
        <v>43343</v>
      </c>
      <c r="D351" s="338" t="s">
        <v>3961</v>
      </c>
      <c r="E351" s="341" t="s">
        <v>3959</v>
      </c>
      <c r="F351" s="341" t="s">
        <v>5003</v>
      </c>
      <c r="G351" s="338" t="s">
        <v>248</v>
      </c>
      <c r="H351" s="339" t="s">
        <v>249</v>
      </c>
      <c r="I351" s="339">
        <v>1</v>
      </c>
      <c r="J351" s="342">
        <v>13500000</v>
      </c>
      <c r="K351" s="342">
        <v>13500000</v>
      </c>
      <c r="L351" s="342">
        <v>9000000</v>
      </c>
      <c r="M351" s="343">
        <v>33</v>
      </c>
      <c r="N351" s="343">
        <v>4500000</v>
      </c>
      <c r="O351" s="343">
        <v>4500000</v>
      </c>
      <c r="P351" s="338"/>
      <c r="Q351" s="339" t="s">
        <v>20</v>
      </c>
      <c r="R351" s="339" t="s">
        <v>233</v>
      </c>
      <c r="S351" s="341" t="s">
        <v>3962</v>
      </c>
      <c r="T351" s="338"/>
      <c r="U351" s="327"/>
      <c r="V351" s="327"/>
      <c r="W351" s="327"/>
      <c r="X351" s="327"/>
      <c r="Y351" s="327"/>
      <c r="Z351" s="330"/>
    </row>
    <row r="352" spans="1:26" ht="62.5" hidden="1">
      <c r="A352" s="339">
        <v>401</v>
      </c>
      <c r="B352" s="338" t="s">
        <v>3957</v>
      </c>
      <c r="C352" s="340">
        <v>43343</v>
      </c>
      <c r="D352" s="338" t="s">
        <v>3963</v>
      </c>
      <c r="E352" s="341" t="s">
        <v>3959</v>
      </c>
      <c r="F352" s="341" t="s">
        <v>5004</v>
      </c>
      <c r="G352" s="338" t="s">
        <v>248</v>
      </c>
      <c r="H352" s="339" t="s">
        <v>249</v>
      </c>
      <c r="I352" s="339">
        <v>1</v>
      </c>
      <c r="J352" s="342">
        <v>13500000</v>
      </c>
      <c r="K352" s="342">
        <v>13500000</v>
      </c>
      <c r="L352" s="342">
        <v>9000000</v>
      </c>
      <c r="M352" s="343">
        <v>33</v>
      </c>
      <c r="N352" s="343">
        <v>4500000</v>
      </c>
      <c r="O352" s="343">
        <v>4500000</v>
      </c>
      <c r="P352" s="338"/>
      <c r="Q352" s="339" t="s">
        <v>20</v>
      </c>
      <c r="R352" s="346" t="s">
        <v>229</v>
      </c>
      <c r="S352" s="341" t="str">
        <f>IFERROR(VLOOKUP(D352, CCDC_XUAN!$D$16:$S$693, 16, 0), "Không tìm thấy")</f>
        <v>A2-Control: card ghép chung Tài sản 674</v>
      </c>
      <c r="T352" s="338"/>
      <c r="U352" s="327"/>
      <c r="V352" s="327"/>
      <c r="W352" s="327"/>
      <c r="X352" s="327"/>
      <c r="Y352" s="327"/>
      <c r="Z352" s="330"/>
    </row>
    <row r="353" spans="1:26" ht="50" hidden="1">
      <c r="A353" s="339">
        <v>402</v>
      </c>
      <c r="B353" s="338" t="s">
        <v>3965</v>
      </c>
      <c r="C353" s="340">
        <v>43398</v>
      </c>
      <c r="D353" s="338" t="s">
        <v>3966</v>
      </c>
      <c r="E353" s="341" t="s">
        <v>3967</v>
      </c>
      <c r="F353" s="341" t="s">
        <v>3968</v>
      </c>
      <c r="G353" s="338" t="s">
        <v>248</v>
      </c>
      <c r="H353" s="339" t="s">
        <v>249</v>
      </c>
      <c r="I353" s="339">
        <v>1</v>
      </c>
      <c r="J353" s="342">
        <v>9720000</v>
      </c>
      <c r="K353" s="342">
        <v>9720000</v>
      </c>
      <c r="L353" s="342">
        <v>0</v>
      </c>
      <c r="M353" s="343">
        <v>0</v>
      </c>
      <c r="N353" s="343">
        <v>0</v>
      </c>
      <c r="O353" s="343">
        <v>0</v>
      </c>
      <c r="P353" s="338"/>
      <c r="Q353" s="339" t="s">
        <v>20</v>
      </c>
      <c r="R353" s="339" t="s">
        <v>233</v>
      </c>
      <c r="S353" s="341" t="s">
        <v>3969</v>
      </c>
      <c r="T353" s="338"/>
      <c r="U353" s="327"/>
      <c r="V353" s="327"/>
      <c r="W353" s="327"/>
      <c r="X353" s="327"/>
      <c r="Y353" s="327"/>
      <c r="Z353" s="330"/>
    </row>
    <row r="354" spans="1:26" ht="25">
      <c r="A354" s="339">
        <v>403</v>
      </c>
      <c r="B354" s="338" t="s">
        <v>3965</v>
      </c>
      <c r="C354" s="340">
        <v>43398</v>
      </c>
      <c r="D354" s="338" t="s">
        <v>3970</v>
      </c>
      <c r="E354" s="341" t="s">
        <v>3971</v>
      </c>
      <c r="F354" s="338"/>
      <c r="G354" s="338" t="s">
        <v>407</v>
      </c>
      <c r="H354" s="339" t="s">
        <v>249</v>
      </c>
      <c r="I354" s="339">
        <v>1</v>
      </c>
      <c r="J354" s="342">
        <v>5990000</v>
      </c>
      <c r="K354" s="342">
        <v>5990000</v>
      </c>
      <c r="L354" s="342">
        <v>0</v>
      </c>
      <c r="M354" s="343">
        <v>0</v>
      </c>
      <c r="N354" s="343">
        <v>0</v>
      </c>
      <c r="O354" s="343">
        <v>0</v>
      </c>
      <c r="P354" s="338"/>
      <c r="Q354" s="339" t="s">
        <v>20</v>
      </c>
      <c r="R354" s="339" t="s">
        <v>423</v>
      </c>
      <c r="S354" s="341" t="s">
        <v>1224</v>
      </c>
      <c r="T354" s="338"/>
      <c r="U354" s="327"/>
      <c r="V354" s="327"/>
      <c r="W354" s="327"/>
      <c r="X354" s="327"/>
      <c r="Y354" s="327"/>
      <c r="Z354" s="330"/>
    </row>
    <row r="355" spans="1:26" ht="25">
      <c r="A355" s="339">
        <v>404</v>
      </c>
      <c r="B355" s="338" t="s">
        <v>3965</v>
      </c>
      <c r="C355" s="340">
        <v>43398</v>
      </c>
      <c r="D355" s="338" t="s">
        <v>3972</v>
      </c>
      <c r="E355" s="341" t="s">
        <v>3971</v>
      </c>
      <c r="F355" s="338"/>
      <c r="G355" s="338" t="s">
        <v>407</v>
      </c>
      <c r="H355" s="339" t="s">
        <v>249</v>
      </c>
      <c r="I355" s="339">
        <v>1</v>
      </c>
      <c r="J355" s="342">
        <v>5990000</v>
      </c>
      <c r="K355" s="342">
        <v>5990000</v>
      </c>
      <c r="L355" s="342">
        <v>0</v>
      </c>
      <c r="M355" s="343">
        <v>0</v>
      </c>
      <c r="N355" s="343">
        <v>0</v>
      </c>
      <c r="O355" s="343">
        <v>0</v>
      </c>
      <c r="P355" s="338"/>
      <c r="Q355" s="339" t="s">
        <v>20</v>
      </c>
      <c r="R355" s="339" t="s">
        <v>423</v>
      </c>
      <c r="S355" s="341" t="s">
        <v>5005</v>
      </c>
      <c r="T355" s="338"/>
      <c r="U355" s="327"/>
      <c r="V355" s="327"/>
      <c r="W355" s="327"/>
      <c r="X355" s="327"/>
      <c r="Y355" s="327"/>
      <c r="Z355" s="330"/>
    </row>
    <row r="356" spans="1:26" ht="25" hidden="1">
      <c r="A356" s="339">
        <v>405</v>
      </c>
      <c r="B356" s="338" t="s">
        <v>3974</v>
      </c>
      <c r="C356" s="340">
        <v>43703</v>
      </c>
      <c r="D356" s="338" t="s">
        <v>3975</v>
      </c>
      <c r="E356" s="341" t="s">
        <v>3976</v>
      </c>
      <c r="F356" s="341" t="s">
        <v>3977</v>
      </c>
      <c r="G356" s="338" t="s">
        <v>248</v>
      </c>
      <c r="H356" s="339" t="s">
        <v>569</v>
      </c>
      <c r="I356" s="339">
        <v>1</v>
      </c>
      <c r="J356" s="342">
        <v>750000</v>
      </c>
      <c r="K356" s="342">
        <v>750000</v>
      </c>
      <c r="L356" s="342">
        <v>750000</v>
      </c>
      <c r="M356" s="343">
        <v>100</v>
      </c>
      <c r="N356" s="343">
        <v>750000</v>
      </c>
      <c r="O356" s="343">
        <v>0</v>
      </c>
      <c r="P356" s="338"/>
      <c r="Q356" s="339" t="s">
        <v>20</v>
      </c>
      <c r="R356" s="346" t="s">
        <v>229</v>
      </c>
      <c r="S356" s="341" t="str">
        <f>IFERROR(VLOOKUP(D356, CCDC_XUAN!$D$16:$S$693, 16, 0), "Không tìm thấy")</f>
        <v>A2-Control</v>
      </c>
      <c r="T356" s="338"/>
      <c r="U356" s="327"/>
      <c r="V356" s="327"/>
      <c r="W356" s="327"/>
      <c r="X356" s="327"/>
      <c r="Y356" s="327"/>
      <c r="Z356" s="330"/>
    </row>
    <row r="357" spans="1:26" ht="25" hidden="1">
      <c r="A357" s="339">
        <v>406</v>
      </c>
      <c r="B357" s="338" t="s">
        <v>3974</v>
      </c>
      <c r="C357" s="340">
        <v>43703</v>
      </c>
      <c r="D357" s="338" t="s">
        <v>3978</v>
      </c>
      <c r="E357" s="341" t="s">
        <v>3976</v>
      </c>
      <c r="F357" s="341" t="s">
        <v>3979</v>
      </c>
      <c r="G357" s="338" t="s">
        <v>248</v>
      </c>
      <c r="H357" s="339" t="s">
        <v>569</v>
      </c>
      <c r="I357" s="339">
        <v>1</v>
      </c>
      <c r="J357" s="342">
        <v>750000</v>
      </c>
      <c r="K357" s="342">
        <v>750000</v>
      </c>
      <c r="L357" s="342">
        <v>750000</v>
      </c>
      <c r="M357" s="343">
        <v>100</v>
      </c>
      <c r="N357" s="343">
        <v>750000</v>
      </c>
      <c r="O357" s="343">
        <v>0</v>
      </c>
      <c r="P357" s="338"/>
      <c r="Q357" s="339" t="s">
        <v>20</v>
      </c>
      <c r="R357" s="339" t="s">
        <v>233</v>
      </c>
      <c r="S357" s="341" t="s">
        <v>2183</v>
      </c>
      <c r="T357" s="338"/>
      <c r="U357" s="327"/>
      <c r="V357" s="327"/>
      <c r="W357" s="327"/>
      <c r="X357" s="327"/>
      <c r="Y357" s="327"/>
      <c r="Z357" s="330"/>
    </row>
    <row r="358" spans="1:26" ht="25" hidden="1">
      <c r="A358" s="352">
        <v>407</v>
      </c>
      <c r="B358" s="353" t="s">
        <v>3974</v>
      </c>
      <c r="C358" s="354">
        <v>43703</v>
      </c>
      <c r="D358" s="338" t="s">
        <v>3980</v>
      </c>
      <c r="E358" s="355" t="s">
        <v>3976</v>
      </c>
      <c r="F358" s="355" t="s">
        <v>3981</v>
      </c>
      <c r="G358" s="353" t="s">
        <v>248</v>
      </c>
      <c r="H358" s="352" t="s">
        <v>569</v>
      </c>
      <c r="I358" s="352">
        <v>1</v>
      </c>
      <c r="J358" s="356">
        <v>750000</v>
      </c>
      <c r="K358" s="356">
        <v>750000</v>
      </c>
      <c r="L358" s="356">
        <v>750000</v>
      </c>
      <c r="M358" s="357">
        <v>100</v>
      </c>
      <c r="N358" s="357">
        <v>750000</v>
      </c>
      <c r="O358" s="357">
        <v>0</v>
      </c>
      <c r="P358" s="353"/>
      <c r="Q358" s="352" t="s">
        <v>206</v>
      </c>
      <c r="R358" s="352" t="s">
        <v>3635</v>
      </c>
      <c r="S358" s="355" t="s">
        <v>206</v>
      </c>
      <c r="T358" s="338"/>
      <c r="U358" s="327"/>
      <c r="V358" s="327"/>
      <c r="W358" s="327"/>
      <c r="X358" s="327"/>
      <c r="Y358" s="327"/>
      <c r="Z358" s="330"/>
    </row>
    <row r="359" spans="1:26" ht="25.5" hidden="1">
      <c r="A359" s="339">
        <v>408</v>
      </c>
      <c r="B359" s="338" t="s">
        <v>3974</v>
      </c>
      <c r="C359" s="340">
        <v>43703</v>
      </c>
      <c r="D359" s="338" t="s">
        <v>3982</v>
      </c>
      <c r="E359" s="341" t="s">
        <v>3976</v>
      </c>
      <c r="F359" s="341" t="s">
        <v>3983</v>
      </c>
      <c r="G359" s="338" t="s">
        <v>248</v>
      </c>
      <c r="H359" s="339" t="s">
        <v>569</v>
      </c>
      <c r="I359" s="339">
        <v>1</v>
      </c>
      <c r="J359" s="342">
        <v>750000</v>
      </c>
      <c r="K359" s="342">
        <v>750000</v>
      </c>
      <c r="L359" s="342">
        <v>750000</v>
      </c>
      <c r="M359" s="343">
        <v>100</v>
      </c>
      <c r="N359" s="343">
        <v>750000</v>
      </c>
      <c r="O359" s="343">
        <v>0</v>
      </c>
      <c r="P359" s="338"/>
      <c r="Q359" s="339" t="s">
        <v>36</v>
      </c>
      <c r="R359" s="339" t="s">
        <v>37</v>
      </c>
      <c r="S359" s="335" t="s">
        <v>3984</v>
      </c>
      <c r="T359" s="338"/>
      <c r="U359" s="327"/>
      <c r="V359" s="327"/>
      <c r="W359" s="327"/>
      <c r="X359" s="327"/>
      <c r="Y359" s="327"/>
      <c r="Z359" s="330"/>
    </row>
    <row r="360" spans="1:26" ht="25" hidden="1">
      <c r="A360" s="339">
        <v>409</v>
      </c>
      <c r="B360" s="338" t="s">
        <v>3974</v>
      </c>
      <c r="C360" s="340">
        <v>43703</v>
      </c>
      <c r="D360" s="338" t="s">
        <v>3985</v>
      </c>
      <c r="E360" s="341" t="s">
        <v>3976</v>
      </c>
      <c r="F360" s="341" t="s">
        <v>3986</v>
      </c>
      <c r="G360" s="338" t="s">
        <v>248</v>
      </c>
      <c r="H360" s="339" t="s">
        <v>569</v>
      </c>
      <c r="I360" s="339">
        <v>1</v>
      </c>
      <c r="J360" s="342">
        <v>750000</v>
      </c>
      <c r="K360" s="342">
        <v>750000</v>
      </c>
      <c r="L360" s="342">
        <v>750000</v>
      </c>
      <c r="M360" s="343">
        <v>100</v>
      </c>
      <c r="N360" s="343">
        <v>750000</v>
      </c>
      <c r="O360" s="343">
        <v>0</v>
      </c>
      <c r="P360" s="338"/>
      <c r="Q360" s="339" t="s">
        <v>36</v>
      </c>
      <c r="R360" s="339" t="s">
        <v>37</v>
      </c>
      <c r="S360" s="341" t="s">
        <v>3984</v>
      </c>
      <c r="T360" s="338"/>
      <c r="U360" s="327"/>
      <c r="V360" s="327"/>
      <c r="W360" s="327"/>
      <c r="X360" s="327"/>
      <c r="Y360" s="327"/>
      <c r="Z360" s="330"/>
    </row>
    <row r="361" spans="1:26" ht="25">
      <c r="A361" s="339">
        <v>410</v>
      </c>
      <c r="B361" s="338" t="s">
        <v>3974</v>
      </c>
      <c r="C361" s="340">
        <v>43703</v>
      </c>
      <c r="D361" s="338" t="s">
        <v>3987</v>
      </c>
      <c r="E361" s="341" t="s">
        <v>3976</v>
      </c>
      <c r="F361" s="341" t="s">
        <v>3988</v>
      </c>
      <c r="G361" s="338" t="s">
        <v>248</v>
      </c>
      <c r="H361" s="339" t="s">
        <v>569</v>
      </c>
      <c r="I361" s="339">
        <v>1</v>
      </c>
      <c r="J361" s="342">
        <v>750000</v>
      </c>
      <c r="K361" s="342">
        <v>750000</v>
      </c>
      <c r="L361" s="342">
        <v>750000</v>
      </c>
      <c r="M361" s="343">
        <v>100</v>
      </c>
      <c r="N361" s="343">
        <v>750000</v>
      </c>
      <c r="O361" s="343">
        <v>0</v>
      </c>
      <c r="P361" s="338"/>
      <c r="Q361" s="339" t="s">
        <v>20</v>
      </c>
      <c r="R361" s="339" t="s">
        <v>423</v>
      </c>
      <c r="S361" s="341" t="s">
        <v>3989</v>
      </c>
      <c r="T361" s="338"/>
      <c r="U361" s="327"/>
      <c r="V361" s="327"/>
      <c r="W361" s="327"/>
      <c r="X361" s="327"/>
      <c r="Y361" s="327"/>
      <c r="Z361" s="330"/>
    </row>
    <row r="362" spans="1:26" ht="37.5" hidden="1">
      <c r="A362" s="347">
        <v>411</v>
      </c>
      <c r="B362" s="338" t="s">
        <v>3990</v>
      </c>
      <c r="C362" s="348">
        <v>43434</v>
      </c>
      <c r="D362" s="338" t="s">
        <v>3991</v>
      </c>
      <c r="E362" s="349" t="s">
        <v>3992</v>
      </c>
      <c r="F362" s="338"/>
      <c r="G362" s="338" t="s">
        <v>3993</v>
      </c>
      <c r="H362" s="347" t="s">
        <v>249</v>
      </c>
      <c r="I362" s="347">
        <v>1</v>
      </c>
      <c r="J362" s="342">
        <v>3270000</v>
      </c>
      <c r="K362" s="342">
        <v>3270000</v>
      </c>
      <c r="L362" s="342">
        <v>0</v>
      </c>
      <c r="M362" s="343">
        <v>0</v>
      </c>
      <c r="N362" s="343">
        <v>0</v>
      </c>
      <c r="O362" s="343">
        <v>0</v>
      </c>
      <c r="P362" s="338"/>
      <c r="Q362" s="347" t="s">
        <v>20</v>
      </c>
      <c r="R362" s="347" t="s">
        <v>21</v>
      </c>
      <c r="S362" s="349" t="s">
        <v>22</v>
      </c>
      <c r="T362" s="338"/>
      <c r="U362" s="327"/>
      <c r="V362" s="327"/>
      <c r="W362" s="327"/>
      <c r="X362" s="327"/>
      <c r="Y362" s="327"/>
      <c r="Z362" s="330"/>
    </row>
    <row r="363" spans="1:26" ht="37.5" hidden="1">
      <c r="A363" s="347">
        <v>412</v>
      </c>
      <c r="B363" s="338" t="s">
        <v>3990</v>
      </c>
      <c r="C363" s="348">
        <v>43434</v>
      </c>
      <c r="D363" s="338" t="s">
        <v>3994</v>
      </c>
      <c r="E363" s="349" t="s">
        <v>3992</v>
      </c>
      <c r="F363" s="338"/>
      <c r="G363" s="338" t="s">
        <v>3993</v>
      </c>
      <c r="H363" s="347" t="s">
        <v>249</v>
      </c>
      <c r="I363" s="347">
        <v>1</v>
      </c>
      <c r="J363" s="342">
        <v>3270000</v>
      </c>
      <c r="K363" s="342">
        <v>3270000</v>
      </c>
      <c r="L363" s="342">
        <v>0</v>
      </c>
      <c r="M363" s="343">
        <v>0</v>
      </c>
      <c r="N363" s="343">
        <v>0</v>
      </c>
      <c r="O363" s="343">
        <v>0</v>
      </c>
      <c r="P363" s="338"/>
      <c r="Q363" s="347" t="s">
        <v>20</v>
      </c>
      <c r="R363" s="347" t="s">
        <v>21</v>
      </c>
      <c r="S363" s="349" t="s">
        <v>22</v>
      </c>
      <c r="T363" s="338"/>
      <c r="U363" s="327"/>
      <c r="V363" s="327"/>
      <c r="W363" s="327"/>
      <c r="X363" s="327"/>
      <c r="Y363" s="327"/>
      <c r="Z363" s="330"/>
    </row>
    <row r="364" spans="1:26" ht="37.5" hidden="1">
      <c r="A364" s="347">
        <v>413</v>
      </c>
      <c r="B364" s="338" t="s">
        <v>3990</v>
      </c>
      <c r="C364" s="348">
        <v>43434</v>
      </c>
      <c r="D364" s="338" t="s">
        <v>3995</v>
      </c>
      <c r="E364" s="349" t="s">
        <v>3992</v>
      </c>
      <c r="F364" s="338"/>
      <c r="G364" s="338" t="s">
        <v>3993</v>
      </c>
      <c r="H364" s="347" t="s">
        <v>249</v>
      </c>
      <c r="I364" s="347">
        <v>1</v>
      </c>
      <c r="J364" s="342">
        <v>3270000</v>
      </c>
      <c r="K364" s="342">
        <v>3270000</v>
      </c>
      <c r="L364" s="342">
        <v>0</v>
      </c>
      <c r="M364" s="343">
        <v>0</v>
      </c>
      <c r="N364" s="343">
        <v>0</v>
      </c>
      <c r="O364" s="343">
        <v>0</v>
      </c>
      <c r="P364" s="338"/>
      <c r="Q364" s="347" t="s">
        <v>20</v>
      </c>
      <c r="R364" s="347" t="s">
        <v>21</v>
      </c>
      <c r="S364" s="349" t="s">
        <v>22</v>
      </c>
      <c r="T364" s="338"/>
      <c r="U364" s="327"/>
      <c r="V364" s="327"/>
      <c r="W364" s="327"/>
      <c r="X364" s="327"/>
      <c r="Y364" s="327"/>
      <c r="Z364" s="330"/>
    </row>
    <row r="365" spans="1:26" ht="37.5" hidden="1">
      <c r="A365" s="347">
        <v>414</v>
      </c>
      <c r="B365" s="338" t="s">
        <v>3990</v>
      </c>
      <c r="C365" s="348">
        <v>43434</v>
      </c>
      <c r="D365" s="338" t="s">
        <v>3996</v>
      </c>
      <c r="E365" s="349" t="s">
        <v>3992</v>
      </c>
      <c r="F365" s="338"/>
      <c r="G365" s="338" t="s">
        <v>3993</v>
      </c>
      <c r="H365" s="347" t="s">
        <v>249</v>
      </c>
      <c r="I365" s="347">
        <v>1</v>
      </c>
      <c r="J365" s="342">
        <v>3270000</v>
      </c>
      <c r="K365" s="342">
        <v>3270000</v>
      </c>
      <c r="L365" s="342">
        <v>0</v>
      </c>
      <c r="M365" s="343">
        <v>0</v>
      </c>
      <c r="N365" s="343">
        <v>0</v>
      </c>
      <c r="O365" s="343">
        <v>0</v>
      </c>
      <c r="P365" s="338"/>
      <c r="Q365" s="347" t="s">
        <v>20</v>
      </c>
      <c r="R365" s="347" t="s">
        <v>21</v>
      </c>
      <c r="S365" s="349" t="s">
        <v>22</v>
      </c>
      <c r="T365" s="338"/>
      <c r="U365" s="327"/>
      <c r="V365" s="327"/>
      <c r="W365" s="327"/>
      <c r="X365" s="327"/>
      <c r="Y365" s="327"/>
      <c r="Z365" s="330"/>
    </row>
    <row r="366" spans="1:26" ht="37.5" hidden="1">
      <c r="A366" s="347">
        <v>415</v>
      </c>
      <c r="B366" s="338" t="s">
        <v>3990</v>
      </c>
      <c r="C366" s="348">
        <v>43434</v>
      </c>
      <c r="D366" s="338" t="s">
        <v>3997</v>
      </c>
      <c r="E366" s="349" t="s">
        <v>3992</v>
      </c>
      <c r="F366" s="338"/>
      <c r="G366" s="338" t="s">
        <v>3993</v>
      </c>
      <c r="H366" s="347" t="s">
        <v>249</v>
      </c>
      <c r="I366" s="347">
        <v>1</v>
      </c>
      <c r="J366" s="342">
        <v>3270000</v>
      </c>
      <c r="K366" s="342">
        <v>3270000</v>
      </c>
      <c r="L366" s="342">
        <v>0</v>
      </c>
      <c r="M366" s="343">
        <v>0</v>
      </c>
      <c r="N366" s="343">
        <v>0</v>
      </c>
      <c r="O366" s="343">
        <v>0</v>
      </c>
      <c r="P366" s="338"/>
      <c r="Q366" s="347" t="s">
        <v>20</v>
      </c>
      <c r="R366" s="347" t="s">
        <v>21</v>
      </c>
      <c r="S366" s="349" t="s">
        <v>22</v>
      </c>
      <c r="T366" s="338"/>
      <c r="U366" s="327"/>
      <c r="V366" s="327"/>
      <c r="W366" s="327"/>
      <c r="X366" s="327"/>
      <c r="Y366" s="327"/>
      <c r="Z366" s="330"/>
    </row>
    <row r="367" spans="1:26" ht="37.5" hidden="1">
      <c r="A367" s="347">
        <v>416</v>
      </c>
      <c r="B367" s="338" t="s">
        <v>3990</v>
      </c>
      <c r="C367" s="348">
        <v>43434</v>
      </c>
      <c r="D367" s="338" t="s">
        <v>3998</v>
      </c>
      <c r="E367" s="349" t="s">
        <v>3992</v>
      </c>
      <c r="F367" s="338"/>
      <c r="G367" s="338" t="s">
        <v>3993</v>
      </c>
      <c r="H367" s="347" t="s">
        <v>249</v>
      </c>
      <c r="I367" s="347">
        <v>1</v>
      </c>
      <c r="J367" s="342">
        <v>3270000</v>
      </c>
      <c r="K367" s="342">
        <v>3270000</v>
      </c>
      <c r="L367" s="342">
        <v>0</v>
      </c>
      <c r="M367" s="343">
        <v>0</v>
      </c>
      <c r="N367" s="343">
        <v>0</v>
      </c>
      <c r="O367" s="343">
        <v>0</v>
      </c>
      <c r="P367" s="338"/>
      <c r="Q367" s="347" t="s">
        <v>20</v>
      </c>
      <c r="R367" s="347" t="s">
        <v>21</v>
      </c>
      <c r="S367" s="349" t="s">
        <v>22</v>
      </c>
      <c r="T367" s="338"/>
      <c r="U367" s="327"/>
      <c r="V367" s="327"/>
      <c r="W367" s="327"/>
      <c r="X367" s="327"/>
      <c r="Y367" s="327"/>
      <c r="Z367" s="330"/>
    </row>
    <row r="368" spans="1:26" ht="37.5" hidden="1">
      <c r="A368" s="339">
        <v>417</v>
      </c>
      <c r="B368" s="338" t="s">
        <v>3999</v>
      </c>
      <c r="C368" s="340">
        <v>43434</v>
      </c>
      <c r="D368" s="338" t="s">
        <v>4000</v>
      </c>
      <c r="E368" s="341" t="s">
        <v>4001</v>
      </c>
      <c r="F368" s="338"/>
      <c r="G368" s="338"/>
      <c r="H368" s="339" t="s">
        <v>249</v>
      </c>
      <c r="I368" s="339">
        <v>1</v>
      </c>
      <c r="J368" s="342">
        <v>410000</v>
      </c>
      <c r="K368" s="342">
        <v>410000</v>
      </c>
      <c r="L368" s="342">
        <v>0</v>
      </c>
      <c r="M368" s="343">
        <v>0</v>
      </c>
      <c r="N368" s="343">
        <v>0</v>
      </c>
      <c r="O368" s="343">
        <v>0</v>
      </c>
      <c r="P368" s="338"/>
      <c r="Q368" s="339" t="s">
        <v>20</v>
      </c>
      <c r="R368" s="339" t="s">
        <v>229</v>
      </c>
      <c r="S368" s="341" t="str">
        <f>IFERROR(VLOOKUP(D368, CCDC_XUAN!$D$16:$S$693, 16, 0), "Không tìm thấy")</f>
        <v>tủ bàn HA</v>
      </c>
      <c r="T368" s="338"/>
      <c r="U368" s="327"/>
      <c r="V368" s="327"/>
      <c r="W368" s="327"/>
      <c r="X368" s="327"/>
      <c r="Y368" s="327"/>
      <c r="Z368" s="330"/>
    </row>
    <row r="369" spans="1:26" ht="37.5" hidden="1">
      <c r="A369" s="339">
        <v>418</v>
      </c>
      <c r="B369" s="338" t="s">
        <v>4003</v>
      </c>
      <c r="C369" s="340">
        <v>42339</v>
      </c>
      <c r="D369" s="338" t="s">
        <v>4004</v>
      </c>
      <c r="E369" s="341" t="s">
        <v>4005</v>
      </c>
      <c r="F369" s="338"/>
      <c r="G369" s="338"/>
      <c r="H369" s="339" t="s">
        <v>249</v>
      </c>
      <c r="I369" s="339">
        <v>1</v>
      </c>
      <c r="J369" s="342">
        <v>19328552</v>
      </c>
      <c r="K369" s="342">
        <v>19328552</v>
      </c>
      <c r="L369" s="342">
        <v>0</v>
      </c>
      <c r="M369" s="343">
        <v>0</v>
      </c>
      <c r="N369" s="343">
        <v>0</v>
      </c>
      <c r="O369" s="343">
        <v>0</v>
      </c>
      <c r="P369" s="338"/>
      <c r="Q369" s="339" t="s">
        <v>36</v>
      </c>
      <c r="R369" s="339" t="s">
        <v>169</v>
      </c>
      <c r="S369" s="341" t="s">
        <v>5006</v>
      </c>
      <c r="T369" s="338"/>
      <c r="U369" s="327"/>
      <c r="V369" s="327"/>
      <c r="W369" s="327"/>
      <c r="X369" s="327"/>
      <c r="Y369" s="327"/>
      <c r="Z369" s="330"/>
    </row>
    <row r="370" spans="1:26" ht="37.5" hidden="1">
      <c r="A370" s="339">
        <v>419</v>
      </c>
      <c r="B370" s="338" t="s">
        <v>4003</v>
      </c>
      <c r="C370" s="340">
        <v>42339</v>
      </c>
      <c r="D370" s="338" t="s">
        <v>4007</v>
      </c>
      <c r="E370" s="341" t="s">
        <v>4005</v>
      </c>
      <c r="F370" s="338"/>
      <c r="G370" s="338"/>
      <c r="H370" s="339" t="s">
        <v>249</v>
      </c>
      <c r="I370" s="339">
        <v>1</v>
      </c>
      <c r="J370" s="342">
        <v>19328552</v>
      </c>
      <c r="K370" s="342">
        <v>19328552</v>
      </c>
      <c r="L370" s="342">
        <v>0</v>
      </c>
      <c r="M370" s="343">
        <v>0</v>
      </c>
      <c r="N370" s="343">
        <v>0</v>
      </c>
      <c r="O370" s="343">
        <v>0</v>
      </c>
      <c r="P370" s="338"/>
      <c r="Q370" s="339" t="s">
        <v>36</v>
      </c>
      <c r="R370" s="339" t="s">
        <v>169</v>
      </c>
      <c r="S370" s="341" t="s">
        <v>5006</v>
      </c>
      <c r="T370" s="338"/>
      <c r="U370" s="327"/>
      <c r="V370" s="327"/>
      <c r="W370" s="327"/>
      <c r="X370" s="327"/>
      <c r="Y370" s="327"/>
      <c r="Z370" s="330"/>
    </row>
    <row r="371" spans="1:26" ht="37.5" hidden="1">
      <c r="A371" s="339">
        <v>420</v>
      </c>
      <c r="B371" s="338" t="s">
        <v>4003</v>
      </c>
      <c r="C371" s="340">
        <v>42339</v>
      </c>
      <c r="D371" s="338" t="s">
        <v>4008</v>
      </c>
      <c r="E371" s="341" t="s">
        <v>4005</v>
      </c>
      <c r="F371" s="338"/>
      <c r="G371" s="338"/>
      <c r="H371" s="339" t="s">
        <v>249</v>
      </c>
      <c r="I371" s="339">
        <v>1</v>
      </c>
      <c r="J371" s="342">
        <v>19328552</v>
      </c>
      <c r="K371" s="342">
        <v>19328552</v>
      </c>
      <c r="L371" s="342">
        <v>0</v>
      </c>
      <c r="M371" s="343">
        <v>0</v>
      </c>
      <c r="N371" s="343">
        <v>0</v>
      </c>
      <c r="O371" s="343">
        <v>0</v>
      </c>
      <c r="P371" s="338"/>
      <c r="Q371" s="339" t="s">
        <v>36</v>
      </c>
      <c r="R371" s="339" t="s">
        <v>169</v>
      </c>
      <c r="S371" s="341" t="s">
        <v>5006</v>
      </c>
      <c r="T371" s="338"/>
      <c r="U371" s="327"/>
      <c r="V371" s="327"/>
      <c r="W371" s="327"/>
      <c r="X371" s="327"/>
      <c r="Y371" s="327"/>
      <c r="Z371" s="330"/>
    </row>
    <row r="372" spans="1:26" ht="37.5" hidden="1">
      <c r="A372" s="339">
        <v>421</v>
      </c>
      <c r="B372" s="338" t="s">
        <v>4003</v>
      </c>
      <c r="C372" s="340">
        <v>42339</v>
      </c>
      <c r="D372" s="338" t="s">
        <v>4009</v>
      </c>
      <c r="E372" s="341" t="s">
        <v>4005</v>
      </c>
      <c r="F372" s="338"/>
      <c r="G372" s="338"/>
      <c r="H372" s="339" t="s">
        <v>249</v>
      </c>
      <c r="I372" s="339">
        <v>1</v>
      </c>
      <c r="J372" s="342">
        <v>19328552</v>
      </c>
      <c r="K372" s="342">
        <v>19328552</v>
      </c>
      <c r="L372" s="342">
        <v>0</v>
      </c>
      <c r="M372" s="343">
        <v>0</v>
      </c>
      <c r="N372" s="343">
        <v>0</v>
      </c>
      <c r="O372" s="343">
        <v>0</v>
      </c>
      <c r="P372" s="338"/>
      <c r="Q372" s="339" t="s">
        <v>206</v>
      </c>
      <c r="R372" s="339" t="s">
        <v>2622</v>
      </c>
      <c r="S372" s="341" t="s">
        <v>4010</v>
      </c>
      <c r="T372" s="338"/>
      <c r="U372" s="327"/>
      <c r="V372" s="327"/>
      <c r="W372" s="327"/>
      <c r="X372" s="327"/>
      <c r="Y372" s="327"/>
      <c r="Z372" s="330"/>
    </row>
    <row r="373" spans="1:26" ht="37.5" hidden="1">
      <c r="A373" s="339">
        <v>422</v>
      </c>
      <c r="B373" s="338" t="s">
        <v>4003</v>
      </c>
      <c r="C373" s="340">
        <v>42339</v>
      </c>
      <c r="D373" s="338" t="s">
        <v>4011</v>
      </c>
      <c r="E373" s="341" t="s">
        <v>4005</v>
      </c>
      <c r="F373" s="338"/>
      <c r="G373" s="338"/>
      <c r="H373" s="339" t="s">
        <v>249</v>
      </c>
      <c r="I373" s="339">
        <v>1</v>
      </c>
      <c r="J373" s="342">
        <v>19328552</v>
      </c>
      <c r="K373" s="342">
        <v>19328552</v>
      </c>
      <c r="L373" s="342">
        <v>0</v>
      </c>
      <c r="M373" s="343">
        <v>0</v>
      </c>
      <c r="N373" s="343">
        <v>0</v>
      </c>
      <c r="O373" s="343">
        <v>0</v>
      </c>
      <c r="P373" s="338"/>
      <c r="Q373" s="339" t="s">
        <v>206</v>
      </c>
      <c r="R373" s="339" t="s">
        <v>2622</v>
      </c>
      <c r="S373" s="341" t="s">
        <v>4010</v>
      </c>
      <c r="T373" s="338"/>
      <c r="U373" s="327"/>
      <c r="V373" s="327"/>
      <c r="W373" s="327"/>
      <c r="X373" s="327"/>
      <c r="Y373" s="327"/>
      <c r="Z373" s="330"/>
    </row>
    <row r="374" spans="1:26" ht="37.5" hidden="1">
      <c r="A374" s="339">
        <v>423</v>
      </c>
      <c r="B374" s="338" t="s">
        <v>4003</v>
      </c>
      <c r="C374" s="340">
        <v>42339</v>
      </c>
      <c r="D374" s="338" t="s">
        <v>4012</v>
      </c>
      <c r="E374" s="341" t="s">
        <v>4005</v>
      </c>
      <c r="F374" s="338"/>
      <c r="G374" s="338"/>
      <c r="H374" s="339" t="s">
        <v>249</v>
      </c>
      <c r="I374" s="339">
        <v>1</v>
      </c>
      <c r="J374" s="342">
        <v>19328552</v>
      </c>
      <c r="K374" s="342">
        <v>19328552</v>
      </c>
      <c r="L374" s="342">
        <v>0</v>
      </c>
      <c r="M374" s="343">
        <v>0</v>
      </c>
      <c r="N374" s="343">
        <v>0</v>
      </c>
      <c r="O374" s="343">
        <v>0</v>
      </c>
      <c r="P374" s="338"/>
      <c r="Q374" s="339" t="s">
        <v>206</v>
      </c>
      <c r="R374" s="339" t="s">
        <v>2622</v>
      </c>
      <c r="S374" s="341" t="s">
        <v>4010</v>
      </c>
      <c r="T374" s="338"/>
      <c r="U374" s="327"/>
      <c r="V374" s="327"/>
      <c r="W374" s="327"/>
      <c r="X374" s="327"/>
      <c r="Y374" s="327"/>
      <c r="Z374" s="330"/>
    </row>
    <row r="375" spans="1:26" ht="25" hidden="1">
      <c r="A375" s="339">
        <v>424</v>
      </c>
      <c r="B375" s="338" t="s">
        <v>3836</v>
      </c>
      <c r="C375" s="340">
        <v>43434</v>
      </c>
      <c r="D375" s="338" t="s">
        <v>4013</v>
      </c>
      <c r="E375" s="341" t="s">
        <v>3729</v>
      </c>
      <c r="F375" s="338"/>
      <c r="G375" s="338"/>
      <c r="H375" s="339" t="s">
        <v>249</v>
      </c>
      <c r="I375" s="339">
        <v>1</v>
      </c>
      <c r="J375" s="342">
        <v>1500000</v>
      </c>
      <c r="K375" s="342">
        <v>1500000</v>
      </c>
      <c r="L375" s="342">
        <v>0</v>
      </c>
      <c r="M375" s="343">
        <v>0</v>
      </c>
      <c r="N375" s="343">
        <v>0</v>
      </c>
      <c r="O375" s="343">
        <v>0</v>
      </c>
      <c r="P375" s="338"/>
      <c r="Q375" s="339" t="s">
        <v>36</v>
      </c>
      <c r="R375" s="339" t="s">
        <v>37</v>
      </c>
      <c r="S375" s="341" t="s">
        <v>4014</v>
      </c>
      <c r="T375" s="338"/>
      <c r="U375" s="327"/>
      <c r="V375" s="327"/>
      <c r="W375" s="327"/>
      <c r="X375" s="327"/>
      <c r="Y375" s="327"/>
      <c r="Z375" s="330"/>
    </row>
    <row r="376" spans="1:26" ht="25">
      <c r="A376" s="339">
        <v>425</v>
      </c>
      <c r="B376" s="338" t="s">
        <v>3944</v>
      </c>
      <c r="C376" s="340">
        <v>43343</v>
      </c>
      <c r="D376" s="338" t="s">
        <v>4015</v>
      </c>
      <c r="E376" s="341" t="s">
        <v>5007</v>
      </c>
      <c r="F376" s="341" t="s">
        <v>5008</v>
      </c>
      <c r="G376" s="338" t="s">
        <v>1435</v>
      </c>
      <c r="H376" s="339" t="s">
        <v>249</v>
      </c>
      <c r="I376" s="339">
        <v>1</v>
      </c>
      <c r="J376" s="342">
        <v>6890000</v>
      </c>
      <c r="K376" s="342">
        <v>6890000</v>
      </c>
      <c r="L376" s="342">
        <v>0</v>
      </c>
      <c r="M376" s="343">
        <v>0</v>
      </c>
      <c r="N376" s="343">
        <v>0</v>
      </c>
      <c r="O376" s="343">
        <v>0</v>
      </c>
      <c r="P376" s="338"/>
      <c r="Q376" s="339" t="s">
        <v>20</v>
      </c>
      <c r="R376" s="339" t="s">
        <v>423</v>
      </c>
      <c r="S376" s="341" t="s">
        <v>4017</v>
      </c>
      <c r="T376" s="338"/>
      <c r="U376" s="327"/>
      <c r="V376" s="327"/>
      <c r="W376" s="327"/>
      <c r="X376" s="327"/>
      <c r="Y376" s="327"/>
      <c r="Z376" s="330"/>
    </row>
    <row r="377" spans="1:26" ht="25" hidden="1">
      <c r="A377" s="339">
        <v>426</v>
      </c>
      <c r="B377" s="338" t="s">
        <v>3944</v>
      </c>
      <c r="C377" s="340">
        <v>43343</v>
      </c>
      <c r="D377" s="338" t="s">
        <v>4018</v>
      </c>
      <c r="E377" s="341" t="s">
        <v>5007</v>
      </c>
      <c r="F377" s="341" t="s">
        <v>5009</v>
      </c>
      <c r="G377" s="338" t="s">
        <v>1435</v>
      </c>
      <c r="H377" s="339" t="s">
        <v>249</v>
      </c>
      <c r="I377" s="339">
        <v>1</v>
      </c>
      <c r="J377" s="342">
        <v>6890000</v>
      </c>
      <c r="K377" s="342">
        <v>6890000</v>
      </c>
      <c r="L377" s="342">
        <v>0</v>
      </c>
      <c r="M377" s="343">
        <v>0</v>
      </c>
      <c r="N377" s="343">
        <v>0</v>
      </c>
      <c r="O377" s="343">
        <v>0</v>
      </c>
      <c r="P377" s="338"/>
      <c r="Q377" s="339" t="s">
        <v>20</v>
      </c>
      <c r="R377" s="346" t="s">
        <v>229</v>
      </c>
      <c r="S377" s="341" t="str">
        <f>IFERROR(VLOOKUP(D377, CCDC_XUAN!$D$16:$S$693, 16, 0), "Không tìm thấy")</f>
        <v>F1 - MC</v>
      </c>
      <c r="T377" s="338"/>
      <c r="U377" s="327"/>
      <c r="V377" s="327"/>
      <c r="W377" s="327"/>
      <c r="X377" s="327"/>
      <c r="Y377" s="327"/>
      <c r="Z377" s="330"/>
    </row>
    <row r="378" spans="1:26" ht="25" hidden="1">
      <c r="A378" s="339">
        <v>427</v>
      </c>
      <c r="B378" s="338" t="s">
        <v>3944</v>
      </c>
      <c r="C378" s="340">
        <v>43343</v>
      </c>
      <c r="D378" s="338" t="s">
        <v>4020</v>
      </c>
      <c r="E378" s="341" t="s">
        <v>4021</v>
      </c>
      <c r="F378" s="341" t="s">
        <v>5010</v>
      </c>
      <c r="G378" s="338" t="s">
        <v>55</v>
      </c>
      <c r="H378" s="339" t="s">
        <v>249</v>
      </c>
      <c r="I378" s="339">
        <v>1</v>
      </c>
      <c r="J378" s="342">
        <v>7420000</v>
      </c>
      <c r="K378" s="342">
        <v>7420000</v>
      </c>
      <c r="L378" s="342">
        <v>0</v>
      </c>
      <c r="M378" s="343">
        <v>0</v>
      </c>
      <c r="N378" s="343">
        <v>0</v>
      </c>
      <c r="O378" s="343">
        <v>0</v>
      </c>
      <c r="P378" s="338"/>
      <c r="Q378" s="339" t="s">
        <v>206</v>
      </c>
      <c r="R378" s="339" t="s">
        <v>2427</v>
      </c>
      <c r="S378" s="341" t="s">
        <v>3947</v>
      </c>
      <c r="T378" s="338"/>
      <c r="U378" s="327"/>
      <c r="V378" s="327"/>
      <c r="W378" s="327"/>
      <c r="X378" s="327"/>
      <c r="Y378" s="327"/>
      <c r="Z378" s="330"/>
    </row>
    <row r="379" spans="1:26" ht="25" hidden="1">
      <c r="A379" s="339">
        <v>428</v>
      </c>
      <c r="B379" s="338" t="s">
        <v>3944</v>
      </c>
      <c r="C379" s="340">
        <v>43343</v>
      </c>
      <c r="D379" s="338" t="s">
        <v>4022</v>
      </c>
      <c r="E379" s="341" t="s">
        <v>4021</v>
      </c>
      <c r="F379" s="341" t="s">
        <v>5011</v>
      </c>
      <c r="G379" s="338" t="s">
        <v>55</v>
      </c>
      <c r="H379" s="339" t="s">
        <v>249</v>
      </c>
      <c r="I379" s="339">
        <v>1</v>
      </c>
      <c r="J379" s="342">
        <v>7420000</v>
      </c>
      <c r="K379" s="342">
        <v>7420000</v>
      </c>
      <c r="L379" s="342">
        <v>0</v>
      </c>
      <c r="M379" s="343">
        <v>0</v>
      </c>
      <c r="N379" s="343">
        <v>0</v>
      </c>
      <c r="O379" s="343">
        <v>0</v>
      </c>
      <c r="P379" s="338"/>
      <c r="Q379" s="339" t="s">
        <v>206</v>
      </c>
      <c r="R379" s="339" t="s">
        <v>2427</v>
      </c>
      <c r="S379" s="341" t="s">
        <v>3947</v>
      </c>
      <c r="T379" s="338"/>
      <c r="U379" s="327"/>
      <c r="V379" s="327"/>
      <c r="W379" s="327"/>
      <c r="X379" s="327"/>
      <c r="Y379" s="327"/>
      <c r="Z379" s="330"/>
    </row>
    <row r="380" spans="1:26" ht="25" hidden="1">
      <c r="A380" s="339">
        <v>429</v>
      </c>
      <c r="B380" s="338" t="s">
        <v>3944</v>
      </c>
      <c r="C380" s="340">
        <v>43343</v>
      </c>
      <c r="D380" s="338" t="s">
        <v>4023</v>
      </c>
      <c r="E380" s="341" t="s">
        <v>4021</v>
      </c>
      <c r="F380" s="341" t="s">
        <v>5012</v>
      </c>
      <c r="G380" s="338" t="s">
        <v>55</v>
      </c>
      <c r="H380" s="339" t="s">
        <v>249</v>
      </c>
      <c r="I380" s="339">
        <v>1</v>
      </c>
      <c r="J380" s="342">
        <v>7420000</v>
      </c>
      <c r="K380" s="342">
        <v>7420000</v>
      </c>
      <c r="L380" s="342">
        <v>0</v>
      </c>
      <c r="M380" s="343">
        <v>0</v>
      </c>
      <c r="N380" s="343">
        <v>0</v>
      </c>
      <c r="O380" s="343">
        <v>0</v>
      </c>
      <c r="P380" s="338"/>
      <c r="Q380" s="339" t="s">
        <v>206</v>
      </c>
      <c r="R380" s="339" t="s">
        <v>2427</v>
      </c>
      <c r="S380" s="341" t="s">
        <v>3947</v>
      </c>
      <c r="T380" s="338"/>
      <c r="U380" s="327"/>
      <c r="V380" s="327"/>
      <c r="W380" s="327"/>
      <c r="X380" s="327"/>
      <c r="Y380" s="327"/>
      <c r="Z380" s="330"/>
    </row>
    <row r="381" spans="1:26" ht="25" hidden="1">
      <c r="A381" s="339">
        <v>430</v>
      </c>
      <c r="B381" s="338" t="s">
        <v>3944</v>
      </c>
      <c r="C381" s="340">
        <v>43343</v>
      </c>
      <c r="D381" s="338" t="s">
        <v>4024</v>
      </c>
      <c r="E381" s="341" t="s">
        <v>4021</v>
      </c>
      <c r="F381" s="341" t="s">
        <v>5013</v>
      </c>
      <c r="G381" s="338" t="s">
        <v>55</v>
      </c>
      <c r="H381" s="339" t="s">
        <v>249</v>
      </c>
      <c r="I381" s="339">
        <v>1</v>
      </c>
      <c r="J381" s="342">
        <v>7420000</v>
      </c>
      <c r="K381" s="342">
        <v>7420000</v>
      </c>
      <c r="L381" s="342">
        <v>0</v>
      </c>
      <c r="M381" s="343">
        <v>0</v>
      </c>
      <c r="N381" s="343">
        <v>0</v>
      </c>
      <c r="O381" s="343">
        <v>0</v>
      </c>
      <c r="P381" s="338"/>
      <c r="Q381" s="339" t="s">
        <v>206</v>
      </c>
      <c r="R381" s="339" t="s">
        <v>2427</v>
      </c>
      <c r="S381" s="341" t="s">
        <v>3947</v>
      </c>
      <c r="T381" s="338"/>
      <c r="U381" s="327"/>
      <c r="V381" s="327"/>
      <c r="W381" s="327"/>
      <c r="X381" s="327"/>
      <c r="Y381" s="327"/>
      <c r="Z381" s="330"/>
    </row>
    <row r="382" spans="1:26" ht="25" hidden="1">
      <c r="A382" s="339">
        <v>431</v>
      </c>
      <c r="B382" s="338" t="s">
        <v>3944</v>
      </c>
      <c r="C382" s="340">
        <v>43343</v>
      </c>
      <c r="D382" s="338" t="s">
        <v>4025</v>
      </c>
      <c r="E382" s="341" t="s">
        <v>4021</v>
      </c>
      <c r="F382" s="341" t="s">
        <v>5014</v>
      </c>
      <c r="G382" s="338" t="s">
        <v>55</v>
      </c>
      <c r="H382" s="339" t="s">
        <v>249</v>
      </c>
      <c r="I382" s="339">
        <v>1</v>
      </c>
      <c r="J382" s="342">
        <v>7420000</v>
      </c>
      <c r="K382" s="342">
        <v>7420000</v>
      </c>
      <c r="L382" s="342">
        <v>0</v>
      </c>
      <c r="M382" s="343">
        <v>0</v>
      </c>
      <c r="N382" s="343">
        <v>0</v>
      </c>
      <c r="O382" s="343">
        <v>0</v>
      </c>
      <c r="P382" s="338"/>
      <c r="Q382" s="339" t="s">
        <v>206</v>
      </c>
      <c r="R382" s="339" t="s">
        <v>2427</v>
      </c>
      <c r="S382" s="341" t="s">
        <v>3947</v>
      </c>
      <c r="T382" s="338"/>
      <c r="U382" s="327"/>
      <c r="V382" s="327"/>
      <c r="W382" s="327"/>
      <c r="X382" s="327"/>
      <c r="Y382" s="327"/>
      <c r="Z382" s="330"/>
    </row>
    <row r="383" spans="1:26" ht="25" hidden="1">
      <c r="A383" s="339">
        <v>432</v>
      </c>
      <c r="B383" s="338" t="s">
        <v>3944</v>
      </c>
      <c r="C383" s="340">
        <v>43343</v>
      </c>
      <c r="D383" s="338" t="s">
        <v>4026</v>
      </c>
      <c r="E383" s="341" t="s">
        <v>4021</v>
      </c>
      <c r="F383" s="341" t="s">
        <v>5015</v>
      </c>
      <c r="G383" s="338" t="s">
        <v>55</v>
      </c>
      <c r="H383" s="339" t="s">
        <v>249</v>
      </c>
      <c r="I383" s="339">
        <v>1</v>
      </c>
      <c r="J383" s="342">
        <v>7420000</v>
      </c>
      <c r="K383" s="342">
        <v>7420000</v>
      </c>
      <c r="L383" s="342">
        <v>0</v>
      </c>
      <c r="M383" s="343">
        <v>0</v>
      </c>
      <c r="N383" s="343">
        <v>0</v>
      </c>
      <c r="O383" s="343">
        <v>0</v>
      </c>
      <c r="P383" s="338"/>
      <c r="Q383" s="339" t="s">
        <v>206</v>
      </c>
      <c r="R383" s="339" t="s">
        <v>2427</v>
      </c>
      <c r="S383" s="341" t="s">
        <v>3947</v>
      </c>
      <c r="T383" s="338"/>
      <c r="U383" s="327"/>
      <c r="V383" s="327"/>
      <c r="W383" s="327"/>
      <c r="X383" s="327"/>
      <c r="Y383" s="327"/>
      <c r="Z383" s="330"/>
    </row>
    <row r="384" spans="1:26" ht="25" hidden="1">
      <c r="A384" s="339">
        <v>433</v>
      </c>
      <c r="B384" s="338" t="s">
        <v>3944</v>
      </c>
      <c r="C384" s="340">
        <v>43343</v>
      </c>
      <c r="D384" s="338" t="s">
        <v>4027</v>
      </c>
      <c r="E384" s="341" t="s">
        <v>4021</v>
      </c>
      <c r="F384" s="341" t="s">
        <v>5016</v>
      </c>
      <c r="G384" s="338" t="s">
        <v>55</v>
      </c>
      <c r="H384" s="339" t="s">
        <v>249</v>
      </c>
      <c r="I384" s="339">
        <v>1</v>
      </c>
      <c r="J384" s="342">
        <v>7420000</v>
      </c>
      <c r="K384" s="342">
        <v>7420000</v>
      </c>
      <c r="L384" s="342">
        <v>0</v>
      </c>
      <c r="M384" s="343">
        <v>0</v>
      </c>
      <c r="N384" s="343">
        <v>0</v>
      </c>
      <c r="O384" s="343">
        <v>0</v>
      </c>
      <c r="P384" s="338"/>
      <c r="Q384" s="339" t="s">
        <v>206</v>
      </c>
      <c r="R384" s="339" t="s">
        <v>2427</v>
      </c>
      <c r="S384" s="341" t="s">
        <v>3947</v>
      </c>
      <c r="T384" s="338"/>
      <c r="U384" s="327"/>
      <c r="V384" s="327"/>
      <c r="W384" s="327"/>
      <c r="X384" s="327"/>
      <c r="Y384" s="327"/>
      <c r="Z384" s="330"/>
    </row>
    <row r="385" spans="1:26" ht="25" hidden="1">
      <c r="A385" s="339">
        <v>434</v>
      </c>
      <c r="B385" s="338" t="s">
        <v>3944</v>
      </c>
      <c r="C385" s="340">
        <v>43343</v>
      </c>
      <c r="D385" s="338" t="s">
        <v>4028</v>
      </c>
      <c r="E385" s="341" t="s">
        <v>4021</v>
      </c>
      <c r="F385" s="341" t="s">
        <v>5017</v>
      </c>
      <c r="G385" s="338" t="s">
        <v>55</v>
      </c>
      <c r="H385" s="339" t="s">
        <v>249</v>
      </c>
      <c r="I385" s="339">
        <v>1</v>
      </c>
      <c r="J385" s="342">
        <v>7420000</v>
      </c>
      <c r="K385" s="342">
        <v>7420000</v>
      </c>
      <c r="L385" s="342">
        <v>0</v>
      </c>
      <c r="M385" s="343">
        <v>0</v>
      </c>
      <c r="N385" s="343">
        <v>0</v>
      </c>
      <c r="O385" s="343">
        <v>0</v>
      </c>
      <c r="P385" s="338"/>
      <c r="Q385" s="339" t="s">
        <v>206</v>
      </c>
      <c r="R385" s="339" t="s">
        <v>2427</v>
      </c>
      <c r="S385" s="341" t="s">
        <v>3947</v>
      </c>
      <c r="T385" s="338"/>
      <c r="U385" s="327"/>
      <c r="V385" s="327"/>
      <c r="W385" s="327"/>
      <c r="X385" s="327"/>
      <c r="Y385" s="327"/>
      <c r="Z385" s="330"/>
    </row>
    <row r="386" spans="1:26" ht="25" hidden="1">
      <c r="A386" s="339">
        <v>435</v>
      </c>
      <c r="B386" s="338" t="s">
        <v>3944</v>
      </c>
      <c r="C386" s="340">
        <v>43343</v>
      </c>
      <c r="D386" s="338" t="s">
        <v>4029</v>
      </c>
      <c r="E386" s="341" t="s">
        <v>4021</v>
      </c>
      <c r="F386" s="341" t="s">
        <v>5018</v>
      </c>
      <c r="G386" s="338" t="s">
        <v>55</v>
      </c>
      <c r="H386" s="339" t="s">
        <v>249</v>
      </c>
      <c r="I386" s="339">
        <v>1</v>
      </c>
      <c r="J386" s="342">
        <v>7420000</v>
      </c>
      <c r="K386" s="342">
        <v>7420000</v>
      </c>
      <c r="L386" s="342">
        <v>0</v>
      </c>
      <c r="M386" s="343">
        <v>0</v>
      </c>
      <c r="N386" s="343">
        <v>0</v>
      </c>
      <c r="O386" s="343">
        <v>0</v>
      </c>
      <c r="P386" s="338"/>
      <c r="Q386" s="339" t="s">
        <v>206</v>
      </c>
      <c r="R386" s="339" t="s">
        <v>2427</v>
      </c>
      <c r="S386" s="341" t="s">
        <v>3947</v>
      </c>
      <c r="T386" s="338"/>
      <c r="U386" s="327"/>
      <c r="V386" s="327"/>
      <c r="W386" s="327"/>
      <c r="X386" s="327"/>
      <c r="Y386" s="327"/>
      <c r="Z386" s="330"/>
    </row>
    <row r="387" spans="1:26" ht="25" hidden="1">
      <c r="A387" s="339">
        <v>436</v>
      </c>
      <c r="B387" s="338" t="s">
        <v>3944</v>
      </c>
      <c r="C387" s="340">
        <v>43343</v>
      </c>
      <c r="D387" s="338" t="s">
        <v>4030</v>
      </c>
      <c r="E387" s="341" t="s">
        <v>4021</v>
      </c>
      <c r="F387" s="341" t="s">
        <v>5019</v>
      </c>
      <c r="G387" s="338" t="s">
        <v>55</v>
      </c>
      <c r="H387" s="339" t="s">
        <v>249</v>
      </c>
      <c r="I387" s="339">
        <v>1</v>
      </c>
      <c r="J387" s="342">
        <v>7420000</v>
      </c>
      <c r="K387" s="342">
        <v>7420000</v>
      </c>
      <c r="L387" s="342">
        <v>0</v>
      </c>
      <c r="M387" s="343">
        <v>0</v>
      </c>
      <c r="N387" s="343">
        <v>0</v>
      </c>
      <c r="O387" s="343">
        <v>0</v>
      </c>
      <c r="P387" s="338"/>
      <c r="Q387" s="339" t="s">
        <v>206</v>
      </c>
      <c r="R387" s="339" t="s">
        <v>2427</v>
      </c>
      <c r="S387" s="341" t="s">
        <v>3947</v>
      </c>
      <c r="T387" s="338"/>
      <c r="U387" s="327"/>
      <c r="V387" s="327"/>
      <c r="W387" s="327"/>
      <c r="X387" s="327"/>
      <c r="Y387" s="327"/>
      <c r="Z387" s="330"/>
    </row>
    <row r="388" spans="1:26" ht="62.5" hidden="1">
      <c r="A388" s="339">
        <v>437</v>
      </c>
      <c r="B388" s="338" t="s">
        <v>4031</v>
      </c>
      <c r="C388" s="340">
        <v>43343</v>
      </c>
      <c r="D388" s="338" t="s">
        <v>4032</v>
      </c>
      <c r="E388" s="341" t="s">
        <v>4033</v>
      </c>
      <c r="F388" s="341" t="s">
        <v>5020</v>
      </c>
      <c r="G388" s="338" t="s">
        <v>573</v>
      </c>
      <c r="H388" s="339" t="s">
        <v>19</v>
      </c>
      <c r="I388" s="339">
        <v>1</v>
      </c>
      <c r="J388" s="342">
        <v>27000000</v>
      </c>
      <c r="K388" s="342">
        <v>27000000</v>
      </c>
      <c r="L388" s="342">
        <v>18000000</v>
      </c>
      <c r="M388" s="343">
        <v>33</v>
      </c>
      <c r="N388" s="343">
        <v>9000000</v>
      </c>
      <c r="O388" s="343">
        <v>9000000</v>
      </c>
      <c r="P388" s="338"/>
      <c r="Q388" s="339" t="s">
        <v>20</v>
      </c>
      <c r="R388" s="339" t="s">
        <v>284</v>
      </c>
      <c r="S388" s="341" t="s">
        <v>2122</v>
      </c>
      <c r="T388" s="338"/>
      <c r="U388" s="327"/>
      <c r="V388" s="327"/>
      <c r="W388" s="327"/>
      <c r="X388" s="327"/>
      <c r="Y388" s="327"/>
      <c r="Z388" s="330"/>
    </row>
    <row r="389" spans="1:26" ht="62.5" hidden="1">
      <c r="A389" s="339">
        <v>438</v>
      </c>
      <c r="B389" s="338" t="s">
        <v>4031</v>
      </c>
      <c r="C389" s="340">
        <v>43343</v>
      </c>
      <c r="D389" s="338" t="s">
        <v>4034</v>
      </c>
      <c r="E389" s="341" t="s">
        <v>4033</v>
      </c>
      <c r="F389" s="341" t="s">
        <v>5021</v>
      </c>
      <c r="G389" s="338" t="s">
        <v>573</v>
      </c>
      <c r="H389" s="339" t="s">
        <v>19</v>
      </c>
      <c r="I389" s="339">
        <v>1</v>
      </c>
      <c r="J389" s="342">
        <v>27000000</v>
      </c>
      <c r="K389" s="342">
        <v>27000000</v>
      </c>
      <c r="L389" s="342">
        <v>18000000</v>
      </c>
      <c r="M389" s="343">
        <v>33</v>
      </c>
      <c r="N389" s="343">
        <v>9000000</v>
      </c>
      <c r="O389" s="343">
        <v>9000000</v>
      </c>
      <c r="P389" s="338"/>
      <c r="Q389" s="339" t="s">
        <v>20</v>
      </c>
      <c r="R389" s="339" t="s">
        <v>284</v>
      </c>
      <c r="S389" s="341" t="s">
        <v>2122</v>
      </c>
      <c r="T389" s="338"/>
      <c r="U389" s="327"/>
      <c r="V389" s="327"/>
      <c r="W389" s="327"/>
      <c r="X389" s="327"/>
      <c r="Y389" s="327"/>
      <c r="Z389" s="330"/>
    </row>
    <row r="390" spans="1:26" ht="62.5" hidden="1">
      <c r="A390" s="339">
        <v>439</v>
      </c>
      <c r="B390" s="338" t="s">
        <v>4031</v>
      </c>
      <c r="C390" s="340">
        <v>43343</v>
      </c>
      <c r="D390" s="338" t="s">
        <v>4035</v>
      </c>
      <c r="E390" s="341" t="s">
        <v>4036</v>
      </c>
      <c r="F390" s="341" t="s">
        <v>5022</v>
      </c>
      <c r="G390" s="338" t="s">
        <v>573</v>
      </c>
      <c r="H390" s="339" t="s">
        <v>19</v>
      </c>
      <c r="I390" s="339">
        <v>1</v>
      </c>
      <c r="J390" s="342">
        <v>27000000</v>
      </c>
      <c r="K390" s="342">
        <v>27000000</v>
      </c>
      <c r="L390" s="342">
        <v>18000000</v>
      </c>
      <c r="M390" s="343">
        <v>33</v>
      </c>
      <c r="N390" s="343">
        <v>9000000</v>
      </c>
      <c r="O390" s="343">
        <v>9000000</v>
      </c>
      <c r="P390" s="338"/>
      <c r="Q390" s="339" t="s">
        <v>20</v>
      </c>
      <c r="R390" s="339" t="s">
        <v>284</v>
      </c>
      <c r="S390" s="341" t="s">
        <v>2122</v>
      </c>
      <c r="T390" s="338"/>
      <c r="U390" s="327"/>
      <c r="V390" s="327"/>
      <c r="W390" s="327"/>
      <c r="X390" s="327"/>
      <c r="Y390" s="327"/>
      <c r="Z390" s="330"/>
    </row>
    <row r="391" spans="1:26" ht="62.5" hidden="1">
      <c r="A391" s="339">
        <v>440</v>
      </c>
      <c r="B391" s="338" t="s">
        <v>4031</v>
      </c>
      <c r="C391" s="340">
        <v>43343</v>
      </c>
      <c r="D391" s="338" t="s">
        <v>4037</v>
      </c>
      <c r="E391" s="341" t="s">
        <v>4036</v>
      </c>
      <c r="F391" s="341" t="s">
        <v>5023</v>
      </c>
      <c r="G391" s="338" t="s">
        <v>573</v>
      </c>
      <c r="H391" s="339" t="s">
        <v>19</v>
      </c>
      <c r="I391" s="339">
        <v>1</v>
      </c>
      <c r="J391" s="342">
        <v>27000000</v>
      </c>
      <c r="K391" s="342">
        <v>27000000</v>
      </c>
      <c r="L391" s="342">
        <v>18000000</v>
      </c>
      <c r="M391" s="343">
        <v>33</v>
      </c>
      <c r="N391" s="343">
        <v>9000000</v>
      </c>
      <c r="O391" s="343">
        <v>9000000</v>
      </c>
      <c r="P391" s="338"/>
      <c r="Q391" s="339" t="s">
        <v>20</v>
      </c>
      <c r="R391" s="339" t="s">
        <v>284</v>
      </c>
      <c r="S391" s="341" t="s">
        <v>2122</v>
      </c>
      <c r="T391" s="338"/>
      <c r="U391" s="327"/>
      <c r="V391" s="327"/>
      <c r="W391" s="327"/>
      <c r="X391" s="327"/>
      <c r="Y391" s="327"/>
      <c r="Z391" s="330"/>
    </row>
    <row r="392" spans="1:26" ht="62.5" hidden="1">
      <c r="A392" s="339">
        <v>441</v>
      </c>
      <c r="B392" s="338" t="s">
        <v>4031</v>
      </c>
      <c r="C392" s="340">
        <v>43343</v>
      </c>
      <c r="D392" s="338" t="s">
        <v>4038</v>
      </c>
      <c r="E392" s="341" t="s">
        <v>4036</v>
      </c>
      <c r="F392" s="341" t="s">
        <v>5024</v>
      </c>
      <c r="G392" s="338" t="s">
        <v>573</v>
      </c>
      <c r="H392" s="339" t="s">
        <v>19</v>
      </c>
      <c r="I392" s="339">
        <v>1</v>
      </c>
      <c r="J392" s="342">
        <v>27000000</v>
      </c>
      <c r="K392" s="342">
        <v>27000000</v>
      </c>
      <c r="L392" s="342">
        <v>18000000</v>
      </c>
      <c r="M392" s="343">
        <v>33</v>
      </c>
      <c r="N392" s="343">
        <v>9000000</v>
      </c>
      <c r="O392" s="343">
        <v>9000000</v>
      </c>
      <c r="P392" s="338"/>
      <c r="Q392" s="339" t="s">
        <v>20</v>
      </c>
      <c r="R392" s="339" t="s">
        <v>284</v>
      </c>
      <c r="S392" s="341" t="s">
        <v>2122</v>
      </c>
      <c r="T392" s="338"/>
      <c r="U392" s="327"/>
      <c r="V392" s="327"/>
      <c r="W392" s="327"/>
      <c r="X392" s="327"/>
      <c r="Y392" s="327"/>
      <c r="Z392" s="330"/>
    </row>
    <row r="393" spans="1:26" ht="62.5" hidden="1">
      <c r="A393" s="339">
        <v>442</v>
      </c>
      <c r="B393" s="338" t="s">
        <v>4031</v>
      </c>
      <c r="C393" s="340">
        <v>43343</v>
      </c>
      <c r="D393" s="338" t="s">
        <v>4039</v>
      </c>
      <c r="E393" s="341" t="s">
        <v>4036</v>
      </c>
      <c r="F393" s="341" t="s">
        <v>5025</v>
      </c>
      <c r="G393" s="338" t="s">
        <v>573</v>
      </c>
      <c r="H393" s="339" t="s">
        <v>19</v>
      </c>
      <c r="I393" s="339">
        <v>1</v>
      </c>
      <c r="J393" s="342">
        <v>27000000</v>
      </c>
      <c r="K393" s="342">
        <v>27000000</v>
      </c>
      <c r="L393" s="342">
        <v>18000000</v>
      </c>
      <c r="M393" s="343">
        <v>33</v>
      </c>
      <c r="N393" s="343">
        <v>9000000</v>
      </c>
      <c r="O393" s="343">
        <v>9000000</v>
      </c>
      <c r="P393" s="338"/>
      <c r="Q393" s="339" t="s">
        <v>20</v>
      </c>
      <c r="R393" s="339" t="s">
        <v>284</v>
      </c>
      <c r="S393" s="341" t="s">
        <v>2122</v>
      </c>
      <c r="T393" s="338"/>
      <c r="U393" s="327"/>
      <c r="V393" s="327"/>
      <c r="W393" s="327"/>
      <c r="X393" s="327"/>
      <c r="Y393" s="327"/>
      <c r="Z393" s="330"/>
    </row>
    <row r="394" spans="1:26" ht="125" hidden="1">
      <c r="A394" s="339">
        <v>443</v>
      </c>
      <c r="B394" s="338" t="s">
        <v>4031</v>
      </c>
      <c r="C394" s="340">
        <v>43343</v>
      </c>
      <c r="D394" s="338" t="s">
        <v>4040</v>
      </c>
      <c r="E394" s="341" t="s">
        <v>5026</v>
      </c>
      <c r="F394" s="341" t="s">
        <v>5027</v>
      </c>
      <c r="G394" s="338" t="s">
        <v>307</v>
      </c>
      <c r="H394" s="339" t="s">
        <v>19</v>
      </c>
      <c r="I394" s="339">
        <v>1</v>
      </c>
      <c r="J394" s="342">
        <v>27350000</v>
      </c>
      <c r="K394" s="342">
        <v>27350000</v>
      </c>
      <c r="L394" s="342">
        <v>18233333</v>
      </c>
      <c r="M394" s="343">
        <v>33</v>
      </c>
      <c r="N394" s="343">
        <v>9116667</v>
      </c>
      <c r="O394" s="343">
        <v>9116666</v>
      </c>
      <c r="P394" s="338"/>
      <c r="Q394" s="339" t="s">
        <v>20</v>
      </c>
      <c r="R394" s="346" t="s">
        <v>229</v>
      </c>
      <c r="S394" s="341" t="str">
        <f>IFERROR(VLOOKUP(D394, CCDC_XUAN!$D$16:$S$693, 16, 0), "Không tìm thấy")</f>
        <v>A2-R8</v>
      </c>
      <c r="T394" s="338"/>
      <c r="U394" s="327"/>
      <c r="V394" s="327"/>
      <c r="W394" s="327"/>
      <c r="X394" s="327"/>
      <c r="Y394" s="327"/>
      <c r="Z394" s="330"/>
    </row>
    <row r="395" spans="1:26" ht="112.5" hidden="1">
      <c r="A395" s="339">
        <v>444</v>
      </c>
      <c r="B395" s="338" t="s">
        <v>4031</v>
      </c>
      <c r="C395" s="340">
        <v>43343</v>
      </c>
      <c r="D395" s="338" t="s">
        <v>4043</v>
      </c>
      <c r="E395" s="341" t="s">
        <v>4044</v>
      </c>
      <c r="F395" s="341" t="s">
        <v>5028</v>
      </c>
      <c r="G395" s="338" t="s">
        <v>307</v>
      </c>
      <c r="H395" s="339" t="s">
        <v>19</v>
      </c>
      <c r="I395" s="339">
        <v>1</v>
      </c>
      <c r="J395" s="342">
        <v>27500000</v>
      </c>
      <c r="K395" s="342">
        <v>27500000</v>
      </c>
      <c r="L395" s="342">
        <v>18333333</v>
      </c>
      <c r="M395" s="343">
        <v>33</v>
      </c>
      <c r="N395" s="343">
        <v>9166667</v>
      </c>
      <c r="O395" s="343">
        <v>9166666</v>
      </c>
      <c r="P395" s="338"/>
      <c r="Q395" s="339" t="s">
        <v>20</v>
      </c>
      <c r="R395" s="346" t="s">
        <v>229</v>
      </c>
      <c r="S395" s="341" t="str">
        <f>IFERROR(VLOOKUP(D395, CCDC_XUAN!$D$16:$S$693, 16, 0), "Không tìm thấy")</f>
        <v>A1-MC màn hình gắn trên CAM 3</v>
      </c>
      <c r="T395" s="338"/>
      <c r="U395" s="327"/>
      <c r="V395" s="327"/>
      <c r="W395" s="327"/>
      <c r="X395" s="327"/>
      <c r="Y395" s="327"/>
      <c r="Z395" s="330"/>
    </row>
    <row r="396" spans="1:26" ht="112.5" hidden="1">
      <c r="A396" s="339">
        <v>445</v>
      </c>
      <c r="B396" s="338" t="s">
        <v>4031</v>
      </c>
      <c r="C396" s="340">
        <v>43343</v>
      </c>
      <c r="D396" s="338" t="s">
        <v>4046</v>
      </c>
      <c r="E396" s="341" t="s">
        <v>4044</v>
      </c>
      <c r="F396" s="341" t="s">
        <v>5029</v>
      </c>
      <c r="G396" s="338" t="s">
        <v>307</v>
      </c>
      <c r="H396" s="339" t="s">
        <v>19</v>
      </c>
      <c r="I396" s="339">
        <v>1</v>
      </c>
      <c r="J396" s="342">
        <v>27500000</v>
      </c>
      <c r="K396" s="342">
        <v>27500000</v>
      </c>
      <c r="L396" s="342">
        <v>18333333</v>
      </c>
      <c r="M396" s="343">
        <v>33</v>
      </c>
      <c r="N396" s="343">
        <v>9166667</v>
      </c>
      <c r="O396" s="343">
        <v>9166666</v>
      </c>
      <c r="P396" s="338"/>
      <c r="Q396" s="339" t="s">
        <v>20</v>
      </c>
      <c r="R396" s="346" t="s">
        <v>229</v>
      </c>
      <c r="S396" s="341" t="str">
        <f>IFERROR(VLOOKUP(D396, CCDC_XUAN!$D$16:$S$693, 16, 0), "Không tìm thấy")</f>
        <v>F1 PHÒNG HIỆN. CAM 1 KHIẾM THÍNH</v>
      </c>
      <c r="T396" s="338"/>
      <c r="U396" s="327"/>
      <c r="V396" s="327"/>
      <c r="W396" s="327"/>
      <c r="X396" s="327"/>
      <c r="Y396" s="327"/>
      <c r="Z396" s="330"/>
    </row>
    <row r="397" spans="1:26" ht="112.5" hidden="1">
      <c r="A397" s="339">
        <v>446</v>
      </c>
      <c r="B397" s="338" t="s">
        <v>4031</v>
      </c>
      <c r="C397" s="340">
        <v>43343</v>
      </c>
      <c r="D397" s="338" t="s">
        <v>4048</v>
      </c>
      <c r="E397" s="341" t="s">
        <v>4044</v>
      </c>
      <c r="F397" s="341" t="s">
        <v>5030</v>
      </c>
      <c r="G397" s="338" t="s">
        <v>307</v>
      </c>
      <c r="H397" s="339" t="s">
        <v>19</v>
      </c>
      <c r="I397" s="339">
        <v>1</v>
      </c>
      <c r="J397" s="342">
        <v>27500000</v>
      </c>
      <c r="K397" s="342">
        <v>27500000</v>
      </c>
      <c r="L397" s="342">
        <v>18333333</v>
      </c>
      <c r="M397" s="343">
        <v>33</v>
      </c>
      <c r="N397" s="343">
        <v>9166667</v>
      </c>
      <c r="O397" s="343">
        <v>9166666</v>
      </c>
      <c r="P397" s="338"/>
      <c r="Q397" s="339" t="s">
        <v>20</v>
      </c>
      <c r="R397" s="346" t="s">
        <v>229</v>
      </c>
      <c r="S397" s="341" t="str">
        <f>IFERROR(VLOOKUP(D397, CCDC_XUAN!$D$16:$S$693, 16, 0), "Không tìm thấy")</f>
        <v>F1 - control</v>
      </c>
      <c r="T397" s="338"/>
      <c r="U397" s="327"/>
      <c r="V397" s="327"/>
      <c r="W397" s="327"/>
      <c r="X397" s="327"/>
      <c r="Y397" s="327"/>
      <c r="Z397" s="330"/>
    </row>
    <row r="398" spans="1:26" ht="100" hidden="1">
      <c r="A398" s="339">
        <v>447</v>
      </c>
      <c r="B398" s="338" t="s">
        <v>3944</v>
      </c>
      <c r="C398" s="340">
        <v>43343</v>
      </c>
      <c r="D398" s="338" t="s">
        <v>4050</v>
      </c>
      <c r="E398" s="341" t="s">
        <v>5031</v>
      </c>
      <c r="F398" s="341" t="s">
        <v>5032</v>
      </c>
      <c r="G398" s="338" t="s">
        <v>307</v>
      </c>
      <c r="H398" s="339" t="s">
        <v>249</v>
      </c>
      <c r="I398" s="339">
        <v>1</v>
      </c>
      <c r="J398" s="342">
        <v>8630000</v>
      </c>
      <c r="K398" s="342">
        <v>8630000</v>
      </c>
      <c r="L398" s="342">
        <v>0</v>
      </c>
      <c r="M398" s="343">
        <v>0</v>
      </c>
      <c r="N398" s="343">
        <v>0</v>
      </c>
      <c r="O398" s="343">
        <v>0</v>
      </c>
      <c r="P398" s="338"/>
      <c r="Q398" s="339" t="s">
        <v>20</v>
      </c>
      <c r="R398" s="339" t="s">
        <v>295</v>
      </c>
      <c r="S398" s="341" t="s">
        <v>2077</v>
      </c>
      <c r="T398" s="338"/>
      <c r="U398" s="327"/>
      <c r="V398" s="327"/>
      <c r="W398" s="327"/>
      <c r="X398" s="327"/>
      <c r="Y398" s="327"/>
      <c r="Z398" s="330"/>
    </row>
    <row r="399" spans="1:26" ht="100" hidden="1">
      <c r="A399" s="339">
        <v>448</v>
      </c>
      <c r="B399" s="338" t="s">
        <v>3944</v>
      </c>
      <c r="C399" s="340">
        <v>43343</v>
      </c>
      <c r="D399" s="338" t="s">
        <v>4053</v>
      </c>
      <c r="E399" s="341" t="s">
        <v>5031</v>
      </c>
      <c r="F399" s="341" t="s">
        <v>5033</v>
      </c>
      <c r="G399" s="338" t="s">
        <v>307</v>
      </c>
      <c r="H399" s="339" t="s">
        <v>249</v>
      </c>
      <c r="I399" s="339">
        <v>1</v>
      </c>
      <c r="J399" s="342">
        <v>8630000</v>
      </c>
      <c r="K399" s="342">
        <v>8630000</v>
      </c>
      <c r="L399" s="342">
        <v>0</v>
      </c>
      <c r="M399" s="343">
        <v>0</v>
      </c>
      <c r="N399" s="343">
        <v>0</v>
      </c>
      <c r="O399" s="343">
        <v>0</v>
      </c>
      <c r="P399" s="338"/>
      <c r="Q399" s="339" t="s">
        <v>20</v>
      </c>
      <c r="R399" s="339" t="s">
        <v>295</v>
      </c>
      <c r="S399" s="341" t="s">
        <v>4054</v>
      </c>
      <c r="T399" s="338"/>
      <c r="U399" s="327"/>
      <c r="V399" s="327"/>
      <c r="W399" s="327"/>
      <c r="X399" s="327"/>
      <c r="Y399" s="327"/>
      <c r="Z399" s="330"/>
    </row>
    <row r="400" spans="1:26" ht="62.5" hidden="1">
      <c r="A400" s="339">
        <v>449</v>
      </c>
      <c r="B400" s="338" t="s">
        <v>3944</v>
      </c>
      <c r="C400" s="340">
        <v>43343</v>
      </c>
      <c r="D400" s="338" t="s">
        <v>4055</v>
      </c>
      <c r="E400" s="341" t="s">
        <v>4056</v>
      </c>
      <c r="F400" s="341" t="s">
        <v>5034</v>
      </c>
      <c r="G400" s="338" t="s">
        <v>1754</v>
      </c>
      <c r="H400" s="339" t="s">
        <v>19</v>
      </c>
      <c r="I400" s="339">
        <v>1</v>
      </c>
      <c r="J400" s="342">
        <v>4000000</v>
      </c>
      <c r="K400" s="342">
        <v>4000000</v>
      </c>
      <c r="L400" s="342">
        <v>0</v>
      </c>
      <c r="M400" s="343">
        <v>0</v>
      </c>
      <c r="N400" s="343">
        <v>0</v>
      </c>
      <c r="O400" s="343">
        <v>0</v>
      </c>
      <c r="P400" s="338"/>
      <c r="Q400" s="339" t="s">
        <v>206</v>
      </c>
      <c r="R400" s="339" t="s">
        <v>2427</v>
      </c>
      <c r="S400" s="341" t="s">
        <v>3947</v>
      </c>
      <c r="T400" s="338"/>
      <c r="U400" s="327"/>
      <c r="V400" s="327"/>
      <c r="W400" s="327"/>
      <c r="X400" s="327"/>
      <c r="Y400" s="327"/>
      <c r="Z400" s="330"/>
    </row>
    <row r="401" spans="1:26" ht="62.5" hidden="1">
      <c r="A401" s="339">
        <v>450</v>
      </c>
      <c r="B401" s="338" t="s">
        <v>3944</v>
      </c>
      <c r="C401" s="340">
        <v>43343</v>
      </c>
      <c r="D401" s="338" t="s">
        <v>4057</v>
      </c>
      <c r="E401" s="341" t="s">
        <v>4056</v>
      </c>
      <c r="F401" s="341" t="s">
        <v>5035</v>
      </c>
      <c r="G401" s="338" t="s">
        <v>1754</v>
      </c>
      <c r="H401" s="339" t="s">
        <v>19</v>
      </c>
      <c r="I401" s="339">
        <v>1</v>
      </c>
      <c r="J401" s="342">
        <v>4000000</v>
      </c>
      <c r="K401" s="342">
        <v>4000000</v>
      </c>
      <c r="L401" s="342">
        <v>0</v>
      </c>
      <c r="M401" s="343">
        <v>0</v>
      </c>
      <c r="N401" s="343">
        <v>0</v>
      </c>
      <c r="O401" s="343">
        <v>0</v>
      </c>
      <c r="P401" s="338"/>
      <c r="Q401" s="339" t="s">
        <v>206</v>
      </c>
      <c r="R401" s="339" t="s">
        <v>2427</v>
      </c>
      <c r="S401" s="341" t="s">
        <v>3947</v>
      </c>
      <c r="T401" s="338"/>
      <c r="U401" s="327"/>
      <c r="V401" s="327"/>
      <c r="W401" s="327"/>
      <c r="X401" s="327"/>
      <c r="Y401" s="327"/>
      <c r="Z401" s="330"/>
    </row>
    <row r="402" spans="1:26" ht="62.5" hidden="1">
      <c r="A402" s="339">
        <v>451</v>
      </c>
      <c r="B402" s="338" t="s">
        <v>3944</v>
      </c>
      <c r="C402" s="340">
        <v>43343</v>
      </c>
      <c r="D402" s="338" t="s">
        <v>4058</v>
      </c>
      <c r="E402" s="341" t="s">
        <v>4056</v>
      </c>
      <c r="F402" s="341" t="s">
        <v>5036</v>
      </c>
      <c r="G402" s="338" t="s">
        <v>1754</v>
      </c>
      <c r="H402" s="339" t="s">
        <v>19</v>
      </c>
      <c r="I402" s="339">
        <v>1</v>
      </c>
      <c r="J402" s="342">
        <v>4000000</v>
      </c>
      <c r="K402" s="342">
        <v>4000000</v>
      </c>
      <c r="L402" s="342">
        <v>0</v>
      </c>
      <c r="M402" s="343">
        <v>0</v>
      </c>
      <c r="N402" s="343">
        <v>0</v>
      </c>
      <c r="O402" s="343">
        <v>0</v>
      </c>
      <c r="P402" s="338"/>
      <c r="Q402" s="339" t="s">
        <v>206</v>
      </c>
      <c r="R402" s="339" t="s">
        <v>2427</v>
      </c>
      <c r="S402" s="341" t="s">
        <v>3947</v>
      </c>
      <c r="T402" s="338"/>
      <c r="U402" s="327"/>
      <c r="V402" s="327"/>
      <c r="W402" s="327"/>
      <c r="X402" s="327"/>
      <c r="Y402" s="327"/>
      <c r="Z402" s="330"/>
    </row>
    <row r="403" spans="1:26" ht="62.5" hidden="1">
      <c r="A403" s="339">
        <v>452</v>
      </c>
      <c r="B403" s="338" t="s">
        <v>3944</v>
      </c>
      <c r="C403" s="340">
        <v>43343</v>
      </c>
      <c r="D403" s="338" t="s">
        <v>4059</v>
      </c>
      <c r="E403" s="341" t="s">
        <v>4056</v>
      </c>
      <c r="F403" s="341" t="s">
        <v>5037</v>
      </c>
      <c r="G403" s="338" t="s">
        <v>1754</v>
      </c>
      <c r="H403" s="339" t="s">
        <v>19</v>
      </c>
      <c r="I403" s="339">
        <v>1</v>
      </c>
      <c r="J403" s="342">
        <v>4000000</v>
      </c>
      <c r="K403" s="342">
        <v>4000000</v>
      </c>
      <c r="L403" s="342">
        <v>0</v>
      </c>
      <c r="M403" s="343">
        <v>0</v>
      </c>
      <c r="N403" s="343">
        <v>0</v>
      </c>
      <c r="O403" s="343">
        <v>0</v>
      </c>
      <c r="P403" s="338"/>
      <c r="Q403" s="339" t="s">
        <v>206</v>
      </c>
      <c r="R403" s="339" t="s">
        <v>2427</v>
      </c>
      <c r="S403" s="341" t="s">
        <v>3947</v>
      </c>
      <c r="T403" s="338"/>
      <c r="U403" s="327"/>
      <c r="V403" s="327"/>
      <c r="W403" s="327"/>
      <c r="X403" s="327"/>
      <c r="Y403" s="327"/>
      <c r="Z403" s="330"/>
    </row>
    <row r="404" spans="1:26" ht="62.5" hidden="1">
      <c r="A404" s="339">
        <v>453</v>
      </c>
      <c r="B404" s="338" t="s">
        <v>3944</v>
      </c>
      <c r="C404" s="340">
        <v>43343</v>
      </c>
      <c r="D404" s="338" t="s">
        <v>4060</v>
      </c>
      <c r="E404" s="341" t="s">
        <v>4056</v>
      </c>
      <c r="F404" s="341" t="s">
        <v>5038</v>
      </c>
      <c r="G404" s="338" t="s">
        <v>1754</v>
      </c>
      <c r="H404" s="339" t="s">
        <v>19</v>
      </c>
      <c r="I404" s="339">
        <v>1</v>
      </c>
      <c r="J404" s="342">
        <v>4000000</v>
      </c>
      <c r="K404" s="342">
        <v>4000000</v>
      </c>
      <c r="L404" s="342">
        <v>0</v>
      </c>
      <c r="M404" s="343">
        <v>0</v>
      </c>
      <c r="N404" s="343">
        <v>0</v>
      </c>
      <c r="O404" s="343">
        <v>0</v>
      </c>
      <c r="P404" s="338"/>
      <c r="Q404" s="339" t="s">
        <v>206</v>
      </c>
      <c r="R404" s="339" t="s">
        <v>2427</v>
      </c>
      <c r="S404" s="341" t="s">
        <v>3947</v>
      </c>
      <c r="T404" s="338"/>
      <c r="U404" s="327"/>
      <c r="V404" s="327"/>
      <c r="W404" s="327"/>
      <c r="X404" s="327"/>
      <c r="Y404" s="327"/>
      <c r="Z404" s="330"/>
    </row>
    <row r="405" spans="1:26" ht="25" hidden="1">
      <c r="A405" s="352">
        <v>454</v>
      </c>
      <c r="B405" s="353" t="s">
        <v>4061</v>
      </c>
      <c r="C405" s="354">
        <v>43545</v>
      </c>
      <c r="D405" s="338" t="s">
        <v>4062</v>
      </c>
      <c r="E405" s="355" t="s">
        <v>4063</v>
      </c>
      <c r="F405" s="355" t="s">
        <v>4064</v>
      </c>
      <c r="G405" s="353"/>
      <c r="H405" s="352" t="s">
        <v>249</v>
      </c>
      <c r="I405" s="352">
        <v>1</v>
      </c>
      <c r="J405" s="356">
        <v>6000000</v>
      </c>
      <c r="K405" s="356">
        <v>6000000</v>
      </c>
      <c r="L405" s="356">
        <v>6000000</v>
      </c>
      <c r="M405" s="357">
        <v>100</v>
      </c>
      <c r="N405" s="357">
        <v>6000000</v>
      </c>
      <c r="O405" s="357">
        <v>0</v>
      </c>
      <c r="P405" s="353"/>
      <c r="Q405" s="352" t="s">
        <v>206</v>
      </c>
      <c r="R405" s="370" t="s">
        <v>3635</v>
      </c>
      <c r="S405" s="355" t="s">
        <v>4065</v>
      </c>
      <c r="T405" s="338"/>
      <c r="U405" s="327"/>
      <c r="V405" s="327"/>
      <c r="W405" s="327"/>
      <c r="X405" s="327"/>
      <c r="Y405" s="327"/>
      <c r="Z405" s="330"/>
    </row>
    <row r="406" spans="1:26" ht="25" hidden="1">
      <c r="A406" s="352">
        <v>455</v>
      </c>
      <c r="B406" s="353" t="s">
        <v>4061</v>
      </c>
      <c r="C406" s="354">
        <v>43545</v>
      </c>
      <c r="D406" s="338" t="s">
        <v>4066</v>
      </c>
      <c r="E406" s="355" t="s">
        <v>4063</v>
      </c>
      <c r="F406" s="355" t="s">
        <v>4067</v>
      </c>
      <c r="G406" s="353"/>
      <c r="H406" s="352" t="s">
        <v>249</v>
      </c>
      <c r="I406" s="352">
        <v>1</v>
      </c>
      <c r="J406" s="356">
        <v>6000000</v>
      </c>
      <c r="K406" s="356">
        <v>6000000</v>
      </c>
      <c r="L406" s="356">
        <v>6000000</v>
      </c>
      <c r="M406" s="357">
        <v>100</v>
      </c>
      <c r="N406" s="357">
        <v>6000000</v>
      </c>
      <c r="O406" s="357">
        <v>0</v>
      </c>
      <c r="P406" s="353"/>
      <c r="Q406" s="352" t="s">
        <v>206</v>
      </c>
      <c r="R406" s="370" t="s">
        <v>3635</v>
      </c>
      <c r="S406" s="355" t="s">
        <v>4065</v>
      </c>
      <c r="T406" s="338"/>
      <c r="U406" s="327"/>
      <c r="V406" s="327"/>
      <c r="W406" s="327"/>
      <c r="X406" s="327"/>
      <c r="Y406" s="327"/>
      <c r="Z406" s="330"/>
    </row>
    <row r="407" spans="1:26" ht="37.5">
      <c r="A407" s="339">
        <v>456</v>
      </c>
      <c r="B407" s="338" t="s">
        <v>4068</v>
      </c>
      <c r="C407" s="340">
        <v>43797</v>
      </c>
      <c r="D407" s="338" t="s">
        <v>4069</v>
      </c>
      <c r="E407" s="341" t="s">
        <v>5039</v>
      </c>
      <c r="F407" s="341" t="s">
        <v>4071</v>
      </c>
      <c r="G407" s="338" t="s">
        <v>45</v>
      </c>
      <c r="H407" s="339" t="s">
        <v>19</v>
      </c>
      <c r="I407" s="339">
        <v>1</v>
      </c>
      <c r="J407" s="342">
        <v>22115891</v>
      </c>
      <c r="K407" s="342">
        <v>22115891</v>
      </c>
      <c r="L407" s="342">
        <v>22115891</v>
      </c>
      <c r="M407" s="343">
        <v>33</v>
      </c>
      <c r="N407" s="343">
        <v>7371964</v>
      </c>
      <c r="O407" s="343">
        <v>14743927</v>
      </c>
      <c r="P407" s="338"/>
      <c r="Q407" s="339" t="s">
        <v>20</v>
      </c>
      <c r="R407" s="339" t="s">
        <v>423</v>
      </c>
      <c r="S407" s="363" t="s">
        <v>5040</v>
      </c>
      <c r="T407" s="344"/>
      <c r="U407" s="345"/>
      <c r="V407" s="327"/>
      <c r="W407" s="327"/>
      <c r="X407" s="327"/>
      <c r="Y407" s="327"/>
      <c r="Z407" s="330"/>
    </row>
    <row r="408" spans="1:26" ht="50" hidden="1">
      <c r="A408" s="339">
        <v>457</v>
      </c>
      <c r="B408" s="338" t="s">
        <v>4073</v>
      </c>
      <c r="C408" s="340">
        <v>43798</v>
      </c>
      <c r="D408" s="338" t="s">
        <v>4074</v>
      </c>
      <c r="E408" s="341" t="s">
        <v>4075</v>
      </c>
      <c r="F408" s="341" t="s">
        <v>4076</v>
      </c>
      <c r="G408" s="338" t="s">
        <v>248</v>
      </c>
      <c r="H408" s="339" t="s">
        <v>249</v>
      </c>
      <c r="I408" s="339">
        <v>1</v>
      </c>
      <c r="J408" s="342">
        <v>3600000</v>
      </c>
      <c r="K408" s="342">
        <v>3600000</v>
      </c>
      <c r="L408" s="342">
        <v>3600000</v>
      </c>
      <c r="M408" s="343">
        <v>100</v>
      </c>
      <c r="N408" s="343">
        <v>3600000</v>
      </c>
      <c r="O408" s="343">
        <v>0</v>
      </c>
      <c r="P408" s="338"/>
      <c r="Q408" s="339" t="s">
        <v>20</v>
      </c>
      <c r="R408" s="339" t="s">
        <v>295</v>
      </c>
      <c r="S408" s="341" t="s">
        <v>5041</v>
      </c>
      <c r="T408" s="338"/>
      <c r="U408" s="327"/>
      <c r="V408" s="327"/>
      <c r="W408" s="327"/>
      <c r="X408" s="327"/>
      <c r="Y408" s="327"/>
      <c r="Z408" s="330"/>
    </row>
    <row r="409" spans="1:26" ht="50" hidden="1">
      <c r="A409" s="339">
        <v>458</v>
      </c>
      <c r="B409" s="338" t="s">
        <v>4077</v>
      </c>
      <c r="C409" s="340">
        <v>43826</v>
      </c>
      <c r="D409" s="338" t="s">
        <v>4078</v>
      </c>
      <c r="E409" s="341" t="s">
        <v>4079</v>
      </c>
      <c r="F409" s="341" t="s">
        <v>4080</v>
      </c>
      <c r="G409" s="338" t="s">
        <v>248</v>
      </c>
      <c r="H409" s="339" t="s">
        <v>19</v>
      </c>
      <c r="I409" s="339">
        <v>1</v>
      </c>
      <c r="J409" s="342">
        <v>6500000</v>
      </c>
      <c r="K409" s="342">
        <v>6500000</v>
      </c>
      <c r="L409" s="342">
        <v>6500000</v>
      </c>
      <c r="M409" s="343">
        <v>100</v>
      </c>
      <c r="N409" s="343">
        <v>6500000</v>
      </c>
      <c r="O409" s="343">
        <v>0</v>
      </c>
      <c r="P409" s="338"/>
      <c r="Q409" s="338"/>
      <c r="R409" s="338"/>
      <c r="S409" s="341" t="s">
        <v>4081</v>
      </c>
      <c r="T409" s="338"/>
      <c r="U409" s="327"/>
      <c r="V409" s="327"/>
      <c r="W409" s="327"/>
      <c r="X409" s="327"/>
      <c r="Y409" s="327"/>
      <c r="Z409" s="330"/>
    </row>
    <row r="410" spans="1:26" ht="50" hidden="1">
      <c r="A410" s="339">
        <v>459</v>
      </c>
      <c r="B410" s="338" t="s">
        <v>4077</v>
      </c>
      <c r="C410" s="340">
        <v>43826</v>
      </c>
      <c r="D410" s="338" t="s">
        <v>4082</v>
      </c>
      <c r="E410" s="341" t="s">
        <v>4079</v>
      </c>
      <c r="F410" s="341" t="s">
        <v>4083</v>
      </c>
      <c r="G410" s="338" t="s">
        <v>248</v>
      </c>
      <c r="H410" s="339" t="s">
        <v>19</v>
      </c>
      <c r="I410" s="339">
        <v>1</v>
      </c>
      <c r="J410" s="342">
        <v>6500000</v>
      </c>
      <c r="K410" s="342">
        <v>6500000</v>
      </c>
      <c r="L410" s="342">
        <v>6500000</v>
      </c>
      <c r="M410" s="343">
        <v>100</v>
      </c>
      <c r="N410" s="343">
        <v>6500000</v>
      </c>
      <c r="O410" s="343">
        <v>0</v>
      </c>
      <c r="P410" s="338"/>
      <c r="Q410" s="338"/>
      <c r="R410" s="338"/>
      <c r="S410" s="341" t="s">
        <v>4081</v>
      </c>
      <c r="T410" s="338"/>
      <c r="U410" s="327"/>
      <c r="V410" s="327"/>
      <c r="W410" s="327"/>
      <c r="X410" s="327"/>
      <c r="Y410" s="327"/>
      <c r="Z410" s="330"/>
    </row>
    <row r="411" spans="1:26" ht="50" hidden="1">
      <c r="A411" s="339">
        <v>460</v>
      </c>
      <c r="B411" s="338" t="s">
        <v>4077</v>
      </c>
      <c r="C411" s="340">
        <v>43826</v>
      </c>
      <c r="D411" s="338" t="s">
        <v>4084</v>
      </c>
      <c r="E411" s="341" t="s">
        <v>4079</v>
      </c>
      <c r="F411" s="341" t="s">
        <v>4085</v>
      </c>
      <c r="G411" s="338" t="s">
        <v>248</v>
      </c>
      <c r="H411" s="339" t="s">
        <v>19</v>
      </c>
      <c r="I411" s="339">
        <v>1</v>
      </c>
      <c r="J411" s="342">
        <v>6500000</v>
      </c>
      <c r="K411" s="342">
        <v>6500000</v>
      </c>
      <c r="L411" s="342">
        <v>6500000</v>
      </c>
      <c r="M411" s="343">
        <v>100</v>
      </c>
      <c r="N411" s="343">
        <v>6500000</v>
      </c>
      <c r="O411" s="343">
        <v>0</v>
      </c>
      <c r="P411" s="338"/>
      <c r="Q411" s="338"/>
      <c r="R411" s="338"/>
      <c r="S411" s="341" t="s">
        <v>4081</v>
      </c>
      <c r="T411" s="338"/>
      <c r="U411" s="327"/>
      <c r="V411" s="327"/>
      <c r="W411" s="327"/>
      <c r="X411" s="327"/>
      <c r="Y411" s="327"/>
      <c r="Z411" s="330"/>
    </row>
    <row r="412" spans="1:26" ht="37.5" hidden="1">
      <c r="A412" s="339">
        <v>461</v>
      </c>
      <c r="B412" s="338" t="s">
        <v>4077</v>
      </c>
      <c r="C412" s="340">
        <v>43826</v>
      </c>
      <c r="D412" s="338" t="s">
        <v>4086</v>
      </c>
      <c r="E412" s="341" t="s">
        <v>4087</v>
      </c>
      <c r="F412" s="338"/>
      <c r="G412" s="338" t="s">
        <v>407</v>
      </c>
      <c r="H412" s="339" t="s">
        <v>249</v>
      </c>
      <c r="I412" s="339">
        <v>1</v>
      </c>
      <c r="J412" s="342">
        <v>8120000</v>
      </c>
      <c r="K412" s="342">
        <v>8120000</v>
      </c>
      <c r="L412" s="342">
        <v>8120000</v>
      </c>
      <c r="M412" s="343">
        <v>100</v>
      </c>
      <c r="N412" s="343">
        <v>8120000</v>
      </c>
      <c r="O412" s="343">
        <v>0</v>
      </c>
      <c r="P412" s="338"/>
      <c r="Q412" s="339" t="s">
        <v>20</v>
      </c>
      <c r="R412" s="346" t="s">
        <v>229</v>
      </c>
      <c r="S412" s="341" t="str">
        <f>IFERROR(VLOOKUP(D412, CCDC_XUAN!$D$16:$S$693, 16, 0), "Không tìm thấy")</f>
        <v>A1-MC:mic2</v>
      </c>
      <c r="T412" s="338"/>
      <c r="U412" s="327"/>
      <c r="V412" s="327"/>
      <c r="W412" s="327"/>
      <c r="X412" s="327"/>
      <c r="Y412" s="327"/>
      <c r="Z412" s="330"/>
    </row>
    <row r="413" spans="1:26" ht="37.5" hidden="1">
      <c r="A413" s="339">
        <v>462</v>
      </c>
      <c r="B413" s="338" t="s">
        <v>4077</v>
      </c>
      <c r="C413" s="340">
        <v>43826</v>
      </c>
      <c r="D413" s="338" t="s">
        <v>4089</v>
      </c>
      <c r="E413" s="341" t="s">
        <v>4087</v>
      </c>
      <c r="F413" s="338"/>
      <c r="G413" s="338" t="s">
        <v>407</v>
      </c>
      <c r="H413" s="339" t="s">
        <v>249</v>
      </c>
      <c r="I413" s="339">
        <v>1</v>
      </c>
      <c r="J413" s="342">
        <v>8120000</v>
      </c>
      <c r="K413" s="342">
        <v>8120000</v>
      </c>
      <c r="L413" s="342">
        <v>8120000</v>
      </c>
      <c r="M413" s="343">
        <v>100</v>
      </c>
      <c r="N413" s="343">
        <v>8120000</v>
      </c>
      <c r="O413" s="343">
        <v>0</v>
      </c>
      <c r="P413" s="338"/>
      <c r="Q413" s="339" t="s">
        <v>20</v>
      </c>
      <c r="R413" s="339" t="s">
        <v>295</v>
      </c>
      <c r="S413" s="341" t="s">
        <v>2077</v>
      </c>
      <c r="T413" s="338"/>
      <c r="U413" s="327"/>
      <c r="V413" s="327"/>
      <c r="W413" s="327"/>
      <c r="X413" s="327"/>
      <c r="Y413" s="327"/>
      <c r="Z413" s="330"/>
    </row>
    <row r="414" spans="1:26" ht="62.5" hidden="1">
      <c r="A414" s="339">
        <v>463</v>
      </c>
      <c r="B414" s="338" t="s">
        <v>4077</v>
      </c>
      <c r="C414" s="340">
        <v>43826</v>
      </c>
      <c r="D414" s="338" t="s">
        <v>4091</v>
      </c>
      <c r="E414" s="341" t="s">
        <v>4092</v>
      </c>
      <c r="F414" s="341" t="s">
        <v>5042</v>
      </c>
      <c r="G414" s="338" t="s">
        <v>55</v>
      </c>
      <c r="H414" s="339" t="s">
        <v>249</v>
      </c>
      <c r="I414" s="339">
        <v>1</v>
      </c>
      <c r="J414" s="342">
        <v>9150000</v>
      </c>
      <c r="K414" s="342">
        <v>9150000</v>
      </c>
      <c r="L414" s="342">
        <v>9150000</v>
      </c>
      <c r="M414" s="343">
        <v>100</v>
      </c>
      <c r="N414" s="343">
        <v>9150000</v>
      </c>
      <c r="O414" s="343">
        <v>0</v>
      </c>
      <c r="P414" s="338"/>
      <c r="Q414" s="339" t="s">
        <v>20</v>
      </c>
      <c r="R414" s="339" t="s">
        <v>295</v>
      </c>
      <c r="S414" s="341" t="s">
        <v>2077</v>
      </c>
      <c r="T414" s="338"/>
      <c r="U414" s="327"/>
      <c r="V414" s="327"/>
      <c r="W414" s="327"/>
      <c r="X414" s="327"/>
      <c r="Y414" s="327"/>
      <c r="Z414" s="330"/>
    </row>
    <row r="415" spans="1:26" ht="62.5" hidden="1">
      <c r="A415" s="339">
        <v>464</v>
      </c>
      <c r="B415" s="338" t="s">
        <v>4077</v>
      </c>
      <c r="C415" s="340">
        <v>43826</v>
      </c>
      <c r="D415" s="338" t="s">
        <v>4093</v>
      </c>
      <c r="E415" s="341" t="s">
        <v>4094</v>
      </c>
      <c r="F415" s="341" t="s">
        <v>5043</v>
      </c>
      <c r="G415" s="338" t="s">
        <v>55</v>
      </c>
      <c r="H415" s="339" t="s">
        <v>19</v>
      </c>
      <c r="I415" s="339">
        <v>1</v>
      </c>
      <c r="J415" s="342">
        <v>9200000</v>
      </c>
      <c r="K415" s="342">
        <v>9200000</v>
      </c>
      <c r="L415" s="342">
        <v>9200000</v>
      </c>
      <c r="M415" s="343">
        <v>100</v>
      </c>
      <c r="N415" s="343">
        <v>9200000</v>
      </c>
      <c r="O415" s="343">
        <v>0</v>
      </c>
      <c r="P415" s="338"/>
      <c r="Q415" s="339" t="s">
        <v>20</v>
      </c>
      <c r="R415" s="346" t="s">
        <v>229</v>
      </c>
      <c r="S415" s="341" t="str">
        <f>IFERROR(VLOOKUP(D415, CCDC_XUAN!$D$16:$S$693, 16, 0), "Không tìm thấy")</f>
        <v>A2 - rack 7 - MW1</v>
      </c>
      <c r="T415" s="338"/>
      <c r="U415" s="327"/>
      <c r="V415" s="327"/>
      <c r="W415" s="327"/>
      <c r="X415" s="327"/>
      <c r="Y415" s="327"/>
      <c r="Z415" s="330"/>
    </row>
    <row r="416" spans="1:26" ht="62.5" hidden="1">
      <c r="A416" s="339">
        <v>465</v>
      </c>
      <c r="B416" s="338" t="s">
        <v>4077</v>
      </c>
      <c r="C416" s="340">
        <v>43826</v>
      </c>
      <c r="D416" s="338" t="s">
        <v>4096</v>
      </c>
      <c r="E416" s="341" t="s">
        <v>4094</v>
      </c>
      <c r="F416" s="341" t="s">
        <v>5044</v>
      </c>
      <c r="G416" s="338" t="s">
        <v>55</v>
      </c>
      <c r="H416" s="339" t="s">
        <v>19</v>
      </c>
      <c r="I416" s="339">
        <v>1</v>
      </c>
      <c r="J416" s="342">
        <v>9200000</v>
      </c>
      <c r="K416" s="342">
        <v>9200000</v>
      </c>
      <c r="L416" s="342">
        <v>9200000</v>
      </c>
      <c r="M416" s="343">
        <v>100</v>
      </c>
      <c r="N416" s="343">
        <v>9200000</v>
      </c>
      <c r="O416" s="343">
        <v>0</v>
      </c>
      <c r="P416" s="338"/>
      <c r="Q416" s="339" t="s">
        <v>20</v>
      </c>
      <c r="R416" s="339" t="s">
        <v>295</v>
      </c>
      <c r="S416" s="341" t="s">
        <v>5045</v>
      </c>
      <c r="T416" s="338"/>
      <c r="U416" s="327"/>
      <c r="V416" s="327"/>
      <c r="W416" s="327"/>
      <c r="X416" s="327"/>
      <c r="Y416" s="327"/>
      <c r="Z416" s="330"/>
    </row>
    <row r="417" spans="1:26" ht="62.5" hidden="1">
      <c r="A417" s="339">
        <v>466</v>
      </c>
      <c r="B417" s="338" t="s">
        <v>4077</v>
      </c>
      <c r="C417" s="340">
        <v>43826</v>
      </c>
      <c r="D417" s="338" t="s">
        <v>4098</v>
      </c>
      <c r="E417" s="341" t="s">
        <v>4094</v>
      </c>
      <c r="F417" s="341" t="s">
        <v>5046</v>
      </c>
      <c r="G417" s="338" t="s">
        <v>55</v>
      </c>
      <c r="H417" s="339" t="s">
        <v>19</v>
      </c>
      <c r="I417" s="339">
        <v>1</v>
      </c>
      <c r="J417" s="342">
        <v>9200000</v>
      </c>
      <c r="K417" s="342">
        <v>9200000</v>
      </c>
      <c r="L417" s="342">
        <v>9200000</v>
      </c>
      <c r="M417" s="343">
        <v>100</v>
      </c>
      <c r="N417" s="343">
        <v>9200000</v>
      </c>
      <c r="O417" s="343">
        <v>0</v>
      </c>
      <c r="P417" s="338"/>
      <c r="Q417" s="339" t="s">
        <v>20</v>
      </c>
      <c r="R417" s="339" t="s">
        <v>295</v>
      </c>
      <c r="S417" s="341" t="s">
        <v>5045</v>
      </c>
      <c r="T417" s="338"/>
      <c r="U417" s="327"/>
      <c r="V417" s="327"/>
      <c r="W417" s="327"/>
      <c r="X417" s="327"/>
      <c r="Y417" s="327"/>
      <c r="Z417" s="330"/>
    </row>
    <row r="418" spans="1:26" ht="62.5" hidden="1">
      <c r="A418" s="339">
        <v>467</v>
      </c>
      <c r="B418" s="338" t="s">
        <v>4077</v>
      </c>
      <c r="C418" s="340">
        <v>43826</v>
      </c>
      <c r="D418" s="338" t="s">
        <v>4100</v>
      </c>
      <c r="E418" s="341" t="s">
        <v>4094</v>
      </c>
      <c r="F418" s="341" t="s">
        <v>5047</v>
      </c>
      <c r="G418" s="338" t="s">
        <v>55</v>
      </c>
      <c r="H418" s="339" t="s">
        <v>19</v>
      </c>
      <c r="I418" s="339">
        <v>1</v>
      </c>
      <c r="J418" s="342">
        <v>9200000</v>
      </c>
      <c r="K418" s="342">
        <v>9200000</v>
      </c>
      <c r="L418" s="342">
        <v>9200000</v>
      </c>
      <c r="M418" s="343">
        <v>100</v>
      </c>
      <c r="N418" s="343">
        <v>9200000</v>
      </c>
      <c r="O418" s="343">
        <v>0</v>
      </c>
      <c r="P418" s="338"/>
      <c r="Q418" s="339" t="s">
        <v>20</v>
      </c>
      <c r="R418" s="339" t="s">
        <v>295</v>
      </c>
      <c r="S418" s="341" t="s">
        <v>5048</v>
      </c>
      <c r="T418" s="338"/>
      <c r="U418" s="327"/>
      <c r="V418" s="327"/>
      <c r="W418" s="327"/>
      <c r="X418" s="327"/>
      <c r="Y418" s="327"/>
      <c r="Z418" s="330"/>
    </row>
    <row r="419" spans="1:26" ht="50" hidden="1">
      <c r="A419" s="339">
        <v>468</v>
      </c>
      <c r="B419" s="338" t="s">
        <v>4102</v>
      </c>
      <c r="C419" s="340">
        <v>43826</v>
      </c>
      <c r="D419" s="338" t="s">
        <v>4103</v>
      </c>
      <c r="E419" s="341" t="s">
        <v>4104</v>
      </c>
      <c r="F419" s="341" t="s">
        <v>4105</v>
      </c>
      <c r="G419" s="338" t="s">
        <v>338</v>
      </c>
      <c r="H419" s="339" t="s">
        <v>249</v>
      </c>
      <c r="I419" s="339">
        <v>1</v>
      </c>
      <c r="J419" s="342">
        <v>22490000</v>
      </c>
      <c r="K419" s="342">
        <v>22490000</v>
      </c>
      <c r="L419" s="342">
        <v>22490000</v>
      </c>
      <c r="M419" s="343">
        <v>33</v>
      </c>
      <c r="N419" s="343">
        <v>7496667</v>
      </c>
      <c r="O419" s="343">
        <v>14993333</v>
      </c>
      <c r="P419" s="338"/>
      <c r="Q419" s="339" t="s">
        <v>36</v>
      </c>
      <c r="R419" s="341" t="s">
        <v>37</v>
      </c>
      <c r="S419" s="341" t="s">
        <v>4106</v>
      </c>
      <c r="T419" s="338"/>
      <c r="U419" s="327"/>
      <c r="V419" s="327"/>
      <c r="W419" s="327"/>
      <c r="X419" s="327"/>
      <c r="Y419" s="327"/>
      <c r="Z419" s="330"/>
    </row>
    <row r="420" spans="1:26" ht="50" hidden="1">
      <c r="A420" s="339">
        <v>469</v>
      </c>
      <c r="B420" s="338" t="s">
        <v>4102</v>
      </c>
      <c r="C420" s="340">
        <v>43826</v>
      </c>
      <c r="D420" s="338" t="s">
        <v>4107</v>
      </c>
      <c r="E420" s="341" t="s">
        <v>4104</v>
      </c>
      <c r="F420" s="341" t="s">
        <v>4108</v>
      </c>
      <c r="G420" s="338" t="s">
        <v>338</v>
      </c>
      <c r="H420" s="339" t="s">
        <v>249</v>
      </c>
      <c r="I420" s="339">
        <v>1</v>
      </c>
      <c r="J420" s="342">
        <v>22490000</v>
      </c>
      <c r="K420" s="342">
        <v>22490000</v>
      </c>
      <c r="L420" s="342">
        <v>22490000</v>
      </c>
      <c r="M420" s="343">
        <v>33</v>
      </c>
      <c r="N420" s="343">
        <v>7496667</v>
      </c>
      <c r="O420" s="343">
        <v>14993333</v>
      </c>
      <c r="P420" s="338"/>
      <c r="Q420" s="339" t="s">
        <v>36</v>
      </c>
      <c r="R420" s="341" t="s">
        <v>37</v>
      </c>
      <c r="S420" s="341" t="s">
        <v>4106</v>
      </c>
      <c r="T420" s="338"/>
      <c r="U420" s="327"/>
      <c r="V420" s="327"/>
      <c r="W420" s="327"/>
      <c r="X420" s="327"/>
      <c r="Y420" s="327"/>
      <c r="Z420" s="330"/>
    </row>
    <row r="421" spans="1:26" ht="50" hidden="1">
      <c r="A421" s="339">
        <v>470</v>
      </c>
      <c r="B421" s="338" t="s">
        <v>4102</v>
      </c>
      <c r="C421" s="340">
        <v>43826</v>
      </c>
      <c r="D421" s="338" t="s">
        <v>4109</v>
      </c>
      <c r="E421" s="341" t="s">
        <v>4104</v>
      </c>
      <c r="F421" s="341" t="s">
        <v>4110</v>
      </c>
      <c r="G421" s="338" t="s">
        <v>338</v>
      </c>
      <c r="H421" s="339" t="s">
        <v>249</v>
      </c>
      <c r="I421" s="339">
        <v>1</v>
      </c>
      <c r="J421" s="342">
        <v>22490000</v>
      </c>
      <c r="K421" s="342">
        <v>22490000</v>
      </c>
      <c r="L421" s="342">
        <v>22490000</v>
      </c>
      <c r="M421" s="343">
        <v>33</v>
      </c>
      <c r="N421" s="343">
        <v>7496667</v>
      </c>
      <c r="O421" s="343">
        <v>14993333</v>
      </c>
      <c r="P421" s="338"/>
      <c r="Q421" s="339" t="s">
        <v>206</v>
      </c>
      <c r="R421" s="371" t="s">
        <v>3635</v>
      </c>
      <c r="S421" s="341" t="s">
        <v>1247</v>
      </c>
      <c r="T421" s="338"/>
      <c r="U421" s="327"/>
      <c r="V421" s="327"/>
      <c r="W421" s="327"/>
      <c r="X421" s="327"/>
      <c r="Y421" s="327"/>
      <c r="Z421" s="330"/>
    </row>
    <row r="422" spans="1:26" ht="25" hidden="1">
      <c r="A422" s="339">
        <v>471</v>
      </c>
      <c r="B422" s="338" t="s">
        <v>4102</v>
      </c>
      <c r="C422" s="340">
        <v>43826</v>
      </c>
      <c r="D422" s="338" t="s">
        <v>4111</v>
      </c>
      <c r="E422" s="341" t="s">
        <v>4112</v>
      </c>
      <c r="F422" s="341" t="s">
        <v>5049</v>
      </c>
      <c r="G422" s="338" t="s">
        <v>1435</v>
      </c>
      <c r="H422" s="339" t="s">
        <v>249</v>
      </c>
      <c r="I422" s="339">
        <v>1</v>
      </c>
      <c r="J422" s="342">
        <v>10400000</v>
      </c>
      <c r="K422" s="342">
        <v>10400000</v>
      </c>
      <c r="L422" s="342">
        <v>10400000</v>
      </c>
      <c r="M422" s="343">
        <v>33</v>
      </c>
      <c r="N422" s="343">
        <v>3466667</v>
      </c>
      <c r="O422" s="343">
        <v>6933333</v>
      </c>
      <c r="P422" s="338"/>
      <c r="Q422" s="339" t="s">
        <v>206</v>
      </c>
      <c r="R422" s="339" t="s">
        <v>3635</v>
      </c>
      <c r="S422" s="341" t="s">
        <v>4081</v>
      </c>
      <c r="T422" s="338" t="s">
        <v>4113</v>
      </c>
      <c r="U422" s="327"/>
      <c r="V422" s="327"/>
      <c r="W422" s="327"/>
      <c r="X422" s="327"/>
      <c r="Y422" s="327"/>
      <c r="Z422" s="330"/>
    </row>
    <row r="423" spans="1:26" ht="25" hidden="1">
      <c r="A423" s="339">
        <v>472</v>
      </c>
      <c r="B423" s="338" t="s">
        <v>4102</v>
      </c>
      <c r="C423" s="340">
        <v>43826</v>
      </c>
      <c r="D423" s="338" t="s">
        <v>4114</v>
      </c>
      <c r="E423" s="341" t="s">
        <v>4112</v>
      </c>
      <c r="F423" s="341" t="s">
        <v>5050</v>
      </c>
      <c r="G423" s="338" t="s">
        <v>1435</v>
      </c>
      <c r="H423" s="339" t="s">
        <v>249</v>
      </c>
      <c r="I423" s="339">
        <v>1</v>
      </c>
      <c r="J423" s="342">
        <v>10400000</v>
      </c>
      <c r="K423" s="342">
        <v>10400000</v>
      </c>
      <c r="L423" s="342">
        <v>10400000</v>
      </c>
      <c r="M423" s="343">
        <v>33</v>
      </c>
      <c r="N423" s="343">
        <v>3466667</v>
      </c>
      <c r="O423" s="343">
        <v>6933333</v>
      </c>
      <c r="P423" s="338"/>
      <c r="Q423" s="339" t="s">
        <v>206</v>
      </c>
      <c r="R423" s="339" t="s">
        <v>3635</v>
      </c>
      <c r="S423" s="341" t="s">
        <v>4081</v>
      </c>
      <c r="T423" s="338"/>
      <c r="U423" s="327"/>
      <c r="V423" s="327"/>
      <c r="W423" s="327"/>
      <c r="X423" s="327"/>
      <c r="Y423" s="327"/>
      <c r="Z423" s="330"/>
    </row>
    <row r="424" spans="1:26" ht="25" hidden="1">
      <c r="A424" s="339">
        <v>473</v>
      </c>
      <c r="B424" s="338" t="s">
        <v>4102</v>
      </c>
      <c r="C424" s="340">
        <v>43826</v>
      </c>
      <c r="D424" s="338" t="s">
        <v>4115</v>
      </c>
      <c r="E424" s="341" t="s">
        <v>4112</v>
      </c>
      <c r="F424" s="341" t="s">
        <v>5051</v>
      </c>
      <c r="G424" s="338" t="s">
        <v>1435</v>
      </c>
      <c r="H424" s="339" t="s">
        <v>249</v>
      </c>
      <c r="I424" s="339">
        <v>1</v>
      </c>
      <c r="J424" s="342">
        <v>10400000</v>
      </c>
      <c r="K424" s="342">
        <v>10400000</v>
      </c>
      <c r="L424" s="342">
        <v>10400000</v>
      </c>
      <c r="M424" s="343">
        <v>33</v>
      </c>
      <c r="N424" s="343">
        <v>3466667</v>
      </c>
      <c r="O424" s="343">
        <v>6933333</v>
      </c>
      <c r="P424" s="338"/>
      <c r="Q424" s="339" t="s">
        <v>206</v>
      </c>
      <c r="R424" s="339" t="s">
        <v>3635</v>
      </c>
      <c r="S424" s="341" t="s">
        <v>4081</v>
      </c>
      <c r="T424" s="338"/>
      <c r="U424" s="327"/>
      <c r="V424" s="327"/>
      <c r="W424" s="327"/>
      <c r="X424" s="327"/>
      <c r="Y424" s="327"/>
      <c r="Z424" s="330"/>
    </row>
    <row r="425" spans="1:26" ht="25" hidden="1">
      <c r="A425" s="339">
        <v>474</v>
      </c>
      <c r="B425" s="338" t="s">
        <v>4102</v>
      </c>
      <c r="C425" s="340">
        <v>43826</v>
      </c>
      <c r="D425" s="338" t="s">
        <v>4116</v>
      </c>
      <c r="E425" s="341" t="s">
        <v>4112</v>
      </c>
      <c r="F425" s="341" t="s">
        <v>5052</v>
      </c>
      <c r="G425" s="338" t="s">
        <v>1435</v>
      </c>
      <c r="H425" s="339" t="s">
        <v>249</v>
      </c>
      <c r="I425" s="339">
        <v>1</v>
      </c>
      <c r="J425" s="342">
        <v>10400000</v>
      </c>
      <c r="K425" s="342">
        <v>10400000</v>
      </c>
      <c r="L425" s="342">
        <v>10400000</v>
      </c>
      <c r="M425" s="343">
        <v>33</v>
      </c>
      <c r="N425" s="343">
        <v>3466667</v>
      </c>
      <c r="O425" s="343">
        <v>6933333</v>
      </c>
      <c r="P425" s="338"/>
      <c r="Q425" s="339" t="s">
        <v>206</v>
      </c>
      <c r="R425" s="339" t="s">
        <v>3635</v>
      </c>
      <c r="S425" s="341" t="s">
        <v>4081</v>
      </c>
      <c r="T425" s="338"/>
      <c r="U425" s="327"/>
      <c r="V425" s="327"/>
      <c r="W425" s="327"/>
      <c r="X425" s="327"/>
      <c r="Y425" s="327"/>
      <c r="Z425" s="330"/>
    </row>
    <row r="426" spans="1:26" ht="75" hidden="1">
      <c r="A426" s="339">
        <v>475</v>
      </c>
      <c r="B426" s="338" t="s">
        <v>3757</v>
      </c>
      <c r="C426" s="340">
        <v>42733</v>
      </c>
      <c r="D426" s="338" t="s">
        <v>4117</v>
      </c>
      <c r="E426" s="341" t="s">
        <v>4118</v>
      </c>
      <c r="F426" s="341" t="s">
        <v>5053</v>
      </c>
      <c r="G426" s="338" t="s">
        <v>307</v>
      </c>
      <c r="H426" s="339" t="s">
        <v>19</v>
      </c>
      <c r="I426" s="339">
        <v>1</v>
      </c>
      <c r="J426" s="342">
        <v>13750000</v>
      </c>
      <c r="K426" s="342">
        <v>13750000</v>
      </c>
      <c r="L426" s="342">
        <v>0</v>
      </c>
      <c r="M426" s="343">
        <v>0</v>
      </c>
      <c r="N426" s="343">
        <v>0</v>
      </c>
      <c r="O426" s="343">
        <v>0</v>
      </c>
      <c r="P426" s="338"/>
      <c r="Q426" s="339" t="s">
        <v>206</v>
      </c>
      <c r="R426" s="339" t="s">
        <v>2622</v>
      </c>
      <c r="S426" s="341" t="s">
        <v>4119</v>
      </c>
      <c r="T426" s="338"/>
      <c r="U426" s="327"/>
      <c r="V426" s="327"/>
      <c r="W426" s="327"/>
      <c r="X426" s="327"/>
      <c r="Y426" s="327"/>
      <c r="Z426" s="330"/>
    </row>
    <row r="427" spans="1:26" ht="75" hidden="1">
      <c r="A427" s="339">
        <v>476</v>
      </c>
      <c r="B427" s="338" t="s">
        <v>3757</v>
      </c>
      <c r="C427" s="340">
        <v>42733</v>
      </c>
      <c r="D427" s="338" t="s">
        <v>4120</v>
      </c>
      <c r="E427" s="341" t="s">
        <v>4118</v>
      </c>
      <c r="F427" s="341" t="s">
        <v>5054</v>
      </c>
      <c r="G427" s="338" t="s">
        <v>307</v>
      </c>
      <c r="H427" s="339" t="s">
        <v>19</v>
      </c>
      <c r="I427" s="339">
        <v>1</v>
      </c>
      <c r="J427" s="342">
        <v>13750000</v>
      </c>
      <c r="K427" s="342">
        <v>13750000</v>
      </c>
      <c r="L427" s="342">
        <v>0</v>
      </c>
      <c r="M427" s="343">
        <v>0</v>
      </c>
      <c r="N427" s="343">
        <v>0</v>
      </c>
      <c r="O427" s="343">
        <v>0</v>
      </c>
      <c r="P427" s="338"/>
      <c r="Q427" s="339" t="s">
        <v>206</v>
      </c>
      <c r="R427" s="339" t="s">
        <v>2622</v>
      </c>
      <c r="S427" s="341" t="s">
        <v>4119</v>
      </c>
      <c r="T427" s="338"/>
      <c r="U427" s="327"/>
      <c r="V427" s="327"/>
      <c r="W427" s="327"/>
      <c r="X427" s="327"/>
      <c r="Y427" s="327"/>
      <c r="Z427" s="330"/>
    </row>
    <row r="428" spans="1:26" ht="75" hidden="1">
      <c r="A428" s="339">
        <v>477</v>
      </c>
      <c r="B428" s="338" t="s">
        <v>3757</v>
      </c>
      <c r="C428" s="340">
        <v>42733</v>
      </c>
      <c r="D428" s="338" t="s">
        <v>4121</v>
      </c>
      <c r="E428" s="341" t="s">
        <v>4118</v>
      </c>
      <c r="F428" s="341" t="s">
        <v>5055</v>
      </c>
      <c r="G428" s="338" t="s">
        <v>307</v>
      </c>
      <c r="H428" s="339" t="s">
        <v>19</v>
      </c>
      <c r="I428" s="339">
        <v>1</v>
      </c>
      <c r="J428" s="342">
        <v>13750000</v>
      </c>
      <c r="K428" s="342">
        <v>13750000</v>
      </c>
      <c r="L428" s="342">
        <v>0</v>
      </c>
      <c r="M428" s="343">
        <v>0</v>
      </c>
      <c r="N428" s="343">
        <v>0</v>
      </c>
      <c r="O428" s="343">
        <v>0</v>
      </c>
      <c r="P428" s="338"/>
      <c r="Q428" s="339" t="s">
        <v>206</v>
      </c>
      <c r="R428" s="339" t="s">
        <v>2622</v>
      </c>
      <c r="S428" s="341" t="s">
        <v>4119</v>
      </c>
      <c r="T428" s="338"/>
      <c r="U428" s="327"/>
      <c r="V428" s="327"/>
      <c r="W428" s="327"/>
      <c r="X428" s="327"/>
      <c r="Y428" s="327"/>
      <c r="Z428" s="330"/>
    </row>
    <row r="429" spans="1:26" ht="75" hidden="1">
      <c r="A429" s="339">
        <v>478</v>
      </c>
      <c r="B429" s="338" t="s">
        <v>3757</v>
      </c>
      <c r="C429" s="340">
        <v>42733</v>
      </c>
      <c r="D429" s="338" t="s">
        <v>4122</v>
      </c>
      <c r="E429" s="341" t="s">
        <v>4118</v>
      </c>
      <c r="F429" s="341" t="s">
        <v>5056</v>
      </c>
      <c r="G429" s="338" t="s">
        <v>307</v>
      </c>
      <c r="H429" s="339" t="s">
        <v>19</v>
      </c>
      <c r="I429" s="339">
        <v>1</v>
      </c>
      <c r="J429" s="342">
        <v>13750000</v>
      </c>
      <c r="K429" s="342">
        <v>13750000</v>
      </c>
      <c r="L429" s="342">
        <v>0</v>
      </c>
      <c r="M429" s="343">
        <v>0</v>
      </c>
      <c r="N429" s="343">
        <v>0</v>
      </c>
      <c r="O429" s="343">
        <v>0</v>
      </c>
      <c r="P429" s="338"/>
      <c r="Q429" s="339" t="s">
        <v>206</v>
      </c>
      <c r="R429" s="339" t="s">
        <v>2622</v>
      </c>
      <c r="S429" s="341" t="s">
        <v>4119</v>
      </c>
      <c r="T429" s="338"/>
      <c r="U429" s="327"/>
      <c r="V429" s="327"/>
      <c r="W429" s="327"/>
      <c r="X429" s="327"/>
      <c r="Y429" s="327"/>
      <c r="Z429" s="330"/>
    </row>
    <row r="430" spans="1:26" ht="87.5" hidden="1">
      <c r="A430" s="339">
        <v>479</v>
      </c>
      <c r="B430" s="338" t="s">
        <v>3757</v>
      </c>
      <c r="C430" s="340">
        <v>42733</v>
      </c>
      <c r="D430" s="338" t="s">
        <v>4123</v>
      </c>
      <c r="E430" s="341" t="s">
        <v>4124</v>
      </c>
      <c r="F430" s="341" t="s">
        <v>5057</v>
      </c>
      <c r="G430" s="338" t="s">
        <v>307</v>
      </c>
      <c r="H430" s="339" t="s">
        <v>19</v>
      </c>
      <c r="I430" s="339">
        <v>1</v>
      </c>
      <c r="J430" s="342">
        <v>19250000</v>
      </c>
      <c r="K430" s="342">
        <v>19250000</v>
      </c>
      <c r="L430" s="342">
        <v>0</v>
      </c>
      <c r="M430" s="343">
        <v>0</v>
      </c>
      <c r="N430" s="343">
        <v>0</v>
      </c>
      <c r="O430" s="343">
        <v>0</v>
      </c>
      <c r="P430" s="338"/>
      <c r="Q430" s="339" t="s">
        <v>206</v>
      </c>
      <c r="R430" s="339" t="s">
        <v>2622</v>
      </c>
      <c r="S430" s="341" t="s">
        <v>4119</v>
      </c>
      <c r="T430" s="338"/>
      <c r="U430" s="327"/>
      <c r="V430" s="327"/>
      <c r="W430" s="327"/>
      <c r="X430" s="327"/>
      <c r="Y430" s="327"/>
      <c r="Z430" s="330"/>
    </row>
    <row r="431" spans="1:26" ht="87.5" hidden="1">
      <c r="A431" s="339">
        <v>480</v>
      </c>
      <c r="B431" s="338" t="s">
        <v>3757</v>
      </c>
      <c r="C431" s="340">
        <v>42733</v>
      </c>
      <c r="D431" s="338" t="s">
        <v>4125</v>
      </c>
      <c r="E431" s="341" t="s">
        <v>4124</v>
      </c>
      <c r="F431" s="341" t="s">
        <v>5058</v>
      </c>
      <c r="G431" s="338" t="s">
        <v>307</v>
      </c>
      <c r="H431" s="339" t="s">
        <v>19</v>
      </c>
      <c r="I431" s="339">
        <v>1</v>
      </c>
      <c r="J431" s="342">
        <v>19250000</v>
      </c>
      <c r="K431" s="342">
        <v>19250000</v>
      </c>
      <c r="L431" s="342">
        <v>0</v>
      </c>
      <c r="M431" s="343">
        <v>0</v>
      </c>
      <c r="N431" s="343">
        <v>0</v>
      </c>
      <c r="O431" s="343">
        <v>0</v>
      </c>
      <c r="P431" s="338"/>
      <c r="Q431" s="339" t="s">
        <v>206</v>
      </c>
      <c r="R431" s="339" t="s">
        <v>2622</v>
      </c>
      <c r="S431" s="341" t="s">
        <v>4119</v>
      </c>
      <c r="T431" s="338"/>
      <c r="U431" s="327"/>
      <c r="V431" s="327"/>
      <c r="W431" s="327"/>
      <c r="X431" s="327"/>
      <c r="Y431" s="327"/>
      <c r="Z431" s="330"/>
    </row>
    <row r="432" spans="1:26" ht="37.5" hidden="1">
      <c r="A432" s="339">
        <v>481</v>
      </c>
      <c r="B432" s="338" t="s">
        <v>4126</v>
      </c>
      <c r="C432" s="340">
        <v>42731</v>
      </c>
      <c r="D432" s="338" t="s">
        <v>4127</v>
      </c>
      <c r="E432" s="341" t="s">
        <v>4128</v>
      </c>
      <c r="F432" s="338"/>
      <c r="G432" s="338" t="s">
        <v>1008</v>
      </c>
      <c r="H432" s="339" t="s">
        <v>249</v>
      </c>
      <c r="I432" s="339">
        <v>1</v>
      </c>
      <c r="J432" s="342">
        <v>24800468</v>
      </c>
      <c r="K432" s="342">
        <v>24800468</v>
      </c>
      <c r="L432" s="342">
        <v>0</v>
      </c>
      <c r="M432" s="343">
        <v>0</v>
      </c>
      <c r="N432" s="343">
        <v>0</v>
      </c>
      <c r="O432" s="343">
        <v>0</v>
      </c>
      <c r="P432" s="338"/>
      <c r="Q432" s="339" t="s">
        <v>206</v>
      </c>
      <c r="R432" s="339" t="s">
        <v>2622</v>
      </c>
      <c r="S432" s="341" t="s">
        <v>4129</v>
      </c>
      <c r="T432" s="338"/>
      <c r="U432" s="327"/>
      <c r="V432" s="327"/>
      <c r="W432" s="327"/>
      <c r="X432" s="327"/>
      <c r="Y432" s="327"/>
      <c r="Z432" s="330"/>
    </row>
    <row r="433" spans="1:26" ht="37.5" hidden="1">
      <c r="A433" s="339">
        <v>482</v>
      </c>
      <c r="B433" s="338" t="s">
        <v>4126</v>
      </c>
      <c r="C433" s="340">
        <v>42731</v>
      </c>
      <c r="D433" s="338" t="s">
        <v>4130</v>
      </c>
      <c r="E433" s="341" t="s">
        <v>4128</v>
      </c>
      <c r="F433" s="338"/>
      <c r="G433" s="338" t="s">
        <v>1008</v>
      </c>
      <c r="H433" s="339" t="s">
        <v>249</v>
      </c>
      <c r="I433" s="339">
        <v>1</v>
      </c>
      <c r="J433" s="342">
        <v>24800468</v>
      </c>
      <c r="K433" s="342">
        <v>24800468</v>
      </c>
      <c r="L433" s="342">
        <v>0</v>
      </c>
      <c r="M433" s="343">
        <v>0</v>
      </c>
      <c r="N433" s="343">
        <v>0</v>
      </c>
      <c r="O433" s="343">
        <v>0</v>
      </c>
      <c r="P433" s="338"/>
      <c r="Q433" s="339" t="s">
        <v>206</v>
      </c>
      <c r="R433" s="339" t="s">
        <v>2622</v>
      </c>
      <c r="S433" s="341" t="s">
        <v>4129</v>
      </c>
      <c r="T433" s="338"/>
      <c r="U433" s="327"/>
      <c r="V433" s="327"/>
      <c r="W433" s="327"/>
      <c r="X433" s="327"/>
      <c r="Y433" s="327"/>
      <c r="Z433" s="330"/>
    </row>
    <row r="434" spans="1:26" ht="37.5" hidden="1">
      <c r="A434" s="339">
        <v>483</v>
      </c>
      <c r="B434" s="338" t="s">
        <v>4126</v>
      </c>
      <c r="C434" s="340">
        <v>42731</v>
      </c>
      <c r="D434" s="338" t="s">
        <v>4131</v>
      </c>
      <c r="E434" s="341" t="s">
        <v>4128</v>
      </c>
      <c r="F434" s="338"/>
      <c r="G434" s="338" t="s">
        <v>1008</v>
      </c>
      <c r="H434" s="339" t="s">
        <v>249</v>
      </c>
      <c r="I434" s="339">
        <v>1</v>
      </c>
      <c r="J434" s="342">
        <v>24800468</v>
      </c>
      <c r="K434" s="342">
        <v>24800468</v>
      </c>
      <c r="L434" s="342">
        <v>0</v>
      </c>
      <c r="M434" s="343">
        <v>0</v>
      </c>
      <c r="N434" s="343">
        <v>0</v>
      </c>
      <c r="O434" s="343">
        <v>0</v>
      </c>
      <c r="P434" s="338"/>
      <c r="Q434" s="339" t="s">
        <v>206</v>
      </c>
      <c r="R434" s="339" t="s">
        <v>2622</v>
      </c>
      <c r="S434" s="341" t="s">
        <v>4129</v>
      </c>
      <c r="T434" s="338"/>
      <c r="U434" s="327"/>
      <c r="V434" s="327"/>
      <c r="W434" s="327"/>
      <c r="X434" s="327"/>
      <c r="Y434" s="327"/>
      <c r="Z434" s="330"/>
    </row>
    <row r="435" spans="1:26" ht="37.5" hidden="1">
      <c r="A435" s="339">
        <v>484</v>
      </c>
      <c r="B435" s="338" t="s">
        <v>4126</v>
      </c>
      <c r="C435" s="340">
        <v>42731</v>
      </c>
      <c r="D435" s="338" t="s">
        <v>4132</v>
      </c>
      <c r="E435" s="341" t="s">
        <v>4128</v>
      </c>
      <c r="F435" s="338"/>
      <c r="G435" s="338" t="s">
        <v>1008</v>
      </c>
      <c r="H435" s="339" t="s">
        <v>249</v>
      </c>
      <c r="I435" s="339">
        <v>1</v>
      </c>
      <c r="J435" s="342">
        <v>24800468</v>
      </c>
      <c r="K435" s="342">
        <v>24800468</v>
      </c>
      <c r="L435" s="342">
        <v>0</v>
      </c>
      <c r="M435" s="343">
        <v>0</v>
      </c>
      <c r="N435" s="343">
        <v>0</v>
      </c>
      <c r="O435" s="343">
        <v>0</v>
      </c>
      <c r="P435" s="338"/>
      <c r="Q435" s="339" t="s">
        <v>206</v>
      </c>
      <c r="R435" s="339" t="s">
        <v>2622</v>
      </c>
      <c r="S435" s="341" t="s">
        <v>4129</v>
      </c>
      <c r="T435" s="338"/>
      <c r="U435" s="327"/>
      <c r="V435" s="327"/>
      <c r="W435" s="327"/>
      <c r="X435" s="327"/>
      <c r="Y435" s="327"/>
      <c r="Z435" s="330"/>
    </row>
    <row r="436" spans="1:26" ht="37.5" hidden="1">
      <c r="A436" s="339">
        <v>485</v>
      </c>
      <c r="B436" s="338" t="s">
        <v>4126</v>
      </c>
      <c r="C436" s="340">
        <v>42731</v>
      </c>
      <c r="D436" s="338" t="s">
        <v>4133</v>
      </c>
      <c r="E436" s="341" t="s">
        <v>4128</v>
      </c>
      <c r="F436" s="338"/>
      <c r="G436" s="338" t="s">
        <v>1008</v>
      </c>
      <c r="H436" s="339" t="s">
        <v>249</v>
      </c>
      <c r="I436" s="339">
        <v>1</v>
      </c>
      <c r="J436" s="342">
        <v>24800468</v>
      </c>
      <c r="K436" s="342">
        <v>24800468</v>
      </c>
      <c r="L436" s="342">
        <v>0</v>
      </c>
      <c r="M436" s="343">
        <v>0</v>
      </c>
      <c r="N436" s="343">
        <v>0</v>
      </c>
      <c r="O436" s="343">
        <v>0</v>
      </c>
      <c r="P436" s="338"/>
      <c r="Q436" s="339" t="s">
        <v>206</v>
      </c>
      <c r="R436" s="339" t="s">
        <v>2622</v>
      </c>
      <c r="S436" s="341" t="s">
        <v>4129</v>
      </c>
      <c r="T436" s="338"/>
      <c r="U436" s="327"/>
      <c r="V436" s="327"/>
      <c r="W436" s="327"/>
      <c r="X436" s="327"/>
      <c r="Y436" s="327"/>
      <c r="Z436" s="330"/>
    </row>
    <row r="437" spans="1:26" ht="37.5" hidden="1">
      <c r="A437" s="339">
        <v>486</v>
      </c>
      <c r="B437" s="338" t="s">
        <v>4126</v>
      </c>
      <c r="C437" s="340">
        <v>42731</v>
      </c>
      <c r="D437" s="338" t="s">
        <v>4134</v>
      </c>
      <c r="E437" s="341" t="s">
        <v>4128</v>
      </c>
      <c r="F437" s="338"/>
      <c r="G437" s="338" t="s">
        <v>1008</v>
      </c>
      <c r="H437" s="339" t="s">
        <v>249</v>
      </c>
      <c r="I437" s="339">
        <v>1</v>
      </c>
      <c r="J437" s="342">
        <v>24800468</v>
      </c>
      <c r="K437" s="342">
        <v>24800468</v>
      </c>
      <c r="L437" s="342">
        <v>0</v>
      </c>
      <c r="M437" s="343">
        <v>0</v>
      </c>
      <c r="N437" s="343">
        <v>0</v>
      </c>
      <c r="O437" s="343">
        <v>0</v>
      </c>
      <c r="P437" s="338"/>
      <c r="Q437" s="339" t="s">
        <v>206</v>
      </c>
      <c r="R437" s="339" t="s">
        <v>2622</v>
      </c>
      <c r="S437" s="341" t="s">
        <v>4129</v>
      </c>
      <c r="T437" s="338"/>
      <c r="U437" s="327"/>
      <c r="V437" s="327"/>
      <c r="W437" s="327"/>
      <c r="X437" s="327"/>
      <c r="Y437" s="327"/>
      <c r="Z437" s="330"/>
    </row>
    <row r="438" spans="1:26" ht="37.5" hidden="1">
      <c r="A438" s="339">
        <v>487</v>
      </c>
      <c r="B438" s="338" t="s">
        <v>4126</v>
      </c>
      <c r="C438" s="340">
        <v>42731</v>
      </c>
      <c r="D438" s="338" t="s">
        <v>4135</v>
      </c>
      <c r="E438" s="341" t="s">
        <v>4128</v>
      </c>
      <c r="F438" s="338"/>
      <c r="G438" s="338" t="s">
        <v>1008</v>
      </c>
      <c r="H438" s="339" t="s">
        <v>249</v>
      </c>
      <c r="I438" s="339">
        <v>1</v>
      </c>
      <c r="J438" s="342">
        <v>24800468</v>
      </c>
      <c r="K438" s="342">
        <v>24800468</v>
      </c>
      <c r="L438" s="342">
        <v>0</v>
      </c>
      <c r="M438" s="343">
        <v>0</v>
      </c>
      <c r="N438" s="343">
        <v>0</v>
      </c>
      <c r="O438" s="343">
        <v>0</v>
      </c>
      <c r="P438" s="338"/>
      <c r="Q438" s="339" t="s">
        <v>206</v>
      </c>
      <c r="R438" s="339" t="s">
        <v>2622</v>
      </c>
      <c r="S438" s="341" t="s">
        <v>4129</v>
      </c>
      <c r="T438" s="338"/>
      <c r="U438" s="327"/>
      <c r="V438" s="327"/>
      <c r="W438" s="327"/>
      <c r="X438" s="327"/>
      <c r="Y438" s="327"/>
      <c r="Z438" s="330"/>
    </row>
    <row r="439" spans="1:26" ht="37.5" hidden="1">
      <c r="A439" s="339">
        <v>488</v>
      </c>
      <c r="B439" s="338" t="s">
        <v>4126</v>
      </c>
      <c r="C439" s="340">
        <v>42731</v>
      </c>
      <c r="D439" s="338" t="s">
        <v>4136</v>
      </c>
      <c r="E439" s="341" t="s">
        <v>4128</v>
      </c>
      <c r="F439" s="338"/>
      <c r="G439" s="338" t="s">
        <v>1008</v>
      </c>
      <c r="H439" s="339" t="s">
        <v>249</v>
      </c>
      <c r="I439" s="339">
        <v>1</v>
      </c>
      <c r="J439" s="342">
        <v>24800468</v>
      </c>
      <c r="K439" s="342">
        <v>24800468</v>
      </c>
      <c r="L439" s="342">
        <v>0</v>
      </c>
      <c r="M439" s="343">
        <v>0</v>
      </c>
      <c r="N439" s="343">
        <v>0</v>
      </c>
      <c r="O439" s="343">
        <v>0</v>
      </c>
      <c r="P439" s="338"/>
      <c r="Q439" s="339" t="s">
        <v>206</v>
      </c>
      <c r="R439" s="339" t="s">
        <v>2622</v>
      </c>
      <c r="S439" s="341" t="s">
        <v>4129</v>
      </c>
      <c r="T439" s="338"/>
      <c r="U439" s="327"/>
      <c r="V439" s="327"/>
      <c r="W439" s="327"/>
      <c r="X439" s="327"/>
      <c r="Y439" s="327"/>
      <c r="Z439" s="330"/>
    </row>
    <row r="440" spans="1:26" ht="37.5" hidden="1">
      <c r="A440" s="339">
        <v>489</v>
      </c>
      <c r="B440" s="338" t="s">
        <v>4126</v>
      </c>
      <c r="C440" s="340">
        <v>42731</v>
      </c>
      <c r="D440" s="338" t="s">
        <v>4137</v>
      </c>
      <c r="E440" s="341" t="s">
        <v>4128</v>
      </c>
      <c r="F440" s="338"/>
      <c r="G440" s="338" t="s">
        <v>1008</v>
      </c>
      <c r="H440" s="339" t="s">
        <v>249</v>
      </c>
      <c r="I440" s="339">
        <v>1</v>
      </c>
      <c r="J440" s="342">
        <v>24800468</v>
      </c>
      <c r="K440" s="342">
        <v>24800468</v>
      </c>
      <c r="L440" s="342">
        <v>0</v>
      </c>
      <c r="M440" s="343">
        <v>0</v>
      </c>
      <c r="N440" s="343">
        <v>0</v>
      </c>
      <c r="O440" s="343">
        <v>0</v>
      </c>
      <c r="P440" s="338"/>
      <c r="Q440" s="339" t="s">
        <v>206</v>
      </c>
      <c r="R440" s="339" t="s">
        <v>2622</v>
      </c>
      <c r="S440" s="341" t="s">
        <v>4129</v>
      </c>
      <c r="T440" s="338"/>
      <c r="U440" s="327"/>
      <c r="V440" s="327"/>
      <c r="W440" s="327"/>
      <c r="X440" s="327"/>
      <c r="Y440" s="327"/>
      <c r="Z440" s="330"/>
    </row>
    <row r="441" spans="1:26" ht="37.5" hidden="1">
      <c r="A441" s="339">
        <v>490</v>
      </c>
      <c r="B441" s="338" t="s">
        <v>4126</v>
      </c>
      <c r="C441" s="340">
        <v>42731</v>
      </c>
      <c r="D441" s="338" t="s">
        <v>4138</v>
      </c>
      <c r="E441" s="341" t="s">
        <v>4128</v>
      </c>
      <c r="F441" s="338"/>
      <c r="G441" s="338" t="s">
        <v>1008</v>
      </c>
      <c r="H441" s="339" t="s">
        <v>249</v>
      </c>
      <c r="I441" s="339">
        <v>1</v>
      </c>
      <c r="J441" s="342">
        <v>24800468</v>
      </c>
      <c r="K441" s="342">
        <v>24800468</v>
      </c>
      <c r="L441" s="342">
        <v>0</v>
      </c>
      <c r="M441" s="343">
        <v>0</v>
      </c>
      <c r="N441" s="343">
        <v>0</v>
      </c>
      <c r="O441" s="343">
        <v>0</v>
      </c>
      <c r="P441" s="338"/>
      <c r="Q441" s="339" t="s">
        <v>206</v>
      </c>
      <c r="R441" s="339" t="s">
        <v>2622</v>
      </c>
      <c r="S441" s="341" t="s">
        <v>4129</v>
      </c>
      <c r="T441" s="338"/>
      <c r="U441" s="327"/>
      <c r="V441" s="327"/>
      <c r="W441" s="327"/>
      <c r="X441" s="327"/>
      <c r="Y441" s="327"/>
      <c r="Z441" s="330"/>
    </row>
    <row r="442" spans="1:26" ht="37.5" hidden="1">
      <c r="A442" s="339">
        <v>491</v>
      </c>
      <c r="B442" s="338" t="s">
        <v>4126</v>
      </c>
      <c r="C442" s="340">
        <v>42731</v>
      </c>
      <c r="D442" s="338" t="s">
        <v>4139</v>
      </c>
      <c r="E442" s="341" t="s">
        <v>4128</v>
      </c>
      <c r="F442" s="338"/>
      <c r="G442" s="338" t="s">
        <v>1008</v>
      </c>
      <c r="H442" s="339" t="s">
        <v>249</v>
      </c>
      <c r="I442" s="339">
        <v>1</v>
      </c>
      <c r="J442" s="342">
        <v>24800468</v>
      </c>
      <c r="K442" s="342">
        <v>24800468</v>
      </c>
      <c r="L442" s="342">
        <v>0</v>
      </c>
      <c r="M442" s="343">
        <v>0</v>
      </c>
      <c r="N442" s="343">
        <v>0</v>
      </c>
      <c r="O442" s="343">
        <v>0</v>
      </c>
      <c r="P442" s="338"/>
      <c r="Q442" s="339" t="s">
        <v>206</v>
      </c>
      <c r="R442" s="339" t="s">
        <v>2622</v>
      </c>
      <c r="S442" s="341" t="s">
        <v>4129</v>
      </c>
      <c r="T442" s="338"/>
      <c r="U442" s="327"/>
      <c r="V442" s="327"/>
      <c r="W442" s="327"/>
      <c r="X442" s="327"/>
      <c r="Y442" s="327"/>
      <c r="Z442" s="330"/>
    </row>
    <row r="443" spans="1:26" ht="37.5" hidden="1">
      <c r="A443" s="339">
        <v>492</v>
      </c>
      <c r="B443" s="338" t="s">
        <v>4126</v>
      </c>
      <c r="C443" s="340">
        <v>42731</v>
      </c>
      <c r="D443" s="338" t="s">
        <v>4140</v>
      </c>
      <c r="E443" s="341" t="s">
        <v>4128</v>
      </c>
      <c r="F443" s="338"/>
      <c r="G443" s="338" t="s">
        <v>1008</v>
      </c>
      <c r="H443" s="339" t="s">
        <v>249</v>
      </c>
      <c r="I443" s="339">
        <v>1</v>
      </c>
      <c r="J443" s="342">
        <v>24800468</v>
      </c>
      <c r="K443" s="342">
        <v>24800468</v>
      </c>
      <c r="L443" s="342">
        <v>0</v>
      </c>
      <c r="M443" s="343">
        <v>0</v>
      </c>
      <c r="N443" s="343">
        <v>0</v>
      </c>
      <c r="O443" s="343">
        <v>0</v>
      </c>
      <c r="P443" s="338"/>
      <c r="Q443" s="339" t="s">
        <v>206</v>
      </c>
      <c r="R443" s="339" t="s">
        <v>2622</v>
      </c>
      <c r="S443" s="341" t="s">
        <v>4129</v>
      </c>
      <c r="T443" s="338"/>
      <c r="U443" s="327"/>
      <c r="V443" s="327"/>
      <c r="W443" s="327"/>
      <c r="X443" s="327"/>
      <c r="Y443" s="327"/>
      <c r="Z443" s="330"/>
    </row>
    <row r="444" spans="1:26" ht="37.5" hidden="1">
      <c r="A444" s="339">
        <v>493</v>
      </c>
      <c r="B444" s="338" t="s">
        <v>4126</v>
      </c>
      <c r="C444" s="340">
        <v>42731</v>
      </c>
      <c r="D444" s="338" t="s">
        <v>4141</v>
      </c>
      <c r="E444" s="341" t="s">
        <v>4128</v>
      </c>
      <c r="F444" s="338"/>
      <c r="G444" s="338" t="s">
        <v>1008</v>
      </c>
      <c r="H444" s="339" t="s">
        <v>249</v>
      </c>
      <c r="I444" s="339">
        <v>1</v>
      </c>
      <c r="J444" s="342">
        <v>24800468</v>
      </c>
      <c r="K444" s="342">
        <v>24800468</v>
      </c>
      <c r="L444" s="342">
        <v>0</v>
      </c>
      <c r="M444" s="343">
        <v>0</v>
      </c>
      <c r="N444" s="343">
        <v>0</v>
      </c>
      <c r="O444" s="343">
        <v>0</v>
      </c>
      <c r="P444" s="338"/>
      <c r="Q444" s="339" t="s">
        <v>206</v>
      </c>
      <c r="R444" s="339" t="s">
        <v>2622</v>
      </c>
      <c r="S444" s="341" t="s">
        <v>4129</v>
      </c>
      <c r="T444" s="338"/>
      <c r="U444" s="327"/>
      <c r="V444" s="327"/>
      <c r="W444" s="327"/>
      <c r="X444" s="327"/>
      <c r="Y444" s="327"/>
      <c r="Z444" s="330"/>
    </row>
    <row r="445" spans="1:26" ht="37.5" hidden="1">
      <c r="A445" s="339">
        <v>494</v>
      </c>
      <c r="B445" s="338" t="s">
        <v>4126</v>
      </c>
      <c r="C445" s="340">
        <v>42731</v>
      </c>
      <c r="D445" s="338" t="s">
        <v>4142</v>
      </c>
      <c r="E445" s="341" t="s">
        <v>4128</v>
      </c>
      <c r="F445" s="338"/>
      <c r="G445" s="338" t="s">
        <v>1008</v>
      </c>
      <c r="H445" s="339" t="s">
        <v>249</v>
      </c>
      <c r="I445" s="339">
        <v>1</v>
      </c>
      <c r="J445" s="342">
        <v>24800468</v>
      </c>
      <c r="K445" s="342">
        <v>24800468</v>
      </c>
      <c r="L445" s="342">
        <v>0</v>
      </c>
      <c r="M445" s="343">
        <v>0</v>
      </c>
      <c r="N445" s="343">
        <v>0</v>
      </c>
      <c r="O445" s="343">
        <v>0</v>
      </c>
      <c r="P445" s="338"/>
      <c r="Q445" s="339" t="s">
        <v>206</v>
      </c>
      <c r="R445" s="339" t="s">
        <v>2622</v>
      </c>
      <c r="S445" s="341" t="s">
        <v>4129</v>
      </c>
      <c r="T445" s="338"/>
      <c r="U445" s="327"/>
      <c r="V445" s="327"/>
      <c r="W445" s="327"/>
      <c r="X445" s="327"/>
      <c r="Y445" s="327"/>
      <c r="Z445" s="330"/>
    </row>
    <row r="446" spans="1:26" ht="37.5" hidden="1">
      <c r="A446" s="339">
        <v>495</v>
      </c>
      <c r="B446" s="338" t="s">
        <v>4126</v>
      </c>
      <c r="C446" s="340">
        <v>42731</v>
      </c>
      <c r="D446" s="338" t="s">
        <v>4143</v>
      </c>
      <c r="E446" s="341" t="s">
        <v>4128</v>
      </c>
      <c r="F446" s="338"/>
      <c r="G446" s="338" t="s">
        <v>1008</v>
      </c>
      <c r="H446" s="339" t="s">
        <v>249</v>
      </c>
      <c r="I446" s="339">
        <v>1</v>
      </c>
      <c r="J446" s="342">
        <v>24800468</v>
      </c>
      <c r="K446" s="342">
        <v>24800468</v>
      </c>
      <c r="L446" s="342">
        <v>0</v>
      </c>
      <c r="M446" s="343">
        <v>0</v>
      </c>
      <c r="N446" s="343">
        <v>0</v>
      </c>
      <c r="O446" s="343">
        <v>0</v>
      </c>
      <c r="P446" s="338"/>
      <c r="Q446" s="339" t="s">
        <v>206</v>
      </c>
      <c r="R446" s="339" t="s">
        <v>2622</v>
      </c>
      <c r="S446" s="341" t="s">
        <v>4129</v>
      </c>
      <c r="T446" s="338"/>
      <c r="U446" s="327"/>
      <c r="V446" s="327"/>
      <c r="W446" s="327"/>
      <c r="X446" s="327"/>
      <c r="Y446" s="327"/>
      <c r="Z446" s="330"/>
    </row>
    <row r="447" spans="1:26" ht="37.5" hidden="1">
      <c r="A447" s="339">
        <v>496</v>
      </c>
      <c r="B447" s="338" t="s">
        <v>4126</v>
      </c>
      <c r="C447" s="340">
        <v>42731</v>
      </c>
      <c r="D447" s="338" t="s">
        <v>4144</v>
      </c>
      <c r="E447" s="341" t="s">
        <v>4128</v>
      </c>
      <c r="F447" s="338"/>
      <c r="G447" s="338" t="s">
        <v>1008</v>
      </c>
      <c r="H447" s="339" t="s">
        <v>249</v>
      </c>
      <c r="I447" s="339">
        <v>1</v>
      </c>
      <c r="J447" s="342">
        <v>24800468</v>
      </c>
      <c r="K447" s="342">
        <v>24800468</v>
      </c>
      <c r="L447" s="342">
        <v>0</v>
      </c>
      <c r="M447" s="343">
        <v>0</v>
      </c>
      <c r="N447" s="343">
        <v>0</v>
      </c>
      <c r="O447" s="343">
        <v>0</v>
      </c>
      <c r="P447" s="338"/>
      <c r="Q447" s="339" t="s">
        <v>206</v>
      </c>
      <c r="R447" s="339" t="s">
        <v>2622</v>
      </c>
      <c r="S447" s="341" t="s">
        <v>4129</v>
      </c>
      <c r="T447" s="338"/>
      <c r="U447" s="327"/>
      <c r="V447" s="327"/>
      <c r="W447" s="327"/>
      <c r="X447" s="327"/>
      <c r="Y447" s="327"/>
      <c r="Z447" s="330"/>
    </row>
    <row r="448" spans="1:26" ht="37.5" hidden="1">
      <c r="A448" s="339">
        <v>497</v>
      </c>
      <c r="B448" s="338" t="s">
        <v>4126</v>
      </c>
      <c r="C448" s="340">
        <v>42731</v>
      </c>
      <c r="D448" s="338" t="s">
        <v>4145</v>
      </c>
      <c r="E448" s="341" t="s">
        <v>4128</v>
      </c>
      <c r="F448" s="338"/>
      <c r="G448" s="338" t="s">
        <v>1008</v>
      </c>
      <c r="H448" s="339" t="s">
        <v>249</v>
      </c>
      <c r="I448" s="339">
        <v>1</v>
      </c>
      <c r="J448" s="342">
        <v>24800468</v>
      </c>
      <c r="K448" s="342">
        <v>24800468</v>
      </c>
      <c r="L448" s="342">
        <v>0</v>
      </c>
      <c r="M448" s="343">
        <v>0</v>
      </c>
      <c r="N448" s="343">
        <v>0</v>
      </c>
      <c r="O448" s="343">
        <v>0</v>
      </c>
      <c r="P448" s="338"/>
      <c r="Q448" s="339" t="s">
        <v>206</v>
      </c>
      <c r="R448" s="339" t="s">
        <v>2622</v>
      </c>
      <c r="S448" s="341" t="s">
        <v>4129</v>
      </c>
      <c r="T448" s="338"/>
      <c r="U448" s="327"/>
      <c r="V448" s="327"/>
      <c r="W448" s="327"/>
      <c r="X448" s="327"/>
      <c r="Y448" s="327"/>
      <c r="Z448" s="330"/>
    </row>
    <row r="449" spans="1:26" ht="37.5" hidden="1">
      <c r="A449" s="339">
        <v>498</v>
      </c>
      <c r="B449" s="338" t="s">
        <v>4126</v>
      </c>
      <c r="C449" s="340">
        <v>42731</v>
      </c>
      <c r="D449" s="338" t="s">
        <v>4146</v>
      </c>
      <c r="E449" s="341" t="s">
        <v>4128</v>
      </c>
      <c r="F449" s="338"/>
      <c r="G449" s="338" t="s">
        <v>1008</v>
      </c>
      <c r="H449" s="339" t="s">
        <v>249</v>
      </c>
      <c r="I449" s="339">
        <v>1</v>
      </c>
      <c r="J449" s="342">
        <v>24800468</v>
      </c>
      <c r="K449" s="342">
        <v>24800468</v>
      </c>
      <c r="L449" s="342">
        <v>0</v>
      </c>
      <c r="M449" s="343">
        <v>0</v>
      </c>
      <c r="N449" s="343">
        <v>0</v>
      </c>
      <c r="O449" s="343">
        <v>0</v>
      </c>
      <c r="P449" s="338"/>
      <c r="Q449" s="339" t="s">
        <v>206</v>
      </c>
      <c r="R449" s="339" t="s">
        <v>2622</v>
      </c>
      <c r="S449" s="341" t="s">
        <v>4129</v>
      </c>
      <c r="T449" s="338"/>
      <c r="U449" s="327"/>
      <c r="V449" s="327"/>
      <c r="W449" s="327"/>
      <c r="X449" s="327"/>
      <c r="Y449" s="327"/>
      <c r="Z449" s="330"/>
    </row>
    <row r="450" spans="1:26" ht="37.5" hidden="1">
      <c r="A450" s="339">
        <v>499</v>
      </c>
      <c r="B450" s="338" t="s">
        <v>4126</v>
      </c>
      <c r="C450" s="340">
        <v>42731</v>
      </c>
      <c r="D450" s="338" t="s">
        <v>4147</v>
      </c>
      <c r="E450" s="341" t="s">
        <v>4128</v>
      </c>
      <c r="F450" s="338"/>
      <c r="G450" s="338" t="s">
        <v>1008</v>
      </c>
      <c r="H450" s="339" t="s">
        <v>249</v>
      </c>
      <c r="I450" s="339">
        <v>1</v>
      </c>
      <c r="J450" s="342">
        <v>24800468</v>
      </c>
      <c r="K450" s="342">
        <v>24800468</v>
      </c>
      <c r="L450" s="342">
        <v>0</v>
      </c>
      <c r="M450" s="343">
        <v>0</v>
      </c>
      <c r="N450" s="343">
        <v>0</v>
      </c>
      <c r="O450" s="343">
        <v>0</v>
      </c>
      <c r="P450" s="338"/>
      <c r="Q450" s="339" t="s">
        <v>206</v>
      </c>
      <c r="R450" s="339" t="s">
        <v>2622</v>
      </c>
      <c r="S450" s="341" t="s">
        <v>4129</v>
      </c>
      <c r="T450" s="338"/>
      <c r="U450" s="327"/>
      <c r="V450" s="327"/>
      <c r="W450" s="327"/>
      <c r="X450" s="327"/>
      <c r="Y450" s="327"/>
      <c r="Z450" s="330"/>
    </row>
    <row r="451" spans="1:26" ht="37.5" hidden="1">
      <c r="A451" s="339">
        <v>500</v>
      </c>
      <c r="B451" s="338" t="s">
        <v>4126</v>
      </c>
      <c r="C451" s="340">
        <v>42731</v>
      </c>
      <c r="D451" s="338" t="s">
        <v>4148</v>
      </c>
      <c r="E451" s="341" t="s">
        <v>4128</v>
      </c>
      <c r="F451" s="338"/>
      <c r="G451" s="338" t="s">
        <v>1008</v>
      </c>
      <c r="H451" s="339" t="s">
        <v>249</v>
      </c>
      <c r="I451" s="339">
        <v>1</v>
      </c>
      <c r="J451" s="342">
        <v>24800468</v>
      </c>
      <c r="K451" s="342">
        <v>24800468</v>
      </c>
      <c r="L451" s="342">
        <v>0</v>
      </c>
      <c r="M451" s="343">
        <v>0</v>
      </c>
      <c r="N451" s="343">
        <v>0</v>
      </c>
      <c r="O451" s="343">
        <v>0</v>
      </c>
      <c r="P451" s="338"/>
      <c r="Q451" s="339" t="s">
        <v>36</v>
      </c>
      <c r="R451" s="339" t="s">
        <v>169</v>
      </c>
      <c r="S451" s="341" t="s">
        <v>4149</v>
      </c>
      <c r="T451" s="338"/>
      <c r="U451" s="327"/>
      <c r="V451" s="327"/>
      <c r="W451" s="327"/>
      <c r="X451" s="327"/>
      <c r="Y451" s="327"/>
      <c r="Z451" s="330"/>
    </row>
    <row r="452" spans="1:26" ht="37.5" hidden="1">
      <c r="A452" s="339">
        <v>501</v>
      </c>
      <c r="B452" s="338" t="s">
        <v>4126</v>
      </c>
      <c r="C452" s="340">
        <v>42731</v>
      </c>
      <c r="D452" s="338" t="s">
        <v>4150</v>
      </c>
      <c r="E452" s="341" t="s">
        <v>4128</v>
      </c>
      <c r="F452" s="338"/>
      <c r="G452" s="338" t="s">
        <v>1008</v>
      </c>
      <c r="H452" s="339" t="s">
        <v>249</v>
      </c>
      <c r="I452" s="339">
        <v>1</v>
      </c>
      <c r="J452" s="342">
        <v>24800468</v>
      </c>
      <c r="K452" s="342">
        <v>24800468</v>
      </c>
      <c r="L452" s="342">
        <v>0</v>
      </c>
      <c r="M452" s="343">
        <v>0</v>
      </c>
      <c r="N452" s="343">
        <v>0</v>
      </c>
      <c r="O452" s="343">
        <v>0</v>
      </c>
      <c r="P452" s="338"/>
      <c r="Q452" s="339" t="s">
        <v>36</v>
      </c>
      <c r="R452" s="339" t="s">
        <v>169</v>
      </c>
      <c r="S452" s="341" t="s">
        <v>4149</v>
      </c>
      <c r="T452" s="338"/>
      <c r="U452" s="327"/>
      <c r="V452" s="327"/>
      <c r="W452" s="327"/>
      <c r="X452" s="327"/>
      <c r="Y452" s="327"/>
      <c r="Z452" s="330"/>
    </row>
    <row r="453" spans="1:26" ht="37.5" hidden="1">
      <c r="A453" s="339">
        <v>502</v>
      </c>
      <c r="B453" s="338" t="s">
        <v>4126</v>
      </c>
      <c r="C453" s="340">
        <v>42731</v>
      </c>
      <c r="D453" s="338" t="s">
        <v>4151</v>
      </c>
      <c r="E453" s="341" t="s">
        <v>4128</v>
      </c>
      <c r="F453" s="338"/>
      <c r="G453" s="338" t="s">
        <v>1008</v>
      </c>
      <c r="H453" s="339" t="s">
        <v>249</v>
      </c>
      <c r="I453" s="339">
        <v>1</v>
      </c>
      <c r="J453" s="342">
        <v>24800468</v>
      </c>
      <c r="K453" s="342">
        <v>24800468</v>
      </c>
      <c r="L453" s="342">
        <v>0</v>
      </c>
      <c r="M453" s="343">
        <v>0</v>
      </c>
      <c r="N453" s="343">
        <v>0</v>
      </c>
      <c r="O453" s="343">
        <v>0</v>
      </c>
      <c r="P453" s="338"/>
      <c r="Q453" s="339" t="s">
        <v>36</v>
      </c>
      <c r="R453" s="339" t="s">
        <v>3512</v>
      </c>
      <c r="S453" s="341" t="s">
        <v>1291</v>
      </c>
      <c r="T453" s="338"/>
      <c r="U453" s="327"/>
      <c r="V453" s="327"/>
      <c r="W453" s="327"/>
      <c r="X453" s="327"/>
      <c r="Y453" s="327"/>
      <c r="Z453" s="330"/>
    </row>
    <row r="454" spans="1:26" ht="37.5" hidden="1">
      <c r="A454" s="339">
        <v>503</v>
      </c>
      <c r="B454" s="338" t="s">
        <v>4126</v>
      </c>
      <c r="C454" s="340">
        <v>42731</v>
      </c>
      <c r="D454" s="338" t="s">
        <v>4152</v>
      </c>
      <c r="E454" s="341" t="s">
        <v>4128</v>
      </c>
      <c r="F454" s="338"/>
      <c r="G454" s="338" t="s">
        <v>1008</v>
      </c>
      <c r="H454" s="339" t="s">
        <v>249</v>
      </c>
      <c r="I454" s="339">
        <v>1</v>
      </c>
      <c r="J454" s="342">
        <v>24800468</v>
      </c>
      <c r="K454" s="342">
        <v>24800468</v>
      </c>
      <c r="L454" s="342">
        <v>0</v>
      </c>
      <c r="M454" s="343">
        <v>0</v>
      </c>
      <c r="N454" s="343">
        <v>0</v>
      </c>
      <c r="O454" s="343">
        <v>0</v>
      </c>
      <c r="P454" s="338"/>
      <c r="Q454" s="339" t="s">
        <v>36</v>
      </c>
      <c r="R454" s="339" t="s">
        <v>3512</v>
      </c>
      <c r="S454" s="341" t="s">
        <v>1288</v>
      </c>
      <c r="T454" s="338"/>
      <c r="U454" s="327"/>
      <c r="V454" s="327"/>
      <c r="W454" s="327"/>
      <c r="X454" s="327"/>
      <c r="Y454" s="327"/>
      <c r="Z454" s="330"/>
    </row>
    <row r="455" spans="1:26" ht="37.5" hidden="1">
      <c r="A455" s="339">
        <v>504</v>
      </c>
      <c r="B455" s="338" t="s">
        <v>4126</v>
      </c>
      <c r="C455" s="340">
        <v>42731</v>
      </c>
      <c r="D455" s="338" t="s">
        <v>4153</v>
      </c>
      <c r="E455" s="341" t="s">
        <v>4128</v>
      </c>
      <c r="F455" s="338"/>
      <c r="G455" s="338" t="s">
        <v>1008</v>
      </c>
      <c r="H455" s="339" t="s">
        <v>249</v>
      </c>
      <c r="I455" s="339">
        <v>1</v>
      </c>
      <c r="J455" s="342">
        <v>24800468</v>
      </c>
      <c r="K455" s="342">
        <v>24800468</v>
      </c>
      <c r="L455" s="342">
        <v>0</v>
      </c>
      <c r="M455" s="343">
        <v>0</v>
      </c>
      <c r="N455" s="343">
        <v>0</v>
      </c>
      <c r="O455" s="343">
        <v>0</v>
      </c>
      <c r="P455" s="338"/>
      <c r="Q455" s="339" t="s">
        <v>36</v>
      </c>
      <c r="R455" s="339" t="s">
        <v>4154</v>
      </c>
      <c r="S455" s="341" t="s">
        <v>1909</v>
      </c>
      <c r="T455" s="338"/>
      <c r="U455" s="327"/>
      <c r="V455" s="327"/>
      <c r="W455" s="327"/>
      <c r="X455" s="327"/>
      <c r="Y455" s="327"/>
      <c r="Z455" s="330"/>
    </row>
    <row r="456" spans="1:26" ht="37.5" hidden="1">
      <c r="A456" s="339">
        <v>505</v>
      </c>
      <c r="B456" s="338" t="s">
        <v>4126</v>
      </c>
      <c r="C456" s="340">
        <v>42731</v>
      </c>
      <c r="D456" s="338" t="s">
        <v>4155</v>
      </c>
      <c r="E456" s="341" t="s">
        <v>4128</v>
      </c>
      <c r="F456" s="338"/>
      <c r="G456" s="338" t="s">
        <v>1008</v>
      </c>
      <c r="H456" s="339" t="s">
        <v>249</v>
      </c>
      <c r="I456" s="339">
        <v>1</v>
      </c>
      <c r="J456" s="342">
        <v>24800468</v>
      </c>
      <c r="K456" s="342">
        <v>24800468</v>
      </c>
      <c r="L456" s="342">
        <v>0</v>
      </c>
      <c r="M456" s="343">
        <v>0</v>
      </c>
      <c r="N456" s="343">
        <v>0</v>
      </c>
      <c r="O456" s="343">
        <v>0</v>
      </c>
      <c r="P456" s="338"/>
      <c r="Q456" s="339" t="s">
        <v>36</v>
      </c>
      <c r="R456" s="339" t="s">
        <v>4154</v>
      </c>
      <c r="S456" s="341" t="s">
        <v>1900</v>
      </c>
      <c r="T456" s="338"/>
      <c r="U456" s="327"/>
      <c r="V456" s="327"/>
      <c r="W456" s="327"/>
      <c r="X456" s="327"/>
      <c r="Y456" s="327"/>
      <c r="Z456" s="330"/>
    </row>
    <row r="457" spans="1:26" ht="62.5" hidden="1">
      <c r="A457" s="339">
        <v>506</v>
      </c>
      <c r="B457" s="338" t="s">
        <v>4126</v>
      </c>
      <c r="C457" s="340">
        <v>42731</v>
      </c>
      <c r="D457" s="338" t="s">
        <v>4156</v>
      </c>
      <c r="E457" s="341" t="s">
        <v>4157</v>
      </c>
      <c r="F457" s="341" t="s">
        <v>5059</v>
      </c>
      <c r="G457" s="338" t="s">
        <v>307</v>
      </c>
      <c r="H457" s="339" t="s">
        <v>249</v>
      </c>
      <c r="I457" s="339">
        <v>1</v>
      </c>
      <c r="J457" s="342">
        <v>15881001</v>
      </c>
      <c r="K457" s="342">
        <v>15881001</v>
      </c>
      <c r="L457" s="342">
        <v>0</v>
      </c>
      <c r="M457" s="343">
        <v>0</v>
      </c>
      <c r="N457" s="343">
        <v>0</v>
      </c>
      <c r="O457" s="343">
        <v>0</v>
      </c>
      <c r="P457" s="338"/>
      <c r="Q457" s="339" t="s">
        <v>206</v>
      </c>
      <c r="R457" s="339" t="s">
        <v>2427</v>
      </c>
      <c r="S457" s="341" t="s">
        <v>2625</v>
      </c>
      <c r="T457" s="338"/>
      <c r="U457" s="327"/>
      <c r="V457" s="327"/>
      <c r="W457" s="327"/>
      <c r="X457" s="327"/>
      <c r="Y457" s="327"/>
      <c r="Z457" s="330"/>
    </row>
    <row r="458" spans="1:26" ht="62.5" hidden="1">
      <c r="A458" s="339">
        <v>507</v>
      </c>
      <c r="B458" s="338" t="s">
        <v>4126</v>
      </c>
      <c r="C458" s="340">
        <v>42731</v>
      </c>
      <c r="D458" s="338" t="s">
        <v>4158</v>
      </c>
      <c r="E458" s="341" t="s">
        <v>4157</v>
      </c>
      <c r="F458" s="341" t="s">
        <v>5060</v>
      </c>
      <c r="G458" s="338" t="s">
        <v>307</v>
      </c>
      <c r="H458" s="339" t="s">
        <v>249</v>
      </c>
      <c r="I458" s="339">
        <v>1</v>
      </c>
      <c r="J458" s="342">
        <v>15881001</v>
      </c>
      <c r="K458" s="342">
        <v>15881001</v>
      </c>
      <c r="L458" s="342">
        <v>0</v>
      </c>
      <c r="M458" s="343">
        <v>0</v>
      </c>
      <c r="N458" s="343">
        <v>0</v>
      </c>
      <c r="O458" s="343">
        <v>0</v>
      </c>
      <c r="P458" s="338"/>
      <c r="Q458" s="339" t="s">
        <v>36</v>
      </c>
      <c r="R458" s="339" t="s">
        <v>4154</v>
      </c>
      <c r="S458" s="341" t="s">
        <v>4159</v>
      </c>
      <c r="T458" s="338"/>
      <c r="U458" s="327"/>
      <c r="V458" s="327"/>
      <c r="W458" s="327"/>
      <c r="X458" s="327"/>
      <c r="Y458" s="327"/>
      <c r="Z458" s="330"/>
    </row>
    <row r="459" spans="1:26" ht="62.5" hidden="1">
      <c r="A459" s="339">
        <v>508</v>
      </c>
      <c r="B459" s="338" t="s">
        <v>4126</v>
      </c>
      <c r="C459" s="340">
        <v>42731</v>
      </c>
      <c r="D459" s="338" t="s">
        <v>4160</v>
      </c>
      <c r="E459" s="341" t="s">
        <v>4157</v>
      </c>
      <c r="F459" s="341" t="s">
        <v>5061</v>
      </c>
      <c r="G459" s="338" t="s">
        <v>307</v>
      </c>
      <c r="H459" s="339" t="s">
        <v>249</v>
      </c>
      <c r="I459" s="339">
        <v>1</v>
      </c>
      <c r="J459" s="342">
        <v>15881001</v>
      </c>
      <c r="K459" s="342">
        <v>15881001</v>
      </c>
      <c r="L459" s="342">
        <v>0</v>
      </c>
      <c r="M459" s="343">
        <v>0</v>
      </c>
      <c r="N459" s="343">
        <v>0</v>
      </c>
      <c r="O459" s="343">
        <v>0</v>
      </c>
      <c r="P459" s="338"/>
      <c r="Q459" s="339" t="s">
        <v>36</v>
      </c>
      <c r="R459" s="339" t="s">
        <v>4154</v>
      </c>
      <c r="S459" s="341" t="s">
        <v>4161</v>
      </c>
      <c r="T459" s="338"/>
      <c r="U459" s="327"/>
      <c r="V459" s="327"/>
      <c r="W459" s="327"/>
      <c r="X459" s="327"/>
      <c r="Y459" s="327"/>
      <c r="Z459" s="330"/>
    </row>
    <row r="460" spans="1:26" ht="62.5" hidden="1">
      <c r="A460" s="339">
        <v>509</v>
      </c>
      <c r="B460" s="338" t="s">
        <v>4126</v>
      </c>
      <c r="C460" s="340">
        <v>42731</v>
      </c>
      <c r="D460" s="338" t="s">
        <v>4162</v>
      </c>
      <c r="E460" s="341" t="s">
        <v>4157</v>
      </c>
      <c r="F460" s="341" t="s">
        <v>5062</v>
      </c>
      <c r="G460" s="338" t="s">
        <v>307</v>
      </c>
      <c r="H460" s="339" t="s">
        <v>249</v>
      </c>
      <c r="I460" s="339">
        <v>1</v>
      </c>
      <c r="J460" s="342">
        <v>15881001</v>
      </c>
      <c r="K460" s="342">
        <v>15881001</v>
      </c>
      <c r="L460" s="342">
        <v>0</v>
      </c>
      <c r="M460" s="343">
        <v>0</v>
      </c>
      <c r="N460" s="343">
        <v>0</v>
      </c>
      <c r="O460" s="343">
        <v>0</v>
      </c>
      <c r="P460" s="338"/>
      <c r="Q460" s="339" t="s">
        <v>36</v>
      </c>
      <c r="R460" s="339" t="s">
        <v>4154</v>
      </c>
      <c r="S460" s="341" t="s">
        <v>1909</v>
      </c>
      <c r="T460" s="338"/>
      <c r="U460" s="327"/>
      <c r="V460" s="327"/>
      <c r="W460" s="327"/>
      <c r="X460" s="327"/>
      <c r="Y460" s="327"/>
      <c r="Z460" s="330"/>
    </row>
    <row r="461" spans="1:26" ht="62.5" hidden="1">
      <c r="A461" s="339">
        <v>510</v>
      </c>
      <c r="B461" s="338" t="s">
        <v>4126</v>
      </c>
      <c r="C461" s="340">
        <v>42731</v>
      </c>
      <c r="D461" s="338" t="s">
        <v>4163</v>
      </c>
      <c r="E461" s="341" t="s">
        <v>4157</v>
      </c>
      <c r="F461" s="341" t="s">
        <v>5063</v>
      </c>
      <c r="G461" s="338" t="s">
        <v>307</v>
      </c>
      <c r="H461" s="339" t="s">
        <v>249</v>
      </c>
      <c r="I461" s="339">
        <v>1</v>
      </c>
      <c r="J461" s="342">
        <v>15881001</v>
      </c>
      <c r="K461" s="342">
        <v>15881001</v>
      </c>
      <c r="L461" s="342">
        <v>0</v>
      </c>
      <c r="M461" s="343">
        <v>0</v>
      </c>
      <c r="N461" s="343">
        <v>0</v>
      </c>
      <c r="O461" s="343">
        <v>0</v>
      </c>
      <c r="P461" s="338"/>
      <c r="Q461" s="339" t="s">
        <v>206</v>
      </c>
      <c r="R461" s="339" t="s">
        <v>2427</v>
      </c>
      <c r="S461" s="341" t="s">
        <v>2625</v>
      </c>
      <c r="T461" s="338"/>
      <c r="U461" s="327"/>
      <c r="V461" s="327"/>
      <c r="W461" s="327"/>
      <c r="X461" s="327"/>
      <c r="Y461" s="327"/>
      <c r="Z461" s="330"/>
    </row>
    <row r="462" spans="1:26" ht="62.5" hidden="1">
      <c r="A462" s="339">
        <v>511</v>
      </c>
      <c r="B462" s="338" t="s">
        <v>3798</v>
      </c>
      <c r="C462" s="340">
        <v>42731</v>
      </c>
      <c r="D462" s="338" t="s">
        <v>4164</v>
      </c>
      <c r="E462" s="341" t="s">
        <v>4157</v>
      </c>
      <c r="F462" s="341" t="s">
        <v>5064</v>
      </c>
      <c r="G462" s="338" t="s">
        <v>307</v>
      </c>
      <c r="H462" s="339" t="s">
        <v>249</v>
      </c>
      <c r="I462" s="339">
        <v>1</v>
      </c>
      <c r="J462" s="342">
        <v>16394731</v>
      </c>
      <c r="K462" s="342">
        <v>16394731</v>
      </c>
      <c r="L462" s="342">
        <v>0</v>
      </c>
      <c r="M462" s="343">
        <v>0</v>
      </c>
      <c r="N462" s="343">
        <v>0</v>
      </c>
      <c r="O462" s="343">
        <v>0</v>
      </c>
      <c r="P462" s="338"/>
      <c r="Q462" s="339" t="s">
        <v>36</v>
      </c>
      <c r="R462" s="339" t="s">
        <v>4154</v>
      </c>
      <c r="S462" s="341" t="s">
        <v>4165</v>
      </c>
      <c r="T462" s="338"/>
      <c r="U462" s="327"/>
      <c r="V462" s="327"/>
      <c r="W462" s="327"/>
      <c r="X462" s="327"/>
      <c r="Y462" s="327"/>
      <c r="Z462" s="330"/>
    </row>
    <row r="463" spans="1:26" ht="62.5" hidden="1">
      <c r="A463" s="339">
        <v>512</v>
      </c>
      <c r="B463" s="338" t="s">
        <v>3798</v>
      </c>
      <c r="C463" s="340">
        <v>42731</v>
      </c>
      <c r="D463" s="338" t="s">
        <v>4166</v>
      </c>
      <c r="E463" s="341" t="s">
        <v>4157</v>
      </c>
      <c r="F463" s="341" t="s">
        <v>5065</v>
      </c>
      <c r="G463" s="338" t="s">
        <v>307</v>
      </c>
      <c r="H463" s="339" t="s">
        <v>249</v>
      </c>
      <c r="I463" s="339">
        <v>1</v>
      </c>
      <c r="J463" s="342">
        <v>16394731</v>
      </c>
      <c r="K463" s="342">
        <v>16394731</v>
      </c>
      <c r="L463" s="342">
        <v>0</v>
      </c>
      <c r="M463" s="343">
        <v>0</v>
      </c>
      <c r="N463" s="343">
        <v>0</v>
      </c>
      <c r="O463" s="343">
        <v>0</v>
      </c>
      <c r="P463" s="338"/>
      <c r="Q463" s="339" t="s">
        <v>36</v>
      </c>
      <c r="R463" s="339" t="s">
        <v>4154</v>
      </c>
      <c r="S463" s="341" t="s">
        <v>4167</v>
      </c>
      <c r="T463" s="338"/>
      <c r="U463" s="327"/>
      <c r="V463" s="327"/>
      <c r="W463" s="327"/>
      <c r="X463" s="327"/>
      <c r="Y463" s="327"/>
      <c r="Z463" s="330"/>
    </row>
    <row r="464" spans="1:26" ht="50" hidden="1">
      <c r="A464" s="339">
        <v>513</v>
      </c>
      <c r="B464" s="338" t="s">
        <v>4168</v>
      </c>
      <c r="C464" s="340">
        <v>42937</v>
      </c>
      <c r="D464" s="338" t="s">
        <v>4169</v>
      </c>
      <c r="E464" s="341" t="s">
        <v>4170</v>
      </c>
      <c r="F464" s="338"/>
      <c r="G464" s="338" t="s">
        <v>248</v>
      </c>
      <c r="H464" s="339" t="s">
        <v>249</v>
      </c>
      <c r="I464" s="339">
        <v>1</v>
      </c>
      <c r="J464" s="342">
        <v>14684200</v>
      </c>
      <c r="K464" s="342">
        <v>14684200</v>
      </c>
      <c r="L464" s="342">
        <v>4894734</v>
      </c>
      <c r="M464" s="343">
        <v>33</v>
      </c>
      <c r="N464" s="343">
        <v>4894734</v>
      </c>
      <c r="O464" s="343">
        <v>0</v>
      </c>
      <c r="P464" s="338"/>
      <c r="Q464" s="339" t="s">
        <v>206</v>
      </c>
      <c r="R464" s="339" t="s">
        <v>2427</v>
      </c>
      <c r="S464" s="341" t="s">
        <v>2651</v>
      </c>
      <c r="T464" s="338"/>
      <c r="U464" s="327"/>
      <c r="V464" s="327"/>
      <c r="W464" s="327"/>
      <c r="X464" s="327"/>
      <c r="Y464" s="327"/>
      <c r="Z464" s="330"/>
    </row>
    <row r="465" spans="1:26" ht="62.5" hidden="1">
      <c r="A465" s="339">
        <v>514</v>
      </c>
      <c r="B465" s="338" t="s">
        <v>4171</v>
      </c>
      <c r="C465" s="340">
        <v>42937</v>
      </c>
      <c r="D465" s="338" t="s">
        <v>4172</v>
      </c>
      <c r="E465" s="341" t="s">
        <v>4173</v>
      </c>
      <c r="F465" s="341" t="s">
        <v>5066</v>
      </c>
      <c r="G465" s="338" t="s">
        <v>248</v>
      </c>
      <c r="H465" s="339" t="s">
        <v>249</v>
      </c>
      <c r="I465" s="339">
        <v>1</v>
      </c>
      <c r="J465" s="342">
        <v>3376580</v>
      </c>
      <c r="K465" s="342">
        <v>3376580</v>
      </c>
      <c r="L465" s="342">
        <v>0</v>
      </c>
      <c r="M465" s="343">
        <v>0</v>
      </c>
      <c r="N465" s="343">
        <v>0</v>
      </c>
      <c r="O465" s="343">
        <v>0</v>
      </c>
      <c r="P465" s="338"/>
      <c r="Q465" s="339" t="s">
        <v>206</v>
      </c>
      <c r="R465" s="339" t="s">
        <v>2427</v>
      </c>
      <c r="S465" s="341" t="s">
        <v>2625</v>
      </c>
      <c r="T465" s="338"/>
      <c r="U465" s="327"/>
      <c r="V465" s="327"/>
      <c r="W465" s="327"/>
      <c r="X465" s="327"/>
      <c r="Y465" s="327"/>
      <c r="Z465" s="330"/>
    </row>
    <row r="466" spans="1:26" ht="62.5" hidden="1">
      <c r="A466" s="339">
        <v>515</v>
      </c>
      <c r="B466" s="338" t="s">
        <v>4171</v>
      </c>
      <c r="C466" s="340">
        <v>42937</v>
      </c>
      <c r="D466" s="338" t="s">
        <v>4174</v>
      </c>
      <c r="E466" s="341" t="s">
        <v>4173</v>
      </c>
      <c r="F466" s="341" t="s">
        <v>5067</v>
      </c>
      <c r="G466" s="338" t="s">
        <v>248</v>
      </c>
      <c r="H466" s="339" t="s">
        <v>249</v>
      </c>
      <c r="I466" s="339">
        <v>1</v>
      </c>
      <c r="J466" s="342">
        <v>3376580</v>
      </c>
      <c r="K466" s="342">
        <v>3376580</v>
      </c>
      <c r="L466" s="342">
        <v>0</v>
      </c>
      <c r="M466" s="343">
        <v>0</v>
      </c>
      <c r="N466" s="343">
        <v>0</v>
      </c>
      <c r="O466" s="343">
        <v>0</v>
      </c>
      <c r="P466" s="338"/>
      <c r="Q466" s="339" t="s">
        <v>206</v>
      </c>
      <c r="R466" s="339" t="s">
        <v>2427</v>
      </c>
      <c r="S466" s="341" t="s">
        <v>2625</v>
      </c>
      <c r="T466" s="338"/>
      <c r="U466" s="327"/>
      <c r="V466" s="327"/>
      <c r="W466" s="327"/>
      <c r="X466" s="327"/>
      <c r="Y466" s="327"/>
      <c r="Z466" s="330"/>
    </row>
    <row r="467" spans="1:26" ht="62.5" hidden="1">
      <c r="A467" s="339">
        <v>516</v>
      </c>
      <c r="B467" s="338" t="s">
        <v>4171</v>
      </c>
      <c r="C467" s="340">
        <v>42937</v>
      </c>
      <c r="D467" s="338" t="s">
        <v>4175</v>
      </c>
      <c r="E467" s="341" t="s">
        <v>4173</v>
      </c>
      <c r="F467" s="341" t="s">
        <v>5068</v>
      </c>
      <c r="G467" s="338" t="s">
        <v>248</v>
      </c>
      <c r="H467" s="339" t="s">
        <v>249</v>
      </c>
      <c r="I467" s="339">
        <v>1</v>
      </c>
      <c r="J467" s="342">
        <v>3376580</v>
      </c>
      <c r="K467" s="342">
        <v>3376580</v>
      </c>
      <c r="L467" s="342">
        <v>0</v>
      </c>
      <c r="M467" s="343">
        <v>0</v>
      </c>
      <c r="N467" s="343">
        <v>0</v>
      </c>
      <c r="O467" s="343">
        <v>0</v>
      </c>
      <c r="P467" s="338"/>
      <c r="Q467" s="339" t="s">
        <v>206</v>
      </c>
      <c r="R467" s="339" t="s">
        <v>2427</v>
      </c>
      <c r="S467" s="341" t="s">
        <v>2625</v>
      </c>
      <c r="T467" s="338"/>
      <c r="U467" s="327"/>
      <c r="V467" s="327"/>
      <c r="W467" s="327"/>
      <c r="X467" s="327"/>
      <c r="Y467" s="327"/>
      <c r="Z467" s="330"/>
    </row>
    <row r="468" spans="1:26" ht="62.5" hidden="1">
      <c r="A468" s="339">
        <v>517</v>
      </c>
      <c r="B468" s="338" t="s">
        <v>4171</v>
      </c>
      <c r="C468" s="340">
        <v>42937</v>
      </c>
      <c r="D468" s="338" t="s">
        <v>4176</v>
      </c>
      <c r="E468" s="341" t="s">
        <v>4173</v>
      </c>
      <c r="F468" s="341" t="s">
        <v>5069</v>
      </c>
      <c r="G468" s="338" t="s">
        <v>248</v>
      </c>
      <c r="H468" s="339" t="s">
        <v>249</v>
      </c>
      <c r="I468" s="339">
        <v>1</v>
      </c>
      <c r="J468" s="342">
        <v>3376580</v>
      </c>
      <c r="K468" s="342">
        <v>3376580</v>
      </c>
      <c r="L468" s="342">
        <v>0</v>
      </c>
      <c r="M468" s="343">
        <v>0</v>
      </c>
      <c r="N468" s="343">
        <v>0</v>
      </c>
      <c r="O468" s="343">
        <v>0</v>
      </c>
      <c r="P468" s="338"/>
      <c r="Q468" s="339" t="s">
        <v>206</v>
      </c>
      <c r="R468" s="339" t="s">
        <v>2427</v>
      </c>
      <c r="S468" s="341" t="s">
        <v>4177</v>
      </c>
      <c r="T468" s="338"/>
      <c r="U468" s="327"/>
      <c r="V468" s="327"/>
      <c r="W468" s="327"/>
      <c r="X468" s="327"/>
      <c r="Y468" s="327"/>
      <c r="Z468" s="330"/>
    </row>
    <row r="469" spans="1:26" ht="62.5" hidden="1">
      <c r="A469" s="339">
        <v>518</v>
      </c>
      <c r="B469" s="338" t="s">
        <v>4171</v>
      </c>
      <c r="C469" s="340">
        <v>42937</v>
      </c>
      <c r="D469" s="338" t="s">
        <v>4178</v>
      </c>
      <c r="E469" s="341" t="s">
        <v>4173</v>
      </c>
      <c r="F469" s="341" t="s">
        <v>5070</v>
      </c>
      <c r="G469" s="338" t="s">
        <v>248</v>
      </c>
      <c r="H469" s="339" t="s">
        <v>249</v>
      </c>
      <c r="I469" s="339">
        <v>1</v>
      </c>
      <c r="J469" s="342">
        <v>3376580</v>
      </c>
      <c r="K469" s="342">
        <v>3376580</v>
      </c>
      <c r="L469" s="342">
        <v>0</v>
      </c>
      <c r="M469" s="343">
        <v>0</v>
      </c>
      <c r="N469" s="343">
        <v>0</v>
      </c>
      <c r="O469" s="343">
        <v>0</v>
      </c>
      <c r="P469" s="338"/>
      <c r="Q469" s="339" t="s">
        <v>206</v>
      </c>
      <c r="R469" s="339" t="s">
        <v>2427</v>
      </c>
      <c r="S469" s="341" t="s">
        <v>4177</v>
      </c>
      <c r="T469" s="338"/>
      <c r="U469" s="327"/>
      <c r="V469" s="327"/>
      <c r="W469" s="327"/>
      <c r="X469" s="327"/>
      <c r="Y469" s="327"/>
      <c r="Z469" s="330"/>
    </row>
    <row r="470" spans="1:26" ht="62.5" hidden="1">
      <c r="A470" s="339">
        <v>519</v>
      </c>
      <c r="B470" s="338" t="s">
        <v>4171</v>
      </c>
      <c r="C470" s="340">
        <v>42937</v>
      </c>
      <c r="D470" s="338" t="s">
        <v>4179</v>
      </c>
      <c r="E470" s="341" t="s">
        <v>4173</v>
      </c>
      <c r="F470" s="341" t="s">
        <v>5071</v>
      </c>
      <c r="G470" s="338" t="s">
        <v>248</v>
      </c>
      <c r="H470" s="339" t="s">
        <v>249</v>
      </c>
      <c r="I470" s="339">
        <v>1</v>
      </c>
      <c r="J470" s="342">
        <v>3376580</v>
      </c>
      <c r="K470" s="342">
        <v>3376580</v>
      </c>
      <c r="L470" s="342">
        <v>0</v>
      </c>
      <c r="M470" s="343">
        <v>0</v>
      </c>
      <c r="N470" s="343">
        <v>0</v>
      </c>
      <c r="O470" s="343">
        <v>0</v>
      </c>
      <c r="P470" s="338"/>
      <c r="Q470" s="339" t="s">
        <v>206</v>
      </c>
      <c r="R470" s="339" t="s">
        <v>2427</v>
      </c>
      <c r="S470" s="341" t="s">
        <v>4177</v>
      </c>
      <c r="T470" s="338"/>
      <c r="U470" s="327"/>
      <c r="V470" s="327"/>
      <c r="W470" s="327"/>
      <c r="X470" s="327"/>
      <c r="Y470" s="327"/>
      <c r="Z470" s="330"/>
    </row>
    <row r="471" spans="1:26" ht="62.5" hidden="1">
      <c r="A471" s="339">
        <v>520</v>
      </c>
      <c r="B471" s="338" t="s">
        <v>4171</v>
      </c>
      <c r="C471" s="340">
        <v>42937</v>
      </c>
      <c r="D471" s="338" t="s">
        <v>4180</v>
      </c>
      <c r="E471" s="341" t="s">
        <v>4173</v>
      </c>
      <c r="F471" s="341" t="s">
        <v>5072</v>
      </c>
      <c r="G471" s="338" t="s">
        <v>248</v>
      </c>
      <c r="H471" s="339" t="s">
        <v>249</v>
      </c>
      <c r="I471" s="339">
        <v>1</v>
      </c>
      <c r="J471" s="342">
        <v>3376580</v>
      </c>
      <c r="K471" s="342">
        <v>3376580</v>
      </c>
      <c r="L471" s="342">
        <v>0</v>
      </c>
      <c r="M471" s="343">
        <v>0</v>
      </c>
      <c r="N471" s="343">
        <v>0</v>
      </c>
      <c r="O471" s="343">
        <v>0</v>
      </c>
      <c r="P471" s="338"/>
      <c r="Q471" s="339" t="s">
        <v>206</v>
      </c>
      <c r="R471" s="339" t="s">
        <v>2427</v>
      </c>
      <c r="S471" s="341" t="s">
        <v>2651</v>
      </c>
      <c r="T471" s="338"/>
      <c r="U471" s="327"/>
      <c r="V471" s="327"/>
      <c r="W471" s="327"/>
      <c r="X471" s="327"/>
      <c r="Y471" s="327"/>
      <c r="Z471" s="330"/>
    </row>
    <row r="472" spans="1:26" ht="62.5" hidden="1">
      <c r="A472" s="339">
        <v>521</v>
      </c>
      <c r="B472" s="338" t="s">
        <v>4171</v>
      </c>
      <c r="C472" s="340">
        <v>42937</v>
      </c>
      <c r="D472" s="338" t="s">
        <v>4181</v>
      </c>
      <c r="E472" s="341" t="s">
        <v>4173</v>
      </c>
      <c r="F472" s="341" t="s">
        <v>5073</v>
      </c>
      <c r="G472" s="338" t="s">
        <v>248</v>
      </c>
      <c r="H472" s="339" t="s">
        <v>249</v>
      </c>
      <c r="I472" s="339">
        <v>1</v>
      </c>
      <c r="J472" s="342">
        <v>3376580</v>
      </c>
      <c r="K472" s="342">
        <v>3376580</v>
      </c>
      <c r="L472" s="342">
        <v>0</v>
      </c>
      <c r="M472" s="343">
        <v>0</v>
      </c>
      <c r="N472" s="343">
        <v>0</v>
      </c>
      <c r="O472" s="343">
        <v>0</v>
      </c>
      <c r="P472" s="338"/>
      <c r="Q472" s="339" t="s">
        <v>206</v>
      </c>
      <c r="R472" s="339" t="s">
        <v>2427</v>
      </c>
      <c r="S472" s="341" t="s">
        <v>2651</v>
      </c>
      <c r="T472" s="338"/>
      <c r="U472" s="327"/>
      <c r="V472" s="327"/>
      <c r="W472" s="327"/>
      <c r="X472" s="327"/>
      <c r="Y472" s="327"/>
      <c r="Z472" s="330"/>
    </row>
    <row r="473" spans="1:26" ht="62.5" hidden="1">
      <c r="A473" s="339">
        <v>522</v>
      </c>
      <c r="B473" s="338" t="s">
        <v>4171</v>
      </c>
      <c r="C473" s="340">
        <v>42937</v>
      </c>
      <c r="D473" s="338" t="s">
        <v>4182</v>
      </c>
      <c r="E473" s="341" t="s">
        <v>4173</v>
      </c>
      <c r="F473" s="341" t="s">
        <v>5074</v>
      </c>
      <c r="G473" s="338" t="s">
        <v>248</v>
      </c>
      <c r="H473" s="339" t="s">
        <v>249</v>
      </c>
      <c r="I473" s="339">
        <v>1</v>
      </c>
      <c r="J473" s="342">
        <v>3376580</v>
      </c>
      <c r="K473" s="342">
        <v>3376580</v>
      </c>
      <c r="L473" s="342">
        <v>0</v>
      </c>
      <c r="M473" s="343">
        <v>0</v>
      </c>
      <c r="N473" s="343">
        <v>0</v>
      </c>
      <c r="O473" s="343">
        <v>0</v>
      </c>
      <c r="P473" s="338"/>
      <c r="Q473" s="339" t="s">
        <v>206</v>
      </c>
      <c r="R473" s="339" t="s">
        <v>2427</v>
      </c>
      <c r="S473" s="341" t="s">
        <v>2651</v>
      </c>
      <c r="T473" s="338"/>
      <c r="U473" s="327"/>
      <c r="V473" s="327"/>
      <c r="W473" s="327"/>
      <c r="X473" s="327"/>
      <c r="Y473" s="327"/>
      <c r="Z473" s="330"/>
    </row>
    <row r="474" spans="1:26" ht="62.5" hidden="1">
      <c r="A474" s="339">
        <v>523</v>
      </c>
      <c r="B474" s="338" t="s">
        <v>4171</v>
      </c>
      <c r="C474" s="340">
        <v>42937</v>
      </c>
      <c r="D474" s="338" t="s">
        <v>4183</v>
      </c>
      <c r="E474" s="341" t="s">
        <v>4173</v>
      </c>
      <c r="F474" s="341" t="s">
        <v>5075</v>
      </c>
      <c r="G474" s="338" t="s">
        <v>248</v>
      </c>
      <c r="H474" s="339" t="s">
        <v>249</v>
      </c>
      <c r="I474" s="339">
        <v>1</v>
      </c>
      <c r="J474" s="342">
        <v>3376580</v>
      </c>
      <c r="K474" s="342">
        <v>3376580</v>
      </c>
      <c r="L474" s="342">
        <v>0</v>
      </c>
      <c r="M474" s="343">
        <v>0</v>
      </c>
      <c r="N474" s="343">
        <v>0</v>
      </c>
      <c r="O474" s="343">
        <v>0</v>
      </c>
      <c r="P474" s="338"/>
      <c r="Q474" s="339" t="s">
        <v>206</v>
      </c>
      <c r="R474" s="339" t="s">
        <v>2427</v>
      </c>
      <c r="S474" s="341" t="s">
        <v>2651</v>
      </c>
      <c r="T474" s="338"/>
      <c r="U474" s="327"/>
      <c r="V474" s="327"/>
      <c r="W474" s="327"/>
      <c r="X474" s="327"/>
      <c r="Y474" s="327"/>
      <c r="Z474" s="330"/>
    </row>
    <row r="475" spans="1:26" ht="50" hidden="1">
      <c r="A475" s="339">
        <v>524</v>
      </c>
      <c r="B475" s="338" t="s">
        <v>4184</v>
      </c>
      <c r="C475" s="340">
        <v>41587</v>
      </c>
      <c r="D475" s="338" t="s">
        <v>4185</v>
      </c>
      <c r="E475" s="341" t="s">
        <v>4186</v>
      </c>
      <c r="F475" s="341" t="s">
        <v>5076</v>
      </c>
      <c r="G475" s="338"/>
      <c r="H475" s="339" t="s">
        <v>249</v>
      </c>
      <c r="I475" s="339">
        <v>1</v>
      </c>
      <c r="J475" s="342">
        <v>9900000</v>
      </c>
      <c r="K475" s="342">
        <v>9900000</v>
      </c>
      <c r="L475" s="342">
        <v>0</v>
      </c>
      <c r="M475" s="343">
        <v>0</v>
      </c>
      <c r="N475" s="343">
        <v>0</v>
      </c>
      <c r="O475" s="343">
        <v>0</v>
      </c>
      <c r="P475" s="338" t="s">
        <v>4187</v>
      </c>
      <c r="Q475" s="339" t="s">
        <v>36</v>
      </c>
      <c r="R475" s="339" t="s">
        <v>3512</v>
      </c>
      <c r="S475" s="341" t="s">
        <v>5077</v>
      </c>
      <c r="T475" s="338"/>
      <c r="U475" s="327"/>
      <c r="V475" s="327"/>
      <c r="W475" s="327"/>
      <c r="X475" s="327"/>
      <c r="Y475" s="327"/>
      <c r="Z475" s="330"/>
    </row>
    <row r="476" spans="1:26" ht="50" hidden="1">
      <c r="A476" s="339">
        <v>525</v>
      </c>
      <c r="B476" s="338" t="s">
        <v>4184</v>
      </c>
      <c r="C476" s="340">
        <v>41587</v>
      </c>
      <c r="D476" s="338" t="s">
        <v>4189</v>
      </c>
      <c r="E476" s="341" t="s">
        <v>4186</v>
      </c>
      <c r="F476" s="341" t="s">
        <v>5078</v>
      </c>
      <c r="G476" s="338"/>
      <c r="H476" s="339" t="s">
        <v>249</v>
      </c>
      <c r="I476" s="339">
        <v>1</v>
      </c>
      <c r="J476" s="342">
        <v>9900000</v>
      </c>
      <c r="K476" s="342">
        <v>9900000</v>
      </c>
      <c r="L476" s="342">
        <v>0</v>
      </c>
      <c r="M476" s="343">
        <v>0</v>
      </c>
      <c r="N476" s="343">
        <v>0</v>
      </c>
      <c r="O476" s="343">
        <v>0</v>
      </c>
      <c r="P476" s="338" t="s">
        <v>4187</v>
      </c>
      <c r="Q476" s="339" t="s">
        <v>36</v>
      </c>
      <c r="R476" s="339" t="s">
        <v>3512</v>
      </c>
      <c r="S476" s="341" t="s">
        <v>5079</v>
      </c>
      <c r="T476" s="338"/>
      <c r="U476" s="327"/>
      <c r="V476" s="327"/>
      <c r="W476" s="327"/>
      <c r="X476" s="327"/>
      <c r="Y476" s="327"/>
      <c r="Z476" s="330"/>
    </row>
    <row r="477" spans="1:26" ht="37.5" hidden="1">
      <c r="A477" s="339">
        <v>526</v>
      </c>
      <c r="B477" s="338" t="s">
        <v>4191</v>
      </c>
      <c r="C477" s="340">
        <v>42004</v>
      </c>
      <c r="D477" s="338" t="s">
        <v>4192</v>
      </c>
      <c r="E477" s="341" t="s">
        <v>4193</v>
      </c>
      <c r="F477" s="341" t="s">
        <v>5080</v>
      </c>
      <c r="G477" s="338"/>
      <c r="H477" s="339" t="s">
        <v>249</v>
      </c>
      <c r="I477" s="339">
        <v>1</v>
      </c>
      <c r="J477" s="342">
        <v>9700000</v>
      </c>
      <c r="K477" s="342">
        <v>9700000</v>
      </c>
      <c r="L477" s="342">
        <v>0</v>
      </c>
      <c r="M477" s="343">
        <v>0</v>
      </c>
      <c r="N477" s="343">
        <v>0</v>
      </c>
      <c r="O477" s="343">
        <v>0</v>
      </c>
      <c r="P477" s="338" t="s">
        <v>206</v>
      </c>
      <c r="Q477" s="339" t="s">
        <v>206</v>
      </c>
      <c r="R477" s="339" t="s">
        <v>5081</v>
      </c>
      <c r="S477" s="341" t="s">
        <v>1221</v>
      </c>
      <c r="T477" s="338"/>
      <c r="U477" s="327"/>
      <c r="V477" s="327"/>
      <c r="W477" s="327"/>
      <c r="X477" s="327"/>
      <c r="Y477" s="327"/>
      <c r="Z477" s="330"/>
    </row>
    <row r="478" spans="1:26" ht="62.5" hidden="1">
      <c r="A478" s="339">
        <v>527</v>
      </c>
      <c r="B478" s="338" t="s">
        <v>4194</v>
      </c>
      <c r="C478" s="340">
        <v>41996</v>
      </c>
      <c r="D478" s="338" t="s">
        <v>4195</v>
      </c>
      <c r="E478" s="341" t="s">
        <v>4196</v>
      </c>
      <c r="F478" s="341" t="s">
        <v>5082</v>
      </c>
      <c r="G478" s="338"/>
      <c r="H478" s="339" t="s">
        <v>19</v>
      </c>
      <c r="I478" s="339">
        <v>1</v>
      </c>
      <c r="J478" s="342">
        <v>14452890</v>
      </c>
      <c r="K478" s="342">
        <v>14452890</v>
      </c>
      <c r="L478" s="342">
        <v>0</v>
      </c>
      <c r="M478" s="343">
        <v>0</v>
      </c>
      <c r="N478" s="343">
        <v>0</v>
      </c>
      <c r="O478" s="343">
        <v>0</v>
      </c>
      <c r="P478" s="338"/>
      <c r="Q478" s="339" t="s">
        <v>36</v>
      </c>
      <c r="R478" s="339" t="s">
        <v>37</v>
      </c>
      <c r="S478" s="341" t="s">
        <v>4197</v>
      </c>
      <c r="T478" s="338"/>
      <c r="U478" s="327"/>
      <c r="V478" s="327"/>
      <c r="W478" s="327"/>
      <c r="X478" s="327"/>
      <c r="Y478" s="327"/>
      <c r="Z478" s="330"/>
    </row>
    <row r="479" spans="1:26" ht="62.5" hidden="1">
      <c r="A479" s="339">
        <v>528</v>
      </c>
      <c r="B479" s="338" t="s">
        <v>4194</v>
      </c>
      <c r="C479" s="340">
        <v>41996</v>
      </c>
      <c r="D479" s="338" t="s">
        <v>4198</v>
      </c>
      <c r="E479" s="341" t="s">
        <v>4196</v>
      </c>
      <c r="F479" s="341" t="s">
        <v>5083</v>
      </c>
      <c r="G479" s="338"/>
      <c r="H479" s="339" t="s">
        <v>19</v>
      </c>
      <c r="I479" s="339">
        <v>1</v>
      </c>
      <c r="J479" s="342">
        <v>14452890</v>
      </c>
      <c r="K479" s="342">
        <v>14452890</v>
      </c>
      <c r="L479" s="342">
        <v>0</v>
      </c>
      <c r="M479" s="343">
        <v>0</v>
      </c>
      <c r="N479" s="343">
        <v>0</v>
      </c>
      <c r="O479" s="343">
        <v>0</v>
      </c>
      <c r="P479" s="338"/>
      <c r="Q479" s="339" t="s">
        <v>36</v>
      </c>
      <c r="R479" s="339" t="s">
        <v>4154</v>
      </c>
      <c r="S479" s="341" t="s">
        <v>4199</v>
      </c>
      <c r="T479" s="338"/>
      <c r="U479" s="327"/>
      <c r="V479" s="327"/>
      <c r="W479" s="327"/>
      <c r="X479" s="327"/>
      <c r="Y479" s="327"/>
      <c r="Z479" s="330"/>
    </row>
    <row r="480" spans="1:26" ht="62.5" hidden="1">
      <c r="A480" s="339">
        <v>529</v>
      </c>
      <c r="B480" s="338" t="s">
        <v>4194</v>
      </c>
      <c r="C480" s="340">
        <v>41996</v>
      </c>
      <c r="D480" s="338" t="s">
        <v>4200</v>
      </c>
      <c r="E480" s="341" t="s">
        <v>4196</v>
      </c>
      <c r="F480" s="341" t="s">
        <v>5084</v>
      </c>
      <c r="G480" s="338"/>
      <c r="H480" s="339" t="s">
        <v>19</v>
      </c>
      <c r="I480" s="339">
        <v>1</v>
      </c>
      <c r="J480" s="342">
        <v>14452890</v>
      </c>
      <c r="K480" s="342">
        <v>14452890</v>
      </c>
      <c r="L480" s="342">
        <v>0</v>
      </c>
      <c r="M480" s="343">
        <v>0</v>
      </c>
      <c r="N480" s="343">
        <v>0</v>
      </c>
      <c r="O480" s="343">
        <v>0</v>
      </c>
      <c r="P480" s="338"/>
      <c r="Q480" s="339" t="s">
        <v>20</v>
      </c>
      <c r="R480" s="339" t="s">
        <v>233</v>
      </c>
      <c r="S480" s="341" t="s">
        <v>5085</v>
      </c>
      <c r="T480" s="338"/>
      <c r="U480" s="327"/>
      <c r="V480" s="327"/>
      <c r="W480" s="327"/>
      <c r="X480" s="327"/>
      <c r="Y480" s="327"/>
      <c r="Z480" s="330"/>
    </row>
    <row r="481" spans="1:26" ht="37.5" hidden="1">
      <c r="A481" s="339">
        <v>530</v>
      </c>
      <c r="B481" s="338" t="s">
        <v>3886</v>
      </c>
      <c r="C481" s="340">
        <v>42004</v>
      </c>
      <c r="D481" s="338" t="s">
        <v>4202</v>
      </c>
      <c r="E481" s="341" t="s">
        <v>4203</v>
      </c>
      <c r="F481" s="341" t="s">
        <v>5086</v>
      </c>
      <c r="G481" s="338"/>
      <c r="H481" s="339" t="s">
        <v>19</v>
      </c>
      <c r="I481" s="339">
        <v>1</v>
      </c>
      <c r="J481" s="342">
        <v>11048117</v>
      </c>
      <c r="K481" s="342">
        <v>11048117</v>
      </c>
      <c r="L481" s="342">
        <v>0</v>
      </c>
      <c r="M481" s="343">
        <v>0</v>
      </c>
      <c r="N481" s="343">
        <v>0</v>
      </c>
      <c r="O481" s="343">
        <v>0</v>
      </c>
      <c r="P481" s="338"/>
      <c r="Q481" s="339" t="s">
        <v>36</v>
      </c>
      <c r="R481" s="339" t="s">
        <v>37</v>
      </c>
      <c r="S481" s="341" t="s">
        <v>4204</v>
      </c>
      <c r="T481" s="344" t="s">
        <v>5087</v>
      </c>
      <c r="U481" s="327"/>
      <c r="V481" s="327"/>
      <c r="W481" s="327"/>
      <c r="X481" s="327"/>
      <c r="Y481" s="327"/>
      <c r="Z481" s="330"/>
    </row>
    <row r="482" spans="1:26" ht="37.5" hidden="1">
      <c r="A482" s="339">
        <v>531</v>
      </c>
      <c r="B482" s="338" t="s">
        <v>3886</v>
      </c>
      <c r="C482" s="340">
        <v>42004</v>
      </c>
      <c r="D482" s="338" t="s">
        <v>4205</v>
      </c>
      <c r="E482" s="341" t="s">
        <v>4203</v>
      </c>
      <c r="F482" s="341" t="s">
        <v>5088</v>
      </c>
      <c r="G482" s="338"/>
      <c r="H482" s="339" t="s">
        <v>19</v>
      </c>
      <c r="I482" s="339">
        <v>1</v>
      </c>
      <c r="J482" s="342">
        <v>11048117</v>
      </c>
      <c r="K482" s="342">
        <v>11048117</v>
      </c>
      <c r="L482" s="342">
        <v>0</v>
      </c>
      <c r="M482" s="343">
        <v>0</v>
      </c>
      <c r="N482" s="343">
        <v>0</v>
      </c>
      <c r="O482" s="343">
        <v>0</v>
      </c>
      <c r="P482" s="338"/>
      <c r="Q482" s="339" t="s">
        <v>20</v>
      </c>
      <c r="R482" s="339" t="s">
        <v>233</v>
      </c>
      <c r="S482" s="341" t="s">
        <v>5089</v>
      </c>
      <c r="T482" s="338"/>
      <c r="U482" s="327"/>
      <c r="V482" s="327"/>
      <c r="W482" s="327"/>
      <c r="X482" s="327"/>
      <c r="Y482" s="327"/>
      <c r="Z482" s="330"/>
    </row>
    <row r="483" spans="1:26" ht="50" hidden="1">
      <c r="A483" s="339">
        <v>532</v>
      </c>
      <c r="B483" s="338" t="s">
        <v>4003</v>
      </c>
      <c r="C483" s="340">
        <v>42339</v>
      </c>
      <c r="D483" s="338" t="s">
        <v>4206</v>
      </c>
      <c r="E483" s="341" t="s">
        <v>4207</v>
      </c>
      <c r="F483" s="341" t="s">
        <v>5090</v>
      </c>
      <c r="G483" s="338"/>
      <c r="H483" s="339" t="s">
        <v>249</v>
      </c>
      <c r="I483" s="339">
        <v>1</v>
      </c>
      <c r="J483" s="342">
        <v>28475099</v>
      </c>
      <c r="K483" s="342">
        <v>28475099</v>
      </c>
      <c r="L483" s="342">
        <v>0</v>
      </c>
      <c r="M483" s="343">
        <v>0</v>
      </c>
      <c r="N483" s="343">
        <v>0</v>
      </c>
      <c r="O483" s="343">
        <v>0</v>
      </c>
      <c r="P483" s="338"/>
      <c r="Q483" s="339" t="s">
        <v>206</v>
      </c>
      <c r="R483" s="339" t="s">
        <v>206</v>
      </c>
      <c r="S483" s="341" t="s">
        <v>206</v>
      </c>
      <c r="T483" s="338"/>
      <c r="U483" s="327"/>
      <c r="V483" s="327"/>
      <c r="W483" s="327"/>
      <c r="X483" s="327"/>
      <c r="Y483" s="327"/>
      <c r="Z483" s="330"/>
    </row>
    <row r="484" spans="1:26" ht="50" hidden="1">
      <c r="A484" s="339">
        <v>533</v>
      </c>
      <c r="B484" s="338" t="s">
        <v>4003</v>
      </c>
      <c r="C484" s="340">
        <v>42339</v>
      </c>
      <c r="D484" s="338" t="s">
        <v>4208</v>
      </c>
      <c r="E484" s="341" t="s">
        <v>4209</v>
      </c>
      <c r="F484" s="341" t="s">
        <v>4210</v>
      </c>
      <c r="G484" s="338"/>
      <c r="H484" s="339" t="s">
        <v>249</v>
      </c>
      <c r="I484" s="339">
        <v>1</v>
      </c>
      <c r="J484" s="342">
        <v>14884711</v>
      </c>
      <c r="K484" s="342">
        <v>14884711</v>
      </c>
      <c r="L484" s="342">
        <v>0</v>
      </c>
      <c r="M484" s="343">
        <v>0</v>
      </c>
      <c r="N484" s="343">
        <v>0</v>
      </c>
      <c r="O484" s="343">
        <v>0</v>
      </c>
      <c r="P484" s="338"/>
      <c r="Q484" s="339" t="s">
        <v>20</v>
      </c>
      <c r="R484" s="339" t="s">
        <v>295</v>
      </c>
      <c r="S484" s="341" t="s">
        <v>3439</v>
      </c>
      <c r="T484" s="338"/>
      <c r="U484" s="327"/>
      <c r="V484" s="327"/>
      <c r="W484" s="327"/>
      <c r="X484" s="327"/>
      <c r="Y484" s="327"/>
      <c r="Z484" s="330"/>
    </row>
    <row r="485" spans="1:26" ht="50" hidden="1">
      <c r="A485" s="339">
        <v>534</v>
      </c>
      <c r="B485" s="338" t="s">
        <v>4003</v>
      </c>
      <c r="C485" s="340">
        <v>42339</v>
      </c>
      <c r="D485" s="338" t="s">
        <v>4211</v>
      </c>
      <c r="E485" s="341" t="s">
        <v>4209</v>
      </c>
      <c r="F485" s="341" t="s">
        <v>4212</v>
      </c>
      <c r="G485" s="338"/>
      <c r="H485" s="339" t="s">
        <v>249</v>
      </c>
      <c r="I485" s="339">
        <v>1</v>
      </c>
      <c r="J485" s="342">
        <v>14884711</v>
      </c>
      <c r="K485" s="342">
        <v>14884711</v>
      </c>
      <c r="L485" s="342">
        <v>0</v>
      </c>
      <c r="M485" s="343">
        <v>0</v>
      </c>
      <c r="N485" s="343">
        <v>0</v>
      </c>
      <c r="O485" s="343">
        <v>0</v>
      </c>
      <c r="P485" s="338"/>
      <c r="Q485" s="339" t="s">
        <v>20</v>
      </c>
      <c r="R485" s="346" t="s">
        <v>229</v>
      </c>
      <c r="S485" s="341" t="str">
        <f>IFERROR(VLOOKUP(D485, CCDC_XUAN!$D$16:$S$693, 16, 0), "Không tìm thấy")</f>
        <v>A2-kho: Rack</v>
      </c>
      <c r="T485" s="338"/>
      <c r="U485" s="327"/>
      <c r="V485" s="327"/>
      <c r="W485" s="327"/>
      <c r="X485" s="327"/>
      <c r="Y485" s="327"/>
      <c r="Z485" s="330"/>
    </row>
    <row r="486" spans="1:26" ht="50" hidden="1">
      <c r="A486" s="339">
        <v>535</v>
      </c>
      <c r="B486" s="338" t="s">
        <v>4003</v>
      </c>
      <c r="C486" s="340">
        <v>42339</v>
      </c>
      <c r="D486" s="338" t="s">
        <v>4214</v>
      </c>
      <c r="E486" s="341" t="s">
        <v>4209</v>
      </c>
      <c r="F486" s="341" t="s">
        <v>4215</v>
      </c>
      <c r="G486" s="338"/>
      <c r="H486" s="339" t="s">
        <v>249</v>
      </c>
      <c r="I486" s="339">
        <v>1</v>
      </c>
      <c r="J486" s="342">
        <v>14884711</v>
      </c>
      <c r="K486" s="342">
        <v>14884711</v>
      </c>
      <c r="L486" s="342">
        <v>0</v>
      </c>
      <c r="M486" s="343">
        <v>0</v>
      </c>
      <c r="N486" s="343">
        <v>0</v>
      </c>
      <c r="O486" s="343">
        <v>0</v>
      </c>
      <c r="P486" s="338"/>
      <c r="Q486" s="339" t="s">
        <v>20</v>
      </c>
      <c r="R486" s="339" t="s">
        <v>295</v>
      </c>
      <c r="S486" s="341" t="s">
        <v>3439</v>
      </c>
      <c r="T486" s="338"/>
      <c r="U486" s="327"/>
      <c r="V486" s="327"/>
      <c r="W486" s="327"/>
      <c r="X486" s="327"/>
      <c r="Y486" s="327"/>
      <c r="Z486" s="330"/>
    </row>
    <row r="487" spans="1:26" ht="50" hidden="1">
      <c r="A487" s="339">
        <v>536</v>
      </c>
      <c r="B487" s="338" t="s">
        <v>4217</v>
      </c>
      <c r="C487" s="340">
        <v>42956</v>
      </c>
      <c r="D487" s="338" t="s">
        <v>4218</v>
      </c>
      <c r="E487" s="341" t="s">
        <v>4219</v>
      </c>
      <c r="F487" s="341" t="s">
        <v>4220</v>
      </c>
      <c r="G487" s="338" t="s">
        <v>35</v>
      </c>
      <c r="H487" s="339" t="s">
        <v>249</v>
      </c>
      <c r="I487" s="339">
        <v>1</v>
      </c>
      <c r="J487" s="342">
        <v>6450000</v>
      </c>
      <c r="K487" s="342">
        <v>6450000</v>
      </c>
      <c r="L487" s="342">
        <v>0</v>
      </c>
      <c r="M487" s="343">
        <v>0</v>
      </c>
      <c r="N487" s="343">
        <v>0</v>
      </c>
      <c r="O487" s="343">
        <v>0</v>
      </c>
      <c r="P487" s="338"/>
      <c r="Q487" s="339" t="s">
        <v>206</v>
      </c>
      <c r="R487" s="339" t="s">
        <v>2427</v>
      </c>
      <c r="S487" s="372">
        <v>0</v>
      </c>
      <c r="T487" s="338"/>
      <c r="U487" s="327"/>
      <c r="V487" s="327"/>
      <c r="W487" s="327"/>
      <c r="X487" s="327"/>
      <c r="Y487" s="327"/>
      <c r="Z487" s="330"/>
    </row>
    <row r="488" spans="1:26" ht="50" hidden="1">
      <c r="A488" s="339">
        <v>537</v>
      </c>
      <c r="B488" s="338" t="s">
        <v>4217</v>
      </c>
      <c r="C488" s="340">
        <v>42956</v>
      </c>
      <c r="D488" s="338" t="s">
        <v>4221</v>
      </c>
      <c r="E488" s="341" t="s">
        <v>4219</v>
      </c>
      <c r="F488" s="341" t="s">
        <v>4222</v>
      </c>
      <c r="G488" s="338" t="s">
        <v>35</v>
      </c>
      <c r="H488" s="339" t="s">
        <v>249</v>
      </c>
      <c r="I488" s="339">
        <v>1</v>
      </c>
      <c r="J488" s="342">
        <v>6450000</v>
      </c>
      <c r="K488" s="342">
        <v>6450000</v>
      </c>
      <c r="L488" s="342">
        <v>0</v>
      </c>
      <c r="M488" s="343">
        <v>0</v>
      </c>
      <c r="N488" s="343">
        <v>0</v>
      </c>
      <c r="O488" s="343">
        <v>0</v>
      </c>
      <c r="P488" s="338"/>
      <c r="Q488" s="339" t="s">
        <v>206</v>
      </c>
      <c r="R488" s="339" t="s">
        <v>2427</v>
      </c>
      <c r="S488" s="372">
        <v>0</v>
      </c>
      <c r="T488" s="338"/>
      <c r="U488" s="327"/>
      <c r="V488" s="327"/>
      <c r="W488" s="327"/>
      <c r="X488" s="327"/>
      <c r="Y488" s="327"/>
      <c r="Z488" s="330"/>
    </row>
    <row r="489" spans="1:26" ht="50" hidden="1">
      <c r="A489" s="339">
        <v>538</v>
      </c>
      <c r="B489" s="338" t="s">
        <v>4217</v>
      </c>
      <c r="C489" s="340">
        <v>42956</v>
      </c>
      <c r="D489" s="338" t="s">
        <v>4223</v>
      </c>
      <c r="E489" s="341" t="s">
        <v>4219</v>
      </c>
      <c r="F489" s="341" t="s">
        <v>4224</v>
      </c>
      <c r="G489" s="338" t="s">
        <v>35</v>
      </c>
      <c r="H489" s="339" t="s">
        <v>249</v>
      </c>
      <c r="I489" s="339">
        <v>1</v>
      </c>
      <c r="J489" s="342">
        <v>6450000</v>
      </c>
      <c r="K489" s="342">
        <v>6450000</v>
      </c>
      <c r="L489" s="342">
        <v>0</v>
      </c>
      <c r="M489" s="343">
        <v>0</v>
      </c>
      <c r="N489" s="343">
        <v>0</v>
      </c>
      <c r="O489" s="343">
        <v>0</v>
      </c>
      <c r="P489" s="338"/>
      <c r="Q489" s="339" t="s">
        <v>206</v>
      </c>
      <c r="R489" s="339" t="s">
        <v>2427</v>
      </c>
      <c r="S489" s="372">
        <v>0</v>
      </c>
      <c r="T489" s="338"/>
      <c r="U489" s="327"/>
      <c r="V489" s="327"/>
      <c r="W489" s="327"/>
      <c r="X489" s="327"/>
      <c r="Y489" s="327"/>
      <c r="Z489" s="330"/>
    </row>
    <row r="490" spans="1:26" ht="50" hidden="1">
      <c r="A490" s="339">
        <v>539</v>
      </c>
      <c r="B490" s="338" t="s">
        <v>4217</v>
      </c>
      <c r="C490" s="340">
        <v>42956</v>
      </c>
      <c r="D490" s="338" t="s">
        <v>4225</v>
      </c>
      <c r="E490" s="341" t="s">
        <v>4219</v>
      </c>
      <c r="F490" s="341" t="s">
        <v>4226</v>
      </c>
      <c r="G490" s="338" t="s">
        <v>35</v>
      </c>
      <c r="H490" s="339" t="s">
        <v>249</v>
      </c>
      <c r="I490" s="339">
        <v>1</v>
      </c>
      <c r="J490" s="342">
        <v>6450000</v>
      </c>
      <c r="K490" s="342">
        <v>6450000</v>
      </c>
      <c r="L490" s="342">
        <v>0</v>
      </c>
      <c r="M490" s="343">
        <v>0</v>
      </c>
      <c r="N490" s="343">
        <v>0</v>
      </c>
      <c r="O490" s="343">
        <v>0</v>
      </c>
      <c r="P490" s="338"/>
      <c r="Q490" s="339" t="s">
        <v>206</v>
      </c>
      <c r="R490" s="339" t="s">
        <v>2427</v>
      </c>
      <c r="S490" s="372">
        <v>0</v>
      </c>
      <c r="T490" s="338"/>
      <c r="U490" s="327"/>
      <c r="V490" s="327"/>
      <c r="W490" s="327"/>
      <c r="X490" s="327"/>
      <c r="Y490" s="327"/>
      <c r="Z490" s="330"/>
    </row>
    <row r="491" spans="1:26" ht="50" hidden="1">
      <c r="A491" s="339">
        <v>540</v>
      </c>
      <c r="B491" s="338" t="s">
        <v>4217</v>
      </c>
      <c r="C491" s="340">
        <v>42956</v>
      </c>
      <c r="D491" s="338" t="s">
        <v>4227</v>
      </c>
      <c r="E491" s="341" t="s">
        <v>4219</v>
      </c>
      <c r="F491" s="341" t="s">
        <v>4228</v>
      </c>
      <c r="G491" s="338" t="s">
        <v>35</v>
      </c>
      <c r="H491" s="339" t="s">
        <v>249</v>
      </c>
      <c r="I491" s="339">
        <v>1</v>
      </c>
      <c r="J491" s="342">
        <v>6450000</v>
      </c>
      <c r="K491" s="342">
        <v>6450000</v>
      </c>
      <c r="L491" s="342">
        <v>0</v>
      </c>
      <c r="M491" s="343">
        <v>0</v>
      </c>
      <c r="N491" s="343">
        <v>0</v>
      </c>
      <c r="O491" s="343">
        <v>0</v>
      </c>
      <c r="P491" s="338"/>
      <c r="Q491" s="339" t="s">
        <v>206</v>
      </c>
      <c r="R491" s="339" t="s">
        <v>2427</v>
      </c>
      <c r="S491" s="372">
        <v>0</v>
      </c>
      <c r="T491" s="338"/>
      <c r="U491" s="327"/>
      <c r="V491" s="327"/>
      <c r="W491" s="327"/>
      <c r="X491" s="327"/>
      <c r="Y491" s="327"/>
      <c r="Z491" s="330"/>
    </row>
    <row r="492" spans="1:26" ht="25" hidden="1">
      <c r="A492" s="339">
        <v>541</v>
      </c>
      <c r="B492" s="338" t="s">
        <v>4126</v>
      </c>
      <c r="C492" s="340">
        <v>42731</v>
      </c>
      <c r="D492" s="338" t="s">
        <v>4229</v>
      </c>
      <c r="E492" s="341" t="s">
        <v>4230</v>
      </c>
      <c r="F492" s="338"/>
      <c r="G492" s="338" t="s">
        <v>35</v>
      </c>
      <c r="H492" s="339" t="s">
        <v>249</v>
      </c>
      <c r="I492" s="339">
        <v>1</v>
      </c>
      <c r="J492" s="342">
        <v>27193495</v>
      </c>
      <c r="K492" s="342">
        <v>27193495</v>
      </c>
      <c r="L492" s="342">
        <v>0</v>
      </c>
      <c r="M492" s="343">
        <v>0</v>
      </c>
      <c r="N492" s="343">
        <v>0</v>
      </c>
      <c r="O492" s="343">
        <v>0</v>
      </c>
      <c r="P492" s="338"/>
      <c r="Q492" s="339" t="s">
        <v>206</v>
      </c>
      <c r="R492" s="339" t="s">
        <v>2906</v>
      </c>
      <c r="S492" s="341" t="s">
        <v>4231</v>
      </c>
      <c r="T492" s="338"/>
      <c r="U492" s="327"/>
      <c r="V492" s="327"/>
      <c r="W492" s="327"/>
      <c r="X492" s="327"/>
      <c r="Y492" s="327"/>
      <c r="Z492" s="330"/>
    </row>
    <row r="493" spans="1:26" ht="25" hidden="1">
      <c r="A493" s="339">
        <v>542</v>
      </c>
      <c r="B493" s="338" t="s">
        <v>4126</v>
      </c>
      <c r="C493" s="340">
        <v>42731</v>
      </c>
      <c r="D493" s="338" t="s">
        <v>4232</v>
      </c>
      <c r="E493" s="341" t="s">
        <v>4230</v>
      </c>
      <c r="F493" s="338"/>
      <c r="G493" s="338" t="s">
        <v>35</v>
      </c>
      <c r="H493" s="339" t="s">
        <v>249</v>
      </c>
      <c r="I493" s="339">
        <v>1</v>
      </c>
      <c r="J493" s="342">
        <v>27193495</v>
      </c>
      <c r="K493" s="342">
        <v>27193495</v>
      </c>
      <c r="L493" s="342">
        <v>0</v>
      </c>
      <c r="M493" s="343">
        <v>0</v>
      </c>
      <c r="N493" s="343">
        <v>0</v>
      </c>
      <c r="O493" s="343">
        <v>0</v>
      </c>
      <c r="P493" s="338"/>
      <c r="Q493" s="339" t="s">
        <v>206</v>
      </c>
      <c r="R493" s="339" t="s">
        <v>2906</v>
      </c>
      <c r="S493" s="341" t="s">
        <v>4231</v>
      </c>
      <c r="T493" s="338"/>
      <c r="U493" s="327"/>
      <c r="V493" s="327"/>
      <c r="W493" s="327"/>
      <c r="X493" s="327"/>
      <c r="Y493" s="327"/>
      <c r="Z493" s="330"/>
    </row>
    <row r="494" spans="1:26" ht="25" hidden="1">
      <c r="A494" s="339">
        <v>543</v>
      </c>
      <c r="B494" s="338" t="s">
        <v>4126</v>
      </c>
      <c r="C494" s="340">
        <v>42731</v>
      </c>
      <c r="D494" s="338" t="s">
        <v>4233</v>
      </c>
      <c r="E494" s="341" t="s">
        <v>4230</v>
      </c>
      <c r="F494" s="338"/>
      <c r="G494" s="338" t="s">
        <v>35</v>
      </c>
      <c r="H494" s="339" t="s">
        <v>249</v>
      </c>
      <c r="I494" s="339">
        <v>1</v>
      </c>
      <c r="J494" s="342">
        <v>27193495</v>
      </c>
      <c r="K494" s="342">
        <v>27193495</v>
      </c>
      <c r="L494" s="342">
        <v>0</v>
      </c>
      <c r="M494" s="343">
        <v>0</v>
      </c>
      <c r="N494" s="343">
        <v>0</v>
      </c>
      <c r="O494" s="343">
        <v>0</v>
      </c>
      <c r="P494" s="338"/>
      <c r="Q494" s="339" t="s">
        <v>206</v>
      </c>
      <c r="R494" s="339" t="s">
        <v>2906</v>
      </c>
      <c r="S494" s="341" t="s">
        <v>4231</v>
      </c>
      <c r="T494" s="338"/>
      <c r="U494" s="327"/>
      <c r="V494" s="327"/>
      <c r="W494" s="327"/>
      <c r="X494" s="327"/>
      <c r="Y494" s="327"/>
      <c r="Z494" s="330"/>
    </row>
    <row r="495" spans="1:26" ht="25" hidden="1">
      <c r="A495" s="339">
        <v>544</v>
      </c>
      <c r="B495" s="338" t="s">
        <v>4126</v>
      </c>
      <c r="C495" s="340">
        <v>42731</v>
      </c>
      <c r="D495" s="338" t="s">
        <v>4234</v>
      </c>
      <c r="E495" s="341" t="s">
        <v>4230</v>
      </c>
      <c r="F495" s="338"/>
      <c r="G495" s="338" t="s">
        <v>35</v>
      </c>
      <c r="H495" s="339" t="s">
        <v>249</v>
      </c>
      <c r="I495" s="339">
        <v>1</v>
      </c>
      <c r="J495" s="342">
        <v>27193495</v>
      </c>
      <c r="K495" s="342">
        <v>27193495</v>
      </c>
      <c r="L495" s="342">
        <v>0</v>
      </c>
      <c r="M495" s="343">
        <v>0</v>
      </c>
      <c r="N495" s="343">
        <v>0</v>
      </c>
      <c r="O495" s="343">
        <v>0</v>
      </c>
      <c r="P495" s="338"/>
      <c r="Q495" s="339" t="s">
        <v>206</v>
      </c>
      <c r="R495" s="339" t="s">
        <v>2906</v>
      </c>
      <c r="S495" s="341" t="s">
        <v>4231</v>
      </c>
      <c r="T495" s="338"/>
      <c r="U495" s="327"/>
      <c r="V495" s="327"/>
      <c r="W495" s="327"/>
      <c r="X495" s="327"/>
      <c r="Y495" s="327"/>
      <c r="Z495" s="330"/>
    </row>
    <row r="496" spans="1:26" ht="25" hidden="1">
      <c r="A496" s="339">
        <v>545</v>
      </c>
      <c r="B496" s="338" t="s">
        <v>4126</v>
      </c>
      <c r="C496" s="340">
        <v>42731</v>
      </c>
      <c r="D496" s="338" t="s">
        <v>4235</v>
      </c>
      <c r="E496" s="341" t="s">
        <v>4230</v>
      </c>
      <c r="F496" s="338"/>
      <c r="G496" s="338" t="s">
        <v>35</v>
      </c>
      <c r="H496" s="339" t="s">
        <v>249</v>
      </c>
      <c r="I496" s="339">
        <v>1</v>
      </c>
      <c r="J496" s="342">
        <v>27193495</v>
      </c>
      <c r="K496" s="342">
        <v>27193495</v>
      </c>
      <c r="L496" s="342">
        <v>0</v>
      </c>
      <c r="M496" s="343">
        <v>0</v>
      </c>
      <c r="N496" s="343">
        <v>0</v>
      </c>
      <c r="O496" s="343">
        <v>0</v>
      </c>
      <c r="P496" s="338"/>
      <c r="Q496" s="339" t="s">
        <v>206</v>
      </c>
      <c r="R496" s="339" t="s">
        <v>2906</v>
      </c>
      <c r="S496" s="341" t="s">
        <v>4231</v>
      </c>
      <c r="T496" s="338"/>
      <c r="U496" s="327"/>
      <c r="V496" s="327"/>
      <c r="W496" s="327"/>
      <c r="X496" s="327"/>
      <c r="Y496" s="327"/>
      <c r="Z496" s="330"/>
    </row>
    <row r="497" spans="1:26" ht="25" hidden="1">
      <c r="A497" s="339">
        <v>546</v>
      </c>
      <c r="B497" s="338" t="s">
        <v>4126</v>
      </c>
      <c r="C497" s="340">
        <v>42731</v>
      </c>
      <c r="D497" s="338" t="s">
        <v>4236</v>
      </c>
      <c r="E497" s="341" t="s">
        <v>4230</v>
      </c>
      <c r="F497" s="338"/>
      <c r="G497" s="338" t="s">
        <v>35</v>
      </c>
      <c r="H497" s="339" t="s">
        <v>249</v>
      </c>
      <c r="I497" s="339">
        <v>1</v>
      </c>
      <c r="J497" s="342">
        <v>27193495</v>
      </c>
      <c r="K497" s="342">
        <v>27193495</v>
      </c>
      <c r="L497" s="342">
        <v>0</v>
      </c>
      <c r="M497" s="343">
        <v>0</v>
      </c>
      <c r="N497" s="343">
        <v>0</v>
      </c>
      <c r="O497" s="343">
        <v>0</v>
      </c>
      <c r="P497" s="338"/>
      <c r="Q497" s="339" t="s">
        <v>206</v>
      </c>
      <c r="R497" s="339" t="s">
        <v>2906</v>
      </c>
      <c r="S497" s="341" t="s">
        <v>4231</v>
      </c>
      <c r="T497" s="338"/>
      <c r="U497" s="327"/>
      <c r="V497" s="327"/>
      <c r="W497" s="327"/>
      <c r="X497" s="327"/>
      <c r="Y497" s="327"/>
      <c r="Z497" s="330"/>
    </row>
    <row r="498" spans="1:26" ht="25" hidden="1">
      <c r="A498" s="339">
        <v>547</v>
      </c>
      <c r="B498" s="338" t="s">
        <v>4126</v>
      </c>
      <c r="C498" s="340">
        <v>42731</v>
      </c>
      <c r="D498" s="338" t="s">
        <v>4237</v>
      </c>
      <c r="E498" s="341" t="s">
        <v>4230</v>
      </c>
      <c r="F498" s="338"/>
      <c r="G498" s="338" t="s">
        <v>35</v>
      </c>
      <c r="H498" s="339" t="s">
        <v>249</v>
      </c>
      <c r="I498" s="339">
        <v>1</v>
      </c>
      <c r="J498" s="342">
        <v>27193495</v>
      </c>
      <c r="K498" s="342">
        <v>27193495</v>
      </c>
      <c r="L498" s="342">
        <v>0</v>
      </c>
      <c r="M498" s="343">
        <v>0</v>
      </c>
      <c r="N498" s="343">
        <v>0</v>
      </c>
      <c r="O498" s="343">
        <v>0</v>
      </c>
      <c r="P498" s="338"/>
      <c r="Q498" s="339" t="s">
        <v>206</v>
      </c>
      <c r="R498" s="339" t="s">
        <v>2906</v>
      </c>
      <c r="S498" s="341" t="s">
        <v>4231</v>
      </c>
      <c r="T498" s="338"/>
      <c r="U498" s="327"/>
      <c r="V498" s="327"/>
      <c r="W498" s="327"/>
      <c r="X498" s="327"/>
      <c r="Y498" s="327"/>
      <c r="Z498" s="330"/>
    </row>
    <row r="499" spans="1:26" ht="25" hidden="1">
      <c r="A499" s="339">
        <v>548</v>
      </c>
      <c r="B499" s="338" t="s">
        <v>4126</v>
      </c>
      <c r="C499" s="340">
        <v>42731</v>
      </c>
      <c r="D499" s="338" t="s">
        <v>4238</v>
      </c>
      <c r="E499" s="341" t="s">
        <v>4230</v>
      </c>
      <c r="F499" s="338"/>
      <c r="G499" s="338" t="s">
        <v>35</v>
      </c>
      <c r="H499" s="339" t="s">
        <v>249</v>
      </c>
      <c r="I499" s="339">
        <v>1</v>
      </c>
      <c r="J499" s="342">
        <v>27193495</v>
      </c>
      <c r="K499" s="342">
        <v>27193495</v>
      </c>
      <c r="L499" s="342">
        <v>0</v>
      </c>
      <c r="M499" s="343">
        <v>0</v>
      </c>
      <c r="N499" s="343">
        <v>0</v>
      </c>
      <c r="O499" s="343">
        <v>0</v>
      </c>
      <c r="P499" s="338"/>
      <c r="Q499" s="339" t="s">
        <v>206</v>
      </c>
      <c r="R499" s="339" t="s">
        <v>2906</v>
      </c>
      <c r="S499" s="341" t="s">
        <v>4231</v>
      </c>
      <c r="T499" s="338"/>
      <c r="U499" s="327"/>
      <c r="V499" s="327"/>
      <c r="W499" s="327"/>
      <c r="X499" s="327"/>
      <c r="Y499" s="327"/>
      <c r="Z499" s="330"/>
    </row>
    <row r="500" spans="1:26" ht="25" hidden="1">
      <c r="A500" s="339">
        <v>549</v>
      </c>
      <c r="B500" s="338" t="s">
        <v>4126</v>
      </c>
      <c r="C500" s="340">
        <v>42731</v>
      </c>
      <c r="D500" s="338" t="s">
        <v>4239</v>
      </c>
      <c r="E500" s="341" t="s">
        <v>4230</v>
      </c>
      <c r="F500" s="338"/>
      <c r="G500" s="338" t="s">
        <v>35</v>
      </c>
      <c r="H500" s="339" t="s">
        <v>249</v>
      </c>
      <c r="I500" s="339">
        <v>1</v>
      </c>
      <c r="J500" s="342">
        <v>27193495</v>
      </c>
      <c r="K500" s="342">
        <v>27193495</v>
      </c>
      <c r="L500" s="342">
        <v>0</v>
      </c>
      <c r="M500" s="343">
        <v>0</v>
      </c>
      <c r="N500" s="343">
        <v>0</v>
      </c>
      <c r="O500" s="343">
        <v>0</v>
      </c>
      <c r="P500" s="338"/>
      <c r="Q500" s="339" t="s">
        <v>206</v>
      </c>
      <c r="R500" s="339" t="s">
        <v>2906</v>
      </c>
      <c r="S500" s="341" t="s">
        <v>4231</v>
      </c>
      <c r="T500" s="338"/>
      <c r="U500" s="327"/>
      <c r="V500" s="327"/>
      <c r="W500" s="327"/>
      <c r="X500" s="327"/>
      <c r="Y500" s="327"/>
      <c r="Z500" s="330"/>
    </row>
    <row r="501" spans="1:26" ht="25" hidden="1">
      <c r="A501" s="339">
        <v>550</v>
      </c>
      <c r="B501" s="338" t="s">
        <v>4126</v>
      </c>
      <c r="C501" s="340">
        <v>42731</v>
      </c>
      <c r="D501" s="338" t="s">
        <v>4240</v>
      </c>
      <c r="E501" s="341" t="s">
        <v>4230</v>
      </c>
      <c r="F501" s="338"/>
      <c r="G501" s="338" t="s">
        <v>35</v>
      </c>
      <c r="H501" s="339" t="s">
        <v>249</v>
      </c>
      <c r="I501" s="339">
        <v>1</v>
      </c>
      <c r="J501" s="342">
        <v>27193495</v>
      </c>
      <c r="K501" s="342">
        <v>27193495</v>
      </c>
      <c r="L501" s="342">
        <v>0</v>
      </c>
      <c r="M501" s="343">
        <v>0</v>
      </c>
      <c r="N501" s="343">
        <v>0</v>
      </c>
      <c r="O501" s="343">
        <v>0</v>
      </c>
      <c r="P501" s="338"/>
      <c r="Q501" s="339" t="s">
        <v>206</v>
      </c>
      <c r="R501" s="339" t="s">
        <v>2906</v>
      </c>
      <c r="S501" s="341" t="s">
        <v>4231</v>
      </c>
      <c r="T501" s="338"/>
      <c r="U501" s="327"/>
      <c r="V501" s="327"/>
      <c r="W501" s="327"/>
      <c r="X501" s="327"/>
      <c r="Y501" s="327"/>
      <c r="Z501" s="330"/>
    </row>
    <row r="502" spans="1:26" ht="25" hidden="1">
      <c r="A502" s="339">
        <v>551</v>
      </c>
      <c r="B502" s="338" t="s">
        <v>4126</v>
      </c>
      <c r="C502" s="340">
        <v>42731</v>
      </c>
      <c r="D502" s="338" t="s">
        <v>4241</v>
      </c>
      <c r="E502" s="341" t="s">
        <v>4230</v>
      </c>
      <c r="F502" s="338"/>
      <c r="G502" s="338" t="s">
        <v>35</v>
      </c>
      <c r="H502" s="339" t="s">
        <v>249</v>
      </c>
      <c r="I502" s="339">
        <v>1</v>
      </c>
      <c r="J502" s="342">
        <v>27193495</v>
      </c>
      <c r="K502" s="342">
        <v>27193495</v>
      </c>
      <c r="L502" s="342">
        <v>0</v>
      </c>
      <c r="M502" s="343">
        <v>0</v>
      </c>
      <c r="N502" s="343">
        <v>0</v>
      </c>
      <c r="O502" s="343">
        <v>0</v>
      </c>
      <c r="P502" s="338"/>
      <c r="Q502" s="339" t="s">
        <v>206</v>
      </c>
      <c r="R502" s="339" t="s">
        <v>2906</v>
      </c>
      <c r="S502" s="341" t="s">
        <v>4231</v>
      </c>
      <c r="T502" s="338"/>
      <c r="U502" s="327"/>
      <c r="V502" s="327"/>
      <c r="W502" s="327"/>
      <c r="X502" s="327"/>
      <c r="Y502" s="327"/>
      <c r="Z502" s="330"/>
    </row>
    <row r="503" spans="1:26" ht="25" hidden="1">
      <c r="A503" s="339">
        <v>552</v>
      </c>
      <c r="B503" s="338" t="s">
        <v>4126</v>
      </c>
      <c r="C503" s="340">
        <v>42731</v>
      </c>
      <c r="D503" s="338" t="s">
        <v>4242</v>
      </c>
      <c r="E503" s="341" t="s">
        <v>4230</v>
      </c>
      <c r="F503" s="338"/>
      <c r="G503" s="338" t="s">
        <v>35</v>
      </c>
      <c r="H503" s="339" t="s">
        <v>249</v>
      </c>
      <c r="I503" s="339">
        <v>1</v>
      </c>
      <c r="J503" s="342">
        <v>27193495</v>
      </c>
      <c r="K503" s="342">
        <v>27193495</v>
      </c>
      <c r="L503" s="342">
        <v>0</v>
      </c>
      <c r="M503" s="343">
        <v>0</v>
      </c>
      <c r="N503" s="343">
        <v>0</v>
      </c>
      <c r="O503" s="343">
        <v>0</v>
      </c>
      <c r="P503" s="338"/>
      <c r="Q503" s="339" t="s">
        <v>206</v>
      </c>
      <c r="R503" s="339" t="s">
        <v>2906</v>
      </c>
      <c r="S503" s="341" t="s">
        <v>4231</v>
      </c>
      <c r="T503" s="338"/>
      <c r="U503" s="327"/>
      <c r="V503" s="327"/>
      <c r="W503" s="327"/>
      <c r="X503" s="327"/>
      <c r="Y503" s="327"/>
      <c r="Z503" s="330"/>
    </row>
    <row r="504" spans="1:26" ht="25" hidden="1">
      <c r="A504" s="339">
        <v>553</v>
      </c>
      <c r="B504" s="338" t="s">
        <v>4126</v>
      </c>
      <c r="C504" s="340">
        <v>42731</v>
      </c>
      <c r="D504" s="338" t="s">
        <v>4243</v>
      </c>
      <c r="E504" s="341" t="s">
        <v>4230</v>
      </c>
      <c r="F504" s="338"/>
      <c r="G504" s="338" t="s">
        <v>35</v>
      </c>
      <c r="H504" s="339" t="s">
        <v>249</v>
      </c>
      <c r="I504" s="339">
        <v>1</v>
      </c>
      <c r="J504" s="342">
        <v>27193495</v>
      </c>
      <c r="K504" s="342">
        <v>27193495</v>
      </c>
      <c r="L504" s="342">
        <v>0</v>
      </c>
      <c r="M504" s="343">
        <v>0</v>
      </c>
      <c r="N504" s="343">
        <v>0</v>
      </c>
      <c r="O504" s="343">
        <v>0</v>
      </c>
      <c r="P504" s="338"/>
      <c r="Q504" s="339" t="s">
        <v>206</v>
      </c>
      <c r="R504" s="339" t="s">
        <v>2906</v>
      </c>
      <c r="S504" s="341" t="s">
        <v>4231</v>
      </c>
      <c r="T504" s="338"/>
      <c r="U504" s="327"/>
      <c r="V504" s="327"/>
      <c r="W504" s="327"/>
      <c r="X504" s="327"/>
      <c r="Y504" s="327"/>
      <c r="Z504" s="330"/>
    </row>
    <row r="505" spans="1:26" ht="25" hidden="1">
      <c r="A505" s="339">
        <v>554</v>
      </c>
      <c r="B505" s="338" t="s">
        <v>4126</v>
      </c>
      <c r="C505" s="340">
        <v>42731</v>
      </c>
      <c r="D505" s="338" t="s">
        <v>4244</v>
      </c>
      <c r="E505" s="341" t="s">
        <v>4230</v>
      </c>
      <c r="F505" s="338"/>
      <c r="G505" s="338" t="s">
        <v>35</v>
      </c>
      <c r="H505" s="339" t="s">
        <v>249</v>
      </c>
      <c r="I505" s="339">
        <v>1</v>
      </c>
      <c r="J505" s="342">
        <v>27193495</v>
      </c>
      <c r="K505" s="342">
        <v>27193495</v>
      </c>
      <c r="L505" s="342">
        <v>0</v>
      </c>
      <c r="M505" s="343">
        <v>0</v>
      </c>
      <c r="N505" s="343">
        <v>0</v>
      </c>
      <c r="O505" s="343">
        <v>0</v>
      </c>
      <c r="P505" s="338"/>
      <c r="Q505" s="339" t="s">
        <v>36</v>
      </c>
      <c r="R505" s="339" t="s">
        <v>1146</v>
      </c>
      <c r="S505" s="341" t="s">
        <v>4231</v>
      </c>
      <c r="T505" s="338"/>
      <c r="U505" s="327"/>
      <c r="V505" s="327"/>
      <c r="W505" s="327"/>
      <c r="X505" s="327"/>
      <c r="Y505" s="327"/>
      <c r="Z505" s="330"/>
    </row>
    <row r="506" spans="1:26" ht="25" hidden="1">
      <c r="A506" s="339">
        <v>555</v>
      </c>
      <c r="B506" s="338" t="s">
        <v>4126</v>
      </c>
      <c r="C506" s="340">
        <v>42731</v>
      </c>
      <c r="D506" s="338" t="s">
        <v>4245</v>
      </c>
      <c r="E506" s="341" t="s">
        <v>4230</v>
      </c>
      <c r="F506" s="338"/>
      <c r="G506" s="338" t="s">
        <v>35</v>
      </c>
      <c r="H506" s="339" t="s">
        <v>249</v>
      </c>
      <c r="I506" s="339">
        <v>1</v>
      </c>
      <c r="J506" s="342">
        <v>27193495</v>
      </c>
      <c r="K506" s="342">
        <v>27193495</v>
      </c>
      <c r="L506" s="342">
        <v>0</v>
      </c>
      <c r="M506" s="343">
        <v>0</v>
      </c>
      <c r="N506" s="343">
        <v>0</v>
      </c>
      <c r="O506" s="343">
        <v>0</v>
      </c>
      <c r="P506" s="338"/>
      <c r="Q506" s="339" t="s">
        <v>36</v>
      </c>
      <c r="R506" s="339" t="s">
        <v>1146</v>
      </c>
      <c r="S506" s="341" t="s">
        <v>4231</v>
      </c>
      <c r="T506" s="338"/>
      <c r="U506" s="327"/>
      <c r="V506" s="327"/>
      <c r="W506" s="327"/>
      <c r="X506" s="327"/>
      <c r="Y506" s="327"/>
      <c r="Z506" s="330"/>
    </row>
    <row r="507" spans="1:26" ht="25" hidden="1">
      <c r="A507" s="339">
        <v>556</v>
      </c>
      <c r="B507" s="338" t="s">
        <v>4126</v>
      </c>
      <c r="C507" s="340">
        <v>42731</v>
      </c>
      <c r="D507" s="338" t="s">
        <v>4246</v>
      </c>
      <c r="E507" s="341" t="s">
        <v>4230</v>
      </c>
      <c r="F507" s="338"/>
      <c r="G507" s="338" t="s">
        <v>35</v>
      </c>
      <c r="H507" s="339" t="s">
        <v>249</v>
      </c>
      <c r="I507" s="339">
        <v>1</v>
      </c>
      <c r="J507" s="342">
        <v>27193495</v>
      </c>
      <c r="K507" s="342">
        <v>27193495</v>
      </c>
      <c r="L507" s="342">
        <v>0</v>
      </c>
      <c r="M507" s="343">
        <v>0</v>
      </c>
      <c r="N507" s="343">
        <v>0</v>
      </c>
      <c r="O507" s="343">
        <v>0</v>
      </c>
      <c r="P507" s="338"/>
      <c r="Q507" s="339" t="s">
        <v>36</v>
      </c>
      <c r="R507" s="339" t="s">
        <v>1146</v>
      </c>
      <c r="S507" s="341" t="s">
        <v>4231</v>
      </c>
      <c r="T507" s="338"/>
      <c r="U507" s="327"/>
      <c r="V507" s="327"/>
      <c r="W507" s="327"/>
      <c r="X507" s="327"/>
      <c r="Y507" s="327"/>
      <c r="Z507" s="330"/>
    </row>
    <row r="508" spans="1:26" ht="25" hidden="1">
      <c r="A508" s="339">
        <v>557</v>
      </c>
      <c r="B508" s="338" t="s">
        <v>4126</v>
      </c>
      <c r="C508" s="340">
        <v>42731</v>
      </c>
      <c r="D508" s="338" t="s">
        <v>4247</v>
      </c>
      <c r="E508" s="341" t="s">
        <v>4230</v>
      </c>
      <c r="F508" s="338"/>
      <c r="G508" s="338" t="s">
        <v>35</v>
      </c>
      <c r="H508" s="339" t="s">
        <v>249</v>
      </c>
      <c r="I508" s="339">
        <v>1</v>
      </c>
      <c r="J508" s="342">
        <v>27193495</v>
      </c>
      <c r="K508" s="342">
        <v>27193495</v>
      </c>
      <c r="L508" s="342">
        <v>0</v>
      </c>
      <c r="M508" s="343">
        <v>0</v>
      </c>
      <c r="N508" s="343">
        <v>0</v>
      </c>
      <c r="O508" s="343">
        <v>0</v>
      </c>
      <c r="P508" s="338"/>
      <c r="Q508" s="339" t="s">
        <v>36</v>
      </c>
      <c r="R508" s="339" t="s">
        <v>1146</v>
      </c>
      <c r="S508" s="341" t="s">
        <v>4231</v>
      </c>
      <c r="T508" s="338"/>
      <c r="U508" s="327"/>
      <c r="V508" s="327"/>
      <c r="W508" s="327"/>
      <c r="X508" s="327"/>
      <c r="Y508" s="327"/>
      <c r="Z508" s="330"/>
    </row>
    <row r="509" spans="1:26" ht="25" hidden="1">
      <c r="A509" s="339">
        <v>558</v>
      </c>
      <c r="B509" s="338" t="s">
        <v>4126</v>
      </c>
      <c r="C509" s="340">
        <v>42731</v>
      </c>
      <c r="D509" s="338" t="s">
        <v>4248</v>
      </c>
      <c r="E509" s="341" t="s">
        <v>4230</v>
      </c>
      <c r="F509" s="338"/>
      <c r="G509" s="338" t="s">
        <v>35</v>
      </c>
      <c r="H509" s="339" t="s">
        <v>249</v>
      </c>
      <c r="I509" s="339">
        <v>1</v>
      </c>
      <c r="J509" s="342">
        <v>27193495</v>
      </c>
      <c r="K509" s="342">
        <v>27193495</v>
      </c>
      <c r="L509" s="342">
        <v>0</v>
      </c>
      <c r="M509" s="343">
        <v>0</v>
      </c>
      <c r="N509" s="343">
        <v>0</v>
      </c>
      <c r="O509" s="343">
        <v>0</v>
      </c>
      <c r="P509" s="338"/>
      <c r="Q509" s="339" t="s">
        <v>36</v>
      </c>
      <c r="R509" s="339" t="s">
        <v>1146</v>
      </c>
      <c r="S509" s="341" t="s">
        <v>4231</v>
      </c>
      <c r="T509" s="338"/>
      <c r="U509" s="327"/>
      <c r="V509" s="327"/>
      <c r="W509" s="327"/>
      <c r="X509" s="327"/>
      <c r="Y509" s="327"/>
      <c r="Z509" s="330"/>
    </row>
    <row r="510" spans="1:26" ht="25" hidden="1">
      <c r="A510" s="339">
        <v>559</v>
      </c>
      <c r="B510" s="338" t="s">
        <v>4126</v>
      </c>
      <c r="C510" s="340">
        <v>42731</v>
      </c>
      <c r="D510" s="338" t="s">
        <v>4249</v>
      </c>
      <c r="E510" s="341" t="s">
        <v>4230</v>
      </c>
      <c r="F510" s="338"/>
      <c r="G510" s="338" t="s">
        <v>35</v>
      </c>
      <c r="H510" s="339" t="s">
        <v>249</v>
      </c>
      <c r="I510" s="339">
        <v>1</v>
      </c>
      <c r="J510" s="342">
        <v>27193495</v>
      </c>
      <c r="K510" s="342">
        <v>27193495</v>
      </c>
      <c r="L510" s="342">
        <v>0</v>
      </c>
      <c r="M510" s="343">
        <v>0</v>
      </c>
      <c r="N510" s="343">
        <v>0</v>
      </c>
      <c r="O510" s="343">
        <v>0</v>
      </c>
      <c r="P510" s="338"/>
      <c r="Q510" s="339" t="s">
        <v>36</v>
      </c>
      <c r="R510" s="339" t="s">
        <v>1146</v>
      </c>
      <c r="S510" s="341" t="s">
        <v>4231</v>
      </c>
      <c r="T510" s="338"/>
      <c r="U510" s="327"/>
      <c r="V510" s="327"/>
      <c r="W510" s="327"/>
      <c r="X510" s="327"/>
      <c r="Y510" s="327"/>
      <c r="Z510" s="330"/>
    </row>
    <row r="511" spans="1:26" ht="25" hidden="1">
      <c r="A511" s="339">
        <v>560</v>
      </c>
      <c r="B511" s="338" t="s">
        <v>4126</v>
      </c>
      <c r="C511" s="340">
        <v>42731</v>
      </c>
      <c r="D511" s="338" t="s">
        <v>4250</v>
      </c>
      <c r="E511" s="341" t="s">
        <v>4230</v>
      </c>
      <c r="F511" s="338"/>
      <c r="G511" s="338" t="s">
        <v>35</v>
      </c>
      <c r="H511" s="339" t="s">
        <v>249</v>
      </c>
      <c r="I511" s="339">
        <v>1</v>
      </c>
      <c r="J511" s="342">
        <v>27193495</v>
      </c>
      <c r="K511" s="342">
        <v>27193495</v>
      </c>
      <c r="L511" s="342">
        <v>0</v>
      </c>
      <c r="M511" s="343">
        <v>0</v>
      </c>
      <c r="N511" s="343">
        <v>0</v>
      </c>
      <c r="O511" s="343">
        <v>0</v>
      </c>
      <c r="P511" s="338"/>
      <c r="Q511" s="339" t="s">
        <v>36</v>
      </c>
      <c r="R511" s="339" t="s">
        <v>1146</v>
      </c>
      <c r="S511" s="341" t="s">
        <v>4231</v>
      </c>
      <c r="T511" s="338"/>
      <c r="U511" s="327"/>
      <c r="V511" s="327"/>
      <c r="W511" s="327"/>
      <c r="X511" s="327"/>
      <c r="Y511" s="327"/>
      <c r="Z511" s="330"/>
    </row>
    <row r="512" spans="1:26" ht="25" hidden="1">
      <c r="A512" s="339">
        <v>561</v>
      </c>
      <c r="B512" s="338" t="s">
        <v>4126</v>
      </c>
      <c r="C512" s="340">
        <v>42731</v>
      </c>
      <c r="D512" s="338" t="s">
        <v>4251</v>
      </c>
      <c r="E512" s="341" t="s">
        <v>4230</v>
      </c>
      <c r="F512" s="338"/>
      <c r="G512" s="338" t="s">
        <v>35</v>
      </c>
      <c r="H512" s="339" t="s">
        <v>249</v>
      </c>
      <c r="I512" s="339">
        <v>1</v>
      </c>
      <c r="J512" s="342">
        <v>27193495</v>
      </c>
      <c r="K512" s="342">
        <v>27193495</v>
      </c>
      <c r="L512" s="342">
        <v>0</v>
      </c>
      <c r="M512" s="343">
        <v>0</v>
      </c>
      <c r="N512" s="343">
        <v>0</v>
      </c>
      <c r="O512" s="343">
        <v>0</v>
      </c>
      <c r="P512" s="338"/>
      <c r="Q512" s="339" t="s">
        <v>36</v>
      </c>
      <c r="R512" s="339" t="s">
        <v>1146</v>
      </c>
      <c r="S512" s="341" t="s">
        <v>4231</v>
      </c>
      <c r="T512" s="338"/>
      <c r="U512" s="327"/>
      <c r="V512" s="327"/>
      <c r="W512" s="327"/>
      <c r="X512" s="327"/>
      <c r="Y512" s="327"/>
      <c r="Z512" s="330"/>
    </row>
    <row r="513" spans="1:26" ht="25" hidden="1">
      <c r="A513" s="339">
        <v>562</v>
      </c>
      <c r="B513" s="338" t="s">
        <v>4126</v>
      </c>
      <c r="C513" s="340">
        <v>42731</v>
      </c>
      <c r="D513" s="338" t="s">
        <v>4252</v>
      </c>
      <c r="E513" s="341" t="s">
        <v>4230</v>
      </c>
      <c r="F513" s="338"/>
      <c r="G513" s="338" t="s">
        <v>35</v>
      </c>
      <c r="H513" s="339" t="s">
        <v>249</v>
      </c>
      <c r="I513" s="339">
        <v>1</v>
      </c>
      <c r="J513" s="342">
        <v>27193495</v>
      </c>
      <c r="K513" s="342">
        <v>27193495</v>
      </c>
      <c r="L513" s="342">
        <v>0</v>
      </c>
      <c r="M513" s="343">
        <v>0</v>
      </c>
      <c r="N513" s="343">
        <v>0</v>
      </c>
      <c r="O513" s="343">
        <v>0</v>
      </c>
      <c r="P513" s="338"/>
      <c r="Q513" s="339" t="s">
        <v>36</v>
      </c>
      <c r="R513" s="339" t="s">
        <v>1146</v>
      </c>
      <c r="S513" s="341" t="s">
        <v>4231</v>
      </c>
      <c r="T513" s="338"/>
      <c r="U513" s="327"/>
      <c r="V513" s="327"/>
      <c r="W513" s="327"/>
      <c r="X513" s="327"/>
      <c r="Y513" s="327"/>
      <c r="Z513" s="330"/>
    </row>
    <row r="514" spans="1:26" ht="25" hidden="1">
      <c r="A514" s="339">
        <v>563</v>
      </c>
      <c r="B514" s="338" t="s">
        <v>4126</v>
      </c>
      <c r="C514" s="340">
        <v>42731</v>
      </c>
      <c r="D514" s="338" t="s">
        <v>4253</v>
      </c>
      <c r="E514" s="341" t="s">
        <v>4230</v>
      </c>
      <c r="F514" s="338"/>
      <c r="G514" s="338" t="s">
        <v>35</v>
      </c>
      <c r="H514" s="339" t="s">
        <v>249</v>
      </c>
      <c r="I514" s="339">
        <v>1</v>
      </c>
      <c r="J514" s="342">
        <v>27193495</v>
      </c>
      <c r="K514" s="342">
        <v>27193495</v>
      </c>
      <c r="L514" s="342">
        <v>0</v>
      </c>
      <c r="M514" s="343">
        <v>0</v>
      </c>
      <c r="N514" s="343">
        <v>0</v>
      </c>
      <c r="O514" s="343">
        <v>0</v>
      </c>
      <c r="P514" s="338"/>
      <c r="Q514" s="339" t="s">
        <v>36</v>
      </c>
      <c r="R514" s="339" t="s">
        <v>1146</v>
      </c>
      <c r="S514" s="341" t="s">
        <v>4231</v>
      </c>
      <c r="T514" s="338"/>
      <c r="U514" s="327"/>
      <c r="V514" s="327"/>
      <c r="W514" s="327"/>
      <c r="X514" s="327"/>
      <c r="Y514" s="327"/>
      <c r="Z514" s="330"/>
    </row>
    <row r="515" spans="1:26" ht="150" hidden="1">
      <c r="A515" s="339">
        <v>564</v>
      </c>
      <c r="B515" s="338" t="s">
        <v>4254</v>
      </c>
      <c r="C515" s="340">
        <v>42004</v>
      </c>
      <c r="D515" s="338" t="s">
        <v>4255</v>
      </c>
      <c r="E515" s="341" t="s">
        <v>4256</v>
      </c>
      <c r="F515" s="341" t="s">
        <v>4257</v>
      </c>
      <c r="G515" s="338"/>
      <c r="H515" s="339" t="s">
        <v>19</v>
      </c>
      <c r="I515" s="339">
        <v>1</v>
      </c>
      <c r="J515" s="342">
        <v>21650000</v>
      </c>
      <c r="K515" s="342">
        <v>21650000</v>
      </c>
      <c r="L515" s="342">
        <v>0</v>
      </c>
      <c r="M515" s="343">
        <v>0</v>
      </c>
      <c r="N515" s="343">
        <v>0</v>
      </c>
      <c r="O515" s="343">
        <v>0</v>
      </c>
      <c r="P515" s="338"/>
      <c r="Q515" s="339" t="s">
        <v>20</v>
      </c>
      <c r="R515" s="339" t="s">
        <v>295</v>
      </c>
      <c r="S515" s="341" t="s">
        <v>5091</v>
      </c>
      <c r="T515" s="338"/>
      <c r="U515" s="327"/>
      <c r="V515" s="327"/>
      <c r="W515" s="327"/>
      <c r="X515" s="327"/>
      <c r="Y515" s="327"/>
      <c r="Z515" s="330"/>
    </row>
    <row r="516" spans="1:26" ht="150" hidden="1">
      <c r="A516" s="339">
        <v>565</v>
      </c>
      <c r="B516" s="338" t="s">
        <v>4254</v>
      </c>
      <c r="C516" s="340">
        <v>42004</v>
      </c>
      <c r="D516" s="338" t="s">
        <v>4259</v>
      </c>
      <c r="E516" s="341" t="s">
        <v>4256</v>
      </c>
      <c r="F516" s="341" t="s">
        <v>4260</v>
      </c>
      <c r="G516" s="338"/>
      <c r="H516" s="339" t="s">
        <v>19</v>
      </c>
      <c r="I516" s="339">
        <v>1</v>
      </c>
      <c r="J516" s="342">
        <v>21650000</v>
      </c>
      <c r="K516" s="342">
        <v>21650000</v>
      </c>
      <c r="L516" s="342">
        <v>0</v>
      </c>
      <c r="M516" s="343">
        <v>0</v>
      </c>
      <c r="N516" s="343">
        <v>0</v>
      </c>
      <c r="O516" s="343">
        <v>0</v>
      </c>
      <c r="P516" s="338"/>
      <c r="Q516" s="339" t="s">
        <v>206</v>
      </c>
      <c r="R516" s="339" t="s">
        <v>2906</v>
      </c>
      <c r="S516" s="341" t="s">
        <v>5092</v>
      </c>
      <c r="T516" s="338"/>
      <c r="U516" s="327"/>
      <c r="V516" s="327"/>
      <c r="W516" s="327"/>
      <c r="X516" s="327"/>
      <c r="Y516" s="327"/>
      <c r="Z516" s="330"/>
    </row>
    <row r="517" spans="1:26" ht="75">
      <c r="A517" s="339">
        <v>566</v>
      </c>
      <c r="B517" s="338" t="s">
        <v>4262</v>
      </c>
      <c r="C517" s="340">
        <v>42332</v>
      </c>
      <c r="D517" s="338" t="s">
        <v>4263</v>
      </c>
      <c r="E517" s="341" t="s">
        <v>4264</v>
      </c>
      <c r="F517" s="341" t="s">
        <v>4265</v>
      </c>
      <c r="G517" s="338"/>
      <c r="H517" s="339" t="s">
        <v>249</v>
      </c>
      <c r="I517" s="339">
        <v>1</v>
      </c>
      <c r="J517" s="342">
        <v>9000000</v>
      </c>
      <c r="K517" s="342">
        <v>9000000</v>
      </c>
      <c r="L517" s="342">
        <v>0</v>
      </c>
      <c r="M517" s="343">
        <v>0</v>
      </c>
      <c r="N517" s="343">
        <v>0</v>
      </c>
      <c r="O517" s="343">
        <v>0</v>
      </c>
      <c r="P517" s="338" t="s">
        <v>4266</v>
      </c>
      <c r="Q517" s="339" t="s">
        <v>20</v>
      </c>
      <c r="R517" s="339" t="s">
        <v>423</v>
      </c>
      <c r="S517" s="341" t="s">
        <v>4267</v>
      </c>
      <c r="T517" s="338"/>
      <c r="U517" s="327"/>
      <c r="V517" s="327"/>
      <c r="W517" s="327"/>
      <c r="X517" s="327"/>
      <c r="Y517" s="327"/>
      <c r="Z517" s="330"/>
    </row>
    <row r="518" spans="1:26" ht="75" hidden="1">
      <c r="A518" s="339">
        <v>567</v>
      </c>
      <c r="B518" s="338" t="s">
        <v>4262</v>
      </c>
      <c r="C518" s="340">
        <v>42332</v>
      </c>
      <c r="D518" s="338" t="s">
        <v>4268</v>
      </c>
      <c r="E518" s="341" t="s">
        <v>4264</v>
      </c>
      <c r="F518" s="341" t="s">
        <v>4269</v>
      </c>
      <c r="G518" s="338"/>
      <c r="H518" s="339" t="s">
        <v>249</v>
      </c>
      <c r="I518" s="339">
        <v>1</v>
      </c>
      <c r="J518" s="342">
        <v>9000000</v>
      </c>
      <c r="K518" s="342">
        <v>9000000</v>
      </c>
      <c r="L518" s="342">
        <v>0</v>
      </c>
      <c r="M518" s="343">
        <v>0</v>
      </c>
      <c r="N518" s="343">
        <v>0</v>
      </c>
      <c r="O518" s="343">
        <v>0</v>
      </c>
      <c r="P518" s="338" t="s">
        <v>4270</v>
      </c>
      <c r="Q518" s="339" t="s">
        <v>20</v>
      </c>
      <c r="R518" s="339" t="s">
        <v>233</v>
      </c>
      <c r="S518" s="341" t="s">
        <v>4271</v>
      </c>
      <c r="T518" s="338"/>
      <c r="U518" s="327"/>
      <c r="V518" s="327"/>
      <c r="W518" s="327"/>
      <c r="X518" s="327"/>
      <c r="Y518" s="327"/>
      <c r="Z518" s="330"/>
    </row>
    <row r="519" spans="1:26" ht="150" hidden="1">
      <c r="A519" s="339">
        <v>568</v>
      </c>
      <c r="B519" s="338" t="s">
        <v>4272</v>
      </c>
      <c r="C519" s="340">
        <v>42515</v>
      </c>
      <c r="D519" s="338" t="s">
        <v>4273</v>
      </c>
      <c r="E519" s="341" t="s">
        <v>4274</v>
      </c>
      <c r="F519" s="341" t="s">
        <v>4275</v>
      </c>
      <c r="G519" s="338"/>
      <c r="H519" s="339" t="s">
        <v>249</v>
      </c>
      <c r="I519" s="339">
        <v>1</v>
      </c>
      <c r="J519" s="342">
        <v>17042175</v>
      </c>
      <c r="K519" s="342">
        <v>17042175</v>
      </c>
      <c r="L519" s="342">
        <v>0</v>
      </c>
      <c r="M519" s="343">
        <v>0</v>
      </c>
      <c r="N519" s="343">
        <v>0</v>
      </c>
      <c r="O519" s="343">
        <v>0</v>
      </c>
      <c r="P519" s="338" t="s">
        <v>4276</v>
      </c>
      <c r="Q519" s="339" t="s">
        <v>1195</v>
      </c>
      <c r="R519" s="339" t="s">
        <v>3389</v>
      </c>
      <c r="S519" s="341" t="s">
        <v>4277</v>
      </c>
      <c r="T519" s="338"/>
      <c r="U519" s="327"/>
      <c r="V519" s="327"/>
      <c r="W519" s="327"/>
      <c r="X519" s="327"/>
      <c r="Y519" s="327"/>
      <c r="Z519" s="330"/>
    </row>
    <row r="520" spans="1:26" ht="150" hidden="1">
      <c r="A520" s="339">
        <v>569</v>
      </c>
      <c r="B520" s="338" t="s">
        <v>4272</v>
      </c>
      <c r="C520" s="340">
        <v>42515</v>
      </c>
      <c r="D520" s="338" t="s">
        <v>4278</v>
      </c>
      <c r="E520" s="341" t="s">
        <v>4274</v>
      </c>
      <c r="F520" s="341" t="s">
        <v>4279</v>
      </c>
      <c r="G520" s="338"/>
      <c r="H520" s="339" t="s">
        <v>249</v>
      </c>
      <c r="I520" s="339">
        <v>1</v>
      </c>
      <c r="J520" s="342">
        <v>17042175</v>
      </c>
      <c r="K520" s="342">
        <v>17042175</v>
      </c>
      <c r="L520" s="342">
        <v>0</v>
      </c>
      <c r="M520" s="343">
        <v>0</v>
      </c>
      <c r="N520" s="343">
        <v>0</v>
      </c>
      <c r="O520" s="343">
        <v>0</v>
      </c>
      <c r="P520" s="338" t="s">
        <v>4276</v>
      </c>
      <c r="Q520" s="339" t="s">
        <v>36</v>
      </c>
      <c r="R520" s="339" t="s">
        <v>4154</v>
      </c>
      <c r="S520" s="341" t="s">
        <v>4280</v>
      </c>
      <c r="T520" s="338"/>
      <c r="U520" s="327"/>
      <c r="V520" s="327"/>
      <c r="W520" s="327"/>
      <c r="X520" s="327"/>
      <c r="Y520" s="327"/>
      <c r="Z520" s="330"/>
    </row>
    <row r="521" spans="1:26" ht="100" hidden="1">
      <c r="A521" s="339">
        <v>570</v>
      </c>
      <c r="B521" s="338" t="s">
        <v>4272</v>
      </c>
      <c r="C521" s="340">
        <v>42515</v>
      </c>
      <c r="D521" s="338" t="s">
        <v>4281</v>
      </c>
      <c r="E521" s="341" t="s">
        <v>4282</v>
      </c>
      <c r="F521" s="341" t="s">
        <v>4283</v>
      </c>
      <c r="G521" s="338"/>
      <c r="H521" s="339" t="s">
        <v>249</v>
      </c>
      <c r="I521" s="339">
        <v>1</v>
      </c>
      <c r="J521" s="342">
        <v>8946430</v>
      </c>
      <c r="K521" s="342">
        <v>8946430</v>
      </c>
      <c r="L521" s="342">
        <v>0</v>
      </c>
      <c r="M521" s="343">
        <v>0</v>
      </c>
      <c r="N521" s="343">
        <v>0</v>
      </c>
      <c r="O521" s="343">
        <v>0</v>
      </c>
      <c r="P521" s="338" t="s">
        <v>4276</v>
      </c>
      <c r="Q521" s="339" t="s">
        <v>36</v>
      </c>
      <c r="R521" s="339" t="s">
        <v>4154</v>
      </c>
      <c r="S521" s="341" t="s">
        <v>5093</v>
      </c>
      <c r="T521" s="338"/>
      <c r="U521" s="327"/>
      <c r="V521" s="327"/>
      <c r="W521" s="327"/>
      <c r="X521" s="327"/>
      <c r="Y521" s="327"/>
      <c r="Z521" s="330"/>
    </row>
    <row r="522" spans="1:26" ht="100" hidden="1">
      <c r="A522" s="339">
        <v>571</v>
      </c>
      <c r="B522" s="338" t="s">
        <v>4272</v>
      </c>
      <c r="C522" s="340">
        <v>42515</v>
      </c>
      <c r="D522" s="338" t="s">
        <v>4285</v>
      </c>
      <c r="E522" s="341" t="s">
        <v>4282</v>
      </c>
      <c r="F522" s="341" t="s">
        <v>4286</v>
      </c>
      <c r="G522" s="338"/>
      <c r="H522" s="339" t="s">
        <v>249</v>
      </c>
      <c r="I522" s="339">
        <v>1</v>
      </c>
      <c r="J522" s="342">
        <v>8946430</v>
      </c>
      <c r="K522" s="342">
        <v>8946430</v>
      </c>
      <c r="L522" s="342">
        <v>0</v>
      </c>
      <c r="M522" s="343">
        <v>0</v>
      </c>
      <c r="N522" s="343">
        <v>0</v>
      </c>
      <c r="O522" s="343">
        <v>0</v>
      </c>
      <c r="P522" s="338" t="s">
        <v>4276</v>
      </c>
      <c r="Q522" s="339" t="s">
        <v>36</v>
      </c>
      <c r="R522" s="339" t="s">
        <v>4154</v>
      </c>
      <c r="S522" s="341" t="s">
        <v>5093</v>
      </c>
      <c r="T522" s="338"/>
      <c r="U522" s="327"/>
      <c r="V522" s="327"/>
      <c r="W522" s="327"/>
      <c r="X522" s="327"/>
      <c r="Y522" s="327"/>
      <c r="Z522" s="330"/>
    </row>
    <row r="523" spans="1:26" ht="25" hidden="1">
      <c r="A523" s="339">
        <v>572</v>
      </c>
      <c r="B523" s="338" t="s">
        <v>3443</v>
      </c>
      <c r="C523" s="340">
        <v>42731</v>
      </c>
      <c r="D523" s="338" t="s">
        <v>4287</v>
      </c>
      <c r="E523" s="341" t="s">
        <v>4288</v>
      </c>
      <c r="F523" s="341" t="s">
        <v>4289</v>
      </c>
      <c r="G523" s="338" t="s">
        <v>248</v>
      </c>
      <c r="H523" s="339" t="s">
        <v>249</v>
      </c>
      <c r="I523" s="339">
        <v>1</v>
      </c>
      <c r="J523" s="342">
        <v>7097024</v>
      </c>
      <c r="K523" s="342">
        <v>7097024</v>
      </c>
      <c r="L523" s="342">
        <v>0</v>
      </c>
      <c r="M523" s="343">
        <v>0</v>
      </c>
      <c r="N523" s="343">
        <v>0</v>
      </c>
      <c r="O523" s="343">
        <v>0</v>
      </c>
      <c r="P523" s="338"/>
      <c r="Q523" s="339" t="s">
        <v>36</v>
      </c>
      <c r="R523" s="339" t="s">
        <v>4154</v>
      </c>
      <c r="S523" s="341" t="s">
        <v>4290</v>
      </c>
      <c r="T523" s="338"/>
      <c r="U523" s="327"/>
      <c r="V523" s="327"/>
      <c r="W523" s="327"/>
      <c r="X523" s="327"/>
      <c r="Y523" s="327"/>
      <c r="Z523" s="330"/>
    </row>
    <row r="524" spans="1:26" ht="25" hidden="1">
      <c r="A524" s="339">
        <v>573</v>
      </c>
      <c r="B524" s="338" t="s">
        <v>3443</v>
      </c>
      <c r="C524" s="340">
        <v>42731</v>
      </c>
      <c r="D524" s="338" t="s">
        <v>4291</v>
      </c>
      <c r="E524" s="341" t="s">
        <v>4288</v>
      </c>
      <c r="F524" s="341" t="s">
        <v>4292</v>
      </c>
      <c r="G524" s="338" t="s">
        <v>248</v>
      </c>
      <c r="H524" s="339" t="s">
        <v>249</v>
      </c>
      <c r="I524" s="339">
        <v>1</v>
      </c>
      <c r="J524" s="342">
        <v>7097024</v>
      </c>
      <c r="K524" s="342">
        <v>7097024</v>
      </c>
      <c r="L524" s="342">
        <v>0</v>
      </c>
      <c r="M524" s="343">
        <v>0</v>
      </c>
      <c r="N524" s="343">
        <v>0</v>
      </c>
      <c r="O524" s="343">
        <v>0</v>
      </c>
      <c r="P524" s="338"/>
      <c r="Q524" s="339" t="s">
        <v>36</v>
      </c>
      <c r="R524" s="339" t="s">
        <v>4154</v>
      </c>
      <c r="S524" s="341" t="s">
        <v>4293</v>
      </c>
      <c r="T524" s="338"/>
      <c r="U524" s="327"/>
      <c r="V524" s="327"/>
      <c r="W524" s="327"/>
      <c r="X524" s="327"/>
      <c r="Y524" s="327"/>
      <c r="Z524" s="330"/>
    </row>
    <row r="525" spans="1:26" ht="25" hidden="1">
      <c r="A525" s="339">
        <v>574</v>
      </c>
      <c r="B525" s="338" t="s">
        <v>3443</v>
      </c>
      <c r="C525" s="340">
        <v>42731</v>
      </c>
      <c r="D525" s="338" t="s">
        <v>4294</v>
      </c>
      <c r="E525" s="341" t="s">
        <v>4288</v>
      </c>
      <c r="F525" s="341" t="s">
        <v>4295</v>
      </c>
      <c r="G525" s="338" t="s">
        <v>248</v>
      </c>
      <c r="H525" s="339" t="s">
        <v>249</v>
      </c>
      <c r="I525" s="339">
        <v>1</v>
      </c>
      <c r="J525" s="342">
        <v>7097024</v>
      </c>
      <c r="K525" s="342">
        <v>7097024</v>
      </c>
      <c r="L525" s="342">
        <v>0</v>
      </c>
      <c r="M525" s="343">
        <v>0</v>
      </c>
      <c r="N525" s="343">
        <v>0</v>
      </c>
      <c r="O525" s="343">
        <v>0</v>
      </c>
      <c r="P525" s="338"/>
      <c r="Q525" s="339" t="s">
        <v>36</v>
      </c>
      <c r="R525" s="339" t="s">
        <v>4154</v>
      </c>
      <c r="S525" s="341" t="s">
        <v>4296</v>
      </c>
      <c r="T525" s="338"/>
      <c r="U525" s="327"/>
      <c r="V525" s="327"/>
      <c r="W525" s="327"/>
      <c r="X525" s="327"/>
      <c r="Y525" s="327"/>
      <c r="Z525" s="330"/>
    </row>
    <row r="526" spans="1:26" ht="25" hidden="1">
      <c r="A526" s="339">
        <v>575</v>
      </c>
      <c r="B526" s="338" t="s">
        <v>3443</v>
      </c>
      <c r="C526" s="340">
        <v>42731</v>
      </c>
      <c r="D526" s="338" t="s">
        <v>4297</v>
      </c>
      <c r="E526" s="341" t="s">
        <v>4288</v>
      </c>
      <c r="F526" s="341" t="s">
        <v>4298</v>
      </c>
      <c r="G526" s="338" t="s">
        <v>248</v>
      </c>
      <c r="H526" s="339" t="s">
        <v>249</v>
      </c>
      <c r="I526" s="339">
        <v>1</v>
      </c>
      <c r="J526" s="342">
        <v>7097024</v>
      </c>
      <c r="K526" s="342">
        <v>7097024</v>
      </c>
      <c r="L526" s="342">
        <v>0</v>
      </c>
      <c r="M526" s="343">
        <v>0</v>
      </c>
      <c r="N526" s="343">
        <v>0</v>
      </c>
      <c r="O526" s="343">
        <v>0</v>
      </c>
      <c r="P526" s="338"/>
      <c r="Q526" s="339" t="s">
        <v>36</v>
      </c>
      <c r="R526" s="339" t="s">
        <v>4154</v>
      </c>
      <c r="S526" s="341" t="s">
        <v>4299</v>
      </c>
      <c r="T526" s="338"/>
      <c r="U526" s="327"/>
      <c r="V526" s="327"/>
      <c r="W526" s="327"/>
      <c r="X526" s="327"/>
      <c r="Y526" s="327"/>
      <c r="Z526" s="330"/>
    </row>
    <row r="527" spans="1:26" ht="25" hidden="1">
      <c r="A527" s="339">
        <v>576</v>
      </c>
      <c r="B527" s="338" t="s">
        <v>3443</v>
      </c>
      <c r="C527" s="340">
        <v>42731</v>
      </c>
      <c r="D527" s="338" t="s">
        <v>4300</v>
      </c>
      <c r="E527" s="341" t="s">
        <v>4288</v>
      </c>
      <c r="F527" s="341" t="s">
        <v>4301</v>
      </c>
      <c r="G527" s="338" t="s">
        <v>248</v>
      </c>
      <c r="H527" s="339" t="s">
        <v>249</v>
      </c>
      <c r="I527" s="339">
        <v>1</v>
      </c>
      <c r="J527" s="342">
        <v>7097024</v>
      </c>
      <c r="K527" s="342">
        <v>7097024</v>
      </c>
      <c r="L527" s="342">
        <v>0</v>
      </c>
      <c r="M527" s="343">
        <v>0</v>
      </c>
      <c r="N527" s="343">
        <v>0</v>
      </c>
      <c r="O527" s="343">
        <v>0</v>
      </c>
      <c r="P527" s="338"/>
      <c r="Q527" s="339" t="s">
        <v>36</v>
      </c>
      <c r="R527" s="339" t="s">
        <v>1146</v>
      </c>
      <c r="S527" s="341" t="s">
        <v>4302</v>
      </c>
      <c r="T527" s="338"/>
      <c r="U527" s="327"/>
      <c r="V527" s="327"/>
      <c r="W527" s="327"/>
      <c r="X527" s="327"/>
      <c r="Y527" s="327"/>
      <c r="Z527" s="330"/>
    </row>
    <row r="528" spans="1:26" ht="25" hidden="1">
      <c r="A528" s="339">
        <v>577</v>
      </c>
      <c r="B528" s="338" t="s">
        <v>3443</v>
      </c>
      <c r="C528" s="340">
        <v>42731</v>
      </c>
      <c r="D528" s="338" t="s">
        <v>4303</v>
      </c>
      <c r="E528" s="341" t="s">
        <v>4288</v>
      </c>
      <c r="F528" s="341" t="s">
        <v>4304</v>
      </c>
      <c r="G528" s="338" t="s">
        <v>248</v>
      </c>
      <c r="H528" s="339" t="s">
        <v>249</v>
      </c>
      <c r="I528" s="339">
        <v>1</v>
      </c>
      <c r="J528" s="342">
        <v>7097024</v>
      </c>
      <c r="K528" s="342">
        <v>7097024</v>
      </c>
      <c r="L528" s="342">
        <v>0</v>
      </c>
      <c r="M528" s="343">
        <v>0</v>
      </c>
      <c r="N528" s="343">
        <v>0</v>
      </c>
      <c r="O528" s="343">
        <v>0</v>
      </c>
      <c r="P528" s="338"/>
      <c r="Q528" s="339" t="s">
        <v>36</v>
      </c>
      <c r="R528" s="339" t="s">
        <v>1146</v>
      </c>
      <c r="S528" s="341" t="s">
        <v>4305</v>
      </c>
      <c r="T528" s="338"/>
      <c r="U528" s="327"/>
      <c r="V528" s="327"/>
      <c r="W528" s="327"/>
      <c r="X528" s="327"/>
      <c r="Y528" s="327"/>
      <c r="Z528" s="330"/>
    </row>
    <row r="529" spans="1:26" ht="25" hidden="1">
      <c r="A529" s="339">
        <v>578</v>
      </c>
      <c r="B529" s="338" t="s">
        <v>3443</v>
      </c>
      <c r="C529" s="340">
        <v>42731</v>
      </c>
      <c r="D529" s="338" t="s">
        <v>4306</v>
      </c>
      <c r="E529" s="341" t="s">
        <v>4288</v>
      </c>
      <c r="F529" s="341" t="s">
        <v>4307</v>
      </c>
      <c r="G529" s="338" t="s">
        <v>248</v>
      </c>
      <c r="H529" s="339" t="s">
        <v>249</v>
      </c>
      <c r="I529" s="339">
        <v>1</v>
      </c>
      <c r="J529" s="342">
        <v>7097024</v>
      </c>
      <c r="K529" s="342">
        <v>7097024</v>
      </c>
      <c r="L529" s="342">
        <v>0</v>
      </c>
      <c r="M529" s="343">
        <v>0</v>
      </c>
      <c r="N529" s="343">
        <v>0</v>
      </c>
      <c r="O529" s="343">
        <v>0</v>
      </c>
      <c r="P529" s="338"/>
      <c r="Q529" s="339" t="s">
        <v>36</v>
      </c>
      <c r="R529" s="339" t="s">
        <v>4154</v>
      </c>
      <c r="S529" s="341" t="s">
        <v>4308</v>
      </c>
      <c r="T529" s="338"/>
      <c r="U529" s="327"/>
      <c r="V529" s="327"/>
      <c r="W529" s="327"/>
      <c r="X529" s="327"/>
      <c r="Y529" s="327"/>
      <c r="Z529" s="330"/>
    </row>
    <row r="530" spans="1:26" ht="25" hidden="1">
      <c r="A530" s="339">
        <v>579</v>
      </c>
      <c r="B530" s="338" t="s">
        <v>3443</v>
      </c>
      <c r="C530" s="340">
        <v>42731</v>
      </c>
      <c r="D530" s="338" t="s">
        <v>4309</v>
      </c>
      <c r="E530" s="341" t="s">
        <v>4288</v>
      </c>
      <c r="F530" s="341" t="s">
        <v>4310</v>
      </c>
      <c r="G530" s="338" t="s">
        <v>248</v>
      </c>
      <c r="H530" s="339" t="s">
        <v>249</v>
      </c>
      <c r="I530" s="339">
        <v>1</v>
      </c>
      <c r="J530" s="342">
        <v>7097024</v>
      </c>
      <c r="K530" s="342">
        <v>7097024</v>
      </c>
      <c r="L530" s="342">
        <v>0</v>
      </c>
      <c r="M530" s="343">
        <v>0</v>
      </c>
      <c r="N530" s="343">
        <v>0</v>
      </c>
      <c r="O530" s="343">
        <v>0</v>
      </c>
      <c r="P530" s="338"/>
      <c r="Q530" s="339" t="s">
        <v>36</v>
      </c>
      <c r="R530" s="339" t="s">
        <v>1146</v>
      </c>
      <c r="S530" s="341" t="s">
        <v>5094</v>
      </c>
      <c r="T530" s="338"/>
      <c r="U530" s="327"/>
      <c r="V530" s="327"/>
      <c r="W530" s="327"/>
      <c r="X530" s="327"/>
      <c r="Y530" s="327"/>
      <c r="Z530" s="330"/>
    </row>
    <row r="531" spans="1:26" ht="25" hidden="1">
      <c r="A531" s="339">
        <v>580</v>
      </c>
      <c r="B531" s="338" t="s">
        <v>3443</v>
      </c>
      <c r="C531" s="340">
        <v>42731</v>
      </c>
      <c r="D531" s="338" t="s">
        <v>4312</v>
      </c>
      <c r="E531" s="341" t="s">
        <v>4288</v>
      </c>
      <c r="F531" s="341" t="s">
        <v>4313</v>
      </c>
      <c r="G531" s="338" t="s">
        <v>248</v>
      </c>
      <c r="H531" s="339" t="s">
        <v>249</v>
      </c>
      <c r="I531" s="339">
        <v>1</v>
      </c>
      <c r="J531" s="342">
        <v>7097024</v>
      </c>
      <c r="K531" s="342">
        <v>7097024</v>
      </c>
      <c r="L531" s="342">
        <v>0</v>
      </c>
      <c r="M531" s="343">
        <v>0</v>
      </c>
      <c r="N531" s="343">
        <v>0</v>
      </c>
      <c r="O531" s="343">
        <v>0</v>
      </c>
      <c r="P531" s="338"/>
      <c r="Q531" s="339" t="s">
        <v>36</v>
      </c>
      <c r="R531" s="339" t="s">
        <v>1146</v>
      </c>
      <c r="S531" s="341" t="s">
        <v>4314</v>
      </c>
      <c r="T531" s="338"/>
      <c r="U531" s="327"/>
      <c r="V531" s="327"/>
      <c r="W531" s="327"/>
      <c r="X531" s="327"/>
      <c r="Y531" s="327"/>
      <c r="Z531" s="330"/>
    </row>
    <row r="532" spans="1:26" ht="25" hidden="1">
      <c r="A532" s="339">
        <v>581</v>
      </c>
      <c r="B532" s="338" t="s">
        <v>3443</v>
      </c>
      <c r="C532" s="340">
        <v>42731</v>
      </c>
      <c r="D532" s="338" t="s">
        <v>4315</v>
      </c>
      <c r="E532" s="341" t="s">
        <v>4288</v>
      </c>
      <c r="F532" s="341" t="s">
        <v>4316</v>
      </c>
      <c r="G532" s="338" t="s">
        <v>248</v>
      </c>
      <c r="H532" s="339" t="s">
        <v>249</v>
      </c>
      <c r="I532" s="339">
        <v>1</v>
      </c>
      <c r="J532" s="342">
        <v>7097024</v>
      </c>
      <c r="K532" s="342">
        <v>7097024</v>
      </c>
      <c r="L532" s="342">
        <v>0</v>
      </c>
      <c r="M532" s="343">
        <v>0</v>
      </c>
      <c r="N532" s="343">
        <v>0</v>
      </c>
      <c r="O532" s="343">
        <v>0</v>
      </c>
      <c r="P532" s="338"/>
      <c r="Q532" s="339" t="s">
        <v>36</v>
      </c>
      <c r="R532" s="339" t="s">
        <v>4154</v>
      </c>
      <c r="S532" s="341" t="s">
        <v>4317</v>
      </c>
      <c r="T532" s="338"/>
      <c r="U532" s="327"/>
      <c r="V532" s="327"/>
      <c r="W532" s="327"/>
      <c r="X532" s="327"/>
      <c r="Y532" s="327"/>
      <c r="Z532" s="330"/>
    </row>
    <row r="533" spans="1:26" ht="37.5" hidden="1">
      <c r="A533" s="339">
        <v>582</v>
      </c>
      <c r="B533" s="338" t="s">
        <v>3456</v>
      </c>
      <c r="C533" s="340">
        <v>42731</v>
      </c>
      <c r="D533" s="338" t="s">
        <v>4318</v>
      </c>
      <c r="E533" s="341" t="s">
        <v>4319</v>
      </c>
      <c r="F533" s="341" t="s">
        <v>4320</v>
      </c>
      <c r="G533" s="338" t="s">
        <v>248</v>
      </c>
      <c r="H533" s="339" t="s">
        <v>19</v>
      </c>
      <c r="I533" s="339">
        <v>1</v>
      </c>
      <c r="J533" s="342">
        <v>20000000</v>
      </c>
      <c r="K533" s="342">
        <v>20000000</v>
      </c>
      <c r="L533" s="342">
        <v>0</v>
      </c>
      <c r="M533" s="343">
        <v>0</v>
      </c>
      <c r="N533" s="343">
        <v>0</v>
      </c>
      <c r="O533" s="343">
        <v>0</v>
      </c>
      <c r="P533" s="338"/>
      <c r="Q533" s="339" t="s">
        <v>206</v>
      </c>
      <c r="R533" s="339" t="s">
        <v>2906</v>
      </c>
      <c r="S533" s="341" t="s">
        <v>4321</v>
      </c>
      <c r="T533" s="338"/>
      <c r="U533" s="327"/>
      <c r="V533" s="327"/>
      <c r="W533" s="327"/>
      <c r="X533" s="327"/>
      <c r="Y533" s="327"/>
      <c r="Z533" s="330"/>
    </row>
    <row r="534" spans="1:26" ht="37.5" hidden="1">
      <c r="A534" s="339">
        <v>583</v>
      </c>
      <c r="B534" s="338" t="s">
        <v>3456</v>
      </c>
      <c r="C534" s="340">
        <v>42731</v>
      </c>
      <c r="D534" s="338" t="s">
        <v>4322</v>
      </c>
      <c r="E534" s="341" t="s">
        <v>4319</v>
      </c>
      <c r="F534" s="341" t="s">
        <v>4323</v>
      </c>
      <c r="G534" s="338" t="s">
        <v>248</v>
      </c>
      <c r="H534" s="339" t="s">
        <v>19</v>
      </c>
      <c r="I534" s="339">
        <v>1</v>
      </c>
      <c r="J534" s="342">
        <v>20000000</v>
      </c>
      <c r="K534" s="342">
        <v>20000000</v>
      </c>
      <c r="L534" s="342">
        <v>0</v>
      </c>
      <c r="M534" s="343">
        <v>0</v>
      </c>
      <c r="N534" s="343">
        <v>0</v>
      </c>
      <c r="O534" s="343">
        <v>0</v>
      </c>
      <c r="P534" s="338"/>
      <c r="Q534" s="339" t="s">
        <v>206</v>
      </c>
      <c r="R534" s="339" t="s">
        <v>2906</v>
      </c>
      <c r="S534" s="341" t="s">
        <v>4324</v>
      </c>
      <c r="T534" s="338"/>
      <c r="U534" s="327"/>
      <c r="V534" s="327"/>
      <c r="W534" s="327"/>
      <c r="X534" s="327"/>
      <c r="Y534" s="327"/>
      <c r="Z534" s="330"/>
    </row>
    <row r="535" spans="1:26" ht="37.5" hidden="1">
      <c r="A535" s="339">
        <v>584</v>
      </c>
      <c r="B535" s="338" t="s">
        <v>3456</v>
      </c>
      <c r="C535" s="340">
        <v>42731</v>
      </c>
      <c r="D535" s="338" t="s">
        <v>4325</v>
      </c>
      <c r="E535" s="341" t="s">
        <v>4319</v>
      </c>
      <c r="F535" s="341" t="s">
        <v>4326</v>
      </c>
      <c r="G535" s="338" t="s">
        <v>248</v>
      </c>
      <c r="H535" s="339" t="s">
        <v>19</v>
      </c>
      <c r="I535" s="339">
        <v>1</v>
      </c>
      <c r="J535" s="342">
        <v>20000000</v>
      </c>
      <c r="K535" s="342">
        <v>20000000</v>
      </c>
      <c r="L535" s="342">
        <v>0</v>
      </c>
      <c r="M535" s="343">
        <v>0</v>
      </c>
      <c r="N535" s="343">
        <v>0</v>
      </c>
      <c r="O535" s="343">
        <v>0</v>
      </c>
      <c r="P535" s="338"/>
      <c r="Q535" s="339" t="s">
        <v>206</v>
      </c>
      <c r="R535" s="339" t="s">
        <v>2906</v>
      </c>
      <c r="S535" s="341" t="s">
        <v>4324</v>
      </c>
      <c r="T535" s="338"/>
      <c r="U535" s="327"/>
      <c r="V535" s="327"/>
      <c r="W535" s="327"/>
      <c r="X535" s="327"/>
      <c r="Y535" s="327"/>
      <c r="Z535" s="330"/>
    </row>
    <row r="536" spans="1:26" ht="37.5" hidden="1">
      <c r="A536" s="352">
        <v>585</v>
      </c>
      <c r="B536" s="353" t="s">
        <v>4327</v>
      </c>
      <c r="C536" s="354">
        <v>43991</v>
      </c>
      <c r="D536" s="338" t="s">
        <v>4328</v>
      </c>
      <c r="E536" s="355" t="s">
        <v>4329</v>
      </c>
      <c r="F536" s="355" t="s">
        <v>5095</v>
      </c>
      <c r="G536" s="353" t="s">
        <v>45</v>
      </c>
      <c r="H536" s="352" t="s">
        <v>249</v>
      </c>
      <c r="I536" s="352">
        <v>1</v>
      </c>
      <c r="J536" s="356">
        <v>17090909</v>
      </c>
      <c r="K536" s="356">
        <v>17090909</v>
      </c>
      <c r="L536" s="356">
        <v>17090909</v>
      </c>
      <c r="M536" s="357">
        <v>33</v>
      </c>
      <c r="N536" s="357">
        <v>5696970</v>
      </c>
      <c r="O536" s="357">
        <v>11393939</v>
      </c>
      <c r="P536" s="353"/>
      <c r="Q536" s="352" t="s">
        <v>206</v>
      </c>
      <c r="R536" s="352" t="s">
        <v>3635</v>
      </c>
      <c r="S536" s="353"/>
      <c r="T536" s="327"/>
      <c r="U536" s="327"/>
      <c r="V536" s="327"/>
      <c r="W536" s="327"/>
      <c r="X536" s="327"/>
      <c r="Y536" s="327"/>
      <c r="Z536" s="330"/>
    </row>
    <row r="537" spans="1:26" ht="12.5" hidden="1">
      <c r="A537" s="352">
        <v>586</v>
      </c>
      <c r="B537" s="353" t="s">
        <v>4330</v>
      </c>
      <c r="C537" s="354">
        <v>43992</v>
      </c>
      <c r="D537" s="338" t="s">
        <v>4331</v>
      </c>
      <c r="E537" s="355" t="s">
        <v>4332</v>
      </c>
      <c r="F537" s="353"/>
      <c r="G537" s="353" t="s">
        <v>35</v>
      </c>
      <c r="H537" s="352" t="s">
        <v>249</v>
      </c>
      <c r="I537" s="352">
        <v>1</v>
      </c>
      <c r="J537" s="356">
        <v>3400000</v>
      </c>
      <c r="K537" s="356">
        <v>3400000</v>
      </c>
      <c r="L537" s="356">
        <v>3400000</v>
      </c>
      <c r="M537" s="357">
        <v>100</v>
      </c>
      <c r="N537" s="357">
        <v>3400000</v>
      </c>
      <c r="O537" s="357">
        <v>0</v>
      </c>
      <c r="P537" s="353"/>
      <c r="Q537" s="352" t="s">
        <v>888</v>
      </c>
      <c r="R537" s="352" t="s">
        <v>888</v>
      </c>
      <c r="S537" s="355" t="s">
        <v>3861</v>
      </c>
      <c r="T537" s="327"/>
      <c r="U537" s="327"/>
      <c r="V537" s="327"/>
      <c r="W537" s="327"/>
      <c r="X537" s="327"/>
      <c r="Y537" s="327"/>
      <c r="Z537" s="330"/>
    </row>
    <row r="538" spans="1:26" ht="62.5" hidden="1">
      <c r="A538" s="339">
        <v>587</v>
      </c>
      <c r="B538" s="338" t="s">
        <v>4333</v>
      </c>
      <c r="C538" s="340">
        <v>44061</v>
      </c>
      <c r="D538" s="338" t="s">
        <v>4334</v>
      </c>
      <c r="E538" s="341" t="s">
        <v>4335</v>
      </c>
      <c r="F538" s="341" t="s">
        <v>4336</v>
      </c>
      <c r="G538" s="338" t="s">
        <v>248</v>
      </c>
      <c r="H538" s="339" t="s">
        <v>19</v>
      </c>
      <c r="I538" s="339">
        <v>1</v>
      </c>
      <c r="J538" s="342">
        <v>16913500</v>
      </c>
      <c r="K538" s="342">
        <v>16913500</v>
      </c>
      <c r="L538" s="342">
        <v>16913500</v>
      </c>
      <c r="M538" s="343">
        <v>33</v>
      </c>
      <c r="N538" s="343">
        <v>5637833</v>
      </c>
      <c r="O538" s="343">
        <v>11275667</v>
      </c>
      <c r="P538" s="338"/>
      <c r="Q538" s="339" t="s">
        <v>36</v>
      </c>
      <c r="R538" s="339" t="s">
        <v>37</v>
      </c>
      <c r="S538" s="338"/>
      <c r="T538" s="327"/>
      <c r="U538" s="327"/>
      <c r="V538" s="327"/>
      <c r="W538" s="327"/>
      <c r="X538" s="327"/>
      <c r="Y538" s="327"/>
      <c r="Z538" s="330"/>
    </row>
    <row r="539" spans="1:26" ht="62.5" hidden="1">
      <c r="A539" s="352">
        <v>588</v>
      </c>
      <c r="B539" s="353" t="s">
        <v>4333</v>
      </c>
      <c r="C539" s="354">
        <v>44061</v>
      </c>
      <c r="D539" s="338" t="s">
        <v>4337</v>
      </c>
      <c r="E539" s="355" t="s">
        <v>4335</v>
      </c>
      <c r="F539" s="355" t="s">
        <v>4338</v>
      </c>
      <c r="G539" s="353" t="s">
        <v>248</v>
      </c>
      <c r="H539" s="352" t="s">
        <v>19</v>
      </c>
      <c r="I539" s="352">
        <v>1</v>
      </c>
      <c r="J539" s="356">
        <v>16913500</v>
      </c>
      <c r="K539" s="356">
        <v>16913500</v>
      </c>
      <c r="L539" s="356">
        <v>16913500</v>
      </c>
      <c r="M539" s="357">
        <v>33</v>
      </c>
      <c r="N539" s="357">
        <v>5637833</v>
      </c>
      <c r="O539" s="357">
        <v>11275667</v>
      </c>
      <c r="P539" s="353"/>
      <c r="Q539" s="352" t="s">
        <v>4339</v>
      </c>
      <c r="R539" s="352" t="s">
        <v>4340</v>
      </c>
      <c r="S539" s="355" t="s">
        <v>1197</v>
      </c>
      <c r="T539" s="327"/>
      <c r="U539" s="327"/>
      <c r="V539" s="327"/>
      <c r="W539" s="327"/>
      <c r="X539" s="327"/>
      <c r="Y539" s="327"/>
      <c r="Z539" s="330"/>
    </row>
    <row r="540" spans="1:26" ht="62.5" hidden="1">
      <c r="A540" s="352">
        <v>589</v>
      </c>
      <c r="B540" s="353" t="s">
        <v>4333</v>
      </c>
      <c r="C540" s="354">
        <v>44061</v>
      </c>
      <c r="D540" s="338" t="s">
        <v>4341</v>
      </c>
      <c r="E540" s="355" t="s">
        <v>4335</v>
      </c>
      <c r="F540" s="355" t="s">
        <v>4342</v>
      </c>
      <c r="G540" s="353" t="s">
        <v>248</v>
      </c>
      <c r="H540" s="352" t="s">
        <v>19</v>
      </c>
      <c r="I540" s="352">
        <v>1</v>
      </c>
      <c r="J540" s="356">
        <v>16913500</v>
      </c>
      <c r="K540" s="356">
        <v>16913500</v>
      </c>
      <c r="L540" s="356">
        <v>16913500</v>
      </c>
      <c r="M540" s="357">
        <v>33</v>
      </c>
      <c r="N540" s="357">
        <v>5637833</v>
      </c>
      <c r="O540" s="357">
        <v>11275667</v>
      </c>
      <c r="P540" s="353"/>
      <c r="Q540" s="352" t="s">
        <v>206</v>
      </c>
      <c r="R540" s="352" t="s">
        <v>3635</v>
      </c>
      <c r="S540" s="355" t="s">
        <v>206</v>
      </c>
      <c r="T540" s="327"/>
      <c r="U540" s="327"/>
      <c r="V540" s="327"/>
      <c r="W540" s="327"/>
      <c r="X540" s="327"/>
      <c r="Y540" s="327"/>
      <c r="Z540" s="330"/>
    </row>
    <row r="541" spans="1:26" ht="62.5" hidden="1">
      <c r="A541" s="352">
        <v>590</v>
      </c>
      <c r="B541" s="353" t="s">
        <v>4333</v>
      </c>
      <c r="C541" s="354">
        <v>44061</v>
      </c>
      <c r="D541" s="338" t="s">
        <v>4343</v>
      </c>
      <c r="E541" s="355" t="s">
        <v>4335</v>
      </c>
      <c r="F541" s="355" t="s">
        <v>4344</v>
      </c>
      <c r="G541" s="353" t="s">
        <v>248</v>
      </c>
      <c r="H541" s="352" t="s">
        <v>19</v>
      </c>
      <c r="I541" s="352">
        <v>1</v>
      </c>
      <c r="J541" s="356">
        <v>16913500</v>
      </c>
      <c r="K541" s="356">
        <v>16913500</v>
      </c>
      <c r="L541" s="356">
        <v>16913500</v>
      </c>
      <c r="M541" s="357">
        <v>33</v>
      </c>
      <c r="N541" s="357">
        <v>5637833</v>
      </c>
      <c r="O541" s="357">
        <v>11275667</v>
      </c>
      <c r="P541" s="353"/>
      <c r="Q541" s="352" t="s">
        <v>206</v>
      </c>
      <c r="R541" s="352" t="s">
        <v>3635</v>
      </c>
      <c r="S541" s="355" t="s">
        <v>206</v>
      </c>
      <c r="T541" s="327"/>
      <c r="U541" s="327"/>
      <c r="V541" s="327"/>
      <c r="W541" s="327"/>
      <c r="X541" s="327"/>
      <c r="Y541" s="327"/>
      <c r="Z541" s="330"/>
    </row>
    <row r="542" spans="1:26" ht="62.5" hidden="1">
      <c r="A542" s="339">
        <v>591</v>
      </c>
      <c r="B542" s="338" t="s">
        <v>4333</v>
      </c>
      <c r="C542" s="340">
        <v>44061</v>
      </c>
      <c r="D542" s="338" t="s">
        <v>4345</v>
      </c>
      <c r="E542" s="341" t="s">
        <v>4335</v>
      </c>
      <c r="F542" s="341" t="s">
        <v>4346</v>
      </c>
      <c r="G542" s="338" t="s">
        <v>248</v>
      </c>
      <c r="H542" s="339" t="s">
        <v>19</v>
      </c>
      <c r="I542" s="339">
        <v>1</v>
      </c>
      <c r="J542" s="342">
        <v>16913500</v>
      </c>
      <c r="K542" s="342">
        <v>16913500</v>
      </c>
      <c r="L542" s="342">
        <v>16913500</v>
      </c>
      <c r="M542" s="343">
        <v>33</v>
      </c>
      <c r="N542" s="343">
        <v>5637833</v>
      </c>
      <c r="O542" s="343">
        <v>11275667</v>
      </c>
      <c r="P542" s="338"/>
      <c r="Q542" s="339" t="s">
        <v>36</v>
      </c>
      <c r="R542" s="339" t="s">
        <v>37</v>
      </c>
      <c r="S542" s="338"/>
      <c r="T542" s="327"/>
      <c r="U542" s="327"/>
      <c r="V542" s="327"/>
      <c r="W542" s="327"/>
      <c r="X542" s="327"/>
      <c r="Y542" s="327"/>
      <c r="Z542" s="330"/>
    </row>
    <row r="543" spans="1:26" ht="12.5" hidden="1">
      <c r="A543" s="339">
        <v>592</v>
      </c>
      <c r="B543" s="338" t="s">
        <v>4347</v>
      </c>
      <c r="C543" s="340">
        <v>44196</v>
      </c>
      <c r="D543" s="338" t="s">
        <v>4348</v>
      </c>
      <c r="E543" s="341" t="s">
        <v>4349</v>
      </c>
      <c r="F543" s="338"/>
      <c r="G543" s="338"/>
      <c r="H543" s="339" t="s">
        <v>249</v>
      </c>
      <c r="I543" s="339">
        <v>1</v>
      </c>
      <c r="J543" s="342">
        <v>800000</v>
      </c>
      <c r="K543" s="342">
        <v>800000</v>
      </c>
      <c r="L543" s="342">
        <v>800000</v>
      </c>
      <c r="M543" s="343">
        <v>100</v>
      </c>
      <c r="N543" s="343">
        <v>800000</v>
      </c>
      <c r="O543" s="343">
        <v>0</v>
      </c>
      <c r="P543" s="338"/>
      <c r="Q543" s="339" t="s">
        <v>20</v>
      </c>
      <c r="R543" s="339" t="s">
        <v>229</v>
      </c>
      <c r="S543" s="341" t="str">
        <f>IFERROR(VLOOKUP(D543, CCDC_XUAN!$D$16:$S$693, 16, 0), "Không tìm thấy")</f>
        <v>A1: ghế MC</v>
      </c>
      <c r="T543" s="327"/>
      <c r="U543" s="327"/>
      <c r="V543" s="327"/>
      <c r="W543" s="327"/>
      <c r="X543" s="327"/>
      <c r="Y543" s="327"/>
      <c r="Z543" s="330"/>
    </row>
    <row r="544" spans="1:26" ht="12.5" hidden="1">
      <c r="A544" s="339">
        <v>593</v>
      </c>
      <c r="B544" s="338" t="s">
        <v>4347</v>
      </c>
      <c r="C544" s="340">
        <v>44196</v>
      </c>
      <c r="D544" s="338" t="s">
        <v>4351</v>
      </c>
      <c r="E544" s="341" t="s">
        <v>4349</v>
      </c>
      <c r="F544" s="338"/>
      <c r="G544" s="338"/>
      <c r="H544" s="339" t="s">
        <v>249</v>
      </c>
      <c r="I544" s="339">
        <v>1</v>
      </c>
      <c r="J544" s="342">
        <v>800000</v>
      </c>
      <c r="K544" s="342">
        <v>800000</v>
      </c>
      <c r="L544" s="342">
        <v>800000</v>
      </c>
      <c r="M544" s="343">
        <v>100</v>
      </c>
      <c r="N544" s="343">
        <v>800000</v>
      </c>
      <c r="O544" s="343">
        <v>0</v>
      </c>
      <c r="P544" s="338"/>
      <c r="Q544" s="339" t="s">
        <v>20</v>
      </c>
      <c r="R544" s="339" t="s">
        <v>229</v>
      </c>
      <c r="S544" s="341" t="str">
        <f>IFERROR(VLOOKUP(D544, CCDC_XUAN!$D$16:$S$693, 16, 0), "Không tìm thấy")</f>
        <v>F1: ghế MC</v>
      </c>
      <c r="T544" s="327"/>
      <c r="U544" s="327"/>
      <c r="V544" s="327"/>
      <c r="W544" s="327"/>
      <c r="X544" s="327"/>
      <c r="Y544" s="327"/>
      <c r="Z544" s="330"/>
    </row>
    <row r="545" spans="1:26" ht="12.5" hidden="1">
      <c r="A545" s="339">
        <v>594</v>
      </c>
      <c r="B545" s="338" t="s">
        <v>4347</v>
      </c>
      <c r="C545" s="340">
        <v>44196</v>
      </c>
      <c r="D545" s="338" t="s">
        <v>4353</v>
      </c>
      <c r="E545" s="341" t="s">
        <v>4349</v>
      </c>
      <c r="F545" s="338"/>
      <c r="G545" s="338"/>
      <c r="H545" s="339" t="s">
        <v>249</v>
      </c>
      <c r="I545" s="339">
        <v>1</v>
      </c>
      <c r="J545" s="342">
        <v>800000</v>
      </c>
      <c r="K545" s="342">
        <v>800000</v>
      </c>
      <c r="L545" s="342">
        <v>800000</v>
      </c>
      <c r="M545" s="343">
        <v>100</v>
      </c>
      <c r="N545" s="343">
        <v>800000</v>
      </c>
      <c r="O545" s="343">
        <v>0</v>
      </c>
      <c r="P545" s="338"/>
      <c r="Q545" s="339" t="s">
        <v>20</v>
      </c>
      <c r="R545" s="339" t="s">
        <v>229</v>
      </c>
      <c r="S545" s="341" t="str">
        <f>IFERROR(VLOOKUP(D545, CCDC_XUAN!$D$16:$S$693, 16, 0), "Không tìm thấy")</f>
        <v>F1: ghế MC</v>
      </c>
      <c r="T545" s="327"/>
      <c r="U545" s="327"/>
      <c r="V545" s="327"/>
      <c r="W545" s="327"/>
      <c r="X545" s="327"/>
      <c r="Y545" s="327"/>
      <c r="Z545" s="330"/>
    </row>
    <row r="546" spans="1:26" ht="25" hidden="1">
      <c r="A546" s="339">
        <v>595</v>
      </c>
      <c r="B546" s="338" t="s">
        <v>4347</v>
      </c>
      <c r="C546" s="340">
        <v>44196</v>
      </c>
      <c r="D546" s="338" t="s">
        <v>4354</v>
      </c>
      <c r="E546" s="341" t="s">
        <v>4355</v>
      </c>
      <c r="F546" s="338"/>
      <c r="G546" s="338"/>
      <c r="H546" s="339" t="s">
        <v>249</v>
      </c>
      <c r="I546" s="339">
        <v>1</v>
      </c>
      <c r="J546" s="342">
        <v>1100000</v>
      </c>
      <c r="K546" s="342">
        <v>1100000</v>
      </c>
      <c r="L546" s="342">
        <v>1100000</v>
      </c>
      <c r="M546" s="343">
        <v>100</v>
      </c>
      <c r="N546" s="343">
        <v>1100000</v>
      </c>
      <c r="O546" s="343">
        <v>0</v>
      </c>
      <c r="P546" s="338"/>
      <c r="Q546" s="339" t="s">
        <v>20</v>
      </c>
      <c r="R546" s="339" t="s">
        <v>229</v>
      </c>
      <c r="S546" s="341" t="str">
        <f>IFERROR(VLOOKUP(D546, CCDC_XUAN!$D$16:$S$693, 16, 0), "Không tìm thấy")</f>
        <v>F1: ghế Đạo diễn - Âm thanh, mất bánh xe</v>
      </c>
      <c r="T546" s="327"/>
      <c r="U546" s="327"/>
      <c r="V546" s="327"/>
      <c r="W546" s="327"/>
      <c r="X546" s="327"/>
      <c r="Y546" s="327"/>
      <c r="Z546" s="330"/>
    </row>
    <row r="547" spans="1:26" ht="25" hidden="1">
      <c r="A547" s="339">
        <v>596</v>
      </c>
      <c r="B547" s="338" t="s">
        <v>4347</v>
      </c>
      <c r="C547" s="340">
        <v>44196</v>
      </c>
      <c r="D547" s="338" t="s">
        <v>4357</v>
      </c>
      <c r="E547" s="341" t="s">
        <v>4355</v>
      </c>
      <c r="F547" s="338"/>
      <c r="G547" s="338"/>
      <c r="H547" s="339" t="s">
        <v>249</v>
      </c>
      <c r="I547" s="339">
        <v>1</v>
      </c>
      <c r="J547" s="342">
        <v>1100000</v>
      </c>
      <c r="K547" s="342">
        <v>1100000</v>
      </c>
      <c r="L547" s="342">
        <v>1100000</v>
      </c>
      <c r="M547" s="343">
        <v>100</v>
      </c>
      <c r="N547" s="343">
        <v>1100000</v>
      </c>
      <c r="O547" s="343">
        <v>0</v>
      </c>
      <c r="P547" s="338"/>
      <c r="Q547" s="339" t="s">
        <v>20</v>
      </c>
      <c r="R547" s="339" t="s">
        <v>229</v>
      </c>
      <c r="S547" s="341" t="str">
        <f>IFERROR(VLOOKUP(D547, CCDC_XUAN!$D$16:$S$693, 16, 0), "Không tìm thấy")</f>
        <v>pHTKT-CQ: ghế Đạo diễn - Âm thanh</v>
      </c>
      <c r="T547" s="327"/>
      <c r="U547" s="327"/>
      <c r="V547" s="327"/>
      <c r="W547" s="327"/>
      <c r="X547" s="327"/>
      <c r="Y547" s="327"/>
      <c r="Z547" s="330"/>
    </row>
    <row r="548" spans="1:26" ht="25" hidden="1">
      <c r="A548" s="339">
        <v>597</v>
      </c>
      <c r="B548" s="338" t="s">
        <v>4347</v>
      </c>
      <c r="C548" s="340">
        <v>44196</v>
      </c>
      <c r="D548" s="338" t="s">
        <v>4359</v>
      </c>
      <c r="E548" s="341" t="s">
        <v>4355</v>
      </c>
      <c r="F548" s="338"/>
      <c r="G548" s="338"/>
      <c r="H548" s="339" t="s">
        <v>249</v>
      </c>
      <c r="I548" s="339">
        <v>1</v>
      </c>
      <c r="J548" s="342">
        <v>1100000</v>
      </c>
      <c r="K548" s="342">
        <v>1100000</v>
      </c>
      <c r="L548" s="342">
        <v>1100000</v>
      </c>
      <c r="M548" s="343">
        <v>100</v>
      </c>
      <c r="N548" s="343">
        <v>1100000</v>
      </c>
      <c r="O548" s="343">
        <v>0</v>
      </c>
      <c r="P548" s="338"/>
      <c r="Q548" s="339" t="s">
        <v>20</v>
      </c>
      <c r="R548" s="339" t="s">
        <v>229</v>
      </c>
      <c r="S548" s="341" t="str">
        <f>IFERROR(VLOOKUP(D548, CCDC_XUAN!$D$16:$S$693, 16, 0), "Không tìm thấy")</f>
        <v>F1: ghế Đạo diễn - Âm thanh</v>
      </c>
      <c r="T548" s="327"/>
      <c r="U548" s="327"/>
      <c r="V548" s="327"/>
      <c r="W548" s="327"/>
      <c r="X548" s="327"/>
      <c r="Y548" s="327"/>
      <c r="Z548" s="330"/>
    </row>
    <row r="549" spans="1:26" ht="25" hidden="1">
      <c r="A549" s="339">
        <v>598</v>
      </c>
      <c r="B549" s="338" t="s">
        <v>4347</v>
      </c>
      <c r="C549" s="340">
        <v>44196</v>
      </c>
      <c r="D549" s="338" t="s">
        <v>4361</v>
      </c>
      <c r="E549" s="341" t="s">
        <v>4355</v>
      </c>
      <c r="F549" s="338"/>
      <c r="G549" s="338"/>
      <c r="H549" s="339" t="s">
        <v>249</v>
      </c>
      <c r="I549" s="339">
        <v>1</v>
      </c>
      <c r="J549" s="342">
        <v>1100000</v>
      </c>
      <c r="K549" s="342">
        <v>1100000</v>
      </c>
      <c r="L549" s="342">
        <v>1100000</v>
      </c>
      <c r="M549" s="343">
        <v>100</v>
      </c>
      <c r="N549" s="343">
        <v>1100000</v>
      </c>
      <c r="O549" s="343">
        <v>0</v>
      </c>
      <c r="P549" s="338"/>
      <c r="Q549" s="339" t="s">
        <v>20</v>
      </c>
      <c r="R549" s="339" t="s">
        <v>229</v>
      </c>
      <c r="S549" s="341" t="str">
        <f>IFERROR(VLOOKUP(D549, CCDC_XUAN!$D$16:$S$693, 16, 0), "Không tìm thấy")</f>
        <v>pHTKT-Quân: ghế Đạo diễn - Âm thanh</v>
      </c>
      <c r="T549" s="327"/>
      <c r="U549" s="327"/>
      <c r="V549" s="327"/>
      <c r="W549" s="327"/>
      <c r="X549" s="327"/>
      <c r="Y549" s="327"/>
      <c r="Z549" s="330"/>
    </row>
    <row r="550" spans="1:26" ht="25" hidden="1">
      <c r="A550" s="339">
        <v>599</v>
      </c>
      <c r="B550" s="338" t="s">
        <v>4347</v>
      </c>
      <c r="C550" s="340">
        <v>44196</v>
      </c>
      <c r="D550" s="338" t="s">
        <v>4363</v>
      </c>
      <c r="E550" s="341" t="s">
        <v>4355</v>
      </c>
      <c r="F550" s="338"/>
      <c r="G550" s="338"/>
      <c r="H550" s="339" t="s">
        <v>249</v>
      </c>
      <c r="I550" s="339">
        <v>1</v>
      </c>
      <c r="J550" s="342">
        <v>1100000</v>
      </c>
      <c r="K550" s="342">
        <v>1100000</v>
      </c>
      <c r="L550" s="342">
        <v>1100000</v>
      </c>
      <c r="M550" s="343">
        <v>100</v>
      </c>
      <c r="N550" s="343">
        <v>1100000</v>
      </c>
      <c r="O550" s="343">
        <v>0</v>
      </c>
      <c r="P550" s="338"/>
      <c r="Q550" s="339" t="s">
        <v>20</v>
      </c>
      <c r="R550" s="339" t="s">
        <v>229</v>
      </c>
      <c r="S550" s="341" t="str">
        <f>IFERROR(VLOOKUP(D550, CCDC_XUAN!$D$16:$S$693, 16, 0), "Không tìm thấy")</f>
        <v>A1: ghế Đạo diễn - Âm thanh</v>
      </c>
      <c r="T550" s="327"/>
      <c r="U550" s="327"/>
      <c r="V550" s="327"/>
      <c r="W550" s="327"/>
      <c r="X550" s="327"/>
      <c r="Y550" s="327"/>
      <c r="Z550" s="330"/>
    </row>
    <row r="551" spans="1:26" ht="25" hidden="1">
      <c r="A551" s="339">
        <v>600</v>
      </c>
      <c r="B551" s="338" t="s">
        <v>4347</v>
      </c>
      <c r="C551" s="340">
        <v>44196</v>
      </c>
      <c r="D551" s="338" t="s">
        <v>4365</v>
      </c>
      <c r="E551" s="341" t="s">
        <v>4355</v>
      </c>
      <c r="F551" s="338"/>
      <c r="G551" s="338"/>
      <c r="H551" s="339" t="s">
        <v>249</v>
      </c>
      <c r="I551" s="339">
        <v>1</v>
      </c>
      <c r="J551" s="342">
        <v>1100000</v>
      </c>
      <c r="K551" s="342">
        <v>1100000</v>
      </c>
      <c r="L551" s="342">
        <v>1100000</v>
      </c>
      <c r="M551" s="343">
        <v>100</v>
      </c>
      <c r="N551" s="343">
        <v>1100000</v>
      </c>
      <c r="O551" s="343">
        <v>0</v>
      </c>
      <c r="P551" s="338"/>
      <c r="Q551" s="339" t="s">
        <v>20</v>
      </c>
      <c r="R551" s="339" t="s">
        <v>229</v>
      </c>
      <c r="S551" s="341" t="str">
        <f>IFERROR(VLOOKUP(D551, CCDC_XUAN!$D$16:$S$693, 16, 0), "Không tìm thấy")</f>
        <v>A1: ghế Đạo diễn - Âm thanh</v>
      </c>
      <c r="T551" s="327"/>
      <c r="U551" s="327"/>
      <c r="V551" s="327"/>
      <c r="W551" s="327"/>
      <c r="X551" s="327"/>
      <c r="Y551" s="327"/>
      <c r="Z551" s="330"/>
    </row>
    <row r="552" spans="1:26" ht="12.5" hidden="1">
      <c r="A552" s="339">
        <v>601</v>
      </c>
      <c r="B552" s="338" t="s">
        <v>4347</v>
      </c>
      <c r="C552" s="340">
        <v>44196</v>
      </c>
      <c r="D552" s="338" t="s">
        <v>4366</v>
      </c>
      <c r="E552" s="341" t="s">
        <v>4367</v>
      </c>
      <c r="F552" s="338"/>
      <c r="G552" s="338"/>
      <c r="H552" s="339" t="s">
        <v>249</v>
      </c>
      <c r="I552" s="339">
        <v>1</v>
      </c>
      <c r="J552" s="342">
        <v>700000</v>
      </c>
      <c r="K552" s="342">
        <v>700000</v>
      </c>
      <c r="L552" s="342">
        <v>700000</v>
      </c>
      <c r="M552" s="343">
        <v>100</v>
      </c>
      <c r="N552" s="343">
        <v>700000</v>
      </c>
      <c r="O552" s="343">
        <v>0</v>
      </c>
      <c r="P552" s="338"/>
      <c r="Q552" s="339" t="s">
        <v>20</v>
      </c>
      <c r="R552" s="339" t="s">
        <v>229</v>
      </c>
      <c r="S552" s="341" t="str">
        <f>IFERROR(VLOOKUP(D552, CCDC_XUAN!$D$16:$S$693, 16, 0), "Không tìm thấy")</f>
        <v>F1: ghế nhân viên</v>
      </c>
      <c r="T552" s="327"/>
      <c r="U552" s="327"/>
      <c r="V552" s="327"/>
      <c r="W552" s="327"/>
      <c r="X552" s="327"/>
      <c r="Y552" s="327"/>
      <c r="Z552" s="330"/>
    </row>
    <row r="553" spans="1:26" ht="12.5" hidden="1">
      <c r="A553" s="339">
        <v>602</v>
      </c>
      <c r="B553" s="338" t="s">
        <v>4347</v>
      </c>
      <c r="C553" s="340">
        <v>44196</v>
      </c>
      <c r="D553" s="338" t="s">
        <v>4369</v>
      </c>
      <c r="E553" s="341" t="s">
        <v>4367</v>
      </c>
      <c r="F553" s="338"/>
      <c r="G553" s="338"/>
      <c r="H553" s="339" t="s">
        <v>249</v>
      </c>
      <c r="I553" s="339">
        <v>1</v>
      </c>
      <c r="J553" s="342">
        <v>700000</v>
      </c>
      <c r="K553" s="342">
        <v>700000</v>
      </c>
      <c r="L553" s="342">
        <v>700000</v>
      </c>
      <c r="M553" s="343">
        <v>100</v>
      </c>
      <c r="N553" s="343">
        <v>700000</v>
      </c>
      <c r="O553" s="343">
        <v>0</v>
      </c>
      <c r="P553" s="338"/>
      <c r="Q553" s="339" t="s">
        <v>20</v>
      </c>
      <c r="R553" s="339" t="s">
        <v>229</v>
      </c>
      <c r="S553" s="341" t="str">
        <f>IFERROR(VLOOKUP(D553, CCDC_XUAN!$D$16:$S$693, 16, 0), "Không tìm thấy")</f>
        <v>F1: ghế nhân viên</v>
      </c>
      <c r="T553" s="327"/>
      <c r="U553" s="327"/>
      <c r="V553" s="327"/>
      <c r="W553" s="327"/>
      <c r="X553" s="327"/>
      <c r="Y553" s="327"/>
      <c r="Z553" s="330"/>
    </row>
    <row r="554" spans="1:26" ht="12.5" hidden="1">
      <c r="A554" s="339">
        <v>603</v>
      </c>
      <c r="B554" s="338" t="s">
        <v>4347</v>
      </c>
      <c r="C554" s="340">
        <v>44196</v>
      </c>
      <c r="D554" s="338" t="s">
        <v>4370</v>
      </c>
      <c r="E554" s="341" t="s">
        <v>4367</v>
      </c>
      <c r="F554" s="338"/>
      <c r="G554" s="338"/>
      <c r="H554" s="339" t="s">
        <v>249</v>
      </c>
      <c r="I554" s="339">
        <v>1</v>
      </c>
      <c r="J554" s="342">
        <v>700000</v>
      </c>
      <c r="K554" s="342">
        <v>700000</v>
      </c>
      <c r="L554" s="342">
        <v>700000</v>
      </c>
      <c r="M554" s="343">
        <v>100</v>
      </c>
      <c r="N554" s="343">
        <v>700000</v>
      </c>
      <c r="O554" s="343">
        <v>0</v>
      </c>
      <c r="P554" s="338"/>
      <c r="Q554" s="339" t="s">
        <v>20</v>
      </c>
      <c r="R554" s="339" t="s">
        <v>229</v>
      </c>
      <c r="S554" s="341" t="str">
        <f>IFERROR(VLOOKUP(D554, CCDC_XUAN!$D$16:$S$693, 16, 0), "Không tìm thấy")</f>
        <v>A2 control: ghế nhân viên</v>
      </c>
      <c r="T554" s="327"/>
      <c r="U554" s="327"/>
      <c r="V554" s="327"/>
      <c r="W554" s="327"/>
      <c r="X554" s="327"/>
      <c r="Y554" s="327"/>
      <c r="Z554" s="330"/>
    </row>
    <row r="555" spans="1:26" ht="12.5" hidden="1">
      <c r="A555" s="339">
        <v>604</v>
      </c>
      <c r="B555" s="338" t="s">
        <v>4347</v>
      </c>
      <c r="C555" s="340">
        <v>44196</v>
      </c>
      <c r="D555" s="338" t="s">
        <v>4372</v>
      </c>
      <c r="E555" s="341" t="s">
        <v>4367</v>
      </c>
      <c r="F555" s="338"/>
      <c r="G555" s="338"/>
      <c r="H555" s="339" t="s">
        <v>249</v>
      </c>
      <c r="I555" s="339">
        <v>1</v>
      </c>
      <c r="J555" s="342">
        <v>700000</v>
      </c>
      <c r="K555" s="342">
        <v>700000</v>
      </c>
      <c r="L555" s="342">
        <v>700000</v>
      </c>
      <c r="M555" s="343">
        <v>100</v>
      </c>
      <c r="N555" s="343">
        <v>700000</v>
      </c>
      <c r="O555" s="343">
        <v>0</v>
      </c>
      <c r="P555" s="338"/>
      <c r="Q555" s="339" t="s">
        <v>20</v>
      </c>
      <c r="R555" s="339" t="s">
        <v>229</v>
      </c>
      <c r="S555" s="341" t="str">
        <f>IFERROR(VLOOKUP(D555, CCDC_XUAN!$D$16:$S$693, 16, 0), "Không tìm thấy")</f>
        <v>A1l: ghế nhân viên</v>
      </c>
      <c r="T555" s="327"/>
      <c r="U555" s="327"/>
      <c r="V555" s="327"/>
      <c r="W555" s="327"/>
      <c r="X555" s="327"/>
      <c r="Y555" s="327"/>
      <c r="Z555" s="330"/>
    </row>
    <row r="556" spans="1:26" ht="12.5" hidden="1">
      <c r="A556" s="339">
        <v>605</v>
      </c>
      <c r="B556" s="338" t="s">
        <v>4347</v>
      </c>
      <c r="C556" s="340">
        <v>44196</v>
      </c>
      <c r="D556" s="338" t="s">
        <v>4374</v>
      </c>
      <c r="E556" s="341" t="s">
        <v>4367</v>
      </c>
      <c r="F556" s="338"/>
      <c r="G556" s="338"/>
      <c r="H556" s="339" t="s">
        <v>249</v>
      </c>
      <c r="I556" s="339">
        <v>1</v>
      </c>
      <c r="J556" s="342">
        <v>700000</v>
      </c>
      <c r="K556" s="342">
        <v>700000</v>
      </c>
      <c r="L556" s="342">
        <v>700000</v>
      </c>
      <c r="M556" s="343">
        <v>100</v>
      </c>
      <c r="N556" s="343">
        <v>700000</v>
      </c>
      <c r="O556" s="343">
        <v>0</v>
      </c>
      <c r="P556" s="338"/>
      <c r="Q556" s="339" t="s">
        <v>20</v>
      </c>
      <c r="R556" s="339" t="s">
        <v>229</v>
      </c>
      <c r="S556" s="341" t="str">
        <f>IFERROR(VLOOKUP(D556, CCDC_XUAN!$D$16:$S$693, 16, 0), "Không tìm thấy")</f>
        <v>A1: ghế nhân viên</v>
      </c>
      <c r="T556" s="327"/>
      <c r="U556" s="327"/>
      <c r="V556" s="327"/>
      <c r="W556" s="327"/>
      <c r="X556" s="327"/>
      <c r="Y556" s="327"/>
      <c r="Z556" s="330"/>
    </row>
    <row r="557" spans="1:26" ht="12.5" hidden="1">
      <c r="A557" s="339">
        <v>606</v>
      </c>
      <c r="B557" s="338" t="s">
        <v>4347</v>
      </c>
      <c r="C557" s="340">
        <v>44196</v>
      </c>
      <c r="D557" s="338" t="s">
        <v>4376</v>
      </c>
      <c r="E557" s="341" t="s">
        <v>4367</v>
      </c>
      <c r="F557" s="338"/>
      <c r="G557" s="338"/>
      <c r="H557" s="339" t="s">
        <v>249</v>
      </c>
      <c r="I557" s="339">
        <v>1</v>
      </c>
      <c r="J557" s="342">
        <v>700000</v>
      </c>
      <c r="K557" s="342">
        <v>700000</v>
      </c>
      <c r="L557" s="342">
        <v>700000</v>
      </c>
      <c r="M557" s="343">
        <v>100</v>
      </c>
      <c r="N557" s="343">
        <v>700000</v>
      </c>
      <c r="O557" s="343">
        <v>0</v>
      </c>
      <c r="P557" s="338"/>
      <c r="Q557" s="339" t="s">
        <v>20</v>
      </c>
      <c r="R557" s="339" t="s">
        <v>229</v>
      </c>
      <c r="S557" s="341" t="str">
        <f>IFERROR(VLOOKUP(D557, CCDC_XUAN!$D$16:$S$693, 16, 0), "Không tìm thấy")</f>
        <v>A1: ghế nhân viên</v>
      </c>
      <c r="T557" s="327"/>
      <c r="U557" s="327"/>
      <c r="V557" s="327"/>
      <c r="W557" s="327"/>
      <c r="X557" s="327"/>
      <c r="Y557" s="327"/>
      <c r="Z557" s="330"/>
    </row>
    <row r="558" spans="1:26" ht="12.5" hidden="1">
      <c r="A558" s="339">
        <v>607</v>
      </c>
      <c r="B558" s="338" t="s">
        <v>4347</v>
      </c>
      <c r="C558" s="340">
        <v>44196</v>
      </c>
      <c r="D558" s="338" t="s">
        <v>4377</v>
      </c>
      <c r="E558" s="341" t="s">
        <v>4367</v>
      </c>
      <c r="F558" s="338"/>
      <c r="G558" s="338"/>
      <c r="H558" s="339" t="s">
        <v>249</v>
      </c>
      <c r="I558" s="339">
        <v>1</v>
      </c>
      <c r="J558" s="342">
        <v>700000</v>
      </c>
      <c r="K558" s="342">
        <v>700000</v>
      </c>
      <c r="L558" s="342">
        <v>700000</v>
      </c>
      <c r="M558" s="343">
        <v>100</v>
      </c>
      <c r="N558" s="343">
        <v>700000</v>
      </c>
      <c r="O558" s="343">
        <v>0</v>
      </c>
      <c r="P558" s="338"/>
      <c r="Q558" s="339" t="s">
        <v>20</v>
      </c>
      <c r="R558" s="339" t="s">
        <v>229</v>
      </c>
      <c r="S558" s="341" t="str">
        <f>IFERROR(VLOOKUP(D558, CCDC_XUAN!$D$16:$S$693, 16, 0), "Không tìm thấy")</f>
        <v>A1: ghế nhân viên</v>
      </c>
      <c r="T558" s="327"/>
      <c r="U558" s="327"/>
      <c r="V558" s="327"/>
      <c r="W558" s="327"/>
      <c r="X558" s="327"/>
      <c r="Y558" s="327"/>
      <c r="Z558" s="330"/>
    </row>
    <row r="559" spans="1:26" ht="12.5" hidden="1">
      <c r="A559" s="339">
        <v>608</v>
      </c>
      <c r="B559" s="338" t="s">
        <v>4347</v>
      </c>
      <c r="C559" s="340">
        <v>44196</v>
      </c>
      <c r="D559" s="338" t="s">
        <v>4378</v>
      </c>
      <c r="E559" s="341" t="s">
        <v>4367</v>
      </c>
      <c r="F559" s="338"/>
      <c r="G559" s="338"/>
      <c r="H559" s="339" t="s">
        <v>249</v>
      </c>
      <c r="I559" s="339">
        <v>1</v>
      </c>
      <c r="J559" s="342">
        <v>700000</v>
      </c>
      <c r="K559" s="342">
        <v>700000</v>
      </c>
      <c r="L559" s="342">
        <v>700000</v>
      </c>
      <c r="M559" s="343">
        <v>100</v>
      </c>
      <c r="N559" s="343">
        <v>700000</v>
      </c>
      <c r="O559" s="343">
        <v>0</v>
      </c>
      <c r="P559" s="338"/>
      <c r="Q559" s="339" t="s">
        <v>20</v>
      </c>
      <c r="R559" s="339" t="s">
        <v>229</v>
      </c>
      <c r="S559" s="341" t="str">
        <f>IFERROR(VLOOKUP(D559, CCDC_XUAN!$D$16:$S$693, 16, 0), "Không tìm thấy")</f>
        <v>A1: ghế nhân viên</v>
      </c>
      <c r="T559" s="327"/>
      <c r="U559" s="327"/>
      <c r="V559" s="327"/>
      <c r="W559" s="327"/>
      <c r="X559" s="327"/>
      <c r="Y559" s="327"/>
      <c r="Z559" s="330"/>
    </row>
    <row r="560" spans="1:26" ht="12.5" hidden="1">
      <c r="A560" s="339">
        <v>609</v>
      </c>
      <c r="B560" s="338" t="s">
        <v>4347</v>
      </c>
      <c r="C560" s="340">
        <v>44196</v>
      </c>
      <c r="D560" s="338" t="s">
        <v>4379</v>
      </c>
      <c r="E560" s="341" t="s">
        <v>4367</v>
      </c>
      <c r="F560" s="338"/>
      <c r="G560" s="338"/>
      <c r="H560" s="339" t="s">
        <v>249</v>
      </c>
      <c r="I560" s="339">
        <v>1</v>
      </c>
      <c r="J560" s="342">
        <v>700000</v>
      </c>
      <c r="K560" s="342">
        <v>700000</v>
      </c>
      <c r="L560" s="342">
        <v>700000</v>
      </c>
      <c r="M560" s="343">
        <v>100</v>
      </c>
      <c r="N560" s="343">
        <v>700000</v>
      </c>
      <c r="O560" s="343">
        <v>0</v>
      </c>
      <c r="P560" s="338"/>
      <c r="Q560" s="339" t="s">
        <v>20</v>
      </c>
      <c r="R560" s="339" t="s">
        <v>229</v>
      </c>
      <c r="S560" s="341" t="str">
        <f>IFERROR(VLOOKUP(D560, CCDC_XUAN!$D$16:$S$693, 16, 0), "Không tìm thấy")</f>
        <v>A1: ghế nhân viên</v>
      </c>
      <c r="T560" s="327"/>
      <c r="U560" s="327"/>
      <c r="V560" s="327"/>
      <c r="W560" s="327"/>
      <c r="X560" s="327"/>
      <c r="Y560" s="327"/>
      <c r="Z560" s="330"/>
    </row>
    <row r="561" spans="1:26" ht="12.5" hidden="1">
      <c r="A561" s="339">
        <v>610</v>
      </c>
      <c r="B561" s="338" t="s">
        <v>4347</v>
      </c>
      <c r="C561" s="340">
        <v>44196</v>
      </c>
      <c r="D561" s="338" t="s">
        <v>4380</v>
      </c>
      <c r="E561" s="341" t="s">
        <v>4367</v>
      </c>
      <c r="F561" s="338"/>
      <c r="G561" s="338"/>
      <c r="H561" s="339" t="s">
        <v>249</v>
      </c>
      <c r="I561" s="339">
        <v>1</v>
      </c>
      <c r="J561" s="342">
        <v>700000</v>
      </c>
      <c r="K561" s="342">
        <v>700000</v>
      </c>
      <c r="L561" s="342">
        <v>700000</v>
      </c>
      <c r="M561" s="343">
        <v>100</v>
      </c>
      <c r="N561" s="343">
        <v>700000</v>
      </c>
      <c r="O561" s="343">
        <v>0</v>
      </c>
      <c r="P561" s="338"/>
      <c r="Q561" s="339" t="s">
        <v>20</v>
      </c>
      <c r="R561" s="339" t="s">
        <v>229</v>
      </c>
      <c r="S561" s="341" t="str">
        <f>IFERROR(VLOOKUP(D561, CCDC_XUAN!$D$16:$S$693, 16, 0), "Không tìm thấy")</f>
        <v>A1: ghế nhân viên</v>
      </c>
      <c r="T561" s="327"/>
      <c r="U561" s="327"/>
      <c r="V561" s="327"/>
      <c r="W561" s="327"/>
      <c r="X561" s="327"/>
      <c r="Y561" s="327"/>
      <c r="Z561" s="330"/>
    </row>
    <row r="562" spans="1:26" ht="37.5" hidden="1">
      <c r="A562" s="339">
        <v>611</v>
      </c>
      <c r="B562" s="373" t="s">
        <v>4381</v>
      </c>
      <c r="C562" s="374">
        <v>44530</v>
      </c>
      <c r="D562" s="338" t="s">
        <v>4382</v>
      </c>
      <c r="E562" s="373" t="s">
        <v>4383</v>
      </c>
      <c r="F562" s="375"/>
      <c r="G562" s="373" t="s">
        <v>248</v>
      </c>
      <c r="H562" s="376" t="s">
        <v>249</v>
      </c>
      <c r="I562" s="371">
        <v>1</v>
      </c>
      <c r="J562" s="377">
        <v>662000</v>
      </c>
      <c r="K562" s="377">
        <v>662000</v>
      </c>
      <c r="L562" s="377">
        <v>662000</v>
      </c>
      <c r="M562" s="338"/>
      <c r="N562" s="338"/>
      <c r="O562" s="338"/>
      <c r="P562" s="338"/>
      <c r="Q562" s="339" t="s">
        <v>36</v>
      </c>
      <c r="R562" s="339" t="s">
        <v>3512</v>
      </c>
      <c r="S562" s="341" t="s">
        <v>4387</v>
      </c>
      <c r="T562" s="327"/>
      <c r="U562" s="327"/>
      <c r="V562" s="327"/>
      <c r="W562" s="327"/>
      <c r="X562" s="327"/>
      <c r="Y562" s="327"/>
      <c r="Z562" s="330"/>
    </row>
    <row r="563" spans="1:26" ht="37.5" hidden="1">
      <c r="A563" s="339">
        <v>612</v>
      </c>
      <c r="B563" s="373" t="s">
        <v>4381</v>
      </c>
      <c r="C563" s="374">
        <v>44530</v>
      </c>
      <c r="D563" s="338" t="s">
        <v>4385</v>
      </c>
      <c r="E563" s="373" t="s">
        <v>4383</v>
      </c>
      <c r="F563" s="375"/>
      <c r="G563" s="373" t="s">
        <v>248</v>
      </c>
      <c r="H563" s="376" t="s">
        <v>249</v>
      </c>
      <c r="I563" s="371">
        <v>1</v>
      </c>
      <c r="J563" s="377">
        <v>662000</v>
      </c>
      <c r="K563" s="377">
        <v>662000</v>
      </c>
      <c r="L563" s="377">
        <v>662000</v>
      </c>
      <c r="M563" s="338"/>
      <c r="N563" s="338"/>
      <c r="O563" s="338"/>
      <c r="P563" s="338"/>
      <c r="Q563" s="338"/>
      <c r="R563" s="338"/>
      <c r="S563" s="338"/>
      <c r="T563" s="327"/>
      <c r="U563" s="327"/>
      <c r="V563" s="327"/>
      <c r="W563" s="327"/>
      <c r="X563" s="327"/>
      <c r="Y563" s="327"/>
      <c r="Z563" s="330"/>
    </row>
    <row r="564" spans="1:26" ht="25" hidden="1">
      <c r="A564" s="339">
        <v>613</v>
      </c>
      <c r="B564" s="373" t="s">
        <v>4388</v>
      </c>
      <c r="C564" s="374">
        <v>44470</v>
      </c>
      <c r="D564" s="338" t="s">
        <v>4389</v>
      </c>
      <c r="E564" s="373" t="s">
        <v>4390</v>
      </c>
      <c r="F564" s="373" t="s">
        <v>5096</v>
      </c>
      <c r="G564" s="373" t="s">
        <v>1435</v>
      </c>
      <c r="H564" s="376" t="s">
        <v>249</v>
      </c>
      <c r="I564" s="371">
        <v>1</v>
      </c>
      <c r="J564" s="377">
        <v>14454545</v>
      </c>
      <c r="K564" s="377">
        <v>14454545</v>
      </c>
      <c r="L564" s="377">
        <v>14454545</v>
      </c>
      <c r="M564" s="338"/>
      <c r="N564" s="338"/>
      <c r="O564" s="338"/>
      <c r="P564" s="338"/>
      <c r="Q564" s="339" t="s">
        <v>20</v>
      </c>
      <c r="R564" s="339" t="s">
        <v>3262</v>
      </c>
      <c r="S564" s="341" t="s">
        <v>5097</v>
      </c>
      <c r="T564" s="327"/>
      <c r="U564" s="327"/>
      <c r="V564" s="327"/>
      <c r="W564" s="327"/>
      <c r="X564" s="327"/>
      <c r="Y564" s="327"/>
      <c r="Z564" s="330"/>
    </row>
    <row r="565" spans="1:26" ht="25" hidden="1">
      <c r="A565" s="339">
        <v>614</v>
      </c>
      <c r="B565" s="373" t="s">
        <v>4388</v>
      </c>
      <c r="C565" s="374">
        <v>44470</v>
      </c>
      <c r="D565" s="338" t="s">
        <v>4392</v>
      </c>
      <c r="E565" s="373" t="s">
        <v>4390</v>
      </c>
      <c r="F565" s="373" t="s">
        <v>5098</v>
      </c>
      <c r="G565" s="373" t="s">
        <v>1435</v>
      </c>
      <c r="H565" s="376" t="s">
        <v>249</v>
      </c>
      <c r="I565" s="371">
        <v>1</v>
      </c>
      <c r="J565" s="377">
        <v>14454545</v>
      </c>
      <c r="K565" s="377">
        <v>14454545</v>
      </c>
      <c r="L565" s="377">
        <v>14454545</v>
      </c>
      <c r="M565" s="338"/>
      <c r="N565" s="338"/>
      <c r="O565" s="338"/>
      <c r="P565" s="338"/>
      <c r="Q565" s="339" t="s">
        <v>20</v>
      </c>
      <c r="R565" s="346" t="s">
        <v>229</v>
      </c>
      <c r="S565" s="341" t="str">
        <f>IFERROR(VLOOKUP(D565, CCDC_XUAN!$D$16:$S$693, 16, 0), "Không tìm thấy")</f>
        <v>A2-control: TV PGM cho Multiview</v>
      </c>
      <c r="T565" s="327"/>
      <c r="U565" s="327"/>
      <c r="V565" s="327"/>
      <c r="W565" s="327"/>
      <c r="X565" s="327"/>
      <c r="Y565" s="327"/>
      <c r="Z565" s="330"/>
    </row>
    <row r="566" spans="1:26" ht="25" hidden="1">
      <c r="A566" s="339">
        <v>615</v>
      </c>
      <c r="B566" s="373" t="s">
        <v>4388</v>
      </c>
      <c r="C566" s="374">
        <v>44470</v>
      </c>
      <c r="D566" s="338" t="s">
        <v>4394</v>
      </c>
      <c r="E566" s="373" t="s">
        <v>4390</v>
      </c>
      <c r="F566" s="373" t="s">
        <v>5099</v>
      </c>
      <c r="G566" s="373" t="s">
        <v>1435</v>
      </c>
      <c r="H566" s="376" t="s">
        <v>249</v>
      </c>
      <c r="I566" s="371">
        <v>1</v>
      </c>
      <c r="J566" s="377">
        <v>14454545</v>
      </c>
      <c r="K566" s="377">
        <v>14454545</v>
      </c>
      <c r="L566" s="377">
        <v>14454545</v>
      </c>
      <c r="M566" s="338"/>
      <c r="N566" s="338"/>
      <c r="O566" s="338"/>
      <c r="P566" s="338"/>
      <c r="Q566" s="339" t="s">
        <v>20</v>
      </c>
      <c r="R566" s="339" t="s">
        <v>3262</v>
      </c>
      <c r="S566" s="341" t="s">
        <v>5100</v>
      </c>
      <c r="T566" s="327"/>
      <c r="U566" s="327"/>
      <c r="V566" s="327"/>
      <c r="W566" s="327"/>
      <c r="X566" s="327"/>
      <c r="Y566" s="327"/>
      <c r="Z566" s="330"/>
    </row>
    <row r="567" spans="1:26" ht="25" hidden="1">
      <c r="A567" s="339">
        <v>616</v>
      </c>
      <c r="B567" s="373" t="s">
        <v>4388</v>
      </c>
      <c r="C567" s="374">
        <v>44470</v>
      </c>
      <c r="D567" s="338" t="s">
        <v>4396</v>
      </c>
      <c r="E567" s="373" t="s">
        <v>4390</v>
      </c>
      <c r="F567" s="373" t="s">
        <v>5101</v>
      </c>
      <c r="G567" s="373" t="s">
        <v>1435</v>
      </c>
      <c r="H567" s="376" t="s">
        <v>249</v>
      </c>
      <c r="I567" s="371">
        <v>1</v>
      </c>
      <c r="J567" s="377">
        <v>14454547</v>
      </c>
      <c r="K567" s="377">
        <v>14454547</v>
      </c>
      <c r="L567" s="377">
        <v>14454547</v>
      </c>
      <c r="M567" s="338"/>
      <c r="N567" s="338"/>
      <c r="O567" s="338"/>
      <c r="P567" s="338"/>
      <c r="Q567" s="339" t="s">
        <v>20</v>
      </c>
      <c r="R567" s="346" t="s">
        <v>229</v>
      </c>
      <c r="S567" s="341" t="str">
        <f>IFERROR(VLOOKUP(D567, CCDC_XUAN!$D$16:$S$693, 16, 0), "Không tìm thấy")</f>
        <v>Màn hình PVW hư, A2 KHO</v>
      </c>
      <c r="T567" s="327"/>
      <c r="U567" s="327"/>
      <c r="V567" s="327"/>
      <c r="W567" s="327"/>
      <c r="X567" s="327"/>
      <c r="Y567" s="327"/>
      <c r="Z567" s="330"/>
    </row>
    <row r="568" spans="1:26" ht="50" hidden="1">
      <c r="A568" s="339">
        <v>617</v>
      </c>
      <c r="B568" s="373" t="s">
        <v>4398</v>
      </c>
      <c r="C568" s="374">
        <v>44530</v>
      </c>
      <c r="D568" s="338" t="s">
        <v>4399</v>
      </c>
      <c r="E568" s="373" t="s">
        <v>4400</v>
      </c>
      <c r="F568" s="373" t="s">
        <v>4401</v>
      </c>
      <c r="G568" s="373" t="s">
        <v>1008</v>
      </c>
      <c r="H568" s="376" t="s">
        <v>249</v>
      </c>
      <c r="I568" s="371">
        <v>1</v>
      </c>
      <c r="J568" s="377">
        <v>12000000</v>
      </c>
      <c r="K568" s="377">
        <v>12000000</v>
      </c>
      <c r="L568" s="377">
        <v>12000000</v>
      </c>
      <c r="M568" s="338"/>
      <c r="N568" s="338"/>
      <c r="O568" s="338"/>
      <c r="P568" s="338"/>
      <c r="Q568" s="339" t="s">
        <v>206</v>
      </c>
      <c r="R568" s="339" t="s">
        <v>1040</v>
      </c>
      <c r="S568" s="338"/>
      <c r="T568" s="327"/>
      <c r="U568" s="327"/>
      <c r="V568" s="327"/>
      <c r="W568" s="327"/>
      <c r="X568" s="327"/>
      <c r="Y568" s="327"/>
      <c r="Z568" s="330"/>
    </row>
    <row r="569" spans="1:26" ht="50" hidden="1">
      <c r="A569" s="339">
        <v>618</v>
      </c>
      <c r="B569" s="373" t="s">
        <v>4398</v>
      </c>
      <c r="C569" s="374">
        <v>44530</v>
      </c>
      <c r="D569" s="338" t="s">
        <v>4402</v>
      </c>
      <c r="E569" s="373" t="s">
        <v>4400</v>
      </c>
      <c r="F569" s="373" t="s">
        <v>4403</v>
      </c>
      <c r="G569" s="373" t="s">
        <v>1008</v>
      </c>
      <c r="H569" s="376" t="s">
        <v>249</v>
      </c>
      <c r="I569" s="371">
        <v>1</v>
      </c>
      <c r="J569" s="377">
        <v>12000000</v>
      </c>
      <c r="K569" s="377">
        <v>12000000</v>
      </c>
      <c r="L569" s="377">
        <v>12000000</v>
      </c>
      <c r="M569" s="338"/>
      <c r="N569" s="338"/>
      <c r="O569" s="338"/>
      <c r="P569" s="338"/>
      <c r="Q569" s="339" t="s">
        <v>206</v>
      </c>
      <c r="R569" s="339" t="s">
        <v>1040</v>
      </c>
      <c r="S569" s="338"/>
      <c r="T569" s="327"/>
      <c r="U569" s="327"/>
      <c r="V569" s="327"/>
      <c r="W569" s="327"/>
      <c r="X569" s="327"/>
      <c r="Y569" s="327"/>
      <c r="Z569" s="330"/>
    </row>
    <row r="570" spans="1:26" ht="50" hidden="1">
      <c r="A570" s="339">
        <v>619</v>
      </c>
      <c r="B570" s="373" t="s">
        <v>4398</v>
      </c>
      <c r="C570" s="374">
        <v>44530</v>
      </c>
      <c r="D570" s="338" t="s">
        <v>4404</v>
      </c>
      <c r="E570" s="373" t="s">
        <v>4400</v>
      </c>
      <c r="F570" s="373" t="s">
        <v>4405</v>
      </c>
      <c r="G570" s="373" t="s">
        <v>1008</v>
      </c>
      <c r="H570" s="376" t="s">
        <v>249</v>
      </c>
      <c r="I570" s="371">
        <v>1</v>
      </c>
      <c r="J570" s="377">
        <v>12000000</v>
      </c>
      <c r="K570" s="377">
        <v>12000000</v>
      </c>
      <c r="L570" s="377">
        <v>12000000</v>
      </c>
      <c r="M570" s="338"/>
      <c r="N570" s="338"/>
      <c r="O570" s="338"/>
      <c r="P570" s="338"/>
      <c r="Q570" s="339" t="s">
        <v>206</v>
      </c>
      <c r="R570" s="339" t="s">
        <v>1040</v>
      </c>
      <c r="S570" s="338"/>
      <c r="T570" s="327"/>
      <c r="U570" s="327"/>
      <c r="V570" s="327"/>
      <c r="W570" s="327"/>
      <c r="X570" s="327"/>
      <c r="Y570" s="327"/>
      <c r="Z570" s="330"/>
    </row>
    <row r="571" spans="1:26" ht="50" hidden="1">
      <c r="A571" s="339">
        <v>620</v>
      </c>
      <c r="B571" s="373" t="s">
        <v>4398</v>
      </c>
      <c r="C571" s="374">
        <v>44530</v>
      </c>
      <c r="D571" s="338" t="s">
        <v>4406</v>
      </c>
      <c r="E571" s="373" t="s">
        <v>4400</v>
      </c>
      <c r="F571" s="373" t="s">
        <v>4407</v>
      </c>
      <c r="G571" s="373" t="s">
        <v>1008</v>
      </c>
      <c r="H571" s="376" t="s">
        <v>249</v>
      </c>
      <c r="I571" s="371">
        <v>1</v>
      </c>
      <c r="J571" s="377">
        <v>12000000</v>
      </c>
      <c r="K571" s="377">
        <v>12000000</v>
      </c>
      <c r="L571" s="377">
        <v>12000000</v>
      </c>
      <c r="M571" s="338"/>
      <c r="N571" s="338"/>
      <c r="O571" s="338"/>
      <c r="P571" s="338"/>
      <c r="Q571" s="339" t="s">
        <v>206</v>
      </c>
      <c r="R571" s="339" t="s">
        <v>1040</v>
      </c>
      <c r="S571" s="338"/>
      <c r="T571" s="327"/>
      <c r="U571" s="327"/>
      <c r="V571" s="327"/>
      <c r="W571" s="327"/>
      <c r="X571" s="327"/>
      <c r="Y571" s="327"/>
      <c r="Z571" s="330"/>
    </row>
    <row r="572" spans="1:26" ht="50" hidden="1">
      <c r="A572" s="339">
        <v>621</v>
      </c>
      <c r="B572" s="373" t="s">
        <v>4398</v>
      </c>
      <c r="C572" s="374">
        <v>44530</v>
      </c>
      <c r="D572" s="338" t="s">
        <v>4408</v>
      </c>
      <c r="E572" s="373" t="s">
        <v>4400</v>
      </c>
      <c r="F572" s="373" t="s">
        <v>4409</v>
      </c>
      <c r="G572" s="373" t="s">
        <v>1008</v>
      </c>
      <c r="H572" s="376" t="s">
        <v>249</v>
      </c>
      <c r="I572" s="371">
        <v>1</v>
      </c>
      <c r="J572" s="377">
        <v>12000000</v>
      </c>
      <c r="K572" s="377">
        <v>12000000</v>
      </c>
      <c r="L572" s="377">
        <v>12000000</v>
      </c>
      <c r="M572" s="338"/>
      <c r="N572" s="338"/>
      <c r="O572" s="338"/>
      <c r="P572" s="338"/>
      <c r="Q572" s="339" t="s">
        <v>206</v>
      </c>
      <c r="R572" s="339" t="s">
        <v>1040</v>
      </c>
      <c r="S572" s="338"/>
      <c r="T572" s="327"/>
      <c r="U572" s="327"/>
      <c r="V572" s="327"/>
      <c r="W572" s="327"/>
      <c r="X572" s="327"/>
      <c r="Y572" s="327"/>
      <c r="Z572" s="330"/>
    </row>
    <row r="573" spans="1:26" ht="50" hidden="1">
      <c r="A573" s="339">
        <v>622</v>
      </c>
      <c r="B573" s="373" t="s">
        <v>4398</v>
      </c>
      <c r="C573" s="374">
        <v>44530</v>
      </c>
      <c r="D573" s="338" t="s">
        <v>4410</v>
      </c>
      <c r="E573" s="373" t="s">
        <v>4400</v>
      </c>
      <c r="F573" s="373" t="s">
        <v>4411</v>
      </c>
      <c r="G573" s="373" t="s">
        <v>1008</v>
      </c>
      <c r="H573" s="376" t="s">
        <v>249</v>
      </c>
      <c r="I573" s="371">
        <v>1</v>
      </c>
      <c r="J573" s="377">
        <v>12000000</v>
      </c>
      <c r="K573" s="377">
        <v>12000000</v>
      </c>
      <c r="L573" s="377">
        <v>12000000</v>
      </c>
      <c r="M573" s="338"/>
      <c r="N573" s="338"/>
      <c r="O573" s="338"/>
      <c r="P573" s="338"/>
      <c r="Q573" s="339" t="s">
        <v>206</v>
      </c>
      <c r="R573" s="339" t="s">
        <v>1040</v>
      </c>
      <c r="S573" s="338"/>
      <c r="T573" s="327"/>
      <c r="U573" s="327"/>
      <c r="V573" s="327"/>
      <c r="W573" s="327"/>
      <c r="X573" s="327"/>
      <c r="Y573" s="327"/>
      <c r="Z573" s="330"/>
    </row>
    <row r="574" spans="1:26" ht="50" hidden="1">
      <c r="A574" s="339">
        <v>623</v>
      </c>
      <c r="B574" s="373" t="s">
        <v>4398</v>
      </c>
      <c r="C574" s="374">
        <v>44530</v>
      </c>
      <c r="D574" s="338" t="s">
        <v>4412</v>
      </c>
      <c r="E574" s="373" t="s">
        <v>4400</v>
      </c>
      <c r="F574" s="373" t="s">
        <v>4413</v>
      </c>
      <c r="G574" s="373" t="s">
        <v>1008</v>
      </c>
      <c r="H574" s="376" t="s">
        <v>249</v>
      </c>
      <c r="I574" s="371">
        <v>1</v>
      </c>
      <c r="J574" s="377">
        <v>12000000</v>
      </c>
      <c r="K574" s="377">
        <v>12000000</v>
      </c>
      <c r="L574" s="377">
        <v>12000000</v>
      </c>
      <c r="M574" s="338"/>
      <c r="N574" s="338"/>
      <c r="O574" s="338"/>
      <c r="P574" s="338"/>
      <c r="Q574" s="339" t="s">
        <v>206</v>
      </c>
      <c r="R574" s="339" t="s">
        <v>1040</v>
      </c>
      <c r="S574" s="338"/>
      <c r="T574" s="327"/>
      <c r="U574" s="327"/>
      <c r="V574" s="327"/>
      <c r="W574" s="327"/>
      <c r="X574" s="327"/>
      <c r="Y574" s="327"/>
      <c r="Z574" s="330"/>
    </row>
    <row r="575" spans="1:26" ht="50" hidden="1">
      <c r="A575" s="339">
        <v>624</v>
      </c>
      <c r="B575" s="373" t="s">
        <v>4398</v>
      </c>
      <c r="C575" s="374">
        <v>44530</v>
      </c>
      <c r="D575" s="338" t="s">
        <v>4414</v>
      </c>
      <c r="E575" s="373" t="s">
        <v>4400</v>
      </c>
      <c r="F575" s="373" t="s">
        <v>4415</v>
      </c>
      <c r="G575" s="373" t="s">
        <v>1008</v>
      </c>
      <c r="H575" s="376" t="s">
        <v>249</v>
      </c>
      <c r="I575" s="371">
        <v>1</v>
      </c>
      <c r="J575" s="377">
        <v>12000000</v>
      </c>
      <c r="K575" s="377">
        <v>12000000</v>
      </c>
      <c r="L575" s="377">
        <v>12000000</v>
      </c>
      <c r="M575" s="338"/>
      <c r="N575" s="338"/>
      <c r="O575" s="338"/>
      <c r="P575" s="338"/>
      <c r="Q575" s="339" t="s">
        <v>206</v>
      </c>
      <c r="R575" s="339" t="s">
        <v>1040</v>
      </c>
      <c r="S575" s="338"/>
      <c r="T575" s="327"/>
      <c r="U575" s="327"/>
      <c r="V575" s="327"/>
      <c r="W575" s="327"/>
      <c r="X575" s="327"/>
      <c r="Y575" s="327"/>
      <c r="Z575" s="330"/>
    </row>
    <row r="576" spans="1:26" ht="37.5" hidden="1">
      <c r="A576" s="378">
        <v>625</v>
      </c>
      <c r="B576" s="327"/>
      <c r="C576" s="374">
        <v>41502</v>
      </c>
      <c r="D576" s="338" t="s">
        <v>5102</v>
      </c>
      <c r="E576" s="373" t="s">
        <v>4416</v>
      </c>
      <c r="F576" s="373" t="s">
        <v>4417</v>
      </c>
      <c r="G576" s="375"/>
      <c r="H576" s="376" t="s">
        <v>19</v>
      </c>
      <c r="I576" s="371">
        <v>1</v>
      </c>
      <c r="J576" s="375"/>
      <c r="K576" s="375"/>
      <c r="L576" s="375"/>
      <c r="M576" s="338"/>
      <c r="N576" s="338"/>
      <c r="O576" s="338"/>
      <c r="P576" s="338"/>
      <c r="Q576" s="339" t="s">
        <v>20</v>
      </c>
      <c r="R576" s="339" t="s">
        <v>3262</v>
      </c>
      <c r="S576" s="341" t="s">
        <v>4418</v>
      </c>
      <c r="T576" s="327"/>
      <c r="U576" s="327"/>
      <c r="V576" s="327"/>
      <c r="W576" s="327"/>
      <c r="X576" s="327"/>
      <c r="Y576" s="327"/>
      <c r="Z576" s="330"/>
    </row>
    <row r="577" spans="1:26" ht="12.5" hidden="1">
      <c r="A577" s="339">
        <v>626</v>
      </c>
      <c r="B577" s="379" t="s">
        <v>4419</v>
      </c>
      <c r="C577" s="380">
        <v>45069</v>
      </c>
      <c r="D577" s="338" t="s">
        <v>4420</v>
      </c>
      <c r="E577" s="381" t="s">
        <v>4421</v>
      </c>
      <c r="F577" s="382"/>
      <c r="G577" s="382"/>
      <c r="H577" s="381" t="s">
        <v>249</v>
      </c>
      <c r="I577" s="383">
        <v>1</v>
      </c>
      <c r="J577" s="384">
        <v>5538000</v>
      </c>
      <c r="K577" s="384">
        <v>5538000</v>
      </c>
      <c r="L577" s="385">
        <v>5538000</v>
      </c>
      <c r="M577" s="385">
        <v>100</v>
      </c>
      <c r="N577" s="385">
        <v>5538000</v>
      </c>
      <c r="O577" s="385">
        <v>0</v>
      </c>
      <c r="P577" s="375"/>
      <c r="Q577" s="375"/>
      <c r="R577" s="375"/>
      <c r="S577" s="375"/>
      <c r="T577" s="386" t="s">
        <v>3349</v>
      </c>
      <c r="U577" s="330"/>
      <c r="V577" s="330"/>
      <c r="W577" s="330"/>
      <c r="X577" s="330"/>
      <c r="Y577" s="330"/>
      <c r="Z577" s="330"/>
    </row>
    <row r="578" spans="1:26" ht="12.5" hidden="1">
      <c r="A578" s="378">
        <v>627</v>
      </c>
      <c r="B578" s="379" t="s">
        <v>4419</v>
      </c>
      <c r="C578" s="380">
        <v>45069</v>
      </c>
      <c r="D578" s="338" t="s">
        <v>4422</v>
      </c>
      <c r="E578" s="381" t="s">
        <v>4421</v>
      </c>
      <c r="F578" s="382"/>
      <c r="G578" s="382"/>
      <c r="H578" s="381" t="s">
        <v>249</v>
      </c>
      <c r="I578" s="383">
        <v>1</v>
      </c>
      <c r="J578" s="384">
        <v>5538000</v>
      </c>
      <c r="K578" s="384">
        <v>5538000</v>
      </c>
      <c r="L578" s="385">
        <v>5538000</v>
      </c>
      <c r="M578" s="385">
        <v>100</v>
      </c>
      <c r="N578" s="385">
        <v>5538000</v>
      </c>
      <c r="O578" s="385">
        <v>0</v>
      </c>
      <c r="P578" s="375"/>
      <c r="Q578" s="375"/>
      <c r="R578" s="375"/>
      <c r="S578" s="375"/>
      <c r="T578" s="386" t="s">
        <v>3349</v>
      </c>
      <c r="U578" s="330"/>
      <c r="V578" s="330"/>
      <c r="W578" s="330"/>
      <c r="X578" s="330"/>
      <c r="Y578" s="330"/>
      <c r="Z578" s="330"/>
    </row>
    <row r="579" spans="1:26" ht="12.5" hidden="1">
      <c r="A579" s="339">
        <v>628</v>
      </c>
      <c r="B579" s="379" t="s">
        <v>4419</v>
      </c>
      <c r="C579" s="380">
        <v>45069</v>
      </c>
      <c r="D579" s="338" t="s">
        <v>4423</v>
      </c>
      <c r="E579" s="381" t="s">
        <v>4421</v>
      </c>
      <c r="F579" s="382"/>
      <c r="G579" s="382"/>
      <c r="H579" s="381" t="s">
        <v>249</v>
      </c>
      <c r="I579" s="383">
        <v>1</v>
      </c>
      <c r="J579" s="384">
        <v>5538000</v>
      </c>
      <c r="K579" s="384">
        <v>5538000</v>
      </c>
      <c r="L579" s="385">
        <v>5538000</v>
      </c>
      <c r="M579" s="385">
        <v>100</v>
      </c>
      <c r="N579" s="385">
        <v>5538000</v>
      </c>
      <c r="O579" s="385">
        <v>0</v>
      </c>
      <c r="P579" s="375"/>
      <c r="Q579" s="375"/>
      <c r="R579" s="375"/>
      <c r="S579" s="375"/>
      <c r="T579" s="386" t="s">
        <v>3349</v>
      </c>
      <c r="U579" s="330"/>
      <c r="V579" s="330"/>
      <c r="W579" s="330"/>
      <c r="X579" s="330"/>
      <c r="Y579" s="330"/>
      <c r="Z579" s="330"/>
    </row>
    <row r="580" spans="1:26" ht="12.5" hidden="1">
      <c r="A580" s="378">
        <v>629</v>
      </c>
      <c r="B580" s="379" t="s">
        <v>4424</v>
      </c>
      <c r="C580" s="380">
        <v>45036</v>
      </c>
      <c r="D580" s="338" t="s">
        <v>4425</v>
      </c>
      <c r="E580" s="381" t="s">
        <v>4426</v>
      </c>
      <c r="F580" s="382"/>
      <c r="G580" s="382"/>
      <c r="H580" s="381" t="s">
        <v>249</v>
      </c>
      <c r="I580" s="383">
        <v>1</v>
      </c>
      <c r="J580" s="384">
        <v>696660</v>
      </c>
      <c r="K580" s="384">
        <v>696660</v>
      </c>
      <c r="L580" s="385">
        <v>696660</v>
      </c>
      <c r="M580" s="385">
        <v>100</v>
      </c>
      <c r="N580" s="385">
        <v>696660</v>
      </c>
      <c r="O580" s="385">
        <v>0</v>
      </c>
      <c r="P580" s="375"/>
      <c r="Q580" s="375"/>
      <c r="R580" s="375"/>
      <c r="S580" s="375"/>
      <c r="T580" s="386" t="s">
        <v>3349</v>
      </c>
      <c r="U580" s="330"/>
      <c r="V580" s="330"/>
      <c r="W580" s="330"/>
      <c r="X580" s="330"/>
      <c r="Y580" s="330"/>
      <c r="Z580" s="330"/>
    </row>
    <row r="581" spans="1:26" ht="12.5" hidden="1">
      <c r="A581" s="339">
        <v>630</v>
      </c>
      <c r="B581" s="379" t="s">
        <v>4424</v>
      </c>
      <c r="C581" s="380">
        <v>45036</v>
      </c>
      <c r="D581" s="338" t="s">
        <v>4427</v>
      </c>
      <c r="E581" s="381" t="s">
        <v>4426</v>
      </c>
      <c r="F581" s="382"/>
      <c r="G581" s="382"/>
      <c r="H581" s="381" t="s">
        <v>249</v>
      </c>
      <c r="I581" s="383">
        <v>1</v>
      </c>
      <c r="J581" s="384">
        <v>696660</v>
      </c>
      <c r="K581" s="384">
        <v>696660</v>
      </c>
      <c r="L581" s="385">
        <v>696660</v>
      </c>
      <c r="M581" s="385">
        <v>100</v>
      </c>
      <c r="N581" s="385">
        <v>696660</v>
      </c>
      <c r="O581" s="385">
        <v>0</v>
      </c>
      <c r="P581" s="375"/>
      <c r="Q581" s="375"/>
      <c r="R581" s="375"/>
      <c r="S581" s="375"/>
      <c r="T581" s="386" t="s">
        <v>3349</v>
      </c>
      <c r="U581" s="330"/>
      <c r="V581" s="330"/>
      <c r="W581" s="330"/>
      <c r="X581" s="330"/>
      <c r="Y581" s="330"/>
      <c r="Z581" s="330"/>
    </row>
    <row r="582" spans="1:26" ht="12.5" hidden="1">
      <c r="A582" s="378">
        <v>631</v>
      </c>
      <c r="B582" s="379" t="s">
        <v>4424</v>
      </c>
      <c r="C582" s="380">
        <v>45036</v>
      </c>
      <c r="D582" s="338" t="s">
        <v>4428</v>
      </c>
      <c r="E582" s="381" t="s">
        <v>4426</v>
      </c>
      <c r="F582" s="382"/>
      <c r="G582" s="382"/>
      <c r="H582" s="381" t="s">
        <v>249</v>
      </c>
      <c r="I582" s="383">
        <v>1</v>
      </c>
      <c r="J582" s="384">
        <v>696660</v>
      </c>
      <c r="K582" s="384">
        <v>696660</v>
      </c>
      <c r="L582" s="385">
        <v>696660</v>
      </c>
      <c r="M582" s="385">
        <v>100</v>
      </c>
      <c r="N582" s="385">
        <v>696660</v>
      </c>
      <c r="O582" s="385">
        <v>0</v>
      </c>
      <c r="P582" s="375"/>
      <c r="Q582" s="375"/>
      <c r="R582" s="375"/>
      <c r="S582" s="375"/>
      <c r="T582" s="386" t="s">
        <v>3349</v>
      </c>
      <c r="U582" s="330"/>
      <c r="V582" s="330"/>
      <c r="W582" s="330"/>
      <c r="X582" s="330"/>
      <c r="Y582" s="330"/>
      <c r="Z582" s="330"/>
    </row>
    <row r="583" spans="1:26" ht="12.5" hidden="1">
      <c r="A583" s="339">
        <v>632</v>
      </c>
      <c r="B583" s="379" t="s">
        <v>4424</v>
      </c>
      <c r="C583" s="380">
        <v>45036</v>
      </c>
      <c r="D583" s="338" t="s">
        <v>4429</v>
      </c>
      <c r="E583" s="381" t="s">
        <v>4426</v>
      </c>
      <c r="F583" s="382"/>
      <c r="G583" s="382"/>
      <c r="H583" s="381" t="s">
        <v>249</v>
      </c>
      <c r="I583" s="383">
        <v>1</v>
      </c>
      <c r="J583" s="384">
        <v>696660</v>
      </c>
      <c r="K583" s="384">
        <v>696660</v>
      </c>
      <c r="L583" s="385">
        <v>696660</v>
      </c>
      <c r="M583" s="385">
        <v>100</v>
      </c>
      <c r="N583" s="385">
        <v>696660</v>
      </c>
      <c r="O583" s="385">
        <v>0</v>
      </c>
      <c r="P583" s="375"/>
      <c r="Q583" s="375"/>
      <c r="R583" s="375"/>
      <c r="S583" s="375"/>
      <c r="T583" s="386" t="s">
        <v>3349</v>
      </c>
      <c r="U583" s="330"/>
      <c r="V583" s="330"/>
      <c r="W583" s="330"/>
      <c r="X583" s="330"/>
      <c r="Y583" s="330"/>
      <c r="Z583" s="330"/>
    </row>
    <row r="584" spans="1:26" ht="12.5" hidden="1">
      <c r="A584" s="378">
        <v>633</v>
      </c>
      <c r="B584" s="379" t="s">
        <v>4424</v>
      </c>
      <c r="C584" s="380">
        <v>45036</v>
      </c>
      <c r="D584" s="338" t="s">
        <v>4430</v>
      </c>
      <c r="E584" s="381" t="s">
        <v>4426</v>
      </c>
      <c r="F584" s="382"/>
      <c r="G584" s="382"/>
      <c r="H584" s="381" t="s">
        <v>249</v>
      </c>
      <c r="I584" s="383">
        <v>1</v>
      </c>
      <c r="J584" s="384">
        <v>696660</v>
      </c>
      <c r="K584" s="384">
        <v>696660</v>
      </c>
      <c r="L584" s="385">
        <v>696660</v>
      </c>
      <c r="M584" s="385">
        <v>100</v>
      </c>
      <c r="N584" s="385">
        <v>696660</v>
      </c>
      <c r="O584" s="385">
        <v>0</v>
      </c>
      <c r="P584" s="375"/>
      <c r="Q584" s="375"/>
      <c r="R584" s="375"/>
      <c r="S584" s="375"/>
      <c r="T584" s="386" t="s">
        <v>3349</v>
      </c>
      <c r="U584" s="330"/>
      <c r="V584" s="330"/>
      <c r="W584" s="330"/>
      <c r="X584" s="330"/>
      <c r="Y584" s="330"/>
      <c r="Z584" s="330"/>
    </row>
    <row r="585" spans="1:26" ht="12.5" hidden="1">
      <c r="A585" s="339">
        <v>634</v>
      </c>
      <c r="B585" s="379" t="s">
        <v>4424</v>
      </c>
      <c r="C585" s="380">
        <v>45036</v>
      </c>
      <c r="D585" s="338" t="s">
        <v>4431</v>
      </c>
      <c r="E585" s="381" t="s">
        <v>4426</v>
      </c>
      <c r="F585" s="382"/>
      <c r="G585" s="382"/>
      <c r="H585" s="381" t="s">
        <v>249</v>
      </c>
      <c r="I585" s="383">
        <v>1</v>
      </c>
      <c r="J585" s="384">
        <v>696660</v>
      </c>
      <c r="K585" s="384">
        <v>696660</v>
      </c>
      <c r="L585" s="385">
        <v>696660</v>
      </c>
      <c r="M585" s="385">
        <v>100</v>
      </c>
      <c r="N585" s="385">
        <v>696660</v>
      </c>
      <c r="O585" s="385">
        <v>0</v>
      </c>
      <c r="P585" s="375"/>
      <c r="Q585" s="375"/>
      <c r="R585" s="375"/>
      <c r="S585" s="375"/>
      <c r="T585" s="386" t="s">
        <v>3349</v>
      </c>
      <c r="U585" s="330"/>
      <c r="V585" s="330"/>
      <c r="W585" s="330"/>
      <c r="X585" s="330"/>
      <c r="Y585" s="330"/>
      <c r="Z585" s="330"/>
    </row>
    <row r="586" spans="1:26" ht="12.5" hidden="1">
      <c r="A586" s="378">
        <v>635</v>
      </c>
      <c r="B586" s="379" t="s">
        <v>4424</v>
      </c>
      <c r="C586" s="380">
        <v>45036</v>
      </c>
      <c r="D586" s="338" t="s">
        <v>4432</v>
      </c>
      <c r="E586" s="381" t="s">
        <v>4426</v>
      </c>
      <c r="F586" s="382"/>
      <c r="G586" s="382"/>
      <c r="H586" s="381" t="s">
        <v>249</v>
      </c>
      <c r="I586" s="383">
        <v>1</v>
      </c>
      <c r="J586" s="384">
        <v>696660</v>
      </c>
      <c r="K586" s="384">
        <v>696660</v>
      </c>
      <c r="L586" s="385">
        <v>696660</v>
      </c>
      <c r="M586" s="385">
        <v>100</v>
      </c>
      <c r="N586" s="385">
        <v>696660</v>
      </c>
      <c r="O586" s="385">
        <v>0</v>
      </c>
      <c r="P586" s="375"/>
      <c r="Q586" s="375"/>
      <c r="R586" s="375"/>
      <c r="S586" s="375"/>
      <c r="T586" s="386" t="s">
        <v>3349</v>
      </c>
      <c r="U586" s="330"/>
      <c r="V586" s="330"/>
      <c r="W586" s="330"/>
      <c r="X586" s="330"/>
      <c r="Y586" s="330"/>
      <c r="Z586" s="330"/>
    </row>
    <row r="587" spans="1:26" ht="12.5" hidden="1">
      <c r="A587" s="339">
        <v>636</v>
      </c>
      <c r="B587" s="379" t="s">
        <v>4424</v>
      </c>
      <c r="C587" s="380">
        <v>45036</v>
      </c>
      <c r="D587" s="338" t="s">
        <v>4433</v>
      </c>
      <c r="E587" s="381" t="s">
        <v>4426</v>
      </c>
      <c r="F587" s="382"/>
      <c r="G587" s="382"/>
      <c r="H587" s="381" t="s">
        <v>249</v>
      </c>
      <c r="I587" s="383">
        <v>1</v>
      </c>
      <c r="J587" s="384">
        <v>696660</v>
      </c>
      <c r="K587" s="384">
        <v>696660</v>
      </c>
      <c r="L587" s="385">
        <v>696660</v>
      </c>
      <c r="M587" s="385">
        <v>100</v>
      </c>
      <c r="N587" s="385">
        <v>696660</v>
      </c>
      <c r="O587" s="385">
        <v>0</v>
      </c>
      <c r="P587" s="375"/>
      <c r="Q587" s="375"/>
      <c r="R587" s="375"/>
      <c r="S587" s="375"/>
      <c r="T587" s="386" t="s">
        <v>3349</v>
      </c>
      <c r="U587" s="330"/>
      <c r="V587" s="330"/>
      <c r="W587" s="330"/>
      <c r="X587" s="330"/>
      <c r="Y587" s="330"/>
      <c r="Z587" s="330"/>
    </row>
    <row r="588" spans="1:26" ht="12.5" hidden="1">
      <c r="A588" s="378">
        <v>637</v>
      </c>
      <c r="B588" s="379" t="s">
        <v>4424</v>
      </c>
      <c r="C588" s="380">
        <v>45036</v>
      </c>
      <c r="D588" s="338" t="s">
        <v>4434</v>
      </c>
      <c r="E588" s="381" t="s">
        <v>4426</v>
      </c>
      <c r="F588" s="382"/>
      <c r="G588" s="382"/>
      <c r="H588" s="381" t="s">
        <v>249</v>
      </c>
      <c r="I588" s="383">
        <v>1</v>
      </c>
      <c r="J588" s="384">
        <v>696660</v>
      </c>
      <c r="K588" s="384">
        <v>696660</v>
      </c>
      <c r="L588" s="385">
        <v>696660</v>
      </c>
      <c r="M588" s="385">
        <v>100</v>
      </c>
      <c r="N588" s="385">
        <v>696660</v>
      </c>
      <c r="O588" s="385">
        <v>0</v>
      </c>
      <c r="P588" s="375"/>
      <c r="Q588" s="375"/>
      <c r="R588" s="375"/>
      <c r="S588" s="375"/>
      <c r="T588" s="386" t="s">
        <v>3349</v>
      </c>
      <c r="U588" s="330"/>
      <c r="V588" s="330"/>
      <c r="W588" s="330"/>
      <c r="X588" s="330"/>
      <c r="Y588" s="330"/>
      <c r="Z588" s="330"/>
    </row>
    <row r="589" spans="1:26" ht="12.5" hidden="1">
      <c r="A589" s="339">
        <v>638</v>
      </c>
      <c r="B589" s="379" t="s">
        <v>4424</v>
      </c>
      <c r="C589" s="380">
        <v>45036</v>
      </c>
      <c r="D589" s="338" t="s">
        <v>4435</v>
      </c>
      <c r="E589" s="381" t="s">
        <v>4426</v>
      </c>
      <c r="F589" s="382"/>
      <c r="G589" s="382"/>
      <c r="H589" s="381" t="s">
        <v>249</v>
      </c>
      <c r="I589" s="383">
        <v>1</v>
      </c>
      <c r="J589" s="384">
        <v>696660</v>
      </c>
      <c r="K589" s="384">
        <v>696660</v>
      </c>
      <c r="L589" s="385">
        <v>696660</v>
      </c>
      <c r="M589" s="385">
        <v>100</v>
      </c>
      <c r="N589" s="385">
        <v>696660</v>
      </c>
      <c r="O589" s="385">
        <v>0</v>
      </c>
      <c r="P589" s="375"/>
      <c r="Q589" s="375"/>
      <c r="R589" s="375"/>
      <c r="S589" s="375"/>
      <c r="T589" s="386" t="s">
        <v>3349</v>
      </c>
      <c r="U589" s="330"/>
      <c r="V589" s="330"/>
      <c r="W589" s="330"/>
      <c r="X589" s="330"/>
      <c r="Y589" s="330"/>
      <c r="Z589" s="330"/>
    </row>
    <row r="590" spans="1:26" ht="12.5" hidden="1">
      <c r="A590" s="378">
        <v>639</v>
      </c>
      <c r="B590" s="379" t="s">
        <v>4424</v>
      </c>
      <c r="C590" s="380">
        <v>45036</v>
      </c>
      <c r="D590" s="338" t="s">
        <v>4436</v>
      </c>
      <c r="E590" s="381" t="s">
        <v>4426</v>
      </c>
      <c r="F590" s="382"/>
      <c r="G590" s="382"/>
      <c r="H590" s="381" t="s">
        <v>249</v>
      </c>
      <c r="I590" s="383">
        <v>1</v>
      </c>
      <c r="J590" s="384">
        <v>696660</v>
      </c>
      <c r="K590" s="384">
        <v>696660</v>
      </c>
      <c r="L590" s="385">
        <v>696660</v>
      </c>
      <c r="M590" s="385">
        <v>100</v>
      </c>
      <c r="N590" s="385">
        <v>696660</v>
      </c>
      <c r="O590" s="385">
        <v>0</v>
      </c>
      <c r="P590" s="375"/>
      <c r="Q590" s="375"/>
      <c r="R590" s="375"/>
      <c r="S590" s="375"/>
      <c r="T590" s="386" t="s">
        <v>3349</v>
      </c>
      <c r="U590" s="330"/>
      <c r="V590" s="330"/>
      <c r="W590" s="330"/>
      <c r="X590" s="330"/>
      <c r="Y590" s="330"/>
      <c r="Z590" s="330"/>
    </row>
    <row r="591" spans="1:26" ht="12.5" hidden="1">
      <c r="A591" s="339">
        <v>640</v>
      </c>
      <c r="B591" s="379" t="s">
        <v>4424</v>
      </c>
      <c r="C591" s="380">
        <v>45036</v>
      </c>
      <c r="D591" s="338" t="s">
        <v>4437</v>
      </c>
      <c r="E591" s="381" t="s">
        <v>4426</v>
      </c>
      <c r="F591" s="382"/>
      <c r="G591" s="382"/>
      <c r="H591" s="381" t="s">
        <v>249</v>
      </c>
      <c r="I591" s="383">
        <v>1</v>
      </c>
      <c r="J591" s="384">
        <v>696660</v>
      </c>
      <c r="K591" s="384">
        <v>696660</v>
      </c>
      <c r="L591" s="385">
        <v>696660</v>
      </c>
      <c r="M591" s="385">
        <v>100</v>
      </c>
      <c r="N591" s="385">
        <v>696660</v>
      </c>
      <c r="O591" s="385">
        <v>0</v>
      </c>
      <c r="P591" s="375"/>
      <c r="Q591" s="375"/>
      <c r="R591" s="375"/>
      <c r="S591" s="375"/>
      <c r="T591" s="386" t="s">
        <v>3349</v>
      </c>
      <c r="U591" s="330"/>
      <c r="V591" s="330"/>
      <c r="W591" s="330"/>
      <c r="X591" s="330"/>
      <c r="Y591" s="330"/>
      <c r="Z591" s="330"/>
    </row>
    <row r="592" spans="1:26" ht="12.5" hidden="1">
      <c r="A592" s="378">
        <v>641</v>
      </c>
      <c r="B592" s="379" t="s">
        <v>4424</v>
      </c>
      <c r="C592" s="380">
        <v>45036</v>
      </c>
      <c r="D592" s="338" t="s">
        <v>4438</v>
      </c>
      <c r="E592" s="381" t="s">
        <v>4426</v>
      </c>
      <c r="F592" s="382"/>
      <c r="G592" s="382"/>
      <c r="H592" s="381" t="s">
        <v>249</v>
      </c>
      <c r="I592" s="383">
        <v>1</v>
      </c>
      <c r="J592" s="384">
        <v>696660</v>
      </c>
      <c r="K592" s="384">
        <v>696660</v>
      </c>
      <c r="L592" s="385">
        <v>696660</v>
      </c>
      <c r="M592" s="385">
        <v>100</v>
      </c>
      <c r="N592" s="385">
        <v>696660</v>
      </c>
      <c r="O592" s="385">
        <v>0</v>
      </c>
      <c r="P592" s="375"/>
      <c r="Q592" s="375"/>
      <c r="R592" s="375"/>
      <c r="S592" s="375"/>
      <c r="T592" s="386" t="s">
        <v>3349</v>
      </c>
      <c r="U592" s="330"/>
      <c r="V592" s="330"/>
      <c r="W592" s="330"/>
      <c r="X592" s="330"/>
      <c r="Y592" s="330"/>
      <c r="Z592" s="330"/>
    </row>
    <row r="593" spans="1:26" ht="12.5" hidden="1">
      <c r="A593" s="339">
        <v>642</v>
      </c>
      <c r="B593" s="379" t="s">
        <v>4424</v>
      </c>
      <c r="C593" s="380">
        <v>45036</v>
      </c>
      <c r="D593" s="338" t="s">
        <v>4439</v>
      </c>
      <c r="E593" s="381" t="s">
        <v>4426</v>
      </c>
      <c r="F593" s="382"/>
      <c r="G593" s="382"/>
      <c r="H593" s="381" t="s">
        <v>249</v>
      </c>
      <c r="I593" s="383">
        <v>1</v>
      </c>
      <c r="J593" s="384">
        <v>696660</v>
      </c>
      <c r="K593" s="384">
        <v>696660</v>
      </c>
      <c r="L593" s="385">
        <v>696660</v>
      </c>
      <c r="M593" s="385">
        <v>100</v>
      </c>
      <c r="N593" s="385">
        <v>696660</v>
      </c>
      <c r="O593" s="385">
        <v>0</v>
      </c>
      <c r="P593" s="375"/>
      <c r="Q593" s="375"/>
      <c r="R593" s="375"/>
      <c r="S593" s="375"/>
      <c r="T593" s="386" t="s">
        <v>3349</v>
      </c>
      <c r="U593" s="330"/>
      <c r="V593" s="330"/>
      <c r="W593" s="330"/>
      <c r="X593" s="330"/>
      <c r="Y593" s="330"/>
      <c r="Z593" s="330"/>
    </row>
    <row r="594" spans="1:26" ht="12.5" hidden="1">
      <c r="A594" s="378">
        <v>643</v>
      </c>
      <c r="B594" s="379" t="s">
        <v>4424</v>
      </c>
      <c r="C594" s="380">
        <v>45036</v>
      </c>
      <c r="D594" s="338" t="s">
        <v>4440</v>
      </c>
      <c r="E594" s="381" t="s">
        <v>4426</v>
      </c>
      <c r="F594" s="382"/>
      <c r="G594" s="382"/>
      <c r="H594" s="381" t="s">
        <v>249</v>
      </c>
      <c r="I594" s="383">
        <v>1</v>
      </c>
      <c r="J594" s="384">
        <v>696660</v>
      </c>
      <c r="K594" s="384">
        <v>696660</v>
      </c>
      <c r="L594" s="385">
        <v>696660</v>
      </c>
      <c r="M594" s="385">
        <v>100</v>
      </c>
      <c r="N594" s="385">
        <v>696660</v>
      </c>
      <c r="O594" s="385">
        <v>0</v>
      </c>
      <c r="P594" s="375"/>
      <c r="Q594" s="375"/>
      <c r="R594" s="375"/>
      <c r="S594" s="375"/>
      <c r="T594" s="386" t="s">
        <v>3349</v>
      </c>
      <c r="U594" s="330"/>
      <c r="V594" s="330"/>
      <c r="W594" s="330"/>
      <c r="X594" s="330"/>
      <c r="Y594" s="330"/>
      <c r="Z594" s="330"/>
    </row>
    <row r="595" spans="1:26" ht="12.5" hidden="1">
      <c r="A595" s="339">
        <v>644</v>
      </c>
      <c r="B595" s="379" t="s">
        <v>4424</v>
      </c>
      <c r="C595" s="380">
        <v>45036</v>
      </c>
      <c r="D595" s="338" t="s">
        <v>4441</v>
      </c>
      <c r="E595" s="381" t="s">
        <v>4426</v>
      </c>
      <c r="F595" s="382"/>
      <c r="G595" s="382"/>
      <c r="H595" s="381" t="s">
        <v>249</v>
      </c>
      <c r="I595" s="383">
        <v>1</v>
      </c>
      <c r="J595" s="384">
        <v>696660</v>
      </c>
      <c r="K595" s="384">
        <v>696660</v>
      </c>
      <c r="L595" s="385">
        <v>696660</v>
      </c>
      <c r="M595" s="385">
        <v>100</v>
      </c>
      <c r="N595" s="385">
        <v>696660</v>
      </c>
      <c r="O595" s="385">
        <v>0</v>
      </c>
      <c r="P595" s="375"/>
      <c r="Q595" s="375"/>
      <c r="R595" s="375"/>
      <c r="S595" s="375"/>
      <c r="T595" s="386" t="s">
        <v>3349</v>
      </c>
      <c r="U595" s="330"/>
      <c r="V595" s="330"/>
      <c r="W595" s="330"/>
      <c r="X595" s="330"/>
      <c r="Y595" s="330"/>
      <c r="Z595" s="330"/>
    </row>
    <row r="596" spans="1:26" ht="12.5" hidden="1">
      <c r="A596" s="378">
        <v>645</v>
      </c>
      <c r="B596" s="379" t="s">
        <v>4424</v>
      </c>
      <c r="C596" s="380">
        <v>45036</v>
      </c>
      <c r="D596" s="338" t="s">
        <v>4442</v>
      </c>
      <c r="E596" s="381" t="s">
        <v>4426</v>
      </c>
      <c r="F596" s="382"/>
      <c r="G596" s="382"/>
      <c r="H596" s="381" t="s">
        <v>249</v>
      </c>
      <c r="I596" s="383">
        <v>1</v>
      </c>
      <c r="J596" s="384">
        <v>696660</v>
      </c>
      <c r="K596" s="384">
        <v>696660</v>
      </c>
      <c r="L596" s="385">
        <v>696660</v>
      </c>
      <c r="M596" s="385">
        <v>100</v>
      </c>
      <c r="N596" s="385">
        <v>696660</v>
      </c>
      <c r="O596" s="385">
        <v>0</v>
      </c>
      <c r="P596" s="375"/>
      <c r="Q596" s="375"/>
      <c r="R596" s="375"/>
      <c r="S596" s="375"/>
      <c r="T596" s="386" t="s">
        <v>3349</v>
      </c>
      <c r="U596" s="330"/>
      <c r="V596" s="330"/>
      <c r="W596" s="330"/>
      <c r="X596" s="330"/>
      <c r="Y596" s="330"/>
      <c r="Z596" s="330"/>
    </row>
    <row r="597" spans="1:26" ht="12.5" hidden="1">
      <c r="A597" s="339">
        <v>646</v>
      </c>
      <c r="B597" s="379" t="s">
        <v>4424</v>
      </c>
      <c r="C597" s="380">
        <v>45036</v>
      </c>
      <c r="D597" s="338" t="s">
        <v>4443</v>
      </c>
      <c r="E597" s="381" t="s">
        <v>4426</v>
      </c>
      <c r="F597" s="382"/>
      <c r="G597" s="382"/>
      <c r="H597" s="381" t="s">
        <v>249</v>
      </c>
      <c r="I597" s="383">
        <v>1</v>
      </c>
      <c r="J597" s="384">
        <v>696660</v>
      </c>
      <c r="K597" s="384">
        <v>696660</v>
      </c>
      <c r="L597" s="385">
        <v>696660</v>
      </c>
      <c r="M597" s="385">
        <v>100</v>
      </c>
      <c r="N597" s="385">
        <v>696660</v>
      </c>
      <c r="O597" s="385">
        <v>0</v>
      </c>
      <c r="P597" s="375"/>
      <c r="Q597" s="375"/>
      <c r="R597" s="375"/>
      <c r="S597" s="375"/>
      <c r="T597" s="386" t="s">
        <v>3349</v>
      </c>
      <c r="U597" s="330"/>
      <c r="V597" s="330"/>
      <c r="W597" s="330"/>
      <c r="X597" s="330"/>
      <c r="Y597" s="330"/>
      <c r="Z597" s="330"/>
    </row>
    <row r="598" spans="1:26" ht="12.5" hidden="1">
      <c r="A598" s="378">
        <v>647</v>
      </c>
      <c r="B598" s="379" t="s">
        <v>4424</v>
      </c>
      <c r="C598" s="380">
        <v>45036</v>
      </c>
      <c r="D598" s="338" t="s">
        <v>4444</v>
      </c>
      <c r="E598" s="381" t="s">
        <v>4426</v>
      </c>
      <c r="F598" s="382"/>
      <c r="G598" s="382"/>
      <c r="H598" s="381" t="s">
        <v>249</v>
      </c>
      <c r="I598" s="383">
        <v>1</v>
      </c>
      <c r="J598" s="384">
        <v>696660</v>
      </c>
      <c r="K598" s="384">
        <v>696660</v>
      </c>
      <c r="L598" s="385">
        <v>696660</v>
      </c>
      <c r="M598" s="385">
        <v>100</v>
      </c>
      <c r="N598" s="385">
        <v>696660</v>
      </c>
      <c r="O598" s="385">
        <v>0</v>
      </c>
      <c r="P598" s="375"/>
      <c r="Q598" s="375"/>
      <c r="R598" s="375"/>
      <c r="S598" s="375"/>
      <c r="T598" s="386" t="s">
        <v>3349</v>
      </c>
      <c r="U598" s="330"/>
      <c r="V598" s="330"/>
      <c r="W598" s="330"/>
      <c r="X598" s="330"/>
      <c r="Y598" s="330"/>
      <c r="Z598" s="330"/>
    </row>
    <row r="599" spans="1:26" ht="12.5" hidden="1">
      <c r="A599" s="339">
        <v>648</v>
      </c>
      <c r="B599" s="379" t="s">
        <v>4424</v>
      </c>
      <c r="C599" s="380">
        <v>45036</v>
      </c>
      <c r="D599" s="338" t="s">
        <v>4445</v>
      </c>
      <c r="E599" s="381" t="s">
        <v>4426</v>
      </c>
      <c r="F599" s="382"/>
      <c r="G599" s="382"/>
      <c r="H599" s="381" t="s">
        <v>249</v>
      </c>
      <c r="I599" s="383">
        <v>1</v>
      </c>
      <c r="J599" s="384">
        <v>696660</v>
      </c>
      <c r="K599" s="384">
        <v>696660</v>
      </c>
      <c r="L599" s="385">
        <v>696660</v>
      </c>
      <c r="M599" s="385">
        <v>100</v>
      </c>
      <c r="N599" s="385">
        <v>696660</v>
      </c>
      <c r="O599" s="385">
        <v>0</v>
      </c>
      <c r="P599" s="375"/>
      <c r="Q599" s="375"/>
      <c r="R599" s="375"/>
      <c r="S599" s="375"/>
      <c r="T599" s="386" t="s">
        <v>3349</v>
      </c>
      <c r="U599" s="330"/>
      <c r="V599" s="330"/>
      <c r="W599" s="330"/>
      <c r="X599" s="330"/>
      <c r="Y599" s="330"/>
      <c r="Z599" s="330"/>
    </row>
    <row r="600" spans="1:26" ht="12.5" hidden="1">
      <c r="A600" s="378">
        <v>649</v>
      </c>
      <c r="B600" s="379" t="s">
        <v>4424</v>
      </c>
      <c r="C600" s="380">
        <v>45036</v>
      </c>
      <c r="D600" s="338" t="s">
        <v>4446</v>
      </c>
      <c r="E600" s="381" t="s">
        <v>4426</v>
      </c>
      <c r="F600" s="382"/>
      <c r="G600" s="382"/>
      <c r="H600" s="381" t="s">
        <v>249</v>
      </c>
      <c r="I600" s="383">
        <v>1</v>
      </c>
      <c r="J600" s="384">
        <v>696660</v>
      </c>
      <c r="K600" s="384">
        <v>696660</v>
      </c>
      <c r="L600" s="385">
        <v>696660</v>
      </c>
      <c r="M600" s="385">
        <v>100</v>
      </c>
      <c r="N600" s="385">
        <v>696660</v>
      </c>
      <c r="O600" s="385">
        <v>0</v>
      </c>
      <c r="P600" s="375"/>
      <c r="Q600" s="375"/>
      <c r="R600" s="375"/>
      <c r="S600" s="375"/>
      <c r="T600" s="386" t="s">
        <v>3349</v>
      </c>
      <c r="U600" s="330"/>
      <c r="V600" s="330"/>
      <c r="W600" s="330"/>
      <c r="X600" s="330"/>
      <c r="Y600" s="330"/>
      <c r="Z600" s="330"/>
    </row>
    <row r="601" spans="1:26" ht="12.5" hidden="1">
      <c r="A601" s="339">
        <v>650</v>
      </c>
      <c r="B601" s="379" t="s">
        <v>4424</v>
      </c>
      <c r="C601" s="380">
        <v>45036</v>
      </c>
      <c r="D601" s="338" t="s">
        <v>4447</v>
      </c>
      <c r="E601" s="381" t="s">
        <v>4426</v>
      </c>
      <c r="F601" s="382"/>
      <c r="G601" s="382"/>
      <c r="H601" s="381" t="s">
        <v>249</v>
      </c>
      <c r="I601" s="383">
        <v>1</v>
      </c>
      <c r="J601" s="384">
        <v>696660</v>
      </c>
      <c r="K601" s="384">
        <v>696660</v>
      </c>
      <c r="L601" s="385">
        <v>696660</v>
      </c>
      <c r="M601" s="385">
        <v>100</v>
      </c>
      <c r="N601" s="385">
        <v>696660</v>
      </c>
      <c r="O601" s="385">
        <v>0</v>
      </c>
      <c r="P601" s="375"/>
      <c r="Q601" s="375"/>
      <c r="R601" s="375"/>
      <c r="S601" s="375"/>
      <c r="T601" s="386" t="s">
        <v>3349</v>
      </c>
      <c r="U601" s="330"/>
      <c r="V601" s="330"/>
      <c r="W601" s="330"/>
      <c r="X601" s="330"/>
      <c r="Y601" s="330"/>
      <c r="Z601" s="330"/>
    </row>
    <row r="602" spans="1:26" ht="12.5" hidden="1">
      <c r="A602" s="378">
        <v>651</v>
      </c>
      <c r="B602" s="379" t="s">
        <v>4424</v>
      </c>
      <c r="C602" s="380">
        <v>45036</v>
      </c>
      <c r="D602" s="338" t="s">
        <v>4448</v>
      </c>
      <c r="E602" s="381" t="s">
        <v>4426</v>
      </c>
      <c r="F602" s="382"/>
      <c r="G602" s="382"/>
      <c r="H602" s="381" t="s">
        <v>249</v>
      </c>
      <c r="I602" s="383">
        <v>1</v>
      </c>
      <c r="J602" s="384">
        <v>696660</v>
      </c>
      <c r="K602" s="384">
        <v>696660</v>
      </c>
      <c r="L602" s="385">
        <v>696660</v>
      </c>
      <c r="M602" s="385">
        <v>100</v>
      </c>
      <c r="N602" s="385">
        <v>696660</v>
      </c>
      <c r="O602" s="385">
        <v>0</v>
      </c>
      <c r="P602" s="375"/>
      <c r="Q602" s="375"/>
      <c r="R602" s="375"/>
      <c r="S602" s="375"/>
      <c r="T602" s="386" t="s">
        <v>3349</v>
      </c>
      <c r="U602" s="330"/>
      <c r="V602" s="330"/>
      <c r="W602" s="330"/>
      <c r="X602" s="330"/>
      <c r="Y602" s="330"/>
      <c r="Z602" s="330"/>
    </row>
    <row r="603" spans="1:26" ht="12.5" hidden="1">
      <c r="A603" s="339">
        <v>652</v>
      </c>
      <c r="B603" s="379" t="s">
        <v>4424</v>
      </c>
      <c r="C603" s="380">
        <v>45036</v>
      </c>
      <c r="D603" s="338" t="s">
        <v>4449</v>
      </c>
      <c r="E603" s="381" t="s">
        <v>4426</v>
      </c>
      <c r="F603" s="382"/>
      <c r="G603" s="382"/>
      <c r="H603" s="381" t="s">
        <v>249</v>
      </c>
      <c r="I603" s="383">
        <v>1</v>
      </c>
      <c r="J603" s="384">
        <v>696660</v>
      </c>
      <c r="K603" s="384">
        <v>696660</v>
      </c>
      <c r="L603" s="385">
        <v>696660</v>
      </c>
      <c r="M603" s="385">
        <v>100</v>
      </c>
      <c r="N603" s="385">
        <v>696660</v>
      </c>
      <c r="O603" s="385">
        <v>0</v>
      </c>
      <c r="P603" s="375"/>
      <c r="Q603" s="375"/>
      <c r="R603" s="375"/>
      <c r="S603" s="375"/>
      <c r="T603" s="386" t="s">
        <v>3349</v>
      </c>
      <c r="U603" s="330"/>
      <c r="V603" s="330"/>
      <c r="W603" s="330"/>
      <c r="X603" s="330"/>
      <c r="Y603" s="330"/>
      <c r="Z603" s="330"/>
    </row>
    <row r="604" spans="1:26" ht="12.5" hidden="1">
      <c r="A604" s="378">
        <v>653</v>
      </c>
      <c r="B604" s="379" t="s">
        <v>4424</v>
      </c>
      <c r="C604" s="380">
        <v>45036</v>
      </c>
      <c r="D604" s="338" t="s">
        <v>4450</v>
      </c>
      <c r="E604" s="381" t="s">
        <v>4426</v>
      </c>
      <c r="F604" s="382"/>
      <c r="G604" s="382"/>
      <c r="H604" s="381" t="s">
        <v>249</v>
      </c>
      <c r="I604" s="383">
        <v>1</v>
      </c>
      <c r="J604" s="384">
        <v>696660</v>
      </c>
      <c r="K604" s="384">
        <v>696660</v>
      </c>
      <c r="L604" s="385">
        <v>696660</v>
      </c>
      <c r="M604" s="385">
        <v>100</v>
      </c>
      <c r="N604" s="385">
        <v>696660</v>
      </c>
      <c r="O604" s="385">
        <v>0</v>
      </c>
      <c r="P604" s="375"/>
      <c r="Q604" s="375"/>
      <c r="R604" s="375"/>
      <c r="S604" s="375"/>
      <c r="T604" s="386" t="s">
        <v>3349</v>
      </c>
      <c r="U604" s="330"/>
      <c r="V604" s="330"/>
      <c r="W604" s="330"/>
      <c r="X604" s="330"/>
      <c r="Y604" s="330"/>
      <c r="Z604" s="330"/>
    </row>
    <row r="605" spans="1:26" ht="12.5" hidden="1">
      <c r="A605" s="339">
        <v>654</v>
      </c>
      <c r="B605" s="379" t="s">
        <v>4424</v>
      </c>
      <c r="C605" s="380">
        <v>45036</v>
      </c>
      <c r="D605" s="338" t="s">
        <v>4451</v>
      </c>
      <c r="E605" s="381" t="s">
        <v>4426</v>
      </c>
      <c r="F605" s="382"/>
      <c r="G605" s="382"/>
      <c r="H605" s="381" t="s">
        <v>249</v>
      </c>
      <c r="I605" s="383">
        <v>1</v>
      </c>
      <c r="J605" s="384">
        <v>696660</v>
      </c>
      <c r="K605" s="384">
        <v>696660</v>
      </c>
      <c r="L605" s="385">
        <v>696660</v>
      </c>
      <c r="M605" s="385">
        <v>100</v>
      </c>
      <c r="N605" s="385">
        <v>696660</v>
      </c>
      <c r="O605" s="385">
        <v>0</v>
      </c>
      <c r="P605" s="375"/>
      <c r="Q605" s="375"/>
      <c r="R605" s="375"/>
      <c r="S605" s="375"/>
      <c r="T605" s="386" t="s">
        <v>3349</v>
      </c>
      <c r="U605" s="330"/>
      <c r="V605" s="330"/>
      <c r="W605" s="330"/>
      <c r="X605" s="330"/>
      <c r="Y605" s="330"/>
      <c r="Z605" s="330"/>
    </row>
    <row r="606" spans="1:26" ht="12.5" hidden="1">
      <c r="A606" s="378">
        <v>655</v>
      </c>
      <c r="B606" s="379" t="s">
        <v>4424</v>
      </c>
      <c r="C606" s="380">
        <v>45036</v>
      </c>
      <c r="D606" s="338" t="s">
        <v>4452</v>
      </c>
      <c r="E606" s="381" t="s">
        <v>4426</v>
      </c>
      <c r="F606" s="382"/>
      <c r="G606" s="382"/>
      <c r="H606" s="381" t="s">
        <v>249</v>
      </c>
      <c r="I606" s="383">
        <v>1</v>
      </c>
      <c r="J606" s="384">
        <v>696660</v>
      </c>
      <c r="K606" s="384">
        <v>696660</v>
      </c>
      <c r="L606" s="385">
        <v>696660</v>
      </c>
      <c r="M606" s="385">
        <v>100</v>
      </c>
      <c r="N606" s="385">
        <v>696660</v>
      </c>
      <c r="O606" s="385">
        <v>0</v>
      </c>
      <c r="P606" s="375"/>
      <c r="Q606" s="375"/>
      <c r="R606" s="375"/>
      <c r="S606" s="375"/>
      <c r="T606" s="386" t="s">
        <v>3349</v>
      </c>
      <c r="U606" s="330"/>
      <c r="V606" s="330"/>
      <c r="W606" s="330"/>
      <c r="X606" s="330"/>
      <c r="Y606" s="330"/>
      <c r="Z606" s="330"/>
    </row>
    <row r="607" spans="1:26" ht="12.5" hidden="1">
      <c r="A607" s="339">
        <v>656</v>
      </c>
      <c r="B607" s="379" t="s">
        <v>4424</v>
      </c>
      <c r="C607" s="380">
        <v>45036</v>
      </c>
      <c r="D607" s="338" t="s">
        <v>4453</v>
      </c>
      <c r="E607" s="381" t="s">
        <v>4426</v>
      </c>
      <c r="F607" s="382"/>
      <c r="G607" s="382"/>
      <c r="H607" s="381" t="s">
        <v>249</v>
      </c>
      <c r="I607" s="383">
        <v>1</v>
      </c>
      <c r="J607" s="384">
        <v>696660</v>
      </c>
      <c r="K607" s="384">
        <v>696660</v>
      </c>
      <c r="L607" s="385">
        <v>696660</v>
      </c>
      <c r="M607" s="385">
        <v>100</v>
      </c>
      <c r="N607" s="385">
        <v>696660</v>
      </c>
      <c r="O607" s="385">
        <v>0</v>
      </c>
      <c r="P607" s="375"/>
      <c r="Q607" s="375"/>
      <c r="R607" s="375"/>
      <c r="S607" s="375"/>
      <c r="T607" s="386" t="s">
        <v>3349</v>
      </c>
      <c r="U607" s="330"/>
      <c r="V607" s="330"/>
      <c r="W607" s="330"/>
      <c r="X607" s="330"/>
      <c r="Y607" s="330"/>
      <c r="Z607" s="330"/>
    </row>
    <row r="608" spans="1:26" ht="12.5" hidden="1">
      <c r="A608" s="378">
        <v>657</v>
      </c>
      <c r="B608" s="379" t="s">
        <v>4424</v>
      </c>
      <c r="C608" s="380">
        <v>45036</v>
      </c>
      <c r="D608" s="338" t="s">
        <v>4454</v>
      </c>
      <c r="E608" s="381" t="s">
        <v>4426</v>
      </c>
      <c r="F608" s="382"/>
      <c r="G608" s="382"/>
      <c r="H608" s="381" t="s">
        <v>249</v>
      </c>
      <c r="I608" s="383">
        <v>1</v>
      </c>
      <c r="J608" s="384">
        <v>696660</v>
      </c>
      <c r="K608" s="384">
        <v>696660</v>
      </c>
      <c r="L608" s="385">
        <v>696660</v>
      </c>
      <c r="M608" s="385">
        <v>100</v>
      </c>
      <c r="N608" s="385">
        <v>696660</v>
      </c>
      <c r="O608" s="385">
        <v>0</v>
      </c>
      <c r="P608" s="375"/>
      <c r="Q608" s="375"/>
      <c r="R608" s="375"/>
      <c r="S608" s="375"/>
      <c r="T608" s="386" t="s">
        <v>3349</v>
      </c>
      <c r="U608" s="330"/>
      <c r="V608" s="330"/>
      <c r="W608" s="330"/>
      <c r="X608" s="330"/>
      <c r="Y608" s="330"/>
      <c r="Z608" s="330"/>
    </row>
    <row r="609" spans="1:26" ht="12.5" hidden="1">
      <c r="A609" s="339">
        <v>658</v>
      </c>
      <c r="B609" s="379" t="s">
        <v>4424</v>
      </c>
      <c r="C609" s="380">
        <v>45036</v>
      </c>
      <c r="D609" s="338" t="s">
        <v>4455</v>
      </c>
      <c r="E609" s="381" t="s">
        <v>4426</v>
      </c>
      <c r="F609" s="382"/>
      <c r="G609" s="382"/>
      <c r="H609" s="381" t="s">
        <v>249</v>
      </c>
      <c r="I609" s="383">
        <v>1</v>
      </c>
      <c r="J609" s="384">
        <v>696860</v>
      </c>
      <c r="K609" s="384">
        <v>696860</v>
      </c>
      <c r="L609" s="385">
        <v>696860</v>
      </c>
      <c r="M609" s="385">
        <v>100</v>
      </c>
      <c r="N609" s="385">
        <v>696860</v>
      </c>
      <c r="O609" s="385">
        <v>0</v>
      </c>
      <c r="P609" s="375"/>
      <c r="Q609" s="375"/>
      <c r="R609" s="375"/>
      <c r="S609" s="375"/>
      <c r="T609" s="386" t="s">
        <v>3349</v>
      </c>
      <c r="U609" s="330"/>
      <c r="V609" s="330"/>
      <c r="W609" s="330"/>
      <c r="X609" s="330"/>
      <c r="Y609" s="330"/>
      <c r="Z609" s="330"/>
    </row>
    <row r="610" spans="1:26" ht="12.5" hidden="1">
      <c r="A610" s="378">
        <v>659</v>
      </c>
      <c r="B610" s="379" t="s">
        <v>4456</v>
      </c>
      <c r="C610" s="380">
        <v>45257</v>
      </c>
      <c r="D610" s="338" t="s">
        <v>4457</v>
      </c>
      <c r="E610" s="381" t="s">
        <v>4458</v>
      </c>
      <c r="F610" s="382"/>
      <c r="G610" s="382"/>
      <c r="H610" s="381" t="s">
        <v>249</v>
      </c>
      <c r="I610" s="383">
        <v>1</v>
      </c>
      <c r="J610" s="384">
        <v>2491000</v>
      </c>
      <c r="K610" s="384">
        <v>2491000</v>
      </c>
      <c r="L610" s="385">
        <v>2491000</v>
      </c>
      <c r="M610" s="385">
        <v>100</v>
      </c>
      <c r="N610" s="385">
        <v>2491000</v>
      </c>
      <c r="O610" s="385">
        <v>0</v>
      </c>
      <c r="P610" s="375"/>
      <c r="Q610" s="375"/>
      <c r="R610" s="375"/>
      <c r="S610" s="375"/>
      <c r="T610" s="386" t="s">
        <v>3349</v>
      </c>
      <c r="U610" s="330"/>
      <c r="V610" s="330"/>
      <c r="W610" s="330"/>
      <c r="X610" s="330"/>
      <c r="Y610" s="330"/>
      <c r="Z610" s="330"/>
    </row>
    <row r="611" spans="1:26" ht="12.5" hidden="1">
      <c r="A611" s="339">
        <v>660</v>
      </c>
      <c r="B611" s="379" t="s">
        <v>4456</v>
      </c>
      <c r="C611" s="380">
        <v>45257</v>
      </c>
      <c r="D611" s="338" t="s">
        <v>4459</v>
      </c>
      <c r="E611" s="381" t="s">
        <v>4458</v>
      </c>
      <c r="F611" s="382"/>
      <c r="G611" s="382"/>
      <c r="H611" s="381" t="s">
        <v>249</v>
      </c>
      <c r="I611" s="383">
        <v>1</v>
      </c>
      <c r="J611" s="384">
        <v>2491000</v>
      </c>
      <c r="K611" s="384">
        <v>2491000</v>
      </c>
      <c r="L611" s="385">
        <v>2491000</v>
      </c>
      <c r="M611" s="385">
        <v>100</v>
      </c>
      <c r="N611" s="385">
        <v>2491000</v>
      </c>
      <c r="O611" s="385">
        <v>0</v>
      </c>
      <c r="P611" s="375"/>
      <c r="Q611" s="375"/>
      <c r="R611" s="375"/>
      <c r="S611" s="375"/>
      <c r="T611" s="386" t="s">
        <v>3349</v>
      </c>
      <c r="U611" s="330"/>
      <c r="V611" s="330"/>
      <c r="W611" s="330"/>
      <c r="X611" s="330"/>
      <c r="Y611" s="330"/>
      <c r="Z611" s="330"/>
    </row>
    <row r="612" spans="1:26" ht="12.5" hidden="1">
      <c r="A612" s="378">
        <v>661</v>
      </c>
      <c r="B612" s="379" t="s">
        <v>4456</v>
      </c>
      <c r="C612" s="380">
        <v>45257</v>
      </c>
      <c r="D612" s="338" t="s">
        <v>4460</v>
      </c>
      <c r="E612" s="381" t="s">
        <v>4458</v>
      </c>
      <c r="F612" s="382"/>
      <c r="G612" s="382"/>
      <c r="H612" s="381" t="s">
        <v>249</v>
      </c>
      <c r="I612" s="383">
        <v>1</v>
      </c>
      <c r="J612" s="384">
        <v>2491000</v>
      </c>
      <c r="K612" s="384">
        <v>2491000</v>
      </c>
      <c r="L612" s="385">
        <v>2491000</v>
      </c>
      <c r="M612" s="385">
        <v>100</v>
      </c>
      <c r="N612" s="385">
        <v>2491000</v>
      </c>
      <c r="O612" s="385">
        <v>0</v>
      </c>
      <c r="P612" s="375"/>
      <c r="Q612" s="375"/>
      <c r="R612" s="375"/>
      <c r="S612" s="375"/>
      <c r="T612" s="386" t="s">
        <v>3349</v>
      </c>
      <c r="U612" s="330"/>
      <c r="V612" s="330"/>
      <c r="W612" s="330"/>
      <c r="X612" s="330"/>
      <c r="Y612" s="330"/>
      <c r="Z612" s="330"/>
    </row>
    <row r="613" spans="1:26" ht="12.5" hidden="1">
      <c r="A613" s="339">
        <v>662</v>
      </c>
      <c r="B613" s="379" t="s">
        <v>4456</v>
      </c>
      <c r="C613" s="380">
        <v>45257</v>
      </c>
      <c r="D613" s="338" t="s">
        <v>4461</v>
      </c>
      <c r="E613" s="381" t="s">
        <v>4458</v>
      </c>
      <c r="F613" s="382"/>
      <c r="G613" s="382"/>
      <c r="H613" s="381" t="s">
        <v>249</v>
      </c>
      <c r="I613" s="383">
        <v>1</v>
      </c>
      <c r="J613" s="384">
        <v>2491000</v>
      </c>
      <c r="K613" s="384">
        <v>2491000</v>
      </c>
      <c r="L613" s="385">
        <v>2491000</v>
      </c>
      <c r="M613" s="385">
        <v>100</v>
      </c>
      <c r="N613" s="385">
        <v>2491000</v>
      </c>
      <c r="O613" s="385">
        <v>0</v>
      </c>
      <c r="P613" s="375"/>
      <c r="Q613" s="375"/>
      <c r="R613" s="375"/>
      <c r="S613" s="375"/>
      <c r="T613" s="386" t="s">
        <v>3349</v>
      </c>
      <c r="U613" s="330"/>
      <c r="V613" s="330"/>
      <c r="W613" s="330"/>
      <c r="X613" s="330"/>
      <c r="Y613" s="330"/>
      <c r="Z613" s="330"/>
    </row>
    <row r="614" spans="1:26" ht="12.5" hidden="1">
      <c r="A614" s="378">
        <v>663</v>
      </c>
      <c r="B614" s="379" t="s">
        <v>4456</v>
      </c>
      <c r="C614" s="380">
        <v>45257</v>
      </c>
      <c r="D614" s="338" t="s">
        <v>4462</v>
      </c>
      <c r="E614" s="381" t="s">
        <v>4463</v>
      </c>
      <c r="F614" s="382"/>
      <c r="G614" s="382"/>
      <c r="H614" s="381" t="s">
        <v>249</v>
      </c>
      <c r="I614" s="383">
        <v>1</v>
      </c>
      <c r="J614" s="384">
        <v>2292000</v>
      </c>
      <c r="K614" s="384">
        <v>2292000</v>
      </c>
      <c r="L614" s="385">
        <v>2292000</v>
      </c>
      <c r="M614" s="385">
        <v>100</v>
      </c>
      <c r="N614" s="385">
        <v>2292000</v>
      </c>
      <c r="O614" s="385">
        <v>0</v>
      </c>
      <c r="P614" s="375"/>
      <c r="Q614" s="375"/>
      <c r="R614" s="375"/>
      <c r="S614" s="375"/>
      <c r="T614" s="386" t="s">
        <v>3349</v>
      </c>
      <c r="U614" s="330"/>
      <c r="V614" s="330"/>
      <c r="W614" s="330"/>
      <c r="X614" s="330"/>
      <c r="Y614" s="330"/>
      <c r="Z614" s="330"/>
    </row>
    <row r="615" spans="1:26" ht="12.5" hidden="1">
      <c r="A615" s="339">
        <v>664</v>
      </c>
      <c r="B615" s="379" t="s">
        <v>4456</v>
      </c>
      <c r="C615" s="380">
        <v>45257</v>
      </c>
      <c r="D615" s="338" t="s">
        <v>4464</v>
      </c>
      <c r="E615" s="381" t="s">
        <v>4463</v>
      </c>
      <c r="F615" s="382"/>
      <c r="G615" s="382"/>
      <c r="H615" s="381" t="s">
        <v>249</v>
      </c>
      <c r="I615" s="383">
        <v>1</v>
      </c>
      <c r="J615" s="384">
        <v>2292000</v>
      </c>
      <c r="K615" s="384">
        <v>2292000</v>
      </c>
      <c r="L615" s="385">
        <v>2292000</v>
      </c>
      <c r="M615" s="385">
        <v>100</v>
      </c>
      <c r="N615" s="385">
        <v>2292000</v>
      </c>
      <c r="O615" s="385">
        <v>0</v>
      </c>
      <c r="P615" s="375"/>
      <c r="Q615" s="375"/>
      <c r="R615" s="375"/>
      <c r="S615" s="375"/>
      <c r="T615" s="386" t="s">
        <v>3349</v>
      </c>
      <c r="U615" s="330"/>
      <c r="V615" s="330"/>
      <c r="W615" s="330"/>
      <c r="X615" s="330"/>
      <c r="Y615" s="330"/>
      <c r="Z615" s="330"/>
    </row>
    <row r="616" spans="1:26" ht="12.5" hidden="1">
      <c r="A616" s="378">
        <v>665</v>
      </c>
      <c r="B616" s="379" t="s">
        <v>4456</v>
      </c>
      <c r="C616" s="380">
        <v>45257</v>
      </c>
      <c r="D616" s="338" t="s">
        <v>4465</v>
      </c>
      <c r="E616" s="381" t="s">
        <v>4463</v>
      </c>
      <c r="F616" s="382"/>
      <c r="G616" s="382"/>
      <c r="H616" s="381" t="s">
        <v>249</v>
      </c>
      <c r="I616" s="383">
        <v>1</v>
      </c>
      <c r="J616" s="384">
        <v>2292000</v>
      </c>
      <c r="K616" s="384">
        <v>2292000</v>
      </c>
      <c r="L616" s="385">
        <v>2292000</v>
      </c>
      <c r="M616" s="385">
        <v>100</v>
      </c>
      <c r="N616" s="385">
        <v>2292000</v>
      </c>
      <c r="O616" s="385">
        <v>0</v>
      </c>
      <c r="P616" s="375"/>
      <c r="Q616" s="375"/>
      <c r="R616" s="375"/>
      <c r="S616" s="375"/>
      <c r="T616" s="386" t="s">
        <v>3349</v>
      </c>
      <c r="U616" s="330"/>
      <c r="V616" s="330"/>
      <c r="W616" s="330"/>
      <c r="X616" s="330"/>
      <c r="Y616" s="330"/>
      <c r="Z616" s="330"/>
    </row>
    <row r="617" spans="1:26" ht="12.5" hidden="1">
      <c r="A617" s="339">
        <v>666</v>
      </c>
      <c r="B617" s="379" t="s">
        <v>4456</v>
      </c>
      <c r="C617" s="380">
        <v>45257</v>
      </c>
      <c r="D617" s="338" t="s">
        <v>4467</v>
      </c>
      <c r="E617" s="381" t="s">
        <v>4463</v>
      </c>
      <c r="F617" s="382"/>
      <c r="G617" s="382"/>
      <c r="H617" s="381" t="s">
        <v>249</v>
      </c>
      <c r="I617" s="383">
        <v>1</v>
      </c>
      <c r="J617" s="384">
        <v>2292000</v>
      </c>
      <c r="K617" s="384">
        <v>2292000</v>
      </c>
      <c r="L617" s="385">
        <v>2292000</v>
      </c>
      <c r="M617" s="385">
        <v>100</v>
      </c>
      <c r="N617" s="385">
        <v>2292000</v>
      </c>
      <c r="O617" s="385">
        <v>0</v>
      </c>
      <c r="P617" s="375"/>
      <c r="Q617" s="375"/>
      <c r="R617" s="375"/>
      <c r="S617" s="375"/>
      <c r="T617" s="386" t="s">
        <v>3349</v>
      </c>
      <c r="U617" s="330"/>
      <c r="V617" s="330"/>
      <c r="W617" s="330"/>
      <c r="X617" s="330"/>
      <c r="Y617" s="330"/>
      <c r="Z617" s="330"/>
    </row>
    <row r="618" spans="1:26" ht="12.5" hidden="1">
      <c r="A618" s="378">
        <v>667</v>
      </c>
      <c r="B618" s="379" t="s">
        <v>4456</v>
      </c>
      <c r="C618" s="380">
        <v>45257</v>
      </c>
      <c r="D618" s="338" t="s">
        <v>4468</v>
      </c>
      <c r="E618" s="381" t="s">
        <v>4463</v>
      </c>
      <c r="F618" s="382"/>
      <c r="G618" s="382"/>
      <c r="H618" s="381" t="s">
        <v>249</v>
      </c>
      <c r="I618" s="383">
        <v>1</v>
      </c>
      <c r="J618" s="384">
        <v>2292000</v>
      </c>
      <c r="K618" s="384">
        <v>2292000</v>
      </c>
      <c r="L618" s="385">
        <v>2292000</v>
      </c>
      <c r="M618" s="385">
        <v>100</v>
      </c>
      <c r="N618" s="385">
        <v>2292000</v>
      </c>
      <c r="O618" s="385">
        <v>0</v>
      </c>
      <c r="P618" s="375"/>
      <c r="Q618" s="375"/>
      <c r="R618" s="375"/>
      <c r="S618" s="375"/>
      <c r="T618" s="386" t="s">
        <v>3349</v>
      </c>
      <c r="U618" s="330"/>
      <c r="V618" s="330"/>
      <c r="W618" s="330"/>
      <c r="X618" s="330"/>
      <c r="Y618" s="330"/>
      <c r="Z618" s="330"/>
    </row>
    <row r="619" spans="1:26" ht="12.5" hidden="1">
      <c r="A619" s="339">
        <v>668</v>
      </c>
      <c r="B619" s="379" t="s">
        <v>4456</v>
      </c>
      <c r="C619" s="380">
        <v>45257</v>
      </c>
      <c r="D619" s="338" t="s">
        <v>4469</v>
      </c>
      <c r="E619" s="381" t="s">
        <v>4463</v>
      </c>
      <c r="F619" s="382"/>
      <c r="G619" s="382"/>
      <c r="H619" s="381" t="s">
        <v>249</v>
      </c>
      <c r="I619" s="383">
        <v>1</v>
      </c>
      <c r="J619" s="384">
        <v>2292000</v>
      </c>
      <c r="K619" s="384">
        <v>2292000</v>
      </c>
      <c r="L619" s="385">
        <v>2292000</v>
      </c>
      <c r="M619" s="385">
        <v>100</v>
      </c>
      <c r="N619" s="385">
        <v>2292000</v>
      </c>
      <c r="O619" s="385">
        <v>0</v>
      </c>
      <c r="P619" s="375"/>
      <c r="Q619" s="375"/>
      <c r="R619" s="375"/>
      <c r="S619" s="375"/>
      <c r="T619" s="386" t="s">
        <v>3349</v>
      </c>
      <c r="U619" s="330"/>
      <c r="V619" s="330"/>
      <c r="W619" s="330"/>
      <c r="X619" s="330"/>
      <c r="Y619" s="330"/>
      <c r="Z619" s="330"/>
    </row>
    <row r="620" spans="1:26" ht="12.5" hidden="1">
      <c r="A620" s="378">
        <v>669</v>
      </c>
      <c r="B620" s="379" t="s">
        <v>4456</v>
      </c>
      <c r="C620" s="380">
        <v>45257</v>
      </c>
      <c r="D620" s="338" t="s">
        <v>4470</v>
      </c>
      <c r="E620" s="381" t="s">
        <v>4463</v>
      </c>
      <c r="F620" s="382"/>
      <c r="G620" s="382"/>
      <c r="H620" s="381" t="s">
        <v>249</v>
      </c>
      <c r="I620" s="383">
        <v>1</v>
      </c>
      <c r="J620" s="384">
        <v>2292000</v>
      </c>
      <c r="K620" s="384">
        <v>2292000</v>
      </c>
      <c r="L620" s="385">
        <v>2292000</v>
      </c>
      <c r="M620" s="385">
        <v>100</v>
      </c>
      <c r="N620" s="385">
        <v>2292000</v>
      </c>
      <c r="O620" s="385">
        <v>0</v>
      </c>
      <c r="P620" s="375"/>
      <c r="Q620" s="375"/>
      <c r="R620" s="375"/>
      <c r="S620" s="375"/>
      <c r="T620" s="386" t="s">
        <v>3349</v>
      </c>
      <c r="U620" s="330"/>
      <c r="V620" s="330"/>
      <c r="W620" s="330"/>
      <c r="X620" s="330"/>
      <c r="Y620" s="330"/>
      <c r="Z620" s="330"/>
    </row>
    <row r="621" spans="1:26" ht="12.5" hidden="1">
      <c r="A621" s="339">
        <v>670</v>
      </c>
      <c r="B621" s="379" t="s">
        <v>4456</v>
      </c>
      <c r="C621" s="380">
        <v>45257</v>
      </c>
      <c r="D621" s="338" t="s">
        <v>4471</v>
      </c>
      <c r="E621" s="381" t="s">
        <v>4463</v>
      </c>
      <c r="F621" s="382"/>
      <c r="G621" s="382"/>
      <c r="H621" s="381" t="s">
        <v>249</v>
      </c>
      <c r="I621" s="383">
        <v>1</v>
      </c>
      <c r="J621" s="384">
        <v>2292000</v>
      </c>
      <c r="K621" s="384">
        <v>2292000</v>
      </c>
      <c r="L621" s="385">
        <v>2292000</v>
      </c>
      <c r="M621" s="385">
        <v>100</v>
      </c>
      <c r="N621" s="385">
        <v>2292000</v>
      </c>
      <c r="O621" s="385">
        <v>0</v>
      </c>
      <c r="P621" s="375"/>
      <c r="Q621" s="375"/>
      <c r="R621" s="375"/>
      <c r="S621" s="375"/>
      <c r="T621" s="386" t="s">
        <v>3349</v>
      </c>
      <c r="U621" s="330"/>
      <c r="V621" s="330"/>
      <c r="W621" s="330"/>
      <c r="X621" s="330"/>
      <c r="Y621" s="330"/>
      <c r="Z621" s="330"/>
    </row>
    <row r="622" spans="1:26" ht="12.5" hidden="1">
      <c r="A622" s="378">
        <v>671</v>
      </c>
      <c r="B622" s="379" t="s">
        <v>4472</v>
      </c>
      <c r="C622" s="380">
        <v>45260</v>
      </c>
      <c r="D622" s="338" t="s">
        <v>4473</v>
      </c>
      <c r="E622" s="381" t="s">
        <v>4474</v>
      </c>
      <c r="F622" s="382"/>
      <c r="G622" s="382"/>
      <c r="H622" s="381" t="s">
        <v>4475</v>
      </c>
      <c r="I622" s="383">
        <v>1</v>
      </c>
      <c r="J622" s="384">
        <v>26325000</v>
      </c>
      <c r="K622" s="384">
        <v>26325000</v>
      </c>
      <c r="L622" s="385">
        <v>26325000</v>
      </c>
      <c r="M622" s="385">
        <v>33</v>
      </c>
      <c r="N622" s="385">
        <v>8775000</v>
      </c>
      <c r="O622" s="385">
        <v>17550000</v>
      </c>
      <c r="P622" s="375"/>
      <c r="Q622" s="375" t="s">
        <v>294</v>
      </c>
      <c r="R622" s="375" t="s">
        <v>4476</v>
      </c>
      <c r="S622" s="375"/>
      <c r="T622" s="386" t="s">
        <v>3349</v>
      </c>
      <c r="U622" s="330"/>
      <c r="V622" s="330"/>
      <c r="W622" s="330"/>
      <c r="X622" s="330"/>
      <c r="Y622" s="330"/>
      <c r="Z622" s="330"/>
    </row>
    <row r="623" spans="1:26" ht="12.5" hidden="1">
      <c r="A623" s="339">
        <v>672</v>
      </c>
      <c r="B623" s="379" t="s">
        <v>4477</v>
      </c>
      <c r="C623" s="380">
        <v>45168</v>
      </c>
      <c r="D623" s="338" t="s">
        <v>4478</v>
      </c>
      <c r="E623" s="381" t="s">
        <v>4479</v>
      </c>
      <c r="F623" s="381" t="s">
        <v>5103</v>
      </c>
      <c r="G623" s="381" t="s">
        <v>307</v>
      </c>
      <c r="H623" s="381" t="s">
        <v>249</v>
      </c>
      <c r="I623" s="383">
        <v>1</v>
      </c>
      <c r="J623" s="384">
        <v>1900000</v>
      </c>
      <c r="K623" s="384">
        <v>1900000</v>
      </c>
      <c r="L623" s="385">
        <v>1900000</v>
      </c>
      <c r="M623" s="385">
        <v>100</v>
      </c>
      <c r="N623" s="385">
        <v>1900000</v>
      </c>
      <c r="O623" s="385">
        <v>0</v>
      </c>
      <c r="P623" s="375"/>
      <c r="Q623" s="375"/>
      <c r="R623" s="375"/>
      <c r="S623" s="375"/>
      <c r="T623" s="386" t="s">
        <v>3349</v>
      </c>
      <c r="U623" s="330"/>
      <c r="V623" s="330"/>
      <c r="W623" s="330"/>
      <c r="X623" s="330"/>
      <c r="Y623" s="330"/>
      <c r="Z623" s="330"/>
    </row>
    <row r="624" spans="1:26" ht="12.5" hidden="1">
      <c r="A624" s="378">
        <v>673</v>
      </c>
      <c r="B624" s="379" t="s">
        <v>4477</v>
      </c>
      <c r="C624" s="380">
        <v>45168</v>
      </c>
      <c r="D624" s="338" t="s">
        <v>4480</v>
      </c>
      <c r="E624" s="381" t="s">
        <v>4479</v>
      </c>
      <c r="F624" s="381" t="s">
        <v>5104</v>
      </c>
      <c r="G624" s="381" t="s">
        <v>307</v>
      </c>
      <c r="H624" s="381" t="s">
        <v>249</v>
      </c>
      <c r="I624" s="383">
        <v>1</v>
      </c>
      <c r="J624" s="384">
        <v>1900000</v>
      </c>
      <c r="K624" s="384">
        <v>1900000</v>
      </c>
      <c r="L624" s="385">
        <v>1900000</v>
      </c>
      <c r="M624" s="385">
        <v>100</v>
      </c>
      <c r="N624" s="385">
        <v>1900000</v>
      </c>
      <c r="O624" s="385">
        <v>0</v>
      </c>
      <c r="P624" s="375"/>
      <c r="Q624" s="375"/>
      <c r="R624" s="375"/>
      <c r="S624" s="375"/>
      <c r="T624" s="386" t="s">
        <v>3349</v>
      </c>
      <c r="U624" s="330"/>
      <c r="V624" s="330"/>
      <c r="W624" s="330"/>
      <c r="X624" s="330"/>
      <c r="Y624" s="330"/>
      <c r="Z624" s="330"/>
    </row>
    <row r="625" spans="1:26" ht="12.5" hidden="1">
      <c r="A625" s="339">
        <v>674</v>
      </c>
      <c r="B625" s="379" t="s">
        <v>4477</v>
      </c>
      <c r="C625" s="380">
        <v>45168</v>
      </c>
      <c r="D625" s="338" t="s">
        <v>4481</v>
      </c>
      <c r="E625" s="381" t="s">
        <v>4479</v>
      </c>
      <c r="F625" s="381" t="s">
        <v>5105</v>
      </c>
      <c r="G625" s="381" t="s">
        <v>307</v>
      </c>
      <c r="H625" s="381" t="s">
        <v>249</v>
      </c>
      <c r="I625" s="383">
        <v>1</v>
      </c>
      <c r="J625" s="384">
        <v>1900000</v>
      </c>
      <c r="K625" s="384">
        <v>1900000</v>
      </c>
      <c r="L625" s="385">
        <v>1900000</v>
      </c>
      <c r="M625" s="385">
        <v>100</v>
      </c>
      <c r="N625" s="385">
        <v>1900000</v>
      </c>
      <c r="O625" s="385">
        <v>0</v>
      </c>
      <c r="P625" s="375"/>
      <c r="Q625" s="375"/>
      <c r="R625" s="375"/>
      <c r="S625" s="375"/>
      <c r="T625" s="386" t="s">
        <v>3349</v>
      </c>
      <c r="U625" s="330"/>
      <c r="V625" s="330"/>
      <c r="W625" s="330"/>
      <c r="X625" s="330"/>
      <c r="Y625" s="330"/>
      <c r="Z625" s="330"/>
    </row>
    <row r="626" spans="1:26" ht="12.5" hidden="1">
      <c r="A626" s="378">
        <v>675</v>
      </c>
      <c r="B626" s="379" t="s">
        <v>4482</v>
      </c>
      <c r="C626" s="380">
        <v>45040</v>
      </c>
      <c r="D626" s="338" t="s">
        <v>4483</v>
      </c>
      <c r="E626" s="381" t="s">
        <v>4484</v>
      </c>
      <c r="F626" s="381" t="s">
        <v>5106</v>
      </c>
      <c r="G626" s="381" t="s">
        <v>307</v>
      </c>
      <c r="H626" s="381" t="s">
        <v>249</v>
      </c>
      <c r="I626" s="383">
        <v>1</v>
      </c>
      <c r="J626" s="384">
        <v>1974000</v>
      </c>
      <c r="K626" s="384">
        <v>1974000</v>
      </c>
      <c r="L626" s="385">
        <v>1974000</v>
      </c>
      <c r="M626" s="385">
        <v>100</v>
      </c>
      <c r="N626" s="385">
        <v>1974000</v>
      </c>
      <c r="O626" s="385">
        <v>0</v>
      </c>
      <c r="P626" s="375"/>
      <c r="Q626" s="375" t="s">
        <v>20</v>
      </c>
      <c r="R626" s="375" t="s">
        <v>229</v>
      </c>
      <c r="S626" s="341" t="str">
        <f>IFERROR(VLOOKUP(D626, CCDC_XUAN!$D$16:$S$693, 16, 0), "Không tìm thấy")</f>
        <v>A2: kho</v>
      </c>
      <c r="T626" s="386" t="s">
        <v>3349</v>
      </c>
      <c r="U626" s="330"/>
      <c r="V626" s="330"/>
      <c r="W626" s="330"/>
      <c r="X626" s="330"/>
      <c r="Y626" s="330"/>
      <c r="Z626" s="330"/>
    </row>
    <row r="627" spans="1:26" ht="37.5" hidden="1">
      <c r="A627" s="339">
        <v>676</v>
      </c>
      <c r="B627" s="379" t="s">
        <v>4482</v>
      </c>
      <c r="C627" s="380">
        <v>45040</v>
      </c>
      <c r="D627" s="338" t="s">
        <v>4485</v>
      </c>
      <c r="E627" s="381" t="s">
        <v>4484</v>
      </c>
      <c r="F627" s="381" t="s">
        <v>5107</v>
      </c>
      <c r="G627" s="381" t="s">
        <v>307</v>
      </c>
      <c r="H627" s="381" t="s">
        <v>249</v>
      </c>
      <c r="I627" s="383">
        <v>1</v>
      </c>
      <c r="J627" s="384">
        <v>1974000</v>
      </c>
      <c r="K627" s="384">
        <v>1974000</v>
      </c>
      <c r="L627" s="385">
        <v>1974000</v>
      </c>
      <c r="M627" s="385">
        <v>100</v>
      </c>
      <c r="N627" s="385">
        <v>1974000</v>
      </c>
      <c r="O627" s="385">
        <v>0</v>
      </c>
      <c r="P627" s="375"/>
      <c r="Q627" s="375" t="s">
        <v>20</v>
      </c>
      <c r="R627" s="375" t="s">
        <v>229</v>
      </c>
      <c r="S627" s="341" t="str">
        <f>IFERROR(VLOOKUP(D627, CCDC_XUAN!$D$16:$S$693, 16, 0), "Không tìm thấy")</f>
        <v>A1: Phía sau Rack A1, kế bên CPU videowall, Ô 2</v>
      </c>
      <c r="T627" s="386" t="s">
        <v>3349</v>
      </c>
      <c r="U627" s="330"/>
      <c r="V627" s="330"/>
      <c r="W627" s="330"/>
      <c r="X627" s="330"/>
      <c r="Y627" s="330"/>
      <c r="Z627" s="330"/>
    </row>
    <row r="628" spans="1:26" ht="37.5" hidden="1">
      <c r="A628" s="378">
        <v>677</v>
      </c>
      <c r="B628" s="379" t="s">
        <v>4482</v>
      </c>
      <c r="C628" s="380">
        <v>45040</v>
      </c>
      <c r="D628" s="338" t="s">
        <v>4487</v>
      </c>
      <c r="E628" s="381" t="s">
        <v>4484</v>
      </c>
      <c r="F628" s="381" t="s">
        <v>5108</v>
      </c>
      <c r="G628" s="381" t="s">
        <v>307</v>
      </c>
      <c r="H628" s="381" t="s">
        <v>249</v>
      </c>
      <c r="I628" s="383">
        <v>1</v>
      </c>
      <c r="J628" s="384">
        <v>1974000</v>
      </c>
      <c r="K628" s="384">
        <v>1974000</v>
      </c>
      <c r="L628" s="385">
        <v>1974000</v>
      </c>
      <c r="M628" s="385">
        <v>100</v>
      </c>
      <c r="N628" s="385">
        <v>1974000</v>
      </c>
      <c r="O628" s="385">
        <v>0</v>
      </c>
      <c r="P628" s="375"/>
      <c r="Q628" s="375" t="s">
        <v>20</v>
      </c>
      <c r="R628" s="375" t="s">
        <v>229</v>
      </c>
      <c r="S628" s="341" t="str">
        <f>IFERROR(VLOOKUP(D628, CCDC_XUAN!$D$16:$S$693, 16, 0), "Không tìm thấy")</f>
        <v>A1: Phía sau Rack A1, kế bên CPU videowall, Ô 3</v>
      </c>
      <c r="T628" s="386" t="s">
        <v>3349</v>
      </c>
      <c r="U628" s="330"/>
      <c r="V628" s="330"/>
      <c r="W628" s="330"/>
      <c r="X628" s="330"/>
      <c r="Y628" s="330"/>
      <c r="Z628" s="330"/>
    </row>
    <row r="629" spans="1:26" ht="37.5" hidden="1">
      <c r="A629" s="339">
        <v>678</v>
      </c>
      <c r="B629" s="379" t="s">
        <v>4482</v>
      </c>
      <c r="C629" s="380">
        <v>45040</v>
      </c>
      <c r="D629" s="338" t="s">
        <v>4489</v>
      </c>
      <c r="E629" s="381" t="s">
        <v>4484</v>
      </c>
      <c r="F629" s="381" t="s">
        <v>5109</v>
      </c>
      <c r="G629" s="381" t="s">
        <v>307</v>
      </c>
      <c r="H629" s="381" t="s">
        <v>249</v>
      </c>
      <c r="I629" s="383">
        <v>1</v>
      </c>
      <c r="J629" s="384">
        <v>1974000</v>
      </c>
      <c r="K629" s="384">
        <v>1974000</v>
      </c>
      <c r="L629" s="385">
        <v>1974000</v>
      </c>
      <c r="M629" s="385">
        <v>100</v>
      </c>
      <c r="N629" s="385">
        <v>1974000</v>
      </c>
      <c r="O629" s="385">
        <v>0</v>
      </c>
      <c r="P629" s="375"/>
      <c r="Q629" s="375" t="s">
        <v>20</v>
      </c>
      <c r="R629" s="375" t="s">
        <v>229</v>
      </c>
      <c r="S629" s="341" t="str">
        <f>IFERROR(VLOOKUP(D629, CCDC_XUAN!$D$16:$S$693, 16, 0), "Không tìm thấy")</f>
        <v>A1: Phía sau Rack A1, kế bên CPU videowall, Ô 1</v>
      </c>
      <c r="T629" s="386" t="s">
        <v>3349</v>
      </c>
      <c r="U629" s="330"/>
      <c r="V629" s="330"/>
      <c r="W629" s="330"/>
      <c r="X629" s="330"/>
      <c r="Y629" s="330"/>
      <c r="Z629" s="330"/>
    </row>
    <row r="630" spans="1:26" ht="37.5" hidden="1">
      <c r="A630" s="378">
        <v>679</v>
      </c>
      <c r="B630" s="379" t="s">
        <v>4482</v>
      </c>
      <c r="C630" s="380">
        <v>45040</v>
      </c>
      <c r="D630" s="338" t="s">
        <v>4491</v>
      </c>
      <c r="E630" s="381" t="s">
        <v>4484</v>
      </c>
      <c r="F630" s="381" t="s">
        <v>5110</v>
      </c>
      <c r="G630" s="381" t="s">
        <v>307</v>
      </c>
      <c r="H630" s="381" t="s">
        <v>249</v>
      </c>
      <c r="I630" s="383">
        <v>1</v>
      </c>
      <c r="J630" s="384">
        <v>1974000</v>
      </c>
      <c r="K630" s="384">
        <v>1974000</v>
      </c>
      <c r="L630" s="385">
        <v>1974000</v>
      </c>
      <c r="M630" s="385">
        <v>100</v>
      </c>
      <c r="N630" s="385">
        <v>1974000</v>
      </c>
      <c r="O630" s="385">
        <v>0</v>
      </c>
      <c r="P630" s="375"/>
      <c r="Q630" s="375" t="s">
        <v>20</v>
      </c>
      <c r="R630" s="375" t="s">
        <v>229</v>
      </c>
      <c r="S630" s="341" t="str">
        <f>IFERROR(VLOOKUP(D630, CCDC_XUAN!$D$16:$S$693, 16, 0), "Không tìm thấy")</f>
        <v>A1: Phía sau Rack A1, kế bên CPU videowall, Ô 4</v>
      </c>
      <c r="T630" s="386" t="s">
        <v>3349</v>
      </c>
      <c r="U630" s="330"/>
      <c r="V630" s="330"/>
      <c r="W630" s="330"/>
      <c r="X630" s="330"/>
      <c r="Y630" s="330"/>
      <c r="Z630" s="330"/>
    </row>
    <row r="631" spans="1:26" ht="37.5" hidden="1">
      <c r="A631" s="339">
        <v>680</v>
      </c>
      <c r="B631" s="379" t="s">
        <v>4482</v>
      </c>
      <c r="C631" s="380">
        <v>45040</v>
      </c>
      <c r="D631" s="338" t="s">
        <v>4493</v>
      </c>
      <c r="E631" s="381" t="s">
        <v>4484</v>
      </c>
      <c r="F631" s="381" t="s">
        <v>5111</v>
      </c>
      <c r="G631" s="381" t="s">
        <v>307</v>
      </c>
      <c r="H631" s="381" t="s">
        <v>249</v>
      </c>
      <c r="I631" s="383">
        <v>1</v>
      </c>
      <c r="J631" s="384">
        <v>1974000</v>
      </c>
      <c r="K631" s="384">
        <v>1974000</v>
      </c>
      <c r="L631" s="385">
        <v>1974000</v>
      </c>
      <c r="M631" s="385">
        <v>100</v>
      </c>
      <c r="N631" s="385">
        <v>1974000</v>
      </c>
      <c r="O631" s="385">
        <v>0</v>
      </c>
      <c r="P631" s="375"/>
      <c r="Q631" s="375" t="s">
        <v>20</v>
      </c>
      <c r="R631" s="375" t="s">
        <v>229</v>
      </c>
      <c r="S631" s="341" t="str">
        <f>IFERROR(VLOOKUP(D631, CCDC_XUAN!$D$16:$S$693, 16, 0), "Không tìm thấy")</f>
        <v>A1: Phía sau Rack A1, kế bên CPU videowall, Ô 6</v>
      </c>
      <c r="T631" s="386" t="s">
        <v>3349</v>
      </c>
      <c r="U631" s="330"/>
      <c r="V631" s="330"/>
      <c r="W631" s="330"/>
      <c r="X631" s="330"/>
      <c r="Y631" s="330"/>
      <c r="Z631" s="330"/>
    </row>
    <row r="632" spans="1:26" ht="12.5" hidden="1">
      <c r="A632" s="378">
        <v>681</v>
      </c>
      <c r="B632" s="379" t="s">
        <v>4482</v>
      </c>
      <c r="C632" s="380">
        <v>45040</v>
      </c>
      <c r="D632" s="338" t="s">
        <v>4495</v>
      </c>
      <c r="E632" s="381" t="s">
        <v>4484</v>
      </c>
      <c r="F632" s="381" t="s">
        <v>5112</v>
      </c>
      <c r="G632" s="381" t="s">
        <v>307</v>
      </c>
      <c r="H632" s="381" t="s">
        <v>249</v>
      </c>
      <c r="I632" s="383">
        <v>1</v>
      </c>
      <c r="J632" s="384">
        <v>1974000</v>
      </c>
      <c r="K632" s="384">
        <v>1974000</v>
      </c>
      <c r="L632" s="385">
        <v>1974000</v>
      </c>
      <c r="M632" s="385">
        <v>100</v>
      </c>
      <c r="N632" s="385">
        <v>1974000</v>
      </c>
      <c r="O632" s="385">
        <v>0</v>
      </c>
      <c r="P632" s="375"/>
      <c r="Q632" s="375" t="s">
        <v>20</v>
      </c>
      <c r="R632" s="375" t="s">
        <v>229</v>
      </c>
      <c r="S632" s="341" t="str">
        <f>IFERROR(VLOOKUP(D632, CCDC_XUAN!$D$16:$S$693, 16, 0), "Không tìm thấy")</f>
        <v>A2: kho</v>
      </c>
      <c r="T632" s="386" t="s">
        <v>3349</v>
      </c>
      <c r="U632" s="330"/>
      <c r="V632" s="330"/>
      <c r="W632" s="330"/>
      <c r="X632" s="330"/>
      <c r="Y632" s="330"/>
      <c r="Z632" s="330"/>
    </row>
    <row r="633" spans="1:26" ht="37.5" hidden="1">
      <c r="A633" s="339">
        <v>682</v>
      </c>
      <c r="B633" s="379" t="s">
        <v>4482</v>
      </c>
      <c r="C633" s="380">
        <v>45040</v>
      </c>
      <c r="D633" s="338" t="s">
        <v>4496</v>
      </c>
      <c r="E633" s="381" t="s">
        <v>4484</v>
      </c>
      <c r="F633" s="381" t="s">
        <v>5113</v>
      </c>
      <c r="G633" s="381" t="s">
        <v>307</v>
      </c>
      <c r="H633" s="381" t="s">
        <v>249</v>
      </c>
      <c r="I633" s="383">
        <v>1</v>
      </c>
      <c r="J633" s="384">
        <v>1974000</v>
      </c>
      <c r="K633" s="384">
        <v>1974000</v>
      </c>
      <c r="L633" s="385">
        <v>1974000</v>
      </c>
      <c r="M633" s="385">
        <v>100</v>
      </c>
      <c r="N633" s="385">
        <v>1974000</v>
      </c>
      <c r="O633" s="385">
        <v>0</v>
      </c>
      <c r="P633" s="375"/>
      <c r="Q633" s="375" t="s">
        <v>20</v>
      </c>
      <c r="R633" s="375" t="s">
        <v>229</v>
      </c>
      <c r="S633" s="341" t="str">
        <f>IFERROR(VLOOKUP(D633, CCDC_XUAN!$D$16:$S$693, 16, 0), "Không tìm thấy")</f>
        <v>A1: Phía sau Rack A1, kế bên CPU videowall, Ô 5</v>
      </c>
      <c r="T633" s="386" t="s">
        <v>3349</v>
      </c>
      <c r="U633" s="330"/>
      <c r="V633" s="330"/>
      <c r="W633" s="330"/>
      <c r="X633" s="330"/>
      <c r="Y633" s="330"/>
      <c r="Z633" s="330"/>
    </row>
    <row r="634" spans="1:26" ht="25" hidden="1">
      <c r="A634" s="378">
        <v>683</v>
      </c>
      <c r="B634" s="379" t="s">
        <v>4482</v>
      </c>
      <c r="C634" s="380">
        <v>45040</v>
      </c>
      <c r="D634" s="338" t="s">
        <v>4498</v>
      </c>
      <c r="E634" s="381" t="s">
        <v>4499</v>
      </c>
      <c r="F634" s="381" t="s">
        <v>5114</v>
      </c>
      <c r="G634" s="381" t="s">
        <v>307</v>
      </c>
      <c r="H634" s="381" t="s">
        <v>249</v>
      </c>
      <c r="I634" s="383">
        <v>1</v>
      </c>
      <c r="J634" s="384">
        <v>2130000</v>
      </c>
      <c r="K634" s="384">
        <v>2130000</v>
      </c>
      <c r="L634" s="385">
        <v>2130000</v>
      </c>
      <c r="M634" s="385">
        <v>100</v>
      </c>
      <c r="N634" s="385">
        <v>2130000</v>
      </c>
      <c r="O634" s="385">
        <v>0</v>
      </c>
      <c r="P634" s="375"/>
      <c r="Q634" s="375" t="s">
        <v>20</v>
      </c>
      <c r="R634" s="375" t="s">
        <v>229</v>
      </c>
      <c r="S634" s="341" t="str">
        <f>IFERROR(VLOOKUP(D634, CCDC_XUAN!$D$16:$S$693, 16, 0), "Không tìm thấy")</f>
        <v>Phia sau màn hình Videowall, p.hiện, Ô 5</v>
      </c>
      <c r="T634" s="386" t="s">
        <v>3349</v>
      </c>
      <c r="U634" s="330"/>
      <c r="V634" s="330"/>
      <c r="W634" s="330"/>
      <c r="X634" s="330"/>
      <c r="Y634" s="330"/>
      <c r="Z634" s="330"/>
    </row>
    <row r="635" spans="1:26" ht="25" hidden="1">
      <c r="A635" s="339">
        <v>684</v>
      </c>
      <c r="B635" s="379" t="s">
        <v>4482</v>
      </c>
      <c r="C635" s="380">
        <v>45040</v>
      </c>
      <c r="D635" s="338" t="s">
        <v>4501</v>
      </c>
      <c r="E635" s="381" t="s">
        <v>4499</v>
      </c>
      <c r="F635" s="381" t="s">
        <v>5115</v>
      </c>
      <c r="G635" s="381" t="s">
        <v>307</v>
      </c>
      <c r="H635" s="381" t="s">
        <v>249</v>
      </c>
      <c r="I635" s="383">
        <v>1</v>
      </c>
      <c r="J635" s="384">
        <v>2130000</v>
      </c>
      <c r="K635" s="384">
        <v>2130000</v>
      </c>
      <c r="L635" s="385">
        <v>2130000</v>
      </c>
      <c r="M635" s="385">
        <v>100</v>
      </c>
      <c r="N635" s="385">
        <v>2130000</v>
      </c>
      <c r="O635" s="385">
        <v>0</v>
      </c>
      <c r="P635" s="375"/>
      <c r="Q635" s="375" t="s">
        <v>20</v>
      </c>
      <c r="R635" s="375" t="s">
        <v>229</v>
      </c>
      <c r="S635" s="341" t="str">
        <f>IFERROR(VLOOKUP(D635, CCDC_XUAN!$D$16:$S$693, 16, 0), "Không tìm thấy")</f>
        <v>Phia sau màn hình Videowall, p.hiện, Ô 1</v>
      </c>
      <c r="T635" s="386" t="s">
        <v>3349</v>
      </c>
      <c r="U635" s="330"/>
      <c r="V635" s="330"/>
      <c r="W635" s="330"/>
      <c r="X635" s="330"/>
      <c r="Y635" s="330"/>
      <c r="Z635" s="330"/>
    </row>
    <row r="636" spans="1:26" ht="25" hidden="1">
      <c r="A636" s="378">
        <v>685</v>
      </c>
      <c r="B636" s="379" t="s">
        <v>4482</v>
      </c>
      <c r="C636" s="380">
        <v>45040</v>
      </c>
      <c r="D636" s="338" t="s">
        <v>4503</v>
      </c>
      <c r="E636" s="381" t="s">
        <v>4499</v>
      </c>
      <c r="F636" s="381" t="s">
        <v>5116</v>
      </c>
      <c r="G636" s="381" t="s">
        <v>307</v>
      </c>
      <c r="H636" s="381" t="s">
        <v>249</v>
      </c>
      <c r="I636" s="383">
        <v>1</v>
      </c>
      <c r="J636" s="384">
        <v>2130000</v>
      </c>
      <c r="K636" s="384">
        <v>2130000</v>
      </c>
      <c r="L636" s="385">
        <v>2130000</v>
      </c>
      <c r="M636" s="385">
        <v>100</v>
      </c>
      <c r="N636" s="385">
        <v>2130000</v>
      </c>
      <c r="O636" s="385">
        <v>0</v>
      </c>
      <c r="P636" s="375"/>
      <c r="Q636" s="375" t="s">
        <v>20</v>
      </c>
      <c r="R636" s="375" t="s">
        <v>229</v>
      </c>
      <c r="S636" s="341" t="str">
        <f>IFERROR(VLOOKUP(D636, CCDC_XUAN!$D$16:$S$693, 16, 0), "Không tìm thấy")</f>
        <v>màn hình TV PGM A1 PHÒNG HIỆN</v>
      </c>
      <c r="T636" s="386" t="s">
        <v>3349</v>
      </c>
      <c r="U636" s="330"/>
      <c r="V636" s="330"/>
      <c r="W636" s="330"/>
      <c r="X636" s="330"/>
      <c r="Y636" s="330"/>
      <c r="Z636" s="330"/>
    </row>
    <row r="637" spans="1:26" ht="12.5" hidden="1">
      <c r="A637" s="339">
        <v>686</v>
      </c>
      <c r="B637" s="379" t="s">
        <v>4482</v>
      </c>
      <c r="C637" s="380">
        <v>45040</v>
      </c>
      <c r="D637" s="338" t="s">
        <v>4505</v>
      </c>
      <c r="E637" s="381" t="s">
        <v>4499</v>
      </c>
      <c r="F637" s="381" t="s">
        <v>5117</v>
      </c>
      <c r="G637" s="381" t="s">
        <v>307</v>
      </c>
      <c r="H637" s="381" t="s">
        <v>249</v>
      </c>
      <c r="I637" s="383">
        <v>1</v>
      </c>
      <c r="J637" s="384">
        <v>2130000</v>
      </c>
      <c r="K637" s="384">
        <v>2130000</v>
      </c>
      <c r="L637" s="385">
        <v>2130000</v>
      </c>
      <c r="M637" s="385">
        <v>100</v>
      </c>
      <c r="N637" s="385">
        <v>2130000</v>
      </c>
      <c r="O637" s="385">
        <v>0</v>
      </c>
      <c r="P637" s="375"/>
      <c r="Q637" s="375" t="s">
        <v>20</v>
      </c>
      <c r="R637" s="375" t="s">
        <v>229</v>
      </c>
      <c r="S637" s="341" t="str">
        <f>IFERROR(VLOOKUP(D637, CCDC_XUAN!$D$16:$S$693, 16, 0), "Không tìm thấy")</f>
        <v>dự phòng</v>
      </c>
      <c r="T637" s="386" t="s">
        <v>3349</v>
      </c>
      <c r="U637" s="330"/>
      <c r="V637" s="330"/>
      <c r="W637" s="330"/>
      <c r="X637" s="330"/>
      <c r="Y637" s="330"/>
      <c r="Z637" s="330"/>
    </row>
    <row r="638" spans="1:26" ht="25" hidden="1">
      <c r="A638" s="378">
        <v>687</v>
      </c>
      <c r="B638" s="379" t="s">
        <v>4482</v>
      </c>
      <c r="C638" s="380">
        <v>45040</v>
      </c>
      <c r="D638" s="338" t="s">
        <v>4507</v>
      </c>
      <c r="E638" s="381" t="s">
        <v>4499</v>
      </c>
      <c r="F638" s="381" t="s">
        <v>5118</v>
      </c>
      <c r="G638" s="381" t="s">
        <v>307</v>
      </c>
      <c r="H638" s="381" t="s">
        <v>249</v>
      </c>
      <c r="I638" s="383">
        <v>1</v>
      </c>
      <c r="J638" s="384">
        <v>2130000</v>
      </c>
      <c r="K638" s="384">
        <v>2130000</v>
      </c>
      <c r="L638" s="385">
        <v>2130000</v>
      </c>
      <c r="M638" s="385">
        <v>100</v>
      </c>
      <c r="N638" s="385">
        <v>2130000</v>
      </c>
      <c r="O638" s="385">
        <v>0</v>
      </c>
      <c r="P638" s="375"/>
      <c r="Q638" s="375" t="s">
        <v>20</v>
      </c>
      <c r="R638" s="375" t="s">
        <v>229</v>
      </c>
      <c r="S638" s="341" t="str">
        <f>IFERROR(VLOOKUP(D638, CCDC_XUAN!$D$16:$S$693, 16, 0), "Không tìm thấy")</f>
        <v>Phia sau màn hình Videowall, p.hiện, Ô 2</v>
      </c>
      <c r="T638" s="386" t="s">
        <v>3349</v>
      </c>
      <c r="U638" s="330"/>
      <c r="V638" s="330"/>
      <c r="W638" s="330"/>
      <c r="X638" s="330"/>
      <c r="Y638" s="330"/>
      <c r="Z638" s="330"/>
    </row>
    <row r="639" spans="1:26" ht="25" hidden="1">
      <c r="A639" s="339">
        <v>688</v>
      </c>
      <c r="B639" s="379" t="s">
        <v>4482</v>
      </c>
      <c r="C639" s="380">
        <v>45040</v>
      </c>
      <c r="D639" s="338" t="s">
        <v>4509</v>
      </c>
      <c r="E639" s="381" t="s">
        <v>4499</v>
      </c>
      <c r="F639" s="381" t="s">
        <v>5119</v>
      </c>
      <c r="G639" s="381" t="s">
        <v>307</v>
      </c>
      <c r="H639" s="381" t="s">
        <v>249</v>
      </c>
      <c r="I639" s="383">
        <v>1</v>
      </c>
      <c r="J639" s="384">
        <v>2130000</v>
      </c>
      <c r="K639" s="384">
        <v>2130000</v>
      </c>
      <c r="L639" s="385">
        <v>2130000</v>
      </c>
      <c r="M639" s="385">
        <v>100</v>
      </c>
      <c r="N639" s="385">
        <v>2130000</v>
      </c>
      <c r="O639" s="385">
        <v>0</v>
      </c>
      <c r="P639" s="375"/>
      <c r="Q639" s="375" t="s">
        <v>20</v>
      </c>
      <c r="R639" s="375" t="s">
        <v>229</v>
      </c>
      <c r="S639" s="341" t="str">
        <f>IFERROR(VLOOKUP(D639, CCDC_XUAN!$D$16:$S$693, 16, 0), "Không tìm thấy")</f>
        <v>Phia sau màn hình Videowall, p.hiện, Ô 3</v>
      </c>
      <c r="T639" s="386" t="s">
        <v>3349</v>
      </c>
      <c r="U639" s="330"/>
      <c r="V639" s="330"/>
      <c r="W639" s="330"/>
      <c r="X639" s="330"/>
      <c r="Y639" s="330"/>
      <c r="Z639" s="330"/>
    </row>
    <row r="640" spans="1:26" ht="25" hidden="1">
      <c r="A640" s="378">
        <v>689</v>
      </c>
      <c r="B640" s="379" t="s">
        <v>4482</v>
      </c>
      <c r="C640" s="380">
        <v>45040</v>
      </c>
      <c r="D640" s="338" t="s">
        <v>4511</v>
      </c>
      <c r="E640" s="381" t="s">
        <v>4499</v>
      </c>
      <c r="F640" s="381" t="s">
        <v>5120</v>
      </c>
      <c r="G640" s="381" t="s">
        <v>307</v>
      </c>
      <c r="H640" s="381" t="s">
        <v>249</v>
      </c>
      <c r="I640" s="383">
        <v>1</v>
      </c>
      <c r="J640" s="384">
        <v>2130000</v>
      </c>
      <c r="K640" s="384">
        <v>2130000</v>
      </c>
      <c r="L640" s="385">
        <v>2130000</v>
      </c>
      <c r="M640" s="385">
        <v>100</v>
      </c>
      <c r="N640" s="385">
        <v>2130000</v>
      </c>
      <c r="O640" s="385">
        <v>0</v>
      </c>
      <c r="P640" s="375"/>
      <c r="Q640" s="375" t="s">
        <v>20</v>
      </c>
      <c r="R640" s="375" t="s">
        <v>229</v>
      </c>
      <c r="S640" s="341" t="str">
        <f>IFERROR(VLOOKUP(D640, CCDC_XUAN!$D$16:$S$693, 16, 0), "Không tìm thấy")</f>
        <v>Phòng Rack A1-Rack7, Multiview TV2</v>
      </c>
      <c r="T640" s="386" t="s">
        <v>3349</v>
      </c>
      <c r="U640" s="330"/>
      <c r="V640" s="330"/>
      <c r="W640" s="330"/>
      <c r="X640" s="330"/>
      <c r="Y640" s="330"/>
      <c r="Z640" s="330"/>
    </row>
    <row r="641" spans="1:26" ht="25" hidden="1">
      <c r="A641" s="339">
        <v>690</v>
      </c>
      <c r="B641" s="379" t="s">
        <v>4482</v>
      </c>
      <c r="C641" s="380">
        <v>45040</v>
      </c>
      <c r="D641" s="338" t="s">
        <v>4513</v>
      </c>
      <c r="E641" s="381" t="s">
        <v>4499</v>
      </c>
      <c r="F641" s="381" t="s">
        <v>5121</v>
      </c>
      <c r="G641" s="381" t="s">
        <v>307</v>
      </c>
      <c r="H641" s="381" t="s">
        <v>249</v>
      </c>
      <c r="I641" s="383">
        <v>1</v>
      </c>
      <c r="J641" s="384">
        <v>2130000</v>
      </c>
      <c r="K641" s="384">
        <v>2130000</v>
      </c>
      <c r="L641" s="385">
        <v>2130000</v>
      </c>
      <c r="M641" s="385">
        <v>100</v>
      </c>
      <c r="N641" s="385">
        <v>2130000</v>
      </c>
      <c r="O641" s="385">
        <v>0</v>
      </c>
      <c r="P641" s="375"/>
      <c r="Q641" s="375" t="s">
        <v>20</v>
      </c>
      <c r="R641" s="375" t="s">
        <v>229</v>
      </c>
      <c r="S641" s="341" t="str">
        <f>IFERROR(VLOOKUP(D641, CCDC_XUAN!$D$16:$S$693, 16, 0), "Không tìm thấy")</f>
        <v>màn hình TV PVW A1 PHÒNG HIỆN</v>
      </c>
      <c r="T641" s="386" t="s">
        <v>3349</v>
      </c>
      <c r="U641" s="330"/>
      <c r="V641" s="330"/>
      <c r="W641" s="330"/>
      <c r="X641" s="330"/>
      <c r="Y641" s="330"/>
      <c r="Z641" s="330"/>
    </row>
    <row r="642" spans="1:26" ht="12.5" hidden="1">
      <c r="A642" s="378">
        <v>691</v>
      </c>
      <c r="B642" s="379" t="s">
        <v>4515</v>
      </c>
      <c r="C642" s="380">
        <v>45069</v>
      </c>
      <c r="D642" s="338" t="s">
        <v>4516</v>
      </c>
      <c r="E642" s="381" t="s">
        <v>4517</v>
      </c>
      <c r="F642" s="381" t="s">
        <v>5122</v>
      </c>
      <c r="G642" s="381" t="s">
        <v>35</v>
      </c>
      <c r="H642" s="381" t="s">
        <v>249</v>
      </c>
      <c r="I642" s="383">
        <v>1</v>
      </c>
      <c r="J642" s="384">
        <v>7450000</v>
      </c>
      <c r="K642" s="384">
        <v>7450000</v>
      </c>
      <c r="L642" s="385">
        <v>7450000</v>
      </c>
      <c r="M642" s="385">
        <v>100</v>
      </c>
      <c r="N642" s="385">
        <v>7450000</v>
      </c>
      <c r="O642" s="385">
        <v>0</v>
      </c>
      <c r="P642" s="375"/>
      <c r="Q642" s="375"/>
      <c r="R642" s="375"/>
      <c r="S642" s="375"/>
      <c r="T642" s="386" t="s">
        <v>3349</v>
      </c>
      <c r="U642" s="330"/>
      <c r="V642" s="330"/>
      <c r="W642" s="330"/>
      <c r="X642" s="330"/>
      <c r="Y642" s="330"/>
      <c r="Z642" s="330"/>
    </row>
    <row r="643" spans="1:26" ht="12.5" hidden="1">
      <c r="A643" s="339">
        <v>692</v>
      </c>
      <c r="B643" s="379" t="s">
        <v>4515</v>
      </c>
      <c r="C643" s="380">
        <v>45069</v>
      </c>
      <c r="D643" s="338" t="s">
        <v>4519</v>
      </c>
      <c r="E643" s="381" t="s">
        <v>4517</v>
      </c>
      <c r="F643" s="381" t="s">
        <v>5123</v>
      </c>
      <c r="G643" s="381" t="s">
        <v>35</v>
      </c>
      <c r="H643" s="381" t="s">
        <v>249</v>
      </c>
      <c r="I643" s="383">
        <v>1</v>
      </c>
      <c r="J643" s="384">
        <v>7450000</v>
      </c>
      <c r="K643" s="384">
        <v>7450000</v>
      </c>
      <c r="L643" s="385">
        <v>7450000</v>
      </c>
      <c r="M643" s="385">
        <v>100</v>
      </c>
      <c r="N643" s="385">
        <v>7450000</v>
      </c>
      <c r="O643" s="385">
        <v>0</v>
      </c>
      <c r="P643" s="375"/>
      <c r="Q643" s="375"/>
      <c r="R643" s="375"/>
      <c r="S643" s="375"/>
      <c r="T643" s="386" t="s">
        <v>3349</v>
      </c>
      <c r="U643" s="330"/>
      <c r="V643" s="330"/>
      <c r="W643" s="330"/>
      <c r="X643" s="330"/>
      <c r="Y643" s="330"/>
      <c r="Z643" s="330"/>
    </row>
    <row r="644" spans="1:26" ht="12.5" hidden="1">
      <c r="A644" s="378">
        <v>693</v>
      </c>
      <c r="B644" s="379" t="s">
        <v>4515</v>
      </c>
      <c r="C644" s="380">
        <v>45069</v>
      </c>
      <c r="D644" s="338" t="s">
        <v>4521</v>
      </c>
      <c r="E644" s="381" t="s">
        <v>4517</v>
      </c>
      <c r="F644" s="381" t="s">
        <v>5124</v>
      </c>
      <c r="G644" s="381" t="s">
        <v>35</v>
      </c>
      <c r="H644" s="381" t="s">
        <v>249</v>
      </c>
      <c r="I644" s="383">
        <v>1</v>
      </c>
      <c r="J644" s="384">
        <v>7450000</v>
      </c>
      <c r="K644" s="384">
        <v>7450000</v>
      </c>
      <c r="L644" s="385">
        <v>7450000</v>
      </c>
      <c r="M644" s="385">
        <v>100</v>
      </c>
      <c r="N644" s="385">
        <v>7450000</v>
      </c>
      <c r="O644" s="385">
        <v>0</v>
      </c>
      <c r="P644" s="375"/>
      <c r="Q644" s="375"/>
      <c r="R644" s="375"/>
      <c r="S644" s="375"/>
      <c r="T644" s="386" t="s">
        <v>3349</v>
      </c>
      <c r="U644" s="330"/>
      <c r="V644" s="330"/>
      <c r="W644" s="330"/>
      <c r="X644" s="330"/>
      <c r="Y644" s="330"/>
      <c r="Z644" s="330"/>
    </row>
    <row r="645" spans="1:26" ht="12.5" hidden="1">
      <c r="A645" s="339">
        <v>694</v>
      </c>
      <c r="B645" s="379" t="s">
        <v>4515</v>
      </c>
      <c r="C645" s="380">
        <v>45069</v>
      </c>
      <c r="D645" s="338" t="s">
        <v>4523</v>
      </c>
      <c r="E645" s="381" t="s">
        <v>4517</v>
      </c>
      <c r="F645" s="381" t="s">
        <v>5125</v>
      </c>
      <c r="G645" s="381" t="s">
        <v>35</v>
      </c>
      <c r="H645" s="381" t="s">
        <v>249</v>
      </c>
      <c r="I645" s="383">
        <v>1</v>
      </c>
      <c r="J645" s="384">
        <v>7450000</v>
      </c>
      <c r="K645" s="384">
        <v>7450000</v>
      </c>
      <c r="L645" s="385">
        <v>7450000</v>
      </c>
      <c r="M645" s="385">
        <v>100</v>
      </c>
      <c r="N645" s="385">
        <v>7450000</v>
      </c>
      <c r="O645" s="385">
        <v>0</v>
      </c>
      <c r="P645" s="375"/>
      <c r="Q645" s="375"/>
      <c r="R645" s="375"/>
      <c r="S645" s="375"/>
      <c r="T645" s="386" t="s">
        <v>3349</v>
      </c>
      <c r="U645" s="330"/>
      <c r="V645" s="330"/>
      <c r="W645" s="330"/>
      <c r="X645" s="330"/>
      <c r="Y645" s="330"/>
      <c r="Z645" s="330"/>
    </row>
    <row r="646" spans="1:26" ht="12.5" hidden="1">
      <c r="A646" s="378">
        <v>695</v>
      </c>
      <c r="B646" s="379" t="s">
        <v>4515</v>
      </c>
      <c r="C646" s="380">
        <v>45069</v>
      </c>
      <c r="D646" s="338" t="s">
        <v>4525</v>
      </c>
      <c r="E646" s="381" t="s">
        <v>4517</v>
      </c>
      <c r="F646" s="381" t="s">
        <v>5126</v>
      </c>
      <c r="G646" s="381" t="s">
        <v>35</v>
      </c>
      <c r="H646" s="381" t="s">
        <v>249</v>
      </c>
      <c r="I646" s="383">
        <v>1</v>
      </c>
      <c r="J646" s="384">
        <v>7450000</v>
      </c>
      <c r="K646" s="384">
        <v>7450000</v>
      </c>
      <c r="L646" s="385">
        <v>7450000</v>
      </c>
      <c r="M646" s="385">
        <v>100</v>
      </c>
      <c r="N646" s="385">
        <v>7450000</v>
      </c>
      <c r="O646" s="385">
        <v>0</v>
      </c>
      <c r="P646" s="375"/>
      <c r="Q646" s="375"/>
      <c r="R646" s="375"/>
      <c r="S646" s="375"/>
      <c r="T646" s="386" t="s">
        <v>3349</v>
      </c>
      <c r="U646" s="330"/>
      <c r="V646" s="330"/>
      <c r="W646" s="330"/>
      <c r="X646" s="330"/>
      <c r="Y646" s="330"/>
      <c r="Z646" s="330"/>
    </row>
    <row r="647" spans="1:26" ht="12.5" hidden="1">
      <c r="A647" s="339">
        <v>696</v>
      </c>
      <c r="B647" s="379" t="s">
        <v>4477</v>
      </c>
      <c r="C647" s="380">
        <v>45168</v>
      </c>
      <c r="D647" s="338" t="s">
        <v>4527</v>
      </c>
      <c r="E647" s="381" t="s">
        <v>4517</v>
      </c>
      <c r="F647" s="381" t="s">
        <v>5127</v>
      </c>
      <c r="G647" s="381" t="s">
        <v>35</v>
      </c>
      <c r="H647" s="381" t="s">
        <v>249</v>
      </c>
      <c r="I647" s="383">
        <v>1</v>
      </c>
      <c r="J647" s="384">
        <v>7450000</v>
      </c>
      <c r="K647" s="384">
        <v>7450000</v>
      </c>
      <c r="L647" s="385">
        <v>7450000</v>
      </c>
      <c r="M647" s="385">
        <v>100</v>
      </c>
      <c r="N647" s="385">
        <v>7450000</v>
      </c>
      <c r="O647" s="385">
        <v>0</v>
      </c>
      <c r="P647" s="375"/>
      <c r="Q647" s="375"/>
      <c r="R647" s="375"/>
      <c r="S647" s="375"/>
      <c r="T647" s="386" t="s">
        <v>3349</v>
      </c>
      <c r="U647" s="330"/>
      <c r="V647" s="330"/>
      <c r="W647" s="330"/>
      <c r="X647" s="330"/>
      <c r="Y647" s="330"/>
      <c r="Z647" s="330"/>
    </row>
    <row r="648" spans="1:26" ht="12.5" hidden="1">
      <c r="A648" s="378">
        <v>697</v>
      </c>
      <c r="B648" s="379" t="s">
        <v>4477</v>
      </c>
      <c r="C648" s="380">
        <v>45168</v>
      </c>
      <c r="D648" s="338" t="s">
        <v>4530</v>
      </c>
      <c r="E648" s="381" t="s">
        <v>4517</v>
      </c>
      <c r="F648" s="381" t="s">
        <v>5128</v>
      </c>
      <c r="G648" s="381" t="s">
        <v>35</v>
      </c>
      <c r="H648" s="381" t="s">
        <v>249</v>
      </c>
      <c r="I648" s="383">
        <v>1</v>
      </c>
      <c r="J648" s="384">
        <v>7450000</v>
      </c>
      <c r="K648" s="384">
        <v>7450000</v>
      </c>
      <c r="L648" s="385">
        <v>7450000</v>
      </c>
      <c r="M648" s="385">
        <v>100</v>
      </c>
      <c r="N648" s="385">
        <v>7450000</v>
      </c>
      <c r="O648" s="385">
        <v>0</v>
      </c>
      <c r="P648" s="375"/>
      <c r="Q648" s="375"/>
      <c r="R648" s="375"/>
      <c r="S648" s="375"/>
      <c r="T648" s="386" t="s">
        <v>3349</v>
      </c>
      <c r="U648" s="330"/>
      <c r="V648" s="330"/>
      <c r="W648" s="330"/>
      <c r="X648" s="330"/>
      <c r="Y648" s="330"/>
      <c r="Z648" s="330"/>
    </row>
    <row r="649" spans="1:26" ht="12.5" hidden="1">
      <c r="A649" s="339">
        <v>698</v>
      </c>
      <c r="B649" s="379" t="s">
        <v>4477</v>
      </c>
      <c r="C649" s="380">
        <v>45168</v>
      </c>
      <c r="D649" s="338" t="s">
        <v>4532</v>
      </c>
      <c r="E649" s="381" t="s">
        <v>4517</v>
      </c>
      <c r="F649" s="381" t="s">
        <v>5129</v>
      </c>
      <c r="G649" s="381" t="s">
        <v>35</v>
      </c>
      <c r="H649" s="381" t="s">
        <v>249</v>
      </c>
      <c r="I649" s="383">
        <v>1</v>
      </c>
      <c r="J649" s="384">
        <v>7450000</v>
      </c>
      <c r="K649" s="384">
        <v>7450000</v>
      </c>
      <c r="L649" s="385">
        <v>7450000</v>
      </c>
      <c r="M649" s="385">
        <v>100</v>
      </c>
      <c r="N649" s="385">
        <v>7450000</v>
      </c>
      <c r="O649" s="385">
        <v>0</v>
      </c>
      <c r="P649" s="375"/>
      <c r="Q649" s="375"/>
      <c r="R649" s="375"/>
      <c r="S649" s="375"/>
      <c r="T649" s="386" t="s">
        <v>3349</v>
      </c>
      <c r="U649" s="330"/>
      <c r="V649" s="330"/>
      <c r="W649" s="330"/>
      <c r="X649" s="330"/>
      <c r="Y649" s="330"/>
      <c r="Z649" s="330"/>
    </row>
    <row r="650" spans="1:26" ht="12.5">
      <c r="A650" s="378">
        <v>699</v>
      </c>
      <c r="B650" s="379" t="s">
        <v>4534</v>
      </c>
      <c r="C650" s="380">
        <v>45069</v>
      </c>
      <c r="D650" s="338" t="s">
        <v>4535</v>
      </c>
      <c r="E650" s="381" t="s">
        <v>4536</v>
      </c>
      <c r="F650" s="381" t="s">
        <v>5130</v>
      </c>
      <c r="G650" s="381" t="s">
        <v>307</v>
      </c>
      <c r="H650" s="381" t="s">
        <v>249</v>
      </c>
      <c r="I650" s="383">
        <v>1</v>
      </c>
      <c r="J650" s="384">
        <v>21168000</v>
      </c>
      <c r="K650" s="384">
        <v>21168000</v>
      </c>
      <c r="L650" s="385">
        <v>21168000</v>
      </c>
      <c r="M650" s="385">
        <v>33</v>
      </c>
      <c r="N650" s="385">
        <v>7056000</v>
      </c>
      <c r="O650" s="385">
        <v>14112000</v>
      </c>
      <c r="P650" s="375"/>
      <c r="Q650" s="375" t="s">
        <v>20</v>
      </c>
      <c r="R650" s="375" t="s">
        <v>423</v>
      </c>
      <c r="S650" s="375" t="s">
        <v>5131</v>
      </c>
      <c r="T650" s="386" t="s">
        <v>3349</v>
      </c>
      <c r="U650" s="330"/>
      <c r="V650" s="330"/>
      <c r="W650" s="330"/>
      <c r="X650" s="330"/>
      <c r="Y650" s="330"/>
      <c r="Z650" s="330"/>
    </row>
    <row r="651" spans="1:26" ht="12.5">
      <c r="A651" s="339">
        <v>700</v>
      </c>
      <c r="B651" s="379" t="s">
        <v>4534</v>
      </c>
      <c r="C651" s="380">
        <v>45069</v>
      </c>
      <c r="D651" s="338" t="s">
        <v>4538</v>
      </c>
      <c r="E651" s="381" t="s">
        <v>4536</v>
      </c>
      <c r="F651" s="381" t="s">
        <v>5132</v>
      </c>
      <c r="G651" s="381" t="s">
        <v>307</v>
      </c>
      <c r="H651" s="381" t="s">
        <v>249</v>
      </c>
      <c r="I651" s="383">
        <v>1</v>
      </c>
      <c r="J651" s="384">
        <v>21168000</v>
      </c>
      <c r="K651" s="384">
        <v>21168000</v>
      </c>
      <c r="L651" s="385">
        <v>21168000</v>
      </c>
      <c r="M651" s="385">
        <v>33</v>
      </c>
      <c r="N651" s="385">
        <v>7056000</v>
      </c>
      <c r="O651" s="385">
        <v>14112000</v>
      </c>
      <c r="P651" s="375"/>
      <c r="Q651" s="375" t="s">
        <v>20</v>
      </c>
      <c r="R651" s="375" t="s">
        <v>423</v>
      </c>
      <c r="S651" s="375" t="s">
        <v>5133</v>
      </c>
      <c r="T651" s="386" t="s">
        <v>3349</v>
      </c>
      <c r="U651" s="338"/>
      <c r="V651" s="330"/>
      <c r="W651" s="330"/>
      <c r="X651" s="330"/>
      <c r="Y651" s="330"/>
      <c r="Z651" s="330"/>
    </row>
    <row r="652" spans="1:26" ht="12.5" hidden="1">
      <c r="A652" s="378">
        <v>701</v>
      </c>
      <c r="B652" s="379" t="s">
        <v>4419</v>
      </c>
      <c r="C652" s="380">
        <v>45069</v>
      </c>
      <c r="D652" s="338" t="s">
        <v>4540</v>
      </c>
      <c r="E652" s="381" t="s">
        <v>4541</v>
      </c>
      <c r="F652" s="382"/>
      <c r="G652" s="381" t="s">
        <v>248</v>
      </c>
      <c r="H652" s="381" t="s">
        <v>249</v>
      </c>
      <c r="I652" s="383">
        <v>1</v>
      </c>
      <c r="J652" s="384">
        <v>1781000</v>
      </c>
      <c r="K652" s="384">
        <v>1781000</v>
      </c>
      <c r="L652" s="385">
        <v>1781000</v>
      </c>
      <c r="M652" s="385">
        <v>100</v>
      </c>
      <c r="N652" s="385">
        <v>1781000</v>
      </c>
      <c r="O652" s="385">
        <v>0</v>
      </c>
      <c r="P652" s="375"/>
      <c r="Q652" s="375"/>
      <c r="R652" s="375"/>
      <c r="S652" s="375"/>
      <c r="T652" s="386" t="s">
        <v>3349</v>
      </c>
      <c r="U652" s="338"/>
      <c r="V652" s="330"/>
      <c r="W652" s="330"/>
      <c r="X652" s="330"/>
      <c r="Y652" s="330"/>
      <c r="Z652" s="330"/>
    </row>
    <row r="653" spans="1:26" ht="12.5" hidden="1">
      <c r="A653" s="339">
        <v>702</v>
      </c>
      <c r="B653" s="379" t="s">
        <v>4419</v>
      </c>
      <c r="C653" s="380">
        <v>45069</v>
      </c>
      <c r="D653" s="338" t="s">
        <v>4542</v>
      </c>
      <c r="E653" s="381" t="s">
        <v>4541</v>
      </c>
      <c r="F653" s="382"/>
      <c r="G653" s="381" t="s">
        <v>248</v>
      </c>
      <c r="H653" s="381" t="s">
        <v>249</v>
      </c>
      <c r="I653" s="383">
        <v>1</v>
      </c>
      <c r="J653" s="384">
        <v>1781000</v>
      </c>
      <c r="K653" s="384">
        <v>1781000</v>
      </c>
      <c r="L653" s="385">
        <v>1781000</v>
      </c>
      <c r="M653" s="385">
        <v>100</v>
      </c>
      <c r="N653" s="385">
        <v>1781000</v>
      </c>
      <c r="O653" s="385">
        <v>0</v>
      </c>
      <c r="P653" s="375"/>
      <c r="Q653" s="375"/>
      <c r="R653" s="375"/>
      <c r="S653" s="375"/>
      <c r="T653" s="386" t="s">
        <v>3349</v>
      </c>
      <c r="U653" s="338"/>
      <c r="V653" s="330"/>
      <c r="W653" s="330"/>
      <c r="X653" s="330"/>
      <c r="Y653" s="330"/>
      <c r="Z653" s="330"/>
    </row>
    <row r="654" spans="1:26" ht="12.5" hidden="1">
      <c r="A654" s="378">
        <v>703</v>
      </c>
      <c r="B654" s="379" t="s">
        <v>4419</v>
      </c>
      <c r="C654" s="380">
        <v>45069</v>
      </c>
      <c r="D654" s="338" t="s">
        <v>4543</v>
      </c>
      <c r="E654" s="381" t="s">
        <v>4541</v>
      </c>
      <c r="F654" s="382"/>
      <c r="G654" s="381" t="s">
        <v>248</v>
      </c>
      <c r="H654" s="381" t="s">
        <v>249</v>
      </c>
      <c r="I654" s="383">
        <v>1</v>
      </c>
      <c r="J654" s="384">
        <v>1781000</v>
      </c>
      <c r="K654" s="384">
        <v>1781000</v>
      </c>
      <c r="L654" s="385">
        <v>1781000</v>
      </c>
      <c r="M654" s="385">
        <v>100</v>
      </c>
      <c r="N654" s="385">
        <v>1781000</v>
      </c>
      <c r="O654" s="385">
        <v>0</v>
      </c>
      <c r="P654" s="375"/>
      <c r="Q654" s="375"/>
      <c r="R654" s="375"/>
      <c r="S654" s="375"/>
      <c r="T654" s="386" t="s">
        <v>3349</v>
      </c>
      <c r="U654" s="338"/>
      <c r="V654" s="330"/>
      <c r="W654" s="330"/>
      <c r="X654" s="330"/>
      <c r="Y654" s="330"/>
      <c r="Z654" s="330"/>
    </row>
    <row r="655" spans="1:26" ht="12.5" hidden="1">
      <c r="A655" s="339">
        <v>704</v>
      </c>
      <c r="B655" s="379" t="s">
        <v>4419</v>
      </c>
      <c r="C655" s="380">
        <v>45069</v>
      </c>
      <c r="D655" s="338" t="s">
        <v>4544</v>
      </c>
      <c r="E655" s="381" t="s">
        <v>4545</v>
      </c>
      <c r="F655" s="382"/>
      <c r="G655" s="381" t="s">
        <v>1008</v>
      </c>
      <c r="H655" s="381" t="s">
        <v>249</v>
      </c>
      <c r="I655" s="383">
        <v>1</v>
      </c>
      <c r="J655" s="384">
        <v>4100000</v>
      </c>
      <c r="K655" s="384">
        <v>4100000</v>
      </c>
      <c r="L655" s="385">
        <v>4100000</v>
      </c>
      <c r="M655" s="385">
        <v>100</v>
      </c>
      <c r="N655" s="385">
        <v>4100000</v>
      </c>
      <c r="O655" s="385">
        <v>0</v>
      </c>
      <c r="P655" s="375"/>
      <c r="Q655" s="375"/>
      <c r="R655" s="375"/>
      <c r="S655" s="375"/>
      <c r="T655" s="386" t="s">
        <v>3349</v>
      </c>
      <c r="U655" s="338"/>
      <c r="V655" s="330"/>
      <c r="W655" s="330"/>
      <c r="X655" s="330"/>
      <c r="Y655" s="330"/>
      <c r="Z655" s="330"/>
    </row>
    <row r="656" spans="1:26" ht="12.5" hidden="1">
      <c r="A656" s="327"/>
      <c r="B656" s="327"/>
      <c r="C656" s="332"/>
      <c r="D656" s="327"/>
      <c r="E656" s="327"/>
      <c r="F656" s="327"/>
      <c r="G656" s="327"/>
      <c r="H656" s="327"/>
      <c r="I656" s="327"/>
      <c r="J656" s="329"/>
      <c r="K656" s="387">
        <v>4978750816</v>
      </c>
      <c r="L656" s="387">
        <v>490903957</v>
      </c>
      <c r="M656" s="327"/>
      <c r="N656" s="388">
        <v>276930035</v>
      </c>
      <c r="O656" s="388">
        <v>213973922</v>
      </c>
      <c r="P656" s="327"/>
      <c r="Q656" s="327"/>
      <c r="R656" s="327"/>
      <c r="S656" s="327"/>
      <c r="T656" s="327"/>
      <c r="U656" s="338"/>
      <c r="V656" s="327"/>
      <c r="W656" s="327"/>
      <c r="X656" s="327"/>
      <c r="Y656" s="327"/>
      <c r="Z656" s="330"/>
    </row>
    <row r="657" spans="1:26" ht="12.5">
      <c r="A657" s="327"/>
      <c r="B657" s="327"/>
      <c r="C657" s="332"/>
      <c r="D657" s="327"/>
      <c r="E657" s="327"/>
      <c r="F657" s="327"/>
      <c r="G657" s="327"/>
      <c r="H657" s="327"/>
      <c r="I657" s="327"/>
      <c r="J657" s="329"/>
      <c r="K657" s="329"/>
      <c r="L657" s="329"/>
      <c r="M657" s="327"/>
      <c r="N657" s="327"/>
      <c r="O657" s="327"/>
      <c r="P657" s="327"/>
      <c r="Q657" s="327"/>
      <c r="R657" s="327"/>
      <c r="S657" s="327"/>
      <c r="T657" s="327"/>
      <c r="U657" s="338"/>
      <c r="V657" s="327"/>
      <c r="W657" s="327"/>
      <c r="X657" s="327"/>
      <c r="Y657" s="327"/>
      <c r="Z657" s="330"/>
    </row>
    <row r="658" spans="1:26" ht="13">
      <c r="A658" s="327"/>
      <c r="B658" s="327"/>
      <c r="C658" s="332"/>
      <c r="D658" s="389" t="s">
        <v>5134</v>
      </c>
      <c r="E658" s="327"/>
      <c r="F658" s="389" t="s">
        <v>5135</v>
      </c>
      <c r="G658" s="327"/>
      <c r="H658" s="327"/>
      <c r="I658" s="327"/>
      <c r="J658" s="329"/>
      <c r="K658" s="329"/>
      <c r="L658" s="329"/>
      <c r="M658" s="327"/>
      <c r="N658" s="327"/>
      <c r="O658" s="327"/>
      <c r="P658" s="330"/>
      <c r="Q658" s="327"/>
      <c r="R658" s="389" t="s">
        <v>5136</v>
      </c>
      <c r="S658" s="327"/>
      <c r="T658" s="327"/>
      <c r="U658" s="338"/>
      <c r="V658" s="327"/>
      <c r="W658" s="327"/>
      <c r="X658" s="327"/>
      <c r="Y658" s="327"/>
      <c r="Z658" s="330"/>
    </row>
    <row r="659" spans="1:26" ht="12.5">
      <c r="A659" s="327"/>
      <c r="B659" s="327"/>
      <c r="C659" s="332"/>
      <c r="D659" s="327"/>
      <c r="E659" s="327"/>
      <c r="F659" s="327"/>
      <c r="G659" s="327"/>
      <c r="H659" s="327"/>
      <c r="I659" s="327"/>
      <c r="J659" s="329"/>
      <c r="K659" s="329"/>
      <c r="L659" s="329"/>
      <c r="M659" s="327"/>
      <c r="N659" s="327"/>
      <c r="O659" s="327"/>
      <c r="P659" s="327"/>
      <c r="Q659" s="327"/>
      <c r="R659" s="327"/>
      <c r="S659" s="327"/>
      <c r="T659" s="327"/>
      <c r="U659" s="338"/>
      <c r="V659" s="327"/>
      <c r="W659" s="327"/>
      <c r="X659" s="327"/>
      <c r="Y659" s="327"/>
      <c r="Z659" s="330"/>
    </row>
    <row r="660" spans="1:26" ht="12.5">
      <c r="A660" s="327"/>
      <c r="B660" s="327"/>
      <c r="C660" s="332"/>
      <c r="D660" s="327"/>
      <c r="E660" s="327"/>
      <c r="F660" s="327"/>
      <c r="G660" s="327"/>
      <c r="H660" s="327"/>
      <c r="I660" s="327"/>
      <c r="J660" s="329"/>
      <c r="K660" s="329"/>
      <c r="L660" s="329"/>
      <c r="M660" s="327"/>
      <c r="N660" s="327"/>
      <c r="O660" s="327"/>
      <c r="P660" s="327"/>
      <c r="Q660" s="327"/>
      <c r="R660" s="327"/>
      <c r="S660" s="327"/>
      <c r="T660" s="327"/>
      <c r="U660" s="338"/>
      <c r="V660" s="327"/>
      <c r="W660" s="327"/>
      <c r="X660" s="327"/>
      <c r="Y660" s="327"/>
      <c r="Z660" s="330"/>
    </row>
    <row r="661" spans="1:26" ht="12.5">
      <c r="A661" s="327"/>
      <c r="B661" s="327"/>
      <c r="C661" s="332"/>
      <c r="D661" s="327"/>
      <c r="E661" s="327"/>
      <c r="F661" s="327"/>
      <c r="G661" s="327"/>
      <c r="H661" s="327"/>
      <c r="I661" s="327"/>
      <c r="J661" s="329"/>
      <c r="K661" s="329"/>
      <c r="L661" s="329"/>
      <c r="M661" s="327"/>
      <c r="N661" s="327"/>
      <c r="O661" s="327"/>
      <c r="P661" s="327"/>
      <c r="Q661" s="327"/>
      <c r="R661" s="327"/>
      <c r="S661" s="327"/>
      <c r="T661" s="327"/>
      <c r="U661" s="338"/>
      <c r="V661" s="327"/>
      <c r="W661" s="327"/>
      <c r="X661" s="327"/>
      <c r="Y661" s="327"/>
      <c r="Z661" s="330"/>
    </row>
    <row r="662" spans="1:26" ht="12.5">
      <c r="A662" s="327"/>
      <c r="B662" s="327"/>
      <c r="C662" s="332"/>
      <c r="D662" s="327"/>
      <c r="E662" s="327"/>
      <c r="F662" s="327"/>
      <c r="G662" s="327"/>
      <c r="H662" s="327"/>
      <c r="I662" s="327"/>
      <c r="J662" s="329"/>
      <c r="K662" s="329"/>
      <c r="L662" s="329"/>
      <c r="M662" s="327"/>
      <c r="N662" s="327"/>
      <c r="O662" s="327"/>
      <c r="P662" s="327"/>
      <c r="Q662" s="327"/>
      <c r="R662" s="327"/>
      <c r="S662" s="327"/>
      <c r="T662" s="327"/>
      <c r="U662" s="338"/>
      <c r="V662" s="327"/>
      <c r="W662" s="327"/>
      <c r="X662" s="327"/>
      <c r="Y662" s="327"/>
      <c r="Z662" s="330"/>
    </row>
    <row r="663" spans="1:26" ht="12.5">
      <c r="A663" s="327"/>
      <c r="B663" s="327"/>
      <c r="C663" s="332"/>
      <c r="D663" s="327"/>
      <c r="E663" s="327"/>
      <c r="F663" s="327"/>
      <c r="G663" s="327"/>
      <c r="H663" s="327"/>
      <c r="I663" s="327"/>
      <c r="J663" s="329"/>
      <c r="K663" s="329"/>
      <c r="L663" s="329"/>
      <c r="M663" s="327"/>
      <c r="N663" s="327"/>
      <c r="O663" s="327"/>
      <c r="P663" s="327"/>
      <c r="Q663" s="327"/>
      <c r="R663" s="327"/>
      <c r="S663" s="327"/>
      <c r="T663" s="327"/>
      <c r="U663" s="338"/>
      <c r="V663" s="327"/>
      <c r="W663" s="327"/>
      <c r="X663" s="327"/>
      <c r="Y663" s="327"/>
      <c r="Z663" s="330"/>
    </row>
    <row r="664" spans="1:26" ht="26">
      <c r="A664" s="327"/>
      <c r="B664" s="327"/>
      <c r="C664" s="332"/>
      <c r="D664" s="327"/>
      <c r="E664" s="327"/>
      <c r="F664" s="390" t="s">
        <v>3278</v>
      </c>
      <c r="G664" s="327"/>
      <c r="H664" s="327"/>
      <c r="I664" s="327"/>
      <c r="J664" s="329"/>
      <c r="K664" s="329"/>
      <c r="L664" s="329"/>
      <c r="M664" s="327"/>
      <c r="N664" s="327"/>
      <c r="O664" s="327"/>
      <c r="P664" s="327"/>
      <c r="Q664" s="327"/>
      <c r="R664" s="327"/>
      <c r="S664" s="327"/>
      <c r="T664" s="327"/>
      <c r="U664" s="338"/>
      <c r="V664" s="327"/>
      <c r="W664" s="327"/>
      <c r="X664" s="327"/>
      <c r="Y664" s="327"/>
      <c r="Z664" s="330"/>
    </row>
    <row r="665" spans="1:26" ht="12.5">
      <c r="A665" s="327"/>
      <c r="B665" s="327"/>
      <c r="C665" s="332"/>
      <c r="D665" s="327"/>
      <c r="E665" s="327"/>
      <c r="F665" s="327"/>
      <c r="G665" s="327"/>
      <c r="H665" s="327"/>
      <c r="I665" s="327"/>
      <c r="J665" s="329"/>
      <c r="K665" s="329"/>
      <c r="L665" s="329"/>
      <c r="M665" s="327"/>
      <c r="N665" s="327"/>
      <c r="O665" s="327"/>
      <c r="P665" s="327"/>
      <c r="Q665" s="327"/>
      <c r="R665" s="327"/>
      <c r="S665" s="327"/>
      <c r="T665" s="327"/>
      <c r="U665" s="338"/>
      <c r="V665" s="327"/>
      <c r="W665" s="327"/>
      <c r="X665" s="327"/>
      <c r="Y665" s="327"/>
      <c r="Z665" s="330"/>
    </row>
    <row r="666" spans="1:26" ht="12.5">
      <c r="A666" s="327"/>
      <c r="B666" s="327"/>
      <c r="C666" s="332"/>
      <c r="D666" s="327"/>
      <c r="E666" s="327"/>
      <c r="F666" s="327"/>
      <c r="G666" s="327"/>
      <c r="H666" s="327"/>
      <c r="I666" s="327"/>
      <c r="J666" s="329"/>
      <c r="K666" s="329"/>
      <c r="L666" s="329"/>
      <c r="M666" s="327"/>
      <c r="N666" s="327"/>
      <c r="O666" s="327"/>
      <c r="P666" s="327"/>
      <c r="Q666" s="327"/>
      <c r="R666" s="327"/>
      <c r="S666" s="327"/>
      <c r="T666" s="327"/>
      <c r="U666" s="338"/>
      <c r="V666" s="327"/>
      <c r="W666" s="327"/>
      <c r="X666" s="327"/>
      <c r="Y666" s="327"/>
      <c r="Z666" s="330"/>
    </row>
    <row r="667" spans="1:26" ht="12.5">
      <c r="A667" s="327"/>
      <c r="B667" s="327"/>
      <c r="C667" s="332"/>
      <c r="D667" s="327"/>
      <c r="E667" s="327"/>
      <c r="F667" s="327"/>
      <c r="G667" s="327"/>
      <c r="H667" s="327"/>
      <c r="I667" s="327"/>
      <c r="J667" s="329"/>
      <c r="K667" s="329"/>
      <c r="L667" s="329"/>
      <c r="M667" s="327"/>
      <c r="N667" s="327"/>
      <c r="O667" s="327"/>
      <c r="P667" s="327"/>
      <c r="Q667" s="327"/>
      <c r="R667" s="327"/>
      <c r="S667" s="327"/>
      <c r="T667" s="327"/>
      <c r="U667" s="338"/>
      <c r="V667" s="327"/>
      <c r="W667" s="327"/>
      <c r="X667" s="327"/>
      <c r="Y667" s="327"/>
      <c r="Z667" s="330"/>
    </row>
    <row r="668" spans="1:26" ht="12.5">
      <c r="A668" s="327"/>
      <c r="B668" s="327"/>
      <c r="C668" s="332"/>
      <c r="D668" s="327"/>
      <c r="E668" s="327"/>
      <c r="F668" s="327"/>
      <c r="G668" s="327"/>
      <c r="H668" s="327"/>
      <c r="I668" s="327"/>
      <c r="J668" s="329"/>
      <c r="K668" s="329"/>
      <c r="L668" s="329"/>
      <c r="M668" s="327"/>
      <c r="N668" s="327"/>
      <c r="O668" s="327"/>
      <c r="P668" s="327"/>
      <c r="Q668" s="327"/>
      <c r="R668" s="327"/>
      <c r="S668" s="327"/>
      <c r="T668" s="327"/>
      <c r="U668" s="338"/>
      <c r="V668" s="327"/>
      <c r="W668" s="327"/>
      <c r="X668" s="327"/>
      <c r="Y668" s="327"/>
      <c r="Z668" s="330"/>
    </row>
    <row r="669" spans="1:26" ht="12.5">
      <c r="A669" s="327"/>
      <c r="B669" s="327"/>
      <c r="C669" s="332"/>
      <c r="D669" s="327"/>
      <c r="E669" s="327"/>
      <c r="F669" s="327"/>
      <c r="G669" s="327"/>
      <c r="H669" s="327"/>
      <c r="I669" s="327"/>
      <c r="J669" s="329"/>
      <c r="K669" s="329"/>
      <c r="L669" s="329"/>
      <c r="M669" s="327"/>
      <c r="N669" s="327"/>
      <c r="O669" s="327"/>
      <c r="P669" s="327"/>
      <c r="Q669" s="327"/>
      <c r="R669" s="327"/>
      <c r="S669" s="327"/>
      <c r="T669" s="327"/>
      <c r="U669" s="338"/>
      <c r="V669" s="327"/>
      <c r="W669" s="327"/>
      <c r="X669" s="327"/>
      <c r="Y669" s="327"/>
      <c r="Z669" s="330"/>
    </row>
    <row r="670" spans="1:26" ht="12.5">
      <c r="A670" s="327"/>
      <c r="B670" s="327"/>
      <c r="C670" s="332"/>
      <c r="D670" s="327"/>
      <c r="E670" s="327"/>
      <c r="F670" s="327"/>
      <c r="G670" s="327"/>
      <c r="H670" s="327"/>
      <c r="I670" s="327"/>
      <c r="J670" s="329"/>
      <c r="K670" s="329"/>
      <c r="L670" s="329"/>
      <c r="M670" s="327"/>
      <c r="N670" s="327"/>
      <c r="O670" s="327"/>
      <c r="P670" s="327"/>
      <c r="Q670" s="327"/>
      <c r="R670" s="327"/>
      <c r="S670" s="327"/>
      <c r="T670" s="327"/>
      <c r="U670" s="338"/>
      <c r="V670" s="327"/>
      <c r="W670" s="327"/>
      <c r="X670" s="327"/>
      <c r="Y670" s="327"/>
      <c r="Z670" s="330"/>
    </row>
    <row r="671" spans="1:26" ht="12.5">
      <c r="A671" s="327"/>
      <c r="B671" s="327"/>
      <c r="C671" s="332"/>
      <c r="D671" s="327"/>
      <c r="E671" s="327"/>
      <c r="F671" s="327"/>
      <c r="G671" s="327"/>
      <c r="H671" s="327"/>
      <c r="I671" s="327"/>
      <c r="J671" s="329"/>
      <c r="K671" s="329"/>
      <c r="L671" s="329"/>
      <c r="M671" s="327"/>
      <c r="N671" s="327"/>
      <c r="O671" s="327"/>
      <c r="P671" s="327"/>
      <c r="Q671" s="327"/>
      <c r="R671" s="327"/>
      <c r="S671" s="327"/>
      <c r="T671" s="327"/>
      <c r="U671" s="338"/>
      <c r="V671" s="327"/>
      <c r="W671" s="327"/>
      <c r="X671" s="327"/>
      <c r="Y671" s="327"/>
      <c r="Z671" s="330"/>
    </row>
    <row r="672" spans="1:26" ht="12.5">
      <c r="A672" s="327"/>
      <c r="B672" s="327"/>
      <c r="C672" s="332"/>
      <c r="D672" s="327"/>
      <c r="E672" s="327"/>
      <c r="F672" s="327"/>
      <c r="G672" s="327"/>
      <c r="H672" s="327"/>
      <c r="I672" s="327"/>
      <c r="J672" s="329"/>
      <c r="K672" s="329"/>
      <c r="L672" s="329"/>
      <c r="M672" s="327"/>
      <c r="N672" s="327"/>
      <c r="O672" s="327"/>
      <c r="P672" s="327"/>
      <c r="Q672" s="327"/>
      <c r="R672" s="327"/>
      <c r="S672" s="327"/>
      <c r="T672" s="327"/>
      <c r="U672" s="338"/>
      <c r="V672" s="327"/>
      <c r="W672" s="327"/>
      <c r="X672" s="327"/>
      <c r="Y672" s="327"/>
      <c r="Z672" s="330"/>
    </row>
    <row r="673" spans="1:26" ht="12.5">
      <c r="A673" s="327"/>
      <c r="B673" s="327"/>
      <c r="C673" s="332"/>
      <c r="D673" s="327"/>
      <c r="E673" s="327"/>
      <c r="F673" s="327"/>
      <c r="G673" s="327"/>
      <c r="H673" s="327"/>
      <c r="I673" s="327"/>
      <c r="J673" s="329"/>
      <c r="K673" s="329"/>
      <c r="L673" s="329"/>
      <c r="M673" s="327"/>
      <c r="N673" s="327"/>
      <c r="O673" s="327"/>
      <c r="P673" s="327"/>
      <c r="Q673" s="327"/>
      <c r="R673" s="327"/>
      <c r="S673" s="327"/>
      <c r="T673" s="327"/>
      <c r="U673" s="338"/>
      <c r="V673" s="327"/>
      <c r="W673" s="327"/>
      <c r="X673" s="327"/>
      <c r="Y673" s="327"/>
      <c r="Z673" s="330"/>
    </row>
    <row r="674" spans="1:26" ht="12.5">
      <c r="A674" s="327"/>
      <c r="B674" s="327"/>
      <c r="C674" s="332"/>
      <c r="D674" s="327"/>
      <c r="E674" s="327"/>
      <c r="F674" s="327"/>
      <c r="G674" s="327"/>
      <c r="H674" s="327"/>
      <c r="I674" s="327"/>
      <c r="J674" s="329"/>
      <c r="K674" s="329"/>
      <c r="L674" s="329"/>
      <c r="M674" s="327"/>
      <c r="N674" s="327"/>
      <c r="O674" s="327"/>
      <c r="P674" s="327"/>
      <c r="Q674" s="327"/>
      <c r="R674" s="327"/>
      <c r="S674" s="327"/>
      <c r="T674" s="327"/>
      <c r="U674" s="338"/>
      <c r="V674" s="327"/>
      <c r="W674" s="327"/>
      <c r="X674" s="327"/>
      <c r="Y674" s="327"/>
      <c r="Z674" s="330"/>
    </row>
    <row r="675" spans="1:26" ht="12.5">
      <c r="A675" s="327"/>
      <c r="B675" s="327"/>
      <c r="C675" s="332"/>
      <c r="D675" s="327"/>
      <c r="E675" s="327"/>
      <c r="F675" s="327"/>
      <c r="G675" s="327"/>
      <c r="H675" s="327"/>
      <c r="I675" s="327"/>
      <c r="J675" s="329"/>
      <c r="K675" s="329"/>
      <c r="L675" s="329"/>
      <c r="M675" s="327"/>
      <c r="N675" s="327"/>
      <c r="O675" s="327"/>
      <c r="P675" s="327"/>
      <c r="Q675" s="327"/>
      <c r="R675" s="327"/>
      <c r="S675" s="327"/>
      <c r="T675" s="327"/>
      <c r="U675" s="338"/>
      <c r="V675" s="327"/>
      <c r="W675" s="327"/>
      <c r="X675" s="327"/>
      <c r="Y675" s="327"/>
      <c r="Z675" s="330"/>
    </row>
    <row r="676" spans="1:26" ht="12.5">
      <c r="A676" s="327"/>
      <c r="B676" s="327"/>
      <c r="C676" s="332"/>
      <c r="D676" s="327"/>
      <c r="E676" s="327"/>
      <c r="F676" s="327"/>
      <c r="G676" s="327"/>
      <c r="H676" s="327"/>
      <c r="I676" s="327"/>
      <c r="J676" s="329"/>
      <c r="K676" s="329"/>
      <c r="L676" s="329"/>
      <c r="M676" s="327"/>
      <c r="N676" s="327"/>
      <c r="O676" s="327"/>
      <c r="P676" s="327"/>
      <c r="Q676" s="327"/>
      <c r="R676" s="327"/>
      <c r="S676" s="327"/>
      <c r="T676" s="327"/>
      <c r="U676" s="338"/>
      <c r="V676" s="327"/>
      <c r="W676" s="327"/>
      <c r="X676" s="327"/>
      <c r="Y676" s="327"/>
      <c r="Z676" s="330"/>
    </row>
    <row r="677" spans="1:26" ht="12.5">
      <c r="A677" s="327"/>
      <c r="B677" s="327"/>
      <c r="C677" s="332"/>
      <c r="D677" s="327"/>
      <c r="E677" s="327"/>
      <c r="F677" s="327"/>
      <c r="G677" s="327"/>
      <c r="H677" s="327"/>
      <c r="I677" s="327"/>
      <c r="J677" s="329"/>
      <c r="K677" s="329"/>
      <c r="L677" s="329"/>
      <c r="M677" s="327"/>
      <c r="N677" s="327"/>
      <c r="O677" s="327"/>
      <c r="P677" s="327"/>
      <c r="Q677" s="327"/>
      <c r="R677" s="327"/>
      <c r="S677" s="327"/>
      <c r="T677" s="327"/>
      <c r="U677" s="338"/>
      <c r="V677" s="327"/>
      <c r="W677" s="327"/>
      <c r="X677" s="327"/>
      <c r="Y677" s="327"/>
      <c r="Z677" s="330"/>
    </row>
    <row r="678" spans="1:26" ht="12.5">
      <c r="A678" s="327"/>
      <c r="B678" s="327"/>
      <c r="C678" s="332"/>
      <c r="D678" s="327"/>
      <c r="E678" s="327"/>
      <c r="F678" s="327"/>
      <c r="G678" s="327"/>
      <c r="H678" s="327"/>
      <c r="I678" s="327"/>
      <c r="J678" s="329"/>
      <c r="K678" s="329"/>
      <c r="L678" s="329"/>
      <c r="M678" s="327"/>
      <c r="N678" s="327"/>
      <c r="O678" s="327"/>
      <c r="P678" s="327"/>
      <c r="Q678" s="327"/>
      <c r="R678" s="327"/>
      <c r="S678" s="327"/>
      <c r="T678" s="327"/>
      <c r="U678" s="338"/>
      <c r="V678" s="327"/>
      <c r="W678" s="327"/>
      <c r="X678" s="327"/>
      <c r="Y678" s="327"/>
      <c r="Z678" s="330"/>
    </row>
    <row r="679" spans="1:26" ht="12.5">
      <c r="A679" s="327"/>
      <c r="B679" s="327"/>
      <c r="C679" s="332"/>
      <c r="D679" s="327"/>
      <c r="E679" s="327"/>
      <c r="F679" s="327"/>
      <c r="G679" s="327"/>
      <c r="H679" s="327"/>
      <c r="I679" s="327"/>
      <c r="J679" s="329"/>
      <c r="K679" s="329"/>
      <c r="L679" s="329"/>
      <c r="M679" s="327"/>
      <c r="N679" s="327"/>
      <c r="O679" s="327"/>
      <c r="P679" s="327"/>
      <c r="Q679" s="327"/>
      <c r="R679" s="327"/>
      <c r="S679" s="327"/>
      <c r="T679" s="327"/>
      <c r="U679" s="338"/>
      <c r="V679" s="327"/>
      <c r="W679" s="327"/>
      <c r="X679" s="327"/>
      <c r="Y679" s="327"/>
      <c r="Z679" s="330"/>
    </row>
    <row r="680" spans="1:26" ht="12.5">
      <c r="A680" s="327"/>
      <c r="B680" s="327"/>
      <c r="C680" s="332"/>
      <c r="D680" s="327"/>
      <c r="E680" s="327"/>
      <c r="F680" s="327"/>
      <c r="G680" s="327"/>
      <c r="H680" s="327"/>
      <c r="I680" s="327"/>
      <c r="J680" s="329"/>
      <c r="K680" s="329"/>
      <c r="L680" s="329"/>
      <c r="M680" s="327"/>
      <c r="N680" s="327"/>
      <c r="O680" s="327"/>
      <c r="P680" s="327"/>
      <c r="Q680" s="327"/>
      <c r="R680" s="327"/>
      <c r="S680" s="327"/>
      <c r="T680" s="327"/>
      <c r="U680" s="338"/>
      <c r="V680" s="327"/>
      <c r="W680" s="327"/>
      <c r="X680" s="327"/>
      <c r="Y680" s="327"/>
      <c r="Z680" s="330"/>
    </row>
    <row r="681" spans="1:26" ht="12.5">
      <c r="A681" s="327"/>
      <c r="B681" s="327"/>
      <c r="C681" s="332"/>
      <c r="D681" s="327"/>
      <c r="E681" s="327"/>
      <c r="F681" s="327"/>
      <c r="G681" s="327"/>
      <c r="H681" s="327"/>
      <c r="I681" s="327"/>
      <c r="J681" s="329"/>
      <c r="K681" s="329"/>
      <c r="L681" s="329"/>
      <c r="M681" s="327"/>
      <c r="N681" s="327"/>
      <c r="O681" s="327"/>
      <c r="P681" s="327"/>
      <c r="Q681" s="327"/>
      <c r="R681" s="327"/>
      <c r="S681" s="327"/>
      <c r="T681" s="327"/>
      <c r="U681" s="338"/>
      <c r="V681" s="327"/>
      <c r="W681" s="327"/>
      <c r="X681" s="327"/>
      <c r="Y681" s="327"/>
      <c r="Z681" s="330"/>
    </row>
    <row r="682" spans="1:26" ht="12.5">
      <c r="A682" s="327"/>
      <c r="B682" s="327"/>
      <c r="C682" s="332"/>
      <c r="D682" s="327"/>
      <c r="E682" s="327"/>
      <c r="F682" s="327"/>
      <c r="G682" s="327"/>
      <c r="H682" s="327"/>
      <c r="I682" s="327"/>
      <c r="J682" s="329"/>
      <c r="K682" s="329"/>
      <c r="L682" s="329"/>
      <c r="M682" s="327"/>
      <c r="N682" s="327"/>
      <c r="O682" s="327"/>
      <c r="P682" s="327"/>
      <c r="Q682" s="327"/>
      <c r="R682" s="327"/>
      <c r="S682" s="327"/>
      <c r="T682" s="327"/>
      <c r="U682" s="338"/>
      <c r="V682" s="327"/>
      <c r="W682" s="327"/>
      <c r="X682" s="327"/>
      <c r="Y682" s="327"/>
      <c r="Z682" s="330"/>
    </row>
    <row r="683" spans="1:26" ht="12.5">
      <c r="A683" s="327"/>
      <c r="B683" s="327"/>
      <c r="C683" s="332"/>
      <c r="D683" s="327"/>
      <c r="E683" s="327"/>
      <c r="F683" s="327"/>
      <c r="G683" s="327"/>
      <c r="H683" s="327"/>
      <c r="I683" s="327"/>
      <c r="J683" s="329"/>
      <c r="K683" s="329"/>
      <c r="L683" s="329"/>
      <c r="M683" s="327"/>
      <c r="N683" s="327"/>
      <c r="O683" s="327"/>
      <c r="P683" s="327"/>
      <c r="Q683" s="327"/>
      <c r="R683" s="327"/>
      <c r="S683" s="327"/>
      <c r="T683" s="327"/>
      <c r="U683" s="338"/>
      <c r="V683" s="327"/>
      <c r="W683" s="327"/>
      <c r="X683" s="327"/>
      <c r="Y683" s="327"/>
      <c r="Z683" s="330"/>
    </row>
    <row r="684" spans="1:26" ht="12.5">
      <c r="A684" s="327"/>
      <c r="B684" s="327"/>
      <c r="C684" s="332"/>
      <c r="D684" s="327"/>
      <c r="E684" s="327"/>
      <c r="F684" s="327"/>
      <c r="G684" s="327"/>
      <c r="H684" s="327"/>
      <c r="I684" s="327"/>
      <c r="J684" s="329"/>
      <c r="K684" s="329"/>
      <c r="L684" s="329"/>
      <c r="M684" s="327"/>
      <c r="N684" s="327"/>
      <c r="O684" s="327"/>
      <c r="P684" s="327"/>
      <c r="Q684" s="327"/>
      <c r="R684" s="327"/>
      <c r="S684" s="327"/>
      <c r="T684" s="327"/>
      <c r="U684" s="338"/>
      <c r="V684" s="327"/>
      <c r="W684" s="327"/>
      <c r="X684" s="327"/>
      <c r="Y684" s="327"/>
      <c r="Z684" s="330"/>
    </row>
    <row r="685" spans="1:26" ht="12.5">
      <c r="A685" s="327"/>
      <c r="B685" s="327"/>
      <c r="C685" s="332"/>
      <c r="D685" s="327"/>
      <c r="E685" s="327"/>
      <c r="F685" s="327"/>
      <c r="G685" s="327"/>
      <c r="H685" s="327"/>
      <c r="I685" s="327"/>
      <c r="J685" s="329"/>
      <c r="K685" s="329"/>
      <c r="L685" s="329"/>
      <c r="M685" s="327"/>
      <c r="N685" s="327"/>
      <c r="O685" s="327"/>
      <c r="P685" s="327"/>
      <c r="Q685" s="327"/>
      <c r="R685" s="327"/>
      <c r="S685" s="327"/>
      <c r="T685" s="327"/>
      <c r="U685" s="338"/>
      <c r="V685" s="327"/>
      <c r="W685" s="327"/>
      <c r="X685" s="327"/>
      <c r="Y685" s="327"/>
      <c r="Z685" s="330"/>
    </row>
    <row r="686" spans="1:26" ht="12.5">
      <c r="A686" s="327"/>
      <c r="B686" s="327"/>
      <c r="C686" s="332"/>
      <c r="D686" s="327"/>
      <c r="E686" s="327"/>
      <c r="F686" s="327"/>
      <c r="G686" s="327"/>
      <c r="H686" s="327"/>
      <c r="I686" s="327"/>
      <c r="J686" s="329"/>
      <c r="K686" s="329"/>
      <c r="L686" s="329"/>
      <c r="M686" s="327"/>
      <c r="N686" s="327"/>
      <c r="O686" s="327"/>
      <c r="P686" s="327"/>
      <c r="Q686" s="327"/>
      <c r="R686" s="327"/>
      <c r="S686" s="327"/>
      <c r="T686" s="327"/>
      <c r="U686" s="338"/>
      <c r="V686" s="327"/>
      <c r="W686" s="327"/>
      <c r="X686" s="327"/>
      <c r="Y686" s="327"/>
      <c r="Z686" s="330"/>
    </row>
    <row r="687" spans="1:26" ht="12.5">
      <c r="A687" s="327"/>
      <c r="B687" s="327"/>
      <c r="C687" s="332"/>
      <c r="D687" s="327"/>
      <c r="E687" s="327"/>
      <c r="F687" s="327"/>
      <c r="G687" s="327"/>
      <c r="H687" s="327"/>
      <c r="I687" s="327"/>
      <c r="J687" s="329"/>
      <c r="K687" s="329"/>
      <c r="L687" s="329"/>
      <c r="M687" s="327"/>
      <c r="N687" s="327"/>
      <c r="O687" s="327"/>
      <c r="P687" s="327"/>
      <c r="Q687" s="327"/>
      <c r="R687" s="327"/>
      <c r="S687" s="327"/>
      <c r="T687" s="327"/>
      <c r="U687" s="338"/>
      <c r="V687" s="327"/>
      <c r="W687" s="327"/>
      <c r="X687" s="327"/>
      <c r="Y687" s="327"/>
      <c r="Z687" s="330"/>
    </row>
    <row r="688" spans="1:26" ht="12.5">
      <c r="A688" s="327"/>
      <c r="B688" s="327"/>
      <c r="C688" s="332"/>
      <c r="D688" s="327"/>
      <c r="E688" s="327"/>
      <c r="F688" s="327"/>
      <c r="G688" s="327"/>
      <c r="H688" s="327"/>
      <c r="I688" s="327"/>
      <c r="J688" s="329"/>
      <c r="K688" s="329"/>
      <c r="L688" s="329"/>
      <c r="M688" s="327"/>
      <c r="N688" s="327"/>
      <c r="O688" s="327"/>
      <c r="P688" s="327"/>
      <c r="Q688" s="327"/>
      <c r="R688" s="327"/>
      <c r="S688" s="327"/>
      <c r="T688" s="327"/>
      <c r="U688" s="338"/>
      <c r="V688" s="327"/>
      <c r="W688" s="327"/>
      <c r="X688" s="327"/>
      <c r="Y688" s="327"/>
      <c r="Z688" s="330"/>
    </row>
    <row r="689" spans="1:26" ht="12.5">
      <c r="A689" s="327"/>
      <c r="B689" s="327"/>
      <c r="C689" s="332"/>
      <c r="D689" s="327"/>
      <c r="E689" s="327"/>
      <c r="F689" s="327"/>
      <c r="G689" s="327"/>
      <c r="H689" s="327"/>
      <c r="I689" s="327"/>
      <c r="J689" s="329"/>
      <c r="K689" s="329"/>
      <c r="L689" s="329"/>
      <c r="M689" s="327"/>
      <c r="N689" s="327"/>
      <c r="O689" s="327"/>
      <c r="P689" s="327"/>
      <c r="Q689" s="327"/>
      <c r="R689" s="327"/>
      <c r="S689" s="327"/>
      <c r="T689" s="327"/>
      <c r="U689" s="338"/>
      <c r="V689" s="327"/>
      <c r="W689" s="327"/>
      <c r="X689" s="327"/>
      <c r="Y689" s="327"/>
      <c r="Z689" s="330"/>
    </row>
    <row r="690" spans="1:26" ht="12.5">
      <c r="A690" s="327"/>
      <c r="B690" s="327"/>
      <c r="C690" s="332"/>
      <c r="D690" s="327"/>
      <c r="E690" s="327"/>
      <c r="F690" s="327"/>
      <c r="G690" s="327"/>
      <c r="H690" s="327"/>
      <c r="I690" s="327"/>
      <c r="J690" s="329"/>
      <c r="K690" s="329"/>
      <c r="L690" s="329"/>
      <c r="M690" s="327"/>
      <c r="N690" s="327"/>
      <c r="O690" s="327"/>
      <c r="P690" s="327"/>
      <c r="Q690" s="327"/>
      <c r="R690" s="327"/>
      <c r="S690" s="327"/>
      <c r="T690" s="327"/>
      <c r="U690" s="338"/>
      <c r="V690" s="327"/>
      <c r="W690" s="327"/>
      <c r="X690" s="327"/>
      <c r="Y690" s="327"/>
      <c r="Z690" s="330"/>
    </row>
    <row r="691" spans="1:26" ht="12.5">
      <c r="A691" s="327"/>
      <c r="B691" s="327"/>
      <c r="C691" s="332"/>
      <c r="D691" s="327"/>
      <c r="E691" s="327"/>
      <c r="F691" s="327"/>
      <c r="G691" s="327"/>
      <c r="H691" s="327"/>
      <c r="I691" s="327"/>
      <c r="J691" s="329"/>
      <c r="K691" s="329"/>
      <c r="L691" s="329"/>
      <c r="M691" s="327"/>
      <c r="N691" s="327"/>
      <c r="O691" s="327"/>
      <c r="P691" s="327"/>
      <c r="Q691" s="327"/>
      <c r="R691" s="327"/>
      <c r="S691" s="327"/>
      <c r="T691" s="327"/>
      <c r="U691" s="338"/>
      <c r="V691" s="327"/>
      <c r="W691" s="327"/>
      <c r="X691" s="327"/>
      <c r="Y691" s="327"/>
      <c r="Z691" s="330"/>
    </row>
    <row r="692" spans="1:26" ht="12.5">
      <c r="A692" s="327"/>
      <c r="B692" s="327"/>
      <c r="C692" s="332"/>
      <c r="D692" s="327"/>
      <c r="E692" s="327"/>
      <c r="F692" s="327"/>
      <c r="G692" s="327"/>
      <c r="H692" s="327"/>
      <c r="I692" s="327"/>
      <c r="J692" s="329"/>
      <c r="K692" s="329"/>
      <c r="L692" s="329"/>
      <c r="M692" s="327"/>
      <c r="N692" s="327"/>
      <c r="O692" s="327"/>
      <c r="P692" s="327"/>
      <c r="Q692" s="327"/>
      <c r="R692" s="327"/>
      <c r="S692" s="327"/>
      <c r="T692" s="327"/>
      <c r="U692" s="338"/>
      <c r="V692" s="327"/>
      <c r="W692" s="327"/>
      <c r="X692" s="327"/>
      <c r="Y692" s="327"/>
      <c r="Z692" s="330"/>
    </row>
    <row r="693" spans="1:26" ht="12.5">
      <c r="A693" s="327"/>
      <c r="B693" s="327"/>
      <c r="C693" s="332"/>
      <c r="D693" s="327"/>
      <c r="E693" s="327"/>
      <c r="F693" s="327"/>
      <c r="G693" s="327"/>
      <c r="H693" s="327"/>
      <c r="I693" s="327"/>
      <c r="J693" s="329"/>
      <c r="K693" s="329"/>
      <c r="L693" s="329"/>
      <c r="M693" s="327"/>
      <c r="N693" s="327"/>
      <c r="O693" s="327"/>
      <c r="P693" s="327"/>
      <c r="Q693" s="327"/>
      <c r="R693" s="327"/>
      <c r="S693" s="327"/>
      <c r="T693" s="327"/>
      <c r="U693" s="338"/>
      <c r="V693" s="327"/>
      <c r="W693" s="327"/>
      <c r="X693" s="327"/>
      <c r="Y693" s="327"/>
      <c r="Z693" s="330"/>
    </row>
    <row r="694" spans="1:26" ht="12.5">
      <c r="A694" s="327"/>
      <c r="B694" s="327"/>
      <c r="C694" s="332"/>
      <c r="D694" s="327"/>
      <c r="E694" s="327"/>
      <c r="F694" s="327"/>
      <c r="G694" s="327"/>
      <c r="H694" s="327"/>
      <c r="I694" s="327"/>
      <c r="J694" s="329"/>
      <c r="K694" s="329"/>
      <c r="L694" s="329"/>
      <c r="M694" s="327"/>
      <c r="N694" s="327"/>
      <c r="O694" s="327"/>
      <c r="P694" s="327"/>
      <c r="Q694" s="327"/>
      <c r="R694" s="327"/>
      <c r="S694" s="327"/>
      <c r="T694" s="327"/>
      <c r="U694" s="338"/>
      <c r="V694" s="327"/>
      <c r="W694" s="327"/>
      <c r="X694" s="327"/>
      <c r="Y694" s="327"/>
      <c r="Z694" s="330"/>
    </row>
    <row r="695" spans="1:26" ht="12.5">
      <c r="A695" s="327"/>
      <c r="B695" s="327"/>
      <c r="C695" s="332"/>
      <c r="D695" s="327"/>
      <c r="E695" s="327"/>
      <c r="F695" s="327"/>
      <c r="G695" s="327"/>
      <c r="H695" s="327"/>
      <c r="I695" s="327"/>
      <c r="J695" s="329"/>
      <c r="K695" s="329"/>
      <c r="L695" s="329"/>
      <c r="M695" s="327"/>
      <c r="N695" s="327"/>
      <c r="O695" s="327"/>
      <c r="P695" s="327"/>
      <c r="Q695" s="327"/>
      <c r="R695" s="327"/>
      <c r="S695" s="327"/>
      <c r="T695" s="327"/>
      <c r="U695" s="338"/>
      <c r="V695" s="327"/>
      <c r="W695" s="327"/>
      <c r="X695" s="327"/>
      <c r="Y695" s="327"/>
      <c r="Z695" s="330"/>
    </row>
    <row r="696" spans="1:26" ht="12.5">
      <c r="A696" s="327"/>
      <c r="B696" s="327"/>
      <c r="C696" s="332"/>
      <c r="D696" s="327"/>
      <c r="E696" s="327"/>
      <c r="F696" s="327"/>
      <c r="G696" s="327"/>
      <c r="H696" s="327"/>
      <c r="I696" s="327"/>
      <c r="J696" s="329"/>
      <c r="K696" s="329"/>
      <c r="L696" s="329"/>
      <c r="M696" s="327"/>
      <c r="N696" s="327"/>
      <c r="O696" s="327"/>
      <c r="P696" s="327"/>
      <c r="Q696" s="327"/>
      <c r="R696" s="327"/>
      <c r="S696" s="327"/>
      <c r="T696" s="327"/>
      <c r="U696" s="338"/>
      <c r="V696" s="327"/>
      <c r="W696" s="327"/>
      <c r="X696" s="327"/>
      <c r="Y696" s="327"/>
      <c r="Z696" s="330"/>
    </row>
    <row r="697" spans="1:26" ht="12.5">
      <c r="A697" s="327"/>
      <c r="B697" s="327"/>
      <c r="C697" s="332"/>
      <c r="D697" s="327"/>
      <c r="E697" s="327"/>
      <c r="F697" s="327"/>
      <c r="G697" s="327"/>
      <c r="H697" s="327"/>
      <c r="I697" s="327"/>
      <c r="J697" s="329"/>
      <c r="K697" s="329"/>
      <c r="L697" s="329"/>
      <c r="M697" s="327"/>
      <c r="N697" s="327"/>
      <c r="O697" s="327"/>
      <c r="P697" s="327"/>
      <c r="Q697" s="327"/>
      <c r="R697" s="327"/>
      <c r="S697" s="327"/>
      <c r="T697" s="327"/>
      <c r="U697" s="338"/>
      <c r="V697" s="327"/>
      <c r="W697" s="327"/>
      <c r="X697" s="327"/>
      <c r="Y697" s="327"/>
      <c r="Z697" s="330"/>
    </row>
    <row r="698" spans="1:26" ht="12.5">
      <c r="A698" s="327"/>
      <c r="B698" s="327"/>
      <c r="C698" s="332"/>
      <c r="D698" s="327"/>
      <c r="E698" s="327"/>
      <c r="F698" s="327"/>
      <c r="G698" s="327"/>
      <c r="H698" s="327"/>
      <c r="I698" s="327"/>
      <c r="J698" s="329"/>
      <c r="K698" s="329"/>
      <c r="L698" s="329"/>
      <c r="M698" s="327"/>
      <c r="N698" s="327"/>
      <c r="O698" s="327"/>
      <c r="P698" s="327"/>
      <c r="Q698" s="327"/>
      <c r="R698" s="327"/>
      <c r="S698" s="327"/>
      <c r="T698" s="327"/>
      <c r="U698" s="338"/>
      <c r="V698" s="327"/>
      <c r="W698" s="327"/>
      <c r="X698" s="327"/>
      <c r="Y698" s="327"/>
      <c r="Z698" s="330"/>
    </row>
    <row r="699" spans="1:26" ht="12.5">
      <c r="A699" s="327"/>
      <c r="B699" s="327"/>
      <c r="C699" s="332"/>
      <c r="D699" s="327"/>
      <c r="E699" s="327"/>
      <c r="F699" s="327"/>
      <c r="G699" s="327"/>
      <c r="H699" s="327"/>
      <c r="I699" s="327"/>
      <c r="J699" s="329"/>
      <c r="K699" s="329"/>
      <c r="L699" s="329"/>
      <c r="M699" s="327"/>
      <c r="N699" s="327"/>
      <c r="O699" s="327"/>
      <c r="P699" s="327"/>
      <c r="Q699" s="327"/>
      <c r="R699" s="327"/>
      <c r="S699" s="327"/>
      <c r="T699" s="327"/>
      <c r="U699" s="338"/>
      <c r="V699" s="327"/>
      <c r="W699" s="327"/>
      <c r="X699" s="327"/>
      <c r="Y699" s="327"/>
      <c r="Z699" s="330"/>
    </row>
    <row r="700" spans="1:26" ht="12.5">
      <c r="A700" s="327"/>
      <c r="B700" s="327"/>
      <c r="C700" s="332"/>
      <c r="D700" s="327"/>
      <c r="E700" s="327"/>
      <c r="F700" s="327"/>
      <c r="G700" s="327"/>
      <c r="H700" s="327"/>
      <c r="I700" s="327"/>
      <c r="J700" s="329"/>
      <c r="K700" s="329"/>
      <c r="L700" s="329"/>
      <c r="M700" s="327"/>
      <c r="N700" s="327"/>
      <c r="O700" s="327"/>
      <c r="P700" s="327"/>
      <c r="Q700" s="327"/>
      <c r="R700" s="327"/>
      <c r="S700" s="327"/>
      <c r="T700" s="327"/>
      <c r="U700" s="338"/>
      <c r="V700" s="327"/>
      <c r="W700" s="327"/>
      <c r="X700" s="327"/>
      <c r="Y700" s="327"/>
      <c r="Z700" s="330"/>
    </row>
    <row r="701" spans="1:26" ht="12.5">
      <c r="A701" s="327"/>
      <c r="B701" s="327"/>
      <c r="C701" s="332"/>
      <c r="D701" s="327"/>
      <c r="E701" s="327"/>
      <c r="F701" s="327"/>
      <c r="G701" s="327"/>
      <c r="H701" s="327"/>
      <c r="I701" s="327"/>
      <c r="J701" s="329"/>
      <c r="K701" s="329"/>
      <c r="L701" s="329"/>
      <c r="M701" s="327"/>
      <c r="N701" s="327"/>
      <c r="O701" s="327"/>
      <c r="P701" s="327"/>
      <c r="Q701" s="327"/>
      <c r="R701" s="327"/>
      <c r="S701" s="327"/>
      <c r="T701" s="327"/>
      <c r="U701" s="338"/>
      <c r="V701" s="327"/>
      <c r="W701" s="327"/>
      <c r="X701" s="327"/>
      <c r="Y701" s="327"/>
      <c r="Z701" s="330"/>
    </row>
    <row r="702" spans="1:26" ht="12.5">
      <c r="A702" s="327"/>
      <c r="B702" s="327"/>
      <c r="C702" s="332"/>
      <c r="D702" s="327"/>
      <c r="E702" s="327"/>
      <c r="F702" s="327"/>
      <c r="G702" s="327"/>
      <c r="H702" s="327"/>
      <c r="I702" s="327"/>
      <c r="J702" s="329"/>
      <c r="K702" s="329"/>
      <c r="L702" s="329"/>
      <c r="M702" s="327"/>
      <c r="N702" s="327"/>
      <c r="O702" s="327"/>
      <c r="P702" s="327"/>
      <c r="Q702" s="327"/>
      <c r="R702" s="327"/>
      <c r="S702" s="327"/>
      <c r="T702" s="327"/>
      <c r="U702" s="338"/>
      <c r="V702" s="327"/>
      <c r="W702" s="327"/>
      <c r="X702" s="327"/>
      <c r="Y702" s="327"/>
      <c r="Z702" s="330"/>
    </row>
    <row r="703" spans="1:26" ht="12.5">
      <c r="A703" s="327"/>
      <c r="B703" s="327"/>
      <c r="C703" s="332"/>
      <c r="D703" s="327"/>
      <c r="E703" s="327"/>
      <c r="F703" s="327"/>
      <c r="G703" s="327"/>
      <c r="H703" s="327"/>
      <c r="I703" s="327"/>
      <c r="J703" s="329"/>
      <c r="K703" s="329"/>
      <c r="L703" s="329"/>
      <c r="M703" s="327"/>
      <c r="N703" s="327"/>
      <c r="O703" s="327"/>
      <c r="P703" s="327"/>
      <c r="Q703" s="327"/>
      <c r="R703" s="327"/>
      <c r="S703" s="327"/>
      <c r="T703" s="327"/>
      <c r="U703" s="338"/>
      <c r="V703" s="327"/>
      <c r="W703" s="327"/>
      <c r="X703" s="327"/>
      <c r="Y703" s="327"/>
      <c r="Z703" s="330"/>
    </row>
    <row r="704" spans="1:26" ht="12.5">
      <c r="A704" s="327"/>
      <c r="B704" s="327"/>
      <c r="C704" s="332"/>
      <c r="D704" s="327"/>
      <c r="E704" s="327"/>
      <c r="F704" s="327"/>
      <c r="G704" s="327"/>
      <c r="H704" s="327"/>
      <c r="I704" s="327"/>
      <c r="J704" s="329"/>
      <c r="K704" s="329"/>
      <c r="L704" s="329"/>
      <c r="M704" s="327"/>
      <c r="N704" s="327"/>
      <c r="O704" s="327"/>
      <c r="P704" s="327"/>
      <c r="Q704" s="327"/>
      <c r="R704" s="327"/>
      <c r="S704" s="327"/>
      <c r="T704" s="327"/>
      <c r="U704" s="338"/>
      <c r="V704" s="327"/>
      <c r="W704" s="327"/>
      <c r="X704" s="327"/>
      <c r="Y704" s="327"/>
      <c r="Z704" s="330"/>
    </row>
    <row r="705" spans="1:26" ht="12.5">
      <c r="A705" s="327"/>
      <c r="B705" s="327"/>
      <c r="C705" s="332"/>
      <c r="D705" s="327"/>
      <c r="E705" s="327"/>
      <c r="F705" s="327"/>
      <c r="G705" s="327"/>
      <c r="H705" s="327"/>
      <c r="I705" s="327"/>
      <c r="J705" s="329"/>
      <c r="K705" s="329"/>
      <c r="L705" s="329"/>
      <c r="M705" s="327"/>
      <c r="N705" s="327"/>
      <c r="O705" s="327"/>
      <c r="P705" s="327"/>
      <c r="Q705" s="327"/>
      <c r="R705" s="327"/>
      <c r="S705" s="327"/>
      <c r="T705" s="327"/>
      <c r="U705" s="338"/>
      <c r="V705" s="327"/>
      <c r="W705" s="327"/>
      <c r="X705" s="327"/>
      <c r="Y705" s="327"/>
      <c r="Z705" s="330"/>
    </row>
    <row r="706" spans="1:26" ht="12.5">
      <c r="A706" s="327"/>
      <c r="B706" s="327"/>
      <c r="C706" s="332"/>
      <c r="D706" s="327"/>
      <c r="E706" s="327"/>
      <c r="F706" s="327"/>
      <c r="G706" s="327"/>
      <c r="H706" s="327"/>
      <c r="I706" s="327"/>
      <c r="J706" s="329"/>
      <c r="K706" s="329"/>
      <c r="L706" s="329"/>
      <c r="M706" s="327"/>
      <c r="N706" s="327"/>
      <c r="O706" s="327"/>
      <c r="P706" s="327"/>
      <c r="Q706" s="327"/>
      <c r="R706" s="327"/>
      <c r="S706" s="327"/>
      <c r="T706" s="327"/>
      <c r="U706" s="338"/>
      <c r="V706" s="327"/>
      <c r="W706" s="327"/>
      <c r="X706" s="327"/>
      <c r="Y706" s="327"/>
      <c r="Z706" s="330"/>
    </row>
    <row r="707" spans="1:26" ht="12.5">
      <c r="A707" s="327"/>
      <c r="B707" s="327"/>
      <c r="C707" s="332"/>
      <c r="D707" s="327"/>
      <c r="E707" s="327"/>
      <c r="F707" s="327"/>
      <c r="G707" s="327"/>
      <c r="H707" s="327"/>
      <c r="I707" s="327"/>
      <c r="J707" s="329"/>
      <c r="K707" s="329"/>
      <c r="L707" s="329"/>
      <c r="M707" s="327"/>
      <c r="N707" s="327"/>
      <c r="O707" s="327"/>
      <c r="P707" s="327"/>
      <c r="Q707" s="327"/>
      <c r="R707" s="327"/>
      <c r="S707" s="327"/>
      <c r="T707" s="327"/>
      <c r="U707" s="338"/>
      <c r="V707" s="327"/>
      <c r="W707" s="327"/>
      <c r="X707" s="327"/>
      <c r="Y707" s="327"/>
      <c r="Z707" s="330"/>
    </row>
    <row r="708" spans="1:26" ht="12.5">
      <c r="A708" s="327"/>
      <c r="B708" s="327"/>
      <c r="C708" s="332"/>
      <c r="D708" s="327"/>
      <c r="E708" s="327"/>
      <c r="F708" s="327"/>
      <c r="G708" s="327"/>
      <c r="H708" s="327"/>
      <c r="I708" s="327"/>
      <c r="J708" s="329"/>
      <c r="K708" s="329"/>
      <c r="L708" s="329"/>
      <c r="M708" s="327"/>
      <c r="N708" s="327"/>
      <c r="O708" s="327"/>
      <c r="P708" s="327"/>
      <c r="Q708" s="327"/>
      <c r="R708" s="327"/>
      <c r="S708" s="327"/>
      <c r="T708" s="327"/>
      <c r="U708" s="338"/>
      <c r="V708" s="327"/>
      <c r="W708" s="327"/>
      <c r="X708" s="327"/>
      <c r="Y708" s="327"/>
      <c r="Z708" s="330"/>
    </row>
    <row r="709" spans="1:26" ht="12.5">
      <c r="A709" s="327"/>
      <c r="B709" s="327"/>
      <c r="C709" s="332"/>
      <c r="D709" s="327"/>
      <c r="E709" s="327"/>
      <c r="F709" s="327"/>
      <c r="G709" s="327"/>
      <c r="H709" s="327"/>
      <c r="I709" s="327"/>
      <c r="J709" s="329"/>
      <c r="K709" s="329"/>
      <c r="L709" s="329"/>
      <c r="M709" s="327"/>
      <c r="N709" s="327"/>
      <c r="O709" s="327"/>
      <c r="P709" s="327"/>
      <c r="Q709" s="327"/>
      <c r="R709" s="327"/>
      <c r="S709" s="327"/>
      <c r="T709" s="327"/>
      <c r="U709" s="338"/>
      <c r="V709" s="327"/>
      <c r="W709" s="327"/>
      <c r="X709" s="327"/>
      <c r="Y709" s="327"/>
      <c r="Z709" s="330"/>
    </row>
    <row r="710" spans="1:26" ht="12.5">
      <c r="A710" s="327"/>
      <c r="B710" s="327"/>
      <c r="C710" s="332"/>
      <c r="D710" s="327"/>
      <c r="E710" s="327"/>
      <c r="F710" s="327"/>
      <c r="G710" s="327"/>
      <c r="H710" s="327"/>
      <c r="I710" s="327"/>
      <c r="J710" s="329"/>
      <c r="K710" s="329"/>
      <c r="L710" s="329"/>
      <c r="M710" s="327"/>
      <c r="N710" s="327"/>
      <c r="O710" s="327"/>
      <c r="P710" s="327"/>
      <c r="Q710" s="327"/>
      <c r="R710" s="327"/>
      <c r="S710" s="327"/>
      <c r="T710" s="327"/>
      <c r="U710" s="338"/>
      <c r="V710" s="327"/>
      <c r="W710" s="327"/>
      <c r="X710" s="327"/>
      <c r="Y710" s="327"/>
      <c r="Z710" s="330"/>
    </row>
    <row r="711" spans="1:26" ht="12.5">
      <c r="A711" s="327"/>
      <c r="B711" s="327"/>
      <c r="C711" s="332"/>
      <c r="D711" s="327"/>
      <c r="E711" s="327"/>
      <c r="F711" s="327"/>
      <c r="G711" s="327"/>
      <c r="H711" s="327"/>
      <c r="I711" s="327"/>
      <c r="J711" s="329"/>
      <c r="K711" s="329"/>
      <c r="L711" s="329"/>
      <c r="M711" s="327"/>
      <c r="N711" s="327"/>
      <c r="O711" s="327"/>
      <c r="P711" s="327"/>
      <c r="Q711" s="327"/>
      <c r="R711" s="327"/>
      <c r="S711" s="327"/>
      <c r="T711" s="327"/>
      <c r="U711" s="338"/>
      <c r="V711" s="327"/>
      <c r="W711" s="327"/>
      <c r="X711" s="327"/>
      <c r="Y711" s="327"/>
      <c r="Z711" s="330"/>
    </row>
    <row r="712" spans="1:26" ht="12.5">
      <c r="A712" s="327"/>
      <c r="B712" s="327"/>
      <c r="C712" s="332"/>
      <c r="D712" s="327"/>
      <c r="E712" s="327"/>
      <c r="F712" s="327"/>
      <c r="G712" s="327"/>
      <c r="H712" s="327"/>
      <c r="I712" s="327"/>
      <c r="J712" s="329"/>
      <c r="K712" s="329"/>
      <c r="L712" s="329"/>
      <c r="M712" s="327"/>
      <c r="N712" s="327"/>
      <c r="O712" s="327"/>
      <c r="P712" s="327"/>
      <c r="Q712" s="327"/>
      <c r="R712" s="327"/>
      <c r="S712" s="327"/>
      <c r="T712" s="327"/>
      <c r="U712" s="338"/>
      <c r="V712" s="327"/>
      <c r="W712" s="327"/>
      <c r="X712" s="327"/>
      <c r="Y712" s="327"/>
      <c r="Z712" s="330"/>
    </row>
    <row r="713" spans="1:26" ht="12.5">
      <c r="A713" s="327"/>
      <c r="B713" s="327"/>
      <c r="C713" s="332"/>
      <c r="D713" s="327"/>
      <c r="E713" s="327"/>
      <c r="F713" s="327"/>
      <c r="G713" s="327"/>
      <c r="H713" s="327"/>
      <c r="I713" s="327"/>
      <c r="J713" s="329"/>
      <c r="K713" s="329"/>
      <c r="L713" s="329"/>
      <c r="M713" s="327"/>
      <c r="N713" s="327"/>
      <c r="O713" s="327"/>
      <c r="P713" s="327"/>
      <c r="Q713" s="327"/>
      <c r="R713" s="327"/>
      <c r="S713" s="327"/>
      <c r="T713" s="327"/>
      <c r="U713" s="338"/>
      <c r="V713" s="327"/>
      <c r="W713" s="327"/>
      <c r="X713" s="327"/>
      <c r="Y713" s="327"/>
      <c r="Z713" s="330"/>
    </row>
    <row r="714" spans="1:26" ht="12.5">
      <c r="A714" s="327"/>
      <c r="B714" s="327"/>
      <c r="C714" s="332"/>
      <c r="D714" s="327"/>
      <c r="E714" s="327"/>
      <c r="F714" s="327"/>
      <c r="G714" s="327"/>
      <c r="H714" s="327"/>
      <c r="I714" s="327"/>
      <c r="J714" s="329"/>
      <c r="K714" s="329"/>
      <c r="L714" s="329"/>
      <c r="M714" s="327"/>
      <c r="N714" s="327"/>
      <c r="O714" s="327"/>
      <c r="P714" s="327"/>
      <c r="Q714" s="327"/>
      <c r="R714" s="327"/>
      <c r="S714" s="327"/>
      <c r="T714" s="327"/>
      <c r="U714" s="338"/>
      <c r="V714" s="327"/>
      <c r="W714" s="327"/>
      <c r="X714" s="327"/>
      <c r="Y714" s="327"/>
      <c r="Z714" s="330"/>
    </row>
    <row r="715" spans="1:26" ht="12.5">
      <c r="A715" s="327"/>
      <c r="B715" s="327"/>
      <c r="C715" s="332"/>
      <c r="D715" s="327"/>
      <c r="E715" s="327"/>
      <c r="F715" s="327"/>
      <c r="G715" s="327"/>
      <c r="H715" s="327"/>
      <c r="I715" s="327"/>
      <c r="J715" s="329"/>
      <c r="K715" s="329"/>
      <c r="L715" s="329"/>
      <c r="M715" s="327"/>
      <c r="N715" s="327"/>
      <c r="O715" s="327"/>
      <c r="P715" s="327"/>
      <c r="Q715" s="327"/>
      <c r="R715" s="327"/>
      <c r="S715" s="327"/>
      <c r="T715" s="327"/>
      <c r="U715" s="338"/>
      <c r="V715" s="327"/>
      <c r="W715" s="327"/>
      <c r="X715" s="327"/>
      <c r="Y715" s="327"/>
      <c r="Z715" s="330"/>
    </row>
    <row r="716" spans="1:26" ht="12.5">
      <c r="A716" s="327"/>
      <c r="B716" s="327"/>
      <c r="C716" s="332"/>
      <c r="D716" s="327"/>
      <c r="E716" s="327"/>
      <c r="F716" s="327"/>
      <c r="G716" s="327"/>
      <c r="H716" s="327"/>
      <c r="I716" s="327"/>
      <c r="J716" s="329"/>
      <c r="K716" s="329"/>
      <c r="L716" s="329"/>
      <c r="M716" s="327"/>
      <c r="N716" s="327"/>
      <c r="O716" s="327"/>
      <c r="P716" s="327"/>
      <c r="Q716" s="327"/>
      <c r="R716" s="327"/>
      <c r="S716" s="327"/>
      <c r="T716" s="327"/>
      <c r="U716" s="338"/>
      <c r="V716" s="327"/>
      <c r="W716" s="327"/>
      <c r="X716" s="327"/>
      <c r="Y716" s="327"/>
      <c r="Z716" s="330"/>
    </row>
    <row r="717" spans="1:26" ht="12.5">
      <c r="A717" s="327"/>
      <c r="B717" s="327"/>
      <c r="C717" s="332"/>
      <c r="D717" s="327"/>
      <c r="E717" s="327"/>
      <c r="F717" s="327"/>
      <c r="G717" s="327"/>
      <c r="H717" s="327"/>
      <c r="I717" s="327"/>
      <c r="J717" s="329"/>
      <c r="K717" s="329"/>
      <c r="L717" s="329"/>
      <c r="M717" s="327"/>
      <c r="N717" s="327"/>
      <c r="O717" s="327"/>
      <c r="P717" s="327"/>
      <c r="Q717" s="327"/>
      <c r="R717" s="327"/>
      <c r="S717" s="327"/>
      <c r="T717" s="327"/>
      <c r="U717" s="338"/>
      <c r="V717" s="327"/>
      <c r="W717" s="327"/>
      <c r="X717" s="327"/>
      <c r="Y717" s="327"/>
      <c r="Z717" s="330"/>
    </row>
    <row r="718" spans="1:26" ht="12.5">
      <c r="A718" s="327"/>
      <c r="B718" s="327"/>
      <c r="C718" s="332"/>
      <c r="D718" s="327"/>
      <c r="E718" s="327"/>
      <c r="F718" s="327"/>
      <c r="G718" s="327"/>
      <c r="H718" s="327"/>
      <c r="I718" s="327"/>
      <c r="J718" s="329"/>
      <c r="K718" s="329"/>
      <c r="L718" s="329"/>
      <c r="M718" s="327"/>
      <c r="N718" s="327"/>
      <c r="O718" s="327"/>
      <c r="P718" s="327"/>
      <c r="Q718" s="327"/>
      <c r="R718" s="327"/>
      <c r="S718" s="327"/>
      <c r="T718" s="327"/>
      <c r="U718" s="338"/>
      <c r="V718" s="327"/>
      <c r="W718" s="327"/>
      <c r="X718" s="327"/>
      <c r="Y718" s="327"/>
      <c r="Z718" s="330"/>
    </row>
    <row r="719" spans="1:26" ht="12.5">
      <c r="A719" s="327"/>
      <c r="B719" s="327"/>
      <c r="C719" s="332"/>
      <c r="D719" s="327"/>
      <c r="E719" s="327"/>
      <c r="F719" s="327"/>
      <c r="G719" s="327"/>
      <c r="H719" s="327"/>
      <c r="I719" s="327"/>
      <c r="J719" s="329"/>
      <c r="K719" s="329"/>
      <c r="L719" s="329"/>
      <c r="M719" s="327"/>
      <c r="N719" s="327"/>
      <c r="O719" s="327"/>
      <c r="P719" s="327"/>
      <c r="Q719" s="327"/>
      <c r="R719" s="327"/>
      <c r="S719" s="327"/>
      <c r="T719" s="327"/>
      <c r="U719" s="338"/>
      <c r="V719" s="327"/>
      <c r="W719" s="327"/>
      <c r="X719" s="327"/>
      <c r="Y719" s="327"/>
      <c r="Z719" s="330"/>
    </row>
    <row r="720" spans="1:26" ht="12.5">
      <c r="A720" s="327"/>
      <c r="B720" s="327"/>
      <c r="C720" s="332"/>
      <c r="D720" s="327"/>
      <c r="E720" s="327"/>
      <c r="F720" s="327"/>
      <c r="G720" s="327"/>
      <c r="H720" s="327"/>
      <c r="I720" s="327"/>
      <c r="J720" s="329"/>
      <c r="K720" s="329"/>
      <c r="L720" s="329"/>
      <c r="M720" s="327"/>
      <c r="N720" s="327"/>
      <c r="O720" s="327"/>
      <c r="P720" s="327"/>
      <c r="Q720" s="327"/>
      <c r="R720" s="327"/>
      <c r="S720" s="327"/>
      <c r="T720" s="327"/>
      <c r="U720" s="338"/>
      <c r="V720" s="327"/>
      <c r="W720" s="327"/>
      <c r="X720" s="327"/>
      <c r="Y720" s="327"/>
      <c r="Z720" s="330"/>
    </row>
    <row r="721" spans="1:26" ht="12.5">
      <c r="A721" s="327"/>
      <c r="B721" s="327"/>
      <c r="C721" s="332"/>
      <c r="D721" s="327"/>
      <c r="E721" s="327"/>
      <c r="F721" s="327"/>
      <c r="G721" s="327"/>
      <c r="H721" s="327"/>
      <c r="I721" s="327"/>
      <c r="J721" s="329"/>
      <c r="K721" s="329"/>
      <c r="L721" s="329"/>
      <c r="M721" s="327"/>
      <c r="N721" s="327"/>
      <c r="O721" s="327"/>
      <c r="P721" s="327"/>
      <c r="Q721" s="327"/>
      <c r="R721" s="327"/>
      <c r="S721" s="327"/>
      <c r="T721" s="327"/>
      <c r="U721" s="338"/>
      <c r="V721" s="327"/>
      <c r="W721" s="327"/>
      <c r="X721" s="327"/>
      <c r="Y721" s="327"/>
      <c r="Z721" s="330"/>
    </row>
    <row r="722" spans="1:26" ht="12.5">
      <c r="A722" s="327"/>
      <c r="B722" s="327"/>
      <c r="C722" s="332"/>
      <c r="D722" s="327"/>
      <c r="E722" s="327"/>
      <c r="F722" s="327"/>
      <c r="G722" s="327"/>
      <c r="H722" s="327"/>
      <c r="I722" s="327"/>
      <c r="J722" s="329"/>
      <c r="K722" s="329"/>
      <c r="L722" s="329"/>
      <c r="M722" s="327"/>
      <c r="N722" s="327"/>
      <c r="O722" s="327"/>
      <c r="P722" s="327"/>
      <c r="Q722" s="327"/>
      <c r="R722" s="327"/>
      <c r="S722" s="327"/>
      <c r="T722" s="327"/>
      <c r="U722" s="338"/>
      <c r="V722" s="327"/>
      <c r="W722" s="327"/>
      <c r="X722" s="327"/>
      <c r="Y722" s="327"/>
      <c r="Z722" s="330"/>
    </row>
    <row r="723" spans="1:26" ht="12.5">
      <c r="A723" s="327"/>
      <c r="B723" s="327"/>
      <c r="C723" s="332"/>
      <c r="D723" s="327"/>
      <c r="E723" s="327"/>
      <c r="F723" s="327"/>
      <c r="G723" s="327"/>
      <c r="H723" s="327"/>
      <c r="I723" s="327"/>
      <c r="J723" s="329"/>
      <c r="K723" s="329"/>
      <c r="L723" s="329"/>
      <c r="M723" s="327"/>
      <c r="N723" s="327"/>
      <c r="O723" s="327"/>
      <c r="P723" s="327"/>
      <c r="Q723" s="327"/>
      <c r="R723" s="327"/>
      <c r="S723" s="327"/>
      <c r="T723" s="327"/>
      <c r="U723" s="338"/>
      <c r="V723" s="327"/>
      <c r="W723" s="327"/>
      <c r="X723" s="327"/>
      <c r="Y723" s="327"/>
      <c r="Z723" s="330"/>
    </row>
    <row r="724" spans="1:26" ht="12.5">
      <c r="A724" s="327"/>
      <c r="B724" s="327"/>
      <c r="C724" s="332"/>
      <c r="D724" s="327"/>
      <c r="E724" s="327"/>
      <c r="F724" s="327"/>
      <c r="G724" s="327"/>
      <c r="H724" s="327"/>
      <c r="I724" s="327"/>
      <c r="J724" s="329"/>
      <c r="K724" s="329"/>
      <c r="L724" s="329"/>
      <c r="M724" s="327"/>
      <c r="N724" s="327"/>
      <c r="O724" s="327"/>
      <c r="P724" s="327"/>
      <c r="Q724" s="327"/>
      <c r="R724" s="327"/>
      <c r="S724" s="327"/>
      <c r="T724" s="327"/>
      <c r="U724" s="338"/>
      <c r="V724" s="327"/>
      <c r="W724" s="327"/>
      <c r="X724" s="327"/>
      <c r="Y724" s="327"/>
      <c r="Z724" s="330"/>
    </row>
    <row r="725" spans="1:26" ht="12.5">
      <c r="A725" s="327"/>
      <c r="B725" s="327"/>
      <c r="C725" s="332"/>
      <c r="D725" s="327"/>
      <c r="E725" s="327"/>
      <c r="F725" s="327"/>
      <c r="G725" s="327"/>
      <c r="H725" s="327"/>
      <c r="I725" s="327"/>
      <c r="J725" s="329"/>
      <c r="K725" s="329"/>
      <c r="L725" s="329"/>
      <c r="M725" s="327"/>
      <c r="N725" s="327"/>
      <c r="O725" s="327"/>
      <c r="P725" s="327"/>
      <c r="Q725" s="327"/>
      <c r="R725" s="327"/>
      <c r="S725" s="327"/>
      <c r="T725" s="327"/>
      <c r="U725" s="338"/>
      <c r="V725" s="327"/>
      <c r="W725" s="327"/>
      <c r="X725" s="327"/>
      <c r="Y725" s="327"/>
      <c r="Z725" s="330"/>
    </row>
    <row r="726" spans="1:26" ht="12.5">
      <c r="A726" s="327"/>
      <c r="B726" s="327"/>
      <c r="C726" s="332"/>
      <c r="D726" s="327"/>
      <c r="E726" s="327"/>
      <c r="F726" s="327"/>
      <c r="G726" s="327"/>
      <c r="H726" s="327"/>
      <c r="I726" s="327"/>
      <c r="J726" s="329"/>
      <c r="K726" s="329"/>
      <c r="L726" s="329"/>
      <c r="M726" s="327"/>
      <c r="N726" s="327"/>
      <c r="O726" s="327"/>
      <c r="P726" s="327"/>
      <c r="Q726" s="327"/>
      <c r="R726" s="327"/>
      <c r="S726" s="327"/>
      <c r="T726" s="327"/>
      <c r="U726" s="338"/>
      <c r="V726" s="327"/>
      <c r="W726" s="327"/>
      <c r="X726" s="327"/>
      <c r="Y726" s="327"/>
      <c r="Z726" s="330"/>
    </row>
    <row r="727" spans="1:26" ht="12.5">
      <c r="A727" s="327"/>
      <c r="B727" s="327"/>
      <c r="C727" s="332"/>
      <c r="D727" s="327"/>
      <c r="E727" s="327"/>
      <c r="F727" s="327"/>
      <c r="G727" s="327"/>
      <c r="H727" s="327"/>
      <c r="I727" s="327"/>
      <c r="J727" s="329"/>
      <c r="K727" s="329"/>
      <c r="L727" s="329"/>
      <c r="M727" s="327"/>
      <c r="N727" s="327"/>
      <c r="O727" s="327"/>
      <c r="P727" s="327"/>
      <c r="Q727" s="327"/>
      <c r="R727" s="327"/>
      <c r="S727" s="327"/>
      <c r="T727" s="327"/>
      <c r="U727" s="338"/>
      <c r="V727" s="327"/>
      <c r="W727" s="327"/>
      <c r="X727" s="327"/>
      <c r="Y727" s="327"/>
      <c r="Z727" s="330"/>
    </row>
    <row r="728" spans="1:26" ht="12.5">
      <c r="A728" s="327"/>
      <c r="B728" s="327"/>
      <c r="C728" s="332"/>
      <c r="D728" s="327"/>
      <c r="E728" s="327"/>
      <c r="F728" s="327"/>
      <c r="G728" s="327"/>
      <c r="H728" s="327"/>
      <c r="I728" s="327"/>
      <c r="J728" s="329"/>
      <c r="K728" s="329"/>
      <c r="L728" s="329"/>
      <c r="M728" s="327"/>
      <c r="N728" s="327"/>
      <c r="O728" s="327"/>
      <c r="P728" s="327"/>
      <c r="Q728" s="327"/>
      <c r="R728" s="327"/>
      <c r="S728" s="327"/>
      <c r="T728" s="327"/>
      <c r="U728" s="338"/>
      <c r="V728" s="327"/>
      <c r="W728" s="327"/>
      <c r="X728" s="327"/>
      <c r="Y728" s="327"/>
      <c r="Z728" s="330"/>
    </row>
    <row r="729" spans="1:26" ht="12.5">
      <c r="A729" s="327"/>
      <c r="B729" s="327"/>
      <c r="C729" s="332"/>
      <c r="D729" s="327"/>
      <c r="E729" s="327"/>
      <c r="F729" s="327"/>
      <c r="G729" s="327"/>
      <c r="H729" s="327"/>
      <c r="I729" s="327"/>
      <c r="J729" s="329"/>
      <c r="K729" s="329"/>
      <c r="L729" s="329"/>
      <c r="M729" s="327"/>
      <c r="N729" s="327"/>
      <c r="O729" s="327"/>
      <c r="P729" s="327"/>
      <c r="Q729" s="327"/>
      <c r="R729" s="327"/>
      <c r="S729" s="327"/>
      <c r="T729" s="327"/>
      <c r="U729" s="338"/>
      <c r="V729" s="327"/>
      <c r="W729" s="327"/>
      <c r="X729" s="327"/>
      <c r="Y729" s="327"/>
      <c r="Z729" s="330"/>
    </row>
    <row r="730" spans="1:26" ht="12.5">
      <c r="A730" s="327"/>
      <c r="B730" s="327"/>
      <c r="C730" s="332"/>
      <c r="D730" s="327"/>
      <c r="E730" s="327"/>
      <c r="F730" s="327"/>
      <c r="G730" s="327"/>
      <c r="H730" s="327"/>
      <c r="I730" s="327"/>
      <c r="J730" s="329"/>
      <c r="K730" s="329"/>
      <c r="L730" s="329"/>
      <c r="M730" s="327"/>
      <c r="N730" s="327"/>
      <c r="O730" s="327"/>
      <c r="P730" s="327"/>
      <c r="Q730" s="327"/>
      <c r="R730" s="327"/>
      <c r="S730" s="327"/>
      <c r="T730" s="327"/>
      <c r="U730" s="338"/>
      <c r="V730" s="327"/>
      <c r="W730" s="327"/>
      <c r="X730" s="327"/>
      <c r="Y730" s="327"/>
      <c r="Z730" s="330"/>
    </row>
    <row r="731" spans="1:26" ht="12.5">
      <c r="A731" s="327"/>
      <c r="B731" s="327"/>
      <c r="C731" s="332"/>
      <c r="D731" s="327"/>
      <c r="E731" s="327"/>
      <c r="F731" s="327"/>
      <c r="G731" s="327"/>
      <c r="H731" s="327"/>
      <c r="I731" s="327"/>
      <c r="J731" s="329"/>
      <c r="K731" s="329"/>
      <c r="L731" s="329"/>
      <c r="M731" s="327"/>
      <c r="N731" s="327"/>
      <c r="O731" s="327"/>
      <c r="P731" s="327"/>
      <c r="Q731" s="327"/>
      <c r="R731" s="327"/>
      <c r="S731" s="327"/>
      <c r="T731" s="327"/>
      <c r="U731" s="338"/>
      <c r="V731" s="327"/>
      <c r="W731" s="327"/>
      <c r="X731" s="327"/>
      <c r="Y731" s="327"/>
      <c r="Z731" s="330"/>
    </row>
    <row r="732" spans="1:26" ht="12.5">
      <c r="A732" s="327"/>
      <c r="B732" s="327"/>
      <c r="C732" s="332"/>
      <c r="D732" s="327"/>
      <c r="E732" s="327"/>
      <c r="F732" s="327"/>
      <c r="G732" s="327"/>
      <c r="H732" s="327"/>
      <c r="I732" s="327"/>
      <c r="J732" s="329"/>
      <c r="K732" s="329"/>
      <c r="L732" s="329"/>
      <c r="M732" s="327"/>
      <c r="N732" s="327"/>
      <c r="O732" s="327"/>
      <c r="P732" s="327"/>
      <c r="Q732" s="327"/>
      <c r="R732" s="327"/>
      <c r="S732" s="327"/>
      <c r="T732" s="327"/>
      <c r="U732" s="338"/>
      <c r="V732" s="327"/>
      <c r="W732" s="327"/>
      <c r="X732" s="327"/>
      <c r="Y732" s="327"/>
      <c r="Z732" s="330"/>
    </row>
    <row r="733" spans="1:26" ht="12.5">
      <c r="A733" s="327"/>
      <c r="B733" s="327"/>
      <c r="C733" s="332"/>
      <c r="D733" s="327"/>
      <c r="E733" s="327"/>
      <c r="F733" s="327"/>
      <c r="G733" s="327"/>
      <c r="H733" s="327"/>
      <c r="I733" s="327"/>
      <c r="J733" s="329"/>
      <c r="K733" s="329"/>
      <c r="L733" s="329"/>
      <c r="M733" s="327"/>
      <c r="N733" s="327"/>
      <c r="O733" s="327"/>
      <c r="P733" s="327"/>
      <c r="Q733" s="327"/>
      <c r="R733" s="327"/>
      <c r="S733" s="327"/>
      <c r="T733" s="327"/>
      <c r="U733" s="338"/>
      <c r="V733" s="327"/>
      <c r="W733" s="327"/>
      <c r="X733" s="327"/>
      <c r="Y733" s="327"/>
      <c r="Z733" s="330"/>
    </row>
    <row r="734" spans="1:26" ht="12.5">
      <c r="A734" s="327"/>
      <c r="B734" s="327"/>
      <c r="C734" s="332"/>
      <c r="D734" s="327"/>
      <c r="E734" s="327"/>
      <c r="F734" s="327"/>
      <c r="G734" s="327"/>
      <c r="H734" s="327"/>
      <c r="I734" s="327"/>
      <c r="J734" s="329"/>
      <c r="K734" s="329"/>
      <c r="L734" s="329"/>
      <c r="M734" s="327"/>
      <c r="N734" s="327"/>
      <c r="O734" s="327"/>
      <c r="P734" s="327"/>
      <c r="Q734" s="327"/>
      <c r="R734" s="327"/>
      <c r="S734" s="327"/>
      <c r="T734" s="327"/>
      <c r="U734" s="338"/>
      <c r="V734" s="327"/>
      <c r="W734" s="327"/>
      <c r="X734" s="327"/>
      <c r="Y734" s="327"/>
      <c r="Z734" s="330"/>
    </row>
    <row r="735" spans="1:26" ht="12.5">
      <c r="A735" s="327"/>
      <c r="B735" s="327"/>
      <c r="C735" s="332"/>
      <c r="D735" s="327"/>
      <c r="E735" s="327"/>
      <c r="F735" s="327"/>
      <c r="G735" s="327"/>
      <c r="H735" s="327"/>
      <c r="I735" s="327"/>
      <c r="J735" s="329"/>
      <c r="K735" s="329"/>
      <c r="L735" s="329"/>
      <c r="M735" s="327"/>
      <c r="N735" s="327"/>
      <c r="O735" s="327"/>
      <c r="P735" s="327"/>
      <c r="Q735" s="327"/>
      <c r="R735" s="327"/>
      <c r="S735" s="327"/>
      <c r="T735" s="327"/>
      <c r="U735" s="338"/>
      <c r="V735" s="327"/>
      <c r="W735" s="327"/>
      <c r="X735" s="327"/>
      <c r="Y735" s="327"/>
      <c r="Z735" s="330"/>
    </row>
    <row r="736" spans="1:26" ht="12.5">
      <c r="A736" s="327"/>
      <c r="B736" s="327"/>
      <c r="C736" s="332"/>
      <c r="D736" s="327"/>
      <c r="E736" s="327"/>
      <c r="F736" s="327"/>
      <c r="G736" s="327"/>
      <c r="H736" s="327"/>
      <c r="I736" s="327"/>
      <c r="J736" s="329"/>
      <c r="K736" s="329"/>
      <c r="L736" s="329"/>
      <c r="M736" s="327"/>
      <c r="N736" s="327"/>
      <c r="O736" s="327"/>
      <c r="P736" s="327"/>
      <c r="Q736" s="327"/>
      <c r="R736" s="327"/>
      <c r="S736" s="327"/>
      <c r="T736" s="327"/>
      <c r="U736" s="338"/>
      <c r="V736" s="327"/>
      <c r="W736" s="327"/>
      <c r="X736" s="327"/>
      <c r="Y736" s="327"/>
      <c r="Z736" s="330"/>
    </row>
    <row r="737" spans="1:26" ht="12.5">
      <c r="A737" s="327"/>
      <c r="B737" s="327"/>
      <c r="C737" s="332"/>
      <c r="D737" s="327"/>
      <c r="E737" s="327"/>
      <c r="F737" s="327"/>
      <c r="G737" s="327"/>
      <c r="H737" s="327"/>
      <c r="I737" s="327"/>
      <c r="J737" s="329"/>
      <c r="K737" s="329"/>
      <c r="L737" s="329"/>
      <c r="M737" s="327"/>
      <c r="N737" s="327"/>
      <c r="O737" s="327"/>
      <c r="P737" s="327"/>
      <c r="Q737" s="327"/>
      <c r="R737" s="327"/>
      <c r="S737" s="327"/>
      <c r="T737" s="327"/>
      <c r="U737" s="338"/>
      <c r="V737" s="327"/>
      <c r="W737" s="327"/>
      <c r="X737" s="327"/>
      <c r="Y737" s="327"/>
      <c r="Z737" s="330"/>
    </row>
    <row r="738" spans="1:26" ht="12.5">
      <c r="A738" s="327"/>
      <c r="B738" s="327"/>
      <c r="C738" s="332"/>
      <c r="D738" s="327"/>
      <c r="E738" s="327"/>
      <c r="F738" s="327"/>
      <c r="G738" s="327"/>
      <c r="H738" s="327"/>
      <c r="I738" s="327"/>
      <c r="J738" s="329"/>
      <c r="K738" s="329"/>
      <c r="L738" s="329"/>
      <c r="M738" s="327"/>
      <c r="N738" s="327"/>
      <c r="O738" s="327"/>
      <c r="P738" s="327"/>
      <c r="Q738" s="327"/>
      <c r="R738" s="327"/>
      <c r="S738" s="327"/>
      <c r="T738" s="327"/>
      <c r="U738" s="338"/>
      <c r="V738" s="327"/>
      <c r="W738" s="327"/>
      <c r="X738" s="327"/>
      <c r="Y738" s="327"/>
      <c r="Z738" s="330"/>
    </row>
    <row r="739" spans="1:26" ht="12.5">
      <c r="A739" s="327"/>
      <c r="B739" s="327"/>
      <c r="C739" s="332"/>
      <c r="D739" s="327"/>
      <c r="E739" s="327"/>
      <c r="F739" s="327"/>
      <c r="G739" s="327"/>
      <c r="H739" s="327"/>
      <c r="I739" s="327"/>
      <c r="J739" s="329"/>
      <c r="K739" s="329"/>
      <c r="L739" s="329"/>
      <c r="M739" s="327"/>
      <c r="N739" s="327"/>
      <c r="O739" s="327"/>
      <c r="P739" s="327"/>
      <c r="Q739" s="327"/>
      <c r="R739" s="327"/>
      <c r="S739" s="327"/>
      <c r="T739" s="327"/>
      <c r="U739" s="338"/>
      <c r="V739" s="327"/>
      <c r="W739" s="327"/>
      <c r="X739" s="327"/>
      <c r="Y739" s="327"/>
      <c r="Z739" s="330"/>
    </row>
    <row r="740" spans="1:26" ht="12.5">
      <c r="A740" s="327"/>
      <c r="B740" s="327"/>
      <c r="C740" s="332"/>
      <c r="D740" s="327"/>
      <c r="E740" s="327"/>
      <c r="F740" s="327"/>
      <c r="G740" s="327"/>
      <c r="H740" s="327"/>
      <c r="I740" s="327"/>
      <c r="J740" s="329"/>
      <c r="K740" s="329"/>
      <c r="L740" s="329"/>
      <c r="M740" s="327"/>
      <c r="N740" s="327"/>
      <c r="O740" s="327"/>
      <c r="P740" s="327"/>
      <c r="Q740" s="327"/>
      <c r="R740" s="327"/>
      <c r="S740" s="327"/>
      <c r="T740" s="327"/>
      <c r="U740" s="338"/>
      <c r="V740" s="327"/>
      <c r="W740" s="327"/>
      <c r="X740" s="327"/>
      <c r="Y740" s="327"/>
      <c r="Z740" s="330"/>
    </row>
    <row r="741" spans="1:26" ht="12.5">
      <c r="A741" s="327"/>
      <c r="B741" s="327"/>
      <c r="C741" s="332"/>
      <c r="D741" s="327"/>
      <c r="E741" s="327"/>
      <c r="F741" s="327"/>
      <c r="G741" s="327"/>
      <c r="H741" s="327"/>
      <c r="I741" s="327"/>
      <c r="J741" s="329"/>
      <c r="K741" s="329"/>
      <c r="L741" s="329"/>
      <c r="M741" s="327"/>
      <c r="N741" s="327"/>
      <c r="O741" s="327"/>
      <c r="P741" s="327"/>
      <c r="Q741" s="327"/>
      <c r="R741" s="327"/>
      <c r="S741" s="327"/>
      <c r="T741" s="327"/>
      <c r="U741" s="338"/>
      <c r="V741" s="327"/>
      <c r="W741" s="327"/>
      <c r="X741" s="327"/>
      <c r="Y741" s="327"/>
      <c r="Z741" s="330"/>
    </row>
    <row r="742" spans="1:26" ht="12.5">
      <c r="A742" s="327"/>
      <c r="B742" s="327"/>
      <c r="C742" s="332"/>
      <c r="D742" s="327"/>
      <c r="E742" s="327"/>
      <c r="F742" s="327"/>
      <c r="G742" s="327"/>
      <c r="H742" s="327"/>
      <c r="I742" s="327"/>
      <c r="J742" s="329"/>
      <c r="K742" s="329"/>
      <c r="L742" s="329"/>
      <c r="M742" s="327"/>
      <c r="N742" s="327"/>
      <c r="O742" s="327"/>
      <c r="P742" s="327"/>
      <c r="Q742" s="327"/>
      <c r="R742" s="327"/>
      <c r="S742" s="327"/>
      <c r="T742" s="327"/>
      <c r="U742" s="338"/>
      <c r="V742" s="327"/>
      <c r="W742" s="327"/>
      <c r="X742" s="327"/>
      <c r="Y742" s="327"/>
      <c r="Z742" s="330"/>
    </row>
    <row r="743" spans="1:26" ht="12.5">
      <c r="A743" s="327"/>
      <c r="B743" s="327"/>
      <c r="C743" s="332"/>
      <c r="D743" s="327"/>
      <c r="E743" s="327"/>
      <c r="F743" s="327"/>
      <c r="G743" s="327"/>
      <c r="H743" s="327"/>
      <c r="I743" s="327"/>
      <c r="J743" s="329"/>
      <c r="K743" s="329"/>
      <c r="L743" s="329"/>
      <c r="M743" s="327"/>
      <c r="N743" s="327"/>
      <c r="O743" s="327"/>
      <c r="P743" s="327"/>
      <c r="Q743" s="327"/>
      <c r="R743" s="327"/>
      <c r="S743" s="327"/>
      <c r="T743" s="327"/>
      <c r="U743" s="338"/>
      <c r="V743" s="327"/>
      <c r="W743" s="327"/>
      <c r="X743" s="327"/>
      <c r="Y743" s="327"/>
      <c r="Z743" s="330"/>
    </row>
    <row r="744" spans="1:26" ht="12.5">
      <c r="A744" s="327"/>
      <c r="B744" s="327"/>
      <c r="C744" s="332"/>
      <c r="D744" s="327"/>
      <c r="E744" s="327"/>
      <c r="F744" s="327"/>
      <c r="G744" s="327"/>
      <c r="H744" s="327"/>
      <c r="I744" s="327"/>
      <c r="J744" s="329"/>
      <c r="K744" s="329"/>
      <c r="L744" s="329"/>
      <c r="M744" s="327"/>
      <c r="N744" s="327"/>
      <c r="O744" s="327"/>
      <c r="P744" s="327"/>
      <c r="Q744" s="327"/>
      <c r="R744" s="327"/>
      <c r="S744" s="327"/>
      <c r="T744" s="327"/>
      <c r="U744" s="338"/>
      <c r="V744" s="327"/>
      <c r="W744" s="327"/>
      <c r="X744" s="327"/>
      <c r="Y744" s="327"/>
      <c r="Z744" s="330"/>
    </row>
    <row r="745" spans="1:26" ht="12.5">
      <c r="A745" s="327"/>
      <c r="B745" s="327"/>
      <c r="C745" s="332"/>
      <c r="D745" s="327"/>
      <c r="E745" s="327"/>
      <c r="F745" s="327"/>
      <c r="G745" s="327"/>
      <c r="H745" s="327"/>
      <c r="I745" s="327"/>
      <c r="J745" s="329"/>
      <c r="K745" s="329"/>
      <c r="L745" s="329"/>
      <c r="M745" s="327"/>
      <c r="N745" s="327"/>
      <c r="O745" s="327"/>
      <c r="P745" s="327"/>
      <c r="Q745" s="327"/>
      <c r="R745" s="327"/>
      <c r="S745" s="327"/>
      <c r="T745" s="327"/>
      <c r="U745" s="338"/>
      <c r="V745" s="327"/>
      <c r="W745" s="327"/>
      <c r="X745" s="327"/>
      <c r="Y745" s="327"/>
      <c r="Z745" s="330"/>
    </row>
    <row r="746" spans="1:26" ht="12.5">
      <c r="A746" s="327"/>
      <c r="B746" s="327"/>
      <c r="C746" s="332"/>
      <c r="D746" s="327"/>
      <c r="E746" s="327"/>
      <c r="F746" s="327"/>
      <c r="G746" s="327"/>
      <c r="H746" s="327"/>
      <c r="I746" s="327"/>
      <c r="J746" s="329"/>
      <c r="K746" s="329"/>
      <c r="L746" s="329"/>
      <c r="M746" s="327"/>
      <c r="N746" s="327"/>
      <c r="O746" s="327"/>
      <c r="P746" s="327"/>
      <c r="Q746" s="327"/>
      <c r="R746" s="327"/>
      <c r="S746" s="327"/>
      <c r="T746" s="327"/>
      <c r="U746" s="338"/>
      <c r="V746" s="327"/>
      <c r="W746" s="327"/>
      <c r="X746" s="327"/>
      <c r="Y746" s="327"/>
      <c r="Z746" s="330"/>
    </row>
    <row r="747" spans="1:26" ht="12.5">
      <c r="A747" s="327"/>
      <c r="B747" s="327"/>
      <c r="C747" s="332"/>
      <c r="D747" s="327"/>
      <c r="E747" s="327"/>
      <c r="F747" s="327"/>
      <c r="G747" s="327"/>
      <c r="H747" s="327"/>
      <c r="I747" s="327"/>
      <c r="J747" s="329"/>
      <c r="K747" s="329"/>
      <c r="L747" s="329"/>
      <c r="M747" s="327"/>
      <c r="N747" s="327"/>
      <c r="O747" s="327"/>
      <c r="P747" s="327"/>
      <c r="Q747" s="327"/>
      <c r="R747" s="327"/>
      <c r="S747" s="327"/>
      <c r="T747" s="327"/>
      <c r="U747" s="338"/>
      <c r="V747" s="327"/>
      <c r="W747" s="327"/>
      <c r="X747" s="327"/>
      <c r="Y747" s="327"/>
      <c r="Z747" s="330"/>
    </row>
    <row r="748" spans="1:26" ht="12.5">
      <c r="A748" s="327"/>
      <c r="B748" s="327"/>
      <c r="C748" s="332"/>
      <c r="D748" s="327"/>
      <c r="E748" s="327"/>
      <c r="F748" s="327"/>
      <c r="G748" s="327"/>
      <c r="H748" s="327"/>
      <c r="I748" s="327"/>
      <c r="J748" s="329"/>
      <c r="K748" s="329"/>
      <c r="L748" s="329"/>
      <c r="M748" s="327"/>
      <c r="N748" s="327"/>
      <c r="O748" s="327"/>
      <c r="P748" s="327"/>
      <c r="Q748" s="327"/>
      <c r="R748" s="327"/>
      <c r="S748" s="327"/>
      <c r="T748" s="327"/>
      <c r="U748" s="338"/>
      <c r="V748" s="327"/>
      <c r="W748" s="327"/>
      <c r="X748" s="327"/>
      <c r="Y748" s="327"/>
      <c r="Z748" s="330"/>
    </row>
    <row r="749" spans="1:26" ht="12.5">
      <c r="A749" s="327"/>
      <c r="B749" s="327"/>
      <c r="C749" s="332"/>
      <c r="D749" s="327"/>
      <c r="E749" s="327"/>
      <c r="F749" s="327"/>
      <c r="G749" s="327"/>
      <c r="H749" s="327"/>
      <c r="I749" s="327"/>
      <c r="J749" s="329"/>
      <c r="K749" s="329"/>
      <c r="L749" s="329"/>
      <c r="M749" s="327"/>
      <c r="N749" s="327"/>
      <c r="O749" s="327"/>
      <c r="P749" s="327"/>
      <c r="Q749" s="327"/>
      <c r="R749" s="327"/>
      <c r="S749" s="327"/>
      <c r="T749" s="327"/>
      <c r="U749" s="338"/>
      <c r="V749" s="327"/>
      <c r="W749" s="327"/>
      <c r="X749" s="327"/>
      <c r="Y749" s="327"/>
      <c r="Z749" s="330"/>
    </row>
    <row r="750" spans="1:26" ht="12.5">
      <c r="A750" s="327"/>
      <c r="B750" s="327"/>
      <c r="C750" s="332"/>
      <c r="D750" s="327"/>
      <c r="E750" s="327"/>
      <c r="F750" s="327"/>
      <c r="G750" s="327"/>
      <c r="H750" s="327"/>
      <c r="I750" s="327"/>
      <c r="J750" s="329"/>
      <c r="K750" s="329"/>
      <c r="L750" s="329"/>
      <c r="M750" s="327"/>
      <c r="N750" s="327"/>
      <c r="O750" s="327"/>
      <c r="P750" s="327"/>
      <c r="Q750" s="327"/>
      <c r="R750" s="327"/>
      <c r="S750" s="327"/>
      <c r="T750" s="327"/>
      <c r="U750" s="338"/>
      <c r="V750" s="327"/>
      <c r="W750" s="327"/>
      <c r="X750" s="327"/>
      <c r="Y750" s="327"/>
      <c r="Z750" s="330"/>
    </row>
    <row r="751" spans="1:26" ht="12.5">
      <c r="A751" s="327"/>
      <c r="B751" s="327"/>
      <c r="C751" s="332"/>
      <c r="D751" s="327"/>
      <c r="E751" s="327"/>
      <c r="F751" s="327"/>
      <c r="G751" s="327"/>
      <c r="H751" s="327"/>
      <c r="I751" s="327"/>
      <c r="J751" s="329"/>
      <c r="K751" s="329"/>
      <c r="L751" s="329"/>
      <c r="M751" s="327"/>
      <c r="N751" s="327"/>
      <c r="O751" s="327"/>
      <c r="P751" s="327"/>
      <c r="Q751" s="327"/>
      <c r="R751" s="327"/>
      <c r="S751" s="327"/>
      <c r="T751" s="327"/>
      <c r="U751" s="338"/>
      <c r="V751" s="327"/>
      <c r="W751" s="327"/>
      <c r="X751" s="327"/>
      <c r="Y751" s="327"/>
      <c r="Z751" s="330"/>
    </row>
    <row r="752" spans="1:26" ht="12.5">
      <c r="A752" s="327"/>
      <c r="B752" s="327"/>
      <c r="C752" s="332"/>
      <c r="D752" s="327"/>
      <c r="E752" s="327"/>
      <c r="F752" s="327"/>
      <c r="G752" s="327"/>
      <c r="H752" s="327"/>
      <c r="I752" s="327"/>
      <c r="J752" s="329"/>
      <c r="K752" s="329"/>
      <c r="L752" s="329"/>
      <c r="M752" s="327"/>
      <c r="N752" s="327"/>
      <c r="O752" s="327"/>
      <c r="P752" s="327"/>
      <c r="Q752" s="327"/>
      <c r="R752" s="327"/>
      <c r="S752" s="327"/>
      <c r="T752" s="327"/>
      <c r="U752" s="338"/>
      <c r="V752" s="327"/>
      <c r="W752" s="327"/>
      <c r="X752" s="327"/>
      <c r="Y752" s="327"/>
      <c r="Z752" s="330"/>
    </row>
    <row r="753" spans="1:26" ht="12.5">
      <c r="A753" s="327"/>
      <c r="B753" s="327"/>
      <c r="C753" s="332"/>
      <c r="D753" s="327"/>
      <c r="E753" s="327"/>
      <c r="F753" s="327"/>
      <c r="G753" s="327"/>
      <c r="H753" s="327"/>
      <c r="I753" s="327"/>
      <c r="J753" s="329"/>
      <c r="K753" s="329"/>
      <c r="L753" s="329"/>
      <c r="M753" s="327"/>
      <c r="N753" s="327"/>
      <c r="O753" s="327"/>
      <c r="P753" s="327"/>
      <c r="Q753" s="327"/>
      <c r="R753" s="327"/>
      <c r="S753" s="327"/>
      <c r="T753" s="327"/>
      <c r="U753" s="338"/>
      <c r="V753" s="327"/>
      <c r="W753" s="327"/>
      <c r="X753" s="327"/>
      <c r="Y753" s="327"/>
      <c r="Z753" s="330"/>
    </row>
    <row r="754" spans="1:26" ht="12.5">
      <c r="A754" s="327"/>
      <c r="B754" s="327"/>
      <c r="C754" s="332"/>
      <c r="D754" s="327"/>
      <c r="E754" s="327"/>
      <c r="F754" s="327"/>
      <c r="G754" s="327"/>
      <c r="H754" s="327"/>
      <c r="I754" s="327"/>
      <c r="J754" s="329"/>
      <c r="K754" s="329"/>
      <c r="L754" s="329"/>
      <c r="M754" s="327"/>
      <c r="N754" s="327"/>
      <c r="O754" s="327"/>
      <c r="P754" s="327"/>
      <c r="Q754" s="327"/>
      <c r="R754" s="327"/>
      <c r="S754" s="327"/>
      <c r="T754" s="327"/>
      <c r="U754" s="338"/>
      <c r="V754" s="327"/>
      <c r="W754" s="327"/>
      <c r="X754" s="327"/>
      <c r="Y754" s="327"/>
      <c r="Z754" s="330"/>
    </row>
    <row r="755" spans="1:26" ht="12.5">
      <c r="A755" s="327"/>
      <c r="B755" s="327"/>
      <c r="C755" s="332"/>
      <c r="D755" s="327"/>
      <c r="E755" s="327"/>
      <c r="F755" s="327"/>
      <c r="G755" s="327"/>
      <c r="H755" s="327"/>
      <c r="I755" s="327"/>
      <c r="J755" s="329"/>
      <c r="K755" s="329"/>
      <c r="L755" s="329"/>
      <c r="M755" s="327"/>
      <c r="N755" s="327"/>
      <c r="O755" s="327"/>
      <c r="P755" s="327"/>
      <c r="Q755" s="327"/>
      <c r="R755" s="327"/>
      <c r="S755" s="327"/>
      <c r="T755" s="327"/>
      <c r="U755" s="338"/>
      <c r="V755" s="327"/>
      <c r="W755" s="327"/>
      <c r="X755" s="327"/>
      <c r="Y755" s="327"/>
      <c r="Z755" s="330"/>
    </row>
    <row r="756" spans="1:26" ht="12.5">
      <c r="A756" s="327"/>
      <c r="B756" s="327"/>
      <c r="C756" s="332"/>
      <c r="D756" s="327"/>
      <c r="E756" s="327"/>
      <c r="F756" s="327"/>
      <c r="G756" s="327"/>
      <c r="H756" s="327"/>
      <c r="I756" s="327"/>
      <c r="J756" s="329"/>
      <c r="K756" s="329"/>
      <c r="L756" s="329"/>
      <c r="M756" s="327"/>
      <c r="N756" s="327"/>
      <c r="O756" s="327"/>
      <c r="P756" s="327"/>
      <c r="Q756" s="327"/>
      <c r="R756" s="327"/>
      <c r="S756" s="327"/>
      <c r="T756" s="327"/>
      <c r="U756" s="338"/>
      <c r="V756" s="327"/>
      <c r="W756" s="327"/>
      <c r="X756" s="327"/>
      <c r="Y756" s="327"/>
      <c r="Z756" s="330"/>
    </row>
    <row r="757" spans="1:26" ht="12.5">
      <c r="A757" s="327"/>
      <c r="B757" s="327"/>
      <c r="C757" s="332"/>
      <c r="D757" s="327"/>
      <c r="E757" s="327"/>
      <c r="F757" s="327"/>
      <c r="G757" s="327"/>
      <c r="H757" s="327"/>
      <c r="I757" s="327"/>
      <c r="J757" s="329"/>
      <c r="K757" s="329"/>
      <c r="L757" s="329"/>
      <c r="M757" s="327"/>
      <c r="N757" s="327"/>
      <c r="O757" s="327"/>
      <c r="P757" s="327"/>
      <c r="Q757" s="327"/>
      <c r="R757" s="327"/>
      <c r="S757" s="327"/>
      <c r="T757" s="327"/>
      <c r="U757" s="338"/>
      <c r="V757" s="327"/>
      <c r="W757" s="327"/>
      <c r="X757" s="327"/>
      <c r="Y757" s="327"/>
      <c r="Z757" s="330"/>
    </row>
    <row r="758" spans="1:26" ht="12.5">
      <c r="A758" s="327"/>
      <c r="B758" s="327"/>
      <c r="C758" s="332"/>
      <c r="D758" s="327"/>
      <c r="E758" s="327"/>
      <c r="F758" s="327"/>
      <c r="G758" s="327"/>
      <c r="H758" s="327"/>
      <c r="I758" s="327"/>
      <c r="J758" s="329"/>
      <c r="K758" s="329"/>
      <c r="L758" s="329"/>
      <c r="M758" s="327"/>
      <c r="N758" s="327"/>
      <c r="O758" s="327"/>
      <c r="P758" s="327"/>
      <c r="Q758" s="327"/>
      <c r="R758" s="327"/>
      <c r="S758" s="327"/>
      <c r="T758" s="327"/>
      <c r="U758" s="338"/>
      <c r="V758" s="327"/>
      <c r="W758" s="327"/>
      <c r="X758" s="327"/>
      <c r="Y758" s="327"/>
      <c r="Z758" s="330"/>
    </row>
    <row r="759" spans="1:26" ht="12.5">
      <c r="A759" s="327"/>
      <c r="B759" s="327"/>
      <c r="C759" s="332"/>
      <c r="D759" s="327"/>
      <c r="E759" s="327"/>
      <c r="F759" s="327"/>
      <c r="G759" s="327"/>
      <c r="H759" s="327"/>
      <c r="I759" s="327"/>
      <c r="J759" s="329"/>
      <c r="K759" s="329"/>
      <c r="L759" s="329"/>
      <c r="M759" s="327"/>
      <c r="N759" s="327"/>
      <c r="O759" s="327"/>
      <c r="P759" s="327"/>
      <c r="Q759" s="327"/>
      <c r="R759" s="327"/>
      <c r="S759" s="327"/>
      <c r="T759" s="327"/>
      <c r="U759" s="338"/>
      <c r="V759" s="327"/>
      <c r="W759" s="327"/>
      <c r="X759" s="327"/>
      <c r="Y759" s="327"/>
      <c r="Z759" s="330"/>
    </row>
    <row r="760" spans="1:26" ht="12.5">
      <c r="A760" s="327"/>
      <c r="B760" s="327"/>
      <c r="C760" s="332"/>
      <c r="D760" s="327"/>
      <c r="E760" s="327"/>
      <c r="F760" s="327"/>
      <c r="G760" s="327"/>
      <c r="H760" s="327"/>
      <c r="I760" s="327"/>
      <c r="J760" s="329"/>
      <c r="K760" s="329"/>
      <c r="L760" s="329"/>
      <c r="M760" s="327"/>
      <c r="N760" s="327"/>
      <c r="O760" s="327"/>
      <c r="P760" s="327"/>
      <c r="Q760" s="327"/>
      <c r="R760" s="327"/>
      <c r="S760" s="327"/>
      <c r="T760" s="327"/>
      <c r="U760" s="338"/>
      <c r="V760" s="327"/>
      <c r="W760" s="327"/>
      <c r="X760" s="327"/>
      <c r="Y760" s="327"/>
      <c r="Z760" s="330"/>
    </row>
    <row r="761" spans="1:26" ht="12.5">
      <c r="A761" s="327"/>
      <c r="B761" s="327"/>
      <c r="C761" s="332"/>
      <c r="D761" s="327"/>
      <c r="E761" s="327"/>
      <c r="F761" s="327"/>
      <c r="G761" s="327"/>
      <c r="H761" s="327"/>
      <c r="I761" s="327"/>
      <c r="J761" s="329"/>
      <c r="K761" s="329"/>
      <c r="L761" s="329"/>
      <c r="M761" s="327"/>
      <c r="N761" s="327"/>
      <c r="O761" s="327"/>
      <c r="P761" s="327"/>
      <c r="Q761" s="327"/>
      <c r="R761" s="327"/>
      <c r="S761" s="327"/>
      <c r="T761" s="327"/>
      <c r="U761" s="338"/>
      <c r="V761" s="327"/>
      <c r="W761" s="327"/>
      <c r="X761" s="327"/>
      <c r="Y761" s="327"/>
      <c r="Z761" s="330"/>
    </row>
    <row r="762" spans="1:26" ht="12.5">
      <c r="A762" s="327"/>
      <c r="B762" s="327"/>
      <c r="C762" s="332"/>
      <c r="D762" s="327"/>
      <c r="E762" s="327"/>
      <c r="F762" s="327"/>
      <c r="G762" s="327"/>
      <c r="H762" s="327"/>
      <c r="I762" s="327"/>
      <c r="J762" s="329"/>
      <c r="K762" s="329"/>
      <c r="L762" s="329"/>
      <c r="M762" s="327"/>
      <c r="N762" s="327"/>
      <c r="O762" s="327"/>
      <c r="P762" s="327"/>
      <c r="Q762" s="327"/>
      <c r="R762" s="327"/>
      <c r="S762" s="327"/>
      <c r="T762" s="327"/>
      <c r="U762" s="338"/>
      <c r="V762" s="327"/>
      <c r="W762" s="327"/>
      <c r="X762" s="327"/>
      <c r="Y762" s="327"/>
      <c r="Z762" s="330"/>
    </row>
    <row r="763" spans="1:26" ht="12.5">
      <c r="A763" s="327"/>
      <c r="B763" s="327"/>
      <c r="C763" s="332"/>
      <c r="D763" s="327"/>
      <c r="E763" s="327"/>
      <c r="F763" s="327"/>
      <c r="G763" s="327"/>
      <c r="H763" s="327"/>
      <c r="I763" s="327"/>
      <c r="J763" s="329"/>
      <c r="K763" s="329"/>
      <c r="L763" s="329"/>
      <c r="M763" s="327"/>
      <c r="N763" s="327"/>
      <c r="O763" s="327"/>
      <c r="P763" s="327"/>
      <c r="Q763" s="327"/>
      <c r="R763" s="327"/>
      <c r="S763" s="327"/>
      <c r="T763" s="327"/>
      <c r="U763" s="338"/>
      <c r="V763" s="327"/>
      <c r="W763" s="327"/>
      <c r="X763" s="327"/>
      <c r="Y763" s="327"/>
      <c r="Z763" s="330"/>
    </row>
    <row r="764" spans="1:26" ht="12.5">
      <c r="A764" s="327"/>
      <c r="B764" s="327"/>
      <c r="C764" s="332"/>
      <c r="D764" s="327"/>
      <c r="E764" s="327"/>
      <c r="F764" s="327"/>
      <c r="G764" s="327"/>
      <c r="H764" s="327"/>
      <c r="I764" s="327"/>
      <c r="J764" s="329"/>
      <c r="K764" s="329"/>
      <c r="L764" s="329"/>
      <c r="M764" s="327"/>
      <c r="N764" s="327"/>
      <c r="O764" s="327"/>
      <c r="P764" s="327"/>
      <c r="Q764" s="327"/>
      <c r="R764" s="327"/>
      <c r="S764" s="327"/>
      <c r="T764" s="327"/>
      <c r="U764" s="338"/>
      <c r="V764" s="327"/>
      <c r="W764" s="327"/>
      <c r="X764" s="327"/>
      <c r="Y764" s="327"/>
      <c r="Z764" s="330"/>
    </row>
    <row r="765" spans="1:26" ht="12.5">
      <c r="A765" s="327"/>
      <c r="B765" s="327"/>
      <c r="C765" s="332"/>
      <c r="D765" s="327"/>
      <c r="E765" s="327"/>
      <c r="F765" s="327"/>
      <c r="G765" s="327"/>
      <c r="H765" s="327"/>
      <c r="I765" s="327"/>
      <c r="J765" s="329"/>
      <c r="K765" s="329"/>
      <c r="L765" s="329"/>
      <c r="M765" s="327"/>
      <c r="N765" s="327"/>
      <c r="O765" s="327"/>
      <c r="P765" s="327"/>
      <c r="Q765" s="327"/>
      <c r="R765" s="327"/>
      <c r="S765" s="327"/>
      <c r="T765" s="327"/>
      <c r="U765" s="338"/>
      <c r="V765" s="327"/>
      <c r="W765" s="327"/>
      <c r="X765" s="327"/>
      <c r="Y765" s="327"/>
      <c r="Z765" s="330"/>
    </row>
    <row r="766" spans="1:26" ht="12.5">
      <c r="A766" s="327"/>
      <c r="B766" s="327"/>
      <c r="C766" s="332"/>
      <c r="D766" s="327"/>
      <c r="E766" s="327"/>
      <c r="F766" s="327"/>
      <c r="G766" s="327"/>
      <c r="H766" s="327"/>
      <c r="I766" s="327"/>
      <c r="J766" s="329"/>
      <c r="K766" s="329"/>
      <c r="L766" s="329"/>
      <c r="M766" s="327"/>
      <c r="N766" s="327"/>
      <c r="O766" s="327"/>
      <c r="P766" s="327"/>
      <c r="Q766" s="327"/>
      <c r="R766" s="327"/>
      <c r="S766" s="327"/>
      <c r="T766" s="327"/>
      <c r="U766" s="338"/>
      <c r="V766" s="327"/>
      <c r="W766" s="327"/>
      <c r="X766" s="327"/>
      <c r="Y766" s="327"/>
      <c r="Z766" s="330"/>
    </row>
    <row r="767" spans="1:26" ht="12.5">
      <c r="A767" s="327"/>
      <c r="B767" s="327"/>
      <c r="C767" s="332"/>
      <c r="D767" s="327"/>
      <c r="E767" s="327"/>
      <c r="F767" s="327"/>
      <c r="G767" s="327"/>
      <c r="H767" s="327"/>
      <c r="I767" s="327"/>
      <c r="J767" s="329"/>
      <c r="K767" s="329"/>
      <c r="L767" s="329"/>
      <c r="M767" s="327"/>
      <c r="N767" s="327"/>
      <c r="O767" s="327"/>
      <c r="P767" s="327"/>
      <c r="Q767" s="327"/>
      <c r="R767" s="327"/>
      <c r="S767" s="327"/>
      <c r="T767" s="327"/>
      <c r="U767" s="338"/>
      <c r="V767" s="327"/>
      <c r="W767" s="327"/>
      <c r="X767" s="327"/>
      <c r="Y767" s="327"/>
      <c r="Z767" s="330"/>
    </row>
    <row r="768" spans="1:26" ht="12.5">
      <c r="A768" s="327"/>
      <c r="B768" s="327"/>
      <c r="C768" s="332"/>
      <c r="D768" s="327"/>
      <c r="E768" s="327"/>
      <c r="F768" s="327"/>
      <c r="G768" s="327"/>
      <c r="H768" s="327"/>
      <c r="I768" s="327"/>
      <c r="J768" s="329"/>
      <c r="K768" s="329"/>
      <c r="L768" s="329"/>
      <c r="M768" s="327"/>
      <c r="N768" s="327"/>
      <c r="O768" s="327"/>
      <c r="P768" s="327"/>
      <c r="Q768" s="327"/>
      <c r="R768" s="327"/>
      <c r="S768" s="327"/>
      <c r="T768" s="327"/>
      <c r="U768" s="338"/>
      <c r="V768" s="327"/>
      <c r="W768" s="327"/>
      <c r="X768" s="327"/>
      <c r="Y768" s="327"/>
      <c r="Z768" s="330"/>
    </row>
    <row r="769" spans="1:26" ht="12.5">
      <c r="A769" s="327"/>
      <c r="B769" s="327"/>
      <c r="C769" s="332"/>
      <c r="D769" s="327"/>
      <c r="E769" s="327"/>
      <c r="F769" s="327"/>
      <c r="G769" s="327"/>
      <c r="H769" s="327"/>
      <c r="I769" s="327"/>
      <c r="J769" s="329"/>
      <c r="K769" s="329"/>
      <c r="L769" s="329"/>
      <c r="M769" s="327"/>
      <c r="N769" s="327"/>
      <c r="O769" s="327"/>
      <c r="P769" s="327"/>
      <c r="Q769" s="327"/>
      <c r="R769" s="327"/>
      <c r="S769" s="327"/>
      <c r="T769" s="327"/>
      <c r="U769" s="338"/>
      <c r="V769" s="327"/>
      <c r="W769" s="327"/>
      <c r="X769" s="327"/>
      <c r="Y769" s="327"/>
      <c r="Z769" s="330"/>
    </row>
    <row r="770" spans="1:26" ht="12.5">
      <c r="A770" s="327"/>
      <c r="B770" s="327"/>
      <c r="C770" s="332"/>
      <c r="D770" s="327"/>
      <c r="E770" s="327"/>
      <c r="F770" s="327"/>
      <c r="G770" s="327"/>
      <c r="H770" s="327"/>
      <c r="I770" s="327"/>
      <c r="J770" s="329"/>
      <c r="K770" s="329"/>
      <c r="L770" s="329"/>
      <c r="M770" s="327"/>
      <c r="N770" s="327"/>
      <c r="O770" s="327"/>
      <c r="P770" s="327"/>
      <c r="Q770" s="327"/>
      <c r="R770" s="327"/>
      <c r="S770" s="327"/>
      <c r="T770" s="327"/>
      <c r="U770" s="338"/>
      <c r="V770" s="327"/>
      <c r="W770" s="327"/>
      <c r="X770" s="327"/>
      <c r="Y770" s="327"/>
      <c r="Z770" s="330"/>
    </row>
    <row r="771" spans="1:26" ht="12.5">
      <c r="A771" s="327"/>
      <c r="B771" s="327"/>
      <c r="C771" s="332"/>
      <c r="D771" s="327"/>
      <c r="E771" s="327"/>
      <c r="F771" s="327"/>
      <c r="G771" s="327"/>
      <c r="H771" s="327"/>
      <c r="I771" s="327"/>
      <c r="J771" s="329"/>
      <c r="K771" s="329"/>
      <c r="L771" s="329"/>
      <c r="M771" s="327"/>
      <c r="N771" s="327"/>
      <c r="O771" s="327"/>
      <c r="P771" s="327"/>
      <c r="Q771" s="327"/>
      <c r="R771" s="327"/>
      <c r="S771" s="327"/>
      <c r="T771" s="327"/>
      <c r="U771" s="338"/>
      <c r="V771" s="327"/>
      <c r="W771" s="327"/>
      <c r="X771" s="327"/>
      <c r="Y771" s="327"/>
      <c r="Z771" s="330"/>
    </row>
    <row r="772" spans="1:26" ht="12.5">
      <c r="A772" s="327"/>
      <c r="B772" s="327"/>
      <c r="C772" s="332"/>
      <c r="D772" s="327"/>
      <c r="E772" s="327"/>
      <c r="F772" s="327"/>
      <c r="G772" s="327"/>
      <c r="H772" s="327"/>
      <c r="I772" s="327"/>
      <c r="J772" s="329"/>
      <c r="K772" s="329"/>
      <c r="L772" s="329"/>
      <c r="M772" s="327"/>
      <c r="N772" s="327"/>
      <c r="O772" s="327"/>
      <c r="P772" s="327"/>
      <c r="Q772" s="327"/>
      <c r="R772" s="327"/>
      <c r="S772" s="327"/>
      <c r="T772" s="327"/>
      <c r="U772" s="338"/>
      <c r="V772" s="327"/>
      <c r="W772" s="327"/>
      <c r="X772" s="327"/>
      <c r="Y772" s="327"/>
      <c r="Z772" s="330"/>
    </row>
    <row r="773" spans="1:26" ht="12.5">
      <c r="A773" s="327"/>
      <c r="B773" s="327"/>
      <c r="C773" s="332"/>
      <c r="D773" s="327"/>
      <c r="E773" s="327"/>
      <c r="F773" s="327"/>
      <c r="G773" s="327"/>
      <c r="H773" s="327"/>
      <c r="I773" s="327"/>
      <c r="J773" s="329"/>
      <c r="K773" s="329"/>
      <c r="L773" s="329"/>
      <c r="M773" s="327"/>
      <c r="N773" s="327"/>
      <c r="O773" s="327"/>
      <c r="P773" s="327"/>
      <c r="Q773" s="327"/>
      <c r="R773" s="327"/>
      <c r="S773" s="327"/>
      <c r="T773" s="327"/>
      <c r="U773" s="338"/>
      <c r="V773" s="327"/>
      <c r="W773" s="327"/>
      <c r="X773" s="327"/>
      <c r="Y773" s="327"/>
      <c r="Z773" s="330"/>
    </row>
    <row r="774" spans="1:26" ht="12.5">
      <c r="A774" s="327"/>
      <c r="B774" s="327"/>
      <c r="C774" s="332"/>
      <c r="D774" s="327"/>
      <c r="E774" s="327"/>
      <c r="F774" s="327"/>
      <c r="G774" s="327"/>
      <c r="H774" s="327"/>
      <c r="I774" s="327"/>
      <c r="J774" s="329"/>
      <c r="K774" s="329"/>
      <c r="L774" s="329"/>
      <c r="M774" s="327"/>
      <c r="N774" s="327"/>
      <c r="O774" s="327"/>
      <c r="P774" s="327"/>
      <c r="Q774" s="327"/>
      <c r="R774" s="327"/>
      <c r="S774" s="327"/>
      <c r="T774" s="327"/>
      <c r="U774" s="338"/>
      <c r="V774" s="327"/>
      <c r="W774" s="327"/>
      <c r="X774" s="327"/>
      <c r="Y774" s="327"/>
      <c r="Z774" s="330"/>
    </row>
    <row r="775" spans="1:26" ht="12.5">
      <c r="A775" s="327"/>
      <c r="B775" s="327"/>
      <c r="C775" s="332"/>
      <c r="D775" s="327"/>
      <c r="E775" s="327"/>
      <c r="F775" s="327"/>
      <c r="G775" s="327"/>
      <c r="H775" s="327"/>
      <c r="I775" s="327"/>
      <c r="J775" s="329"/>
      <c r="K775" s="329"/>
      <c r="L775" s="329"/>
      <c r="M775" s="327"/>
      <c r="N775" s="327"/>
      <c r="O775" s="327"/>
      <c r="P775" s="327"/>
      <c r="Q775" s="327"/>
      <c r="R775" s="327"/>
      <c r="S775" s="327"/>
      <c r="T775" s="327"/>
      <c r="U775" s="338"/>
      <c r="V775" s="327"/>
      <c r="W775" s="327"/>
      <c r="X775" s="327"/>
      <c r="Y775" s="327"/>
      <c r="Z775" s="330"/>
    </row>
    <row r="776" spans="1:26" ht="12.5">
      <c r="A776" s="327"/>
      <c r="B776" s="327"/>
      <c r="C776" s="332"/>
      <c r="D776" s="327"/>
      <c r="E776" s="327"/>
      <c r="F776" s="327"/>
      <c r="G776" s="327"/>
      <c r="H776" s="327"/>
      <c r="I776" s="327"/>
      <c r="J776" s="329"/>
      <c r="K776" s="329"/>
      <c r="L776" s="329"/>
      <c r="M776" s="327"/>
      <c r="N776" s="327"/>
      <c r="O776" s="327"/>
      <c r="P776" s="327"/>
      <c r="Q776" s="327"/>
      <c r="R776" s="327"/>
      <c r="S776" s="327"/>
      <c r="T776" s="327"/>
      <c r="U776" s="338"/>
      <c r="V776" s="327"/>
      <c r="W776" s="327"/>
      <c r="X776" s="327"/>
      <c r="Y776" s="327"/>
      <c r="Z776" s="330"/>
    </row>
    <row r="777" spans="1:26" ht="12.5">
      <c r="A777" s="327"/>
      <c r="B777" s="327"/>
      <c r="C777" s="332"/>
      <c r="D777" s="327"/>
      <c r="E777" s="327"/>
      <c r="F777" s="327"/>
      <c r="G777" s="327"/>
      <c r="H777" s="327"/>
      <c r="I777" s="327"/>
      <c r="J777" s="329"/>
      <c r="K777" s="329"/>
      <c r="L777" s="329"/>
      <c r="M777" s="327"/>
      <c r="N777" s="327"/>
      <c r="O777" s="327"/>
      <c r="P777" s="327"/>
      <c r="Q777" s="327"/>
      <c r="R777" s="327"/>
      <c r="S777" s="327"/>
      <c r="T777" s="327"/>
      <c r="U777" s="338"/>
      <c r="V777" s="327"/>
      <c r="W777" s="327"/>
      <c r="X777" s="327"/>
      <c r="Y777" s="327"/>
      <c r="Z777" s="330"/>
    </row>
    <row r="778" spans="1:26" ht="12.5">
      <c r="A778" s="327"/>
      <c r="B778" s="327"/>
      <c r="C778" s="332"/>
      <c r="D778" s="327"/>
      <c r="E778" s="327"/>
      <c r="F778" s="327"/>
      <c r="G778" s="327"/>
      <c r="H778" s="327"/>
      <c r="I778" s="327"/>
      <c r="J778" s="329"/>
      <c r="K778" s="329"/>
      <c r="L778" s="329"/>
      <c r="M778" s="327"/>
      <c r="N778" s="327"/>
      <c r="O778" s="327"/>
      <c r="P778" s="327"/>
      <c r="Q778" s="327"/>
      <c r="R778" s="327"/>
      <c r="S778" s="327"/>
      <c r="T778" s="327"/>
      <c r="U778" s="338"/>
      <c r="V778" s="327"/>
      <c r="W778" s="327"/>
      <c r="X778" s="327"/>
      <c r="Y778" s="327"/>
      <c r="Z778" s="330"/>
    </row>
    <row r="779" spans="1:26" ht="12.5">
      <c r="A779" s="327"/>
      <c r="B779" s="327"/>
      <c r="C779" s="332"/>
      <c r="D779" s="327"/>
      <c r="E779" s="327"/>
      <c r="F779" s="327"/>
      <c r="G779" s="327"/>
      <c r="H779" s="327"/>
      <c r="I779" s="327"/>
      <c r="J779" s="329"/>
      <c r="K779" s="329"/>
      <c r="L779" s="329"/>
      <c r="M779" s="327"/>
      <c r="N779" s="327"/>
      <c r="O779" s="327"/>
      <c r="P779" s="327"/>
      <c r="Q779" s="327"/>
      <c r="R779" s="327"/>
      <c r="S779" s="327"/>
      <c r="T779" s="327"/>
      <c r="U779" s="338"/>
      <c r="V779" s="327"/>
      <c r="W779" s="327"/>
      <c r="X779" s="327"/>
      <c r="Y779" s="327"/>
      <c r="Z779" s="330"/>
    </row>
    <row r="780" spans="1:26" ht="12.5">
      <c r="A780" s="327"/>
      <c r="B780" s="327"/>
      <c r="C780" s="332"/>
      <c r="D780" s="327"/>
      <c r="E780" s="327"/>
      <c r="F780" s="327"/>
      <c r="G780" s="327"/>
      <c r="H780" s="327"/>
      <c r="I780" s="327"/>
      <c r="J780" s="329"/>
      <c r="K780" s="329"/>
      <c r="L780" s="329"/>
      <c r="M780" s="327"/>
      <c r="N780" s="327"/>
      <c r="O780" s="327"/>
      <c r="P780" s="327"/>
      <c r="Q780" s="327"/>
      <c r="R780" s="327"/>
      <c r="S780" s="327"/>
      <c r="T780" s="327"/>
      <c r="U780" s="338"/>
      <c r="V780" s="327"/>
      <c r="W780" s="327"/>
      <c r="X780" s="327"/>
      <c r="Y780" s="327"/>
      <c r="Z780" s="330"/>
    </row>
    <row r="781" spans="1:26" ht="12.5">
      <c r="A781" s="327"/>
      <c r="B781" s="327"/>
      <c r="C781" s="332"/>
      <c r="D781" s="327"/>
      <c r="E781" s="327"/>
      <c r="F781" s="327"/>
      <c r="G781" s="327"/>
      <c r="H781" s="327"/>
      <c r="I781" s="327"/>
      <c r="J781" s="329"/>
      <c r="K781" s="329"/>
      <c r="L781" s="329"/>
      <c r="M781" s="327"/>
      <c r="N781" s="327"/>
      <c r="O781" s="327"/>
      <c r="P781" s="327"/>
      <c r="Q781" s="327"/>
      <c r="R781" s="327"/>
      <c r="S781" s="327"/>
      <c r="T781" s="327"/>
      <c r="U781" s="338"/>
      <c r="V781" s="327"/>
      <c r="W781" s="327"/>
      <c r="X781" s="327"/>
      <c r="Y781" s="327"/>
      <c r="Z781" s="330"/>
    </row>
    <row r="782" spans="1:26" ht="12.5">
      <c r="A782" s="327"/>
      <c r="B782" s="327"/>
      <c r="C782" s="332"/>
      <c r="D782" s="327"/>
      <c r="E782" s="327"/>
      <c r="F782" s="327"/>
      <c r="G782" s="327"/>
      <c r="H782" s="327"/>
      <c r="I782" s="327"/>
      <c r="J782" s="329"/>
      <c r="K782" s="329"/>
      <c r="L782" s="329"/>
      <c r="M782" s="327"/>
      <c r="N782" s="327"/>
      <c r="O782" s="327"/>
      <c r="P782" s="327"/>
      <c r="Q782" s="327"/>
      <c r="R782" s="327"/>
      <c r="S782" s="327"/>
      <c r="T782" s="327"/>
      <c r="U782" s="338"/>
      <c r="V782" s="327"/>
      <c r="W782" s="327"/>
      <c r="X782" s="327"/>
      <c r="Y782" s="327"/>
      <c r="Z782" s="330"/>
    </row>
    <row r="783" spans="1:26" ht="12.5">
      <c r="A783" s="327"/>
      <c r="B783" s="327"/>
      <c r="C783" s="332"/>
      <c r="D783" s="327"/>
      <c r="E783" s="327"/>
      <c r="F783" s="327"/>
      <c r="G783" s="327"/>
      <c r="H783" s="327"/>
      <c r="I783" s="327"/>
      <c r="J783" s="329"/>
      <c r="K783" s="329"/>
      <c r="L783" s="329"/>
      <c r="M783" s="327"/>
      <c r="N783" s="327"/>
      <c r="O783" s="327"/>
      <c r="P783" s="327"/>
      <c r="Q783" s="327"/>
      <c r="R783" s="327"/>
      <c r="S783" s="327"/>
      <c r="T783" s="327"/>
      <c r="U783" s="338"/>
      <c r="V783" s="327"/>
      <c r="W783" s="327"/>
      <c r="X783" s="327"/>
      <c r="Y783" s="327"/>
      <c r="Z783" s="330"/>
    </row>
    <row r="784" spans="1:26" ht="12.5">
      <c r="A784" s="327"/>
      <c r="B784" s="327"/>
      <c r="C784" s="332"/>
      <c r="D784" s="327"/>
      <c r="E784" s="327"/>
      <c r="F784" s="327"/>
      <c r="G784" s="327"/>
      <c r="H784" s="327"/>
      <c r="I784" s="327"/>
      <c r="J784" s="329"/>
      <c r="K784" s="329"/>
      <c r="L784" s="329"/>
      <c r="M784" s="327"/>
      <c r="N784" s="327"/>
      <c r="O784" s="327"/>
      <c r="P784" s="327"/>
      <c r="Q784" s="327"/>
      <c r="R784" s="327"/>
      <c r="S784" s="327"/>
      <c r="T784" s="327"/>
      <c r="U784" s="338"/>
      <c r="V784" s="327"/>
      <c r="W784" s="327"/>
      <c r="X784" s="327"/>
      <c r="Y784" s="327"/>
      <c r="Z784" s="330"/>
    </row>
    <row r="785" spans="1:26" ht="12.5">
      <c r="A785" s="327"/>
      <c r="B785" s="327"/>
      <c r="C785" s="332"/>
      <c r="D785" s="327"/>
      <c r="E785" s="327"/>
      <c r="F785" s="327"/>
      <c r="G785" s="327"/>
      <c r="H785" s="327"/>
      <c r="I785" s="327"/>
      <c r="J785" s="329"/>
      <c r="K785" s="329"/>
      <c r="L785" s="329"/>
      <c r="M785" s="327"/>
      <c r="N785" s="327"/>
      <c r="O785" s="327"/>
      <c r="P785" s="327"/>
      <c r="Q785" s="327"/>
      <c r="R785" s="327"/>
      <c r="S785" s="327"/>
      <c r="T785" s="327"/>
      <c r="U785" s="338"/>
      <c r="V785" s="327"/>
      <c r="W785" s="327"/>
      <c r="X785" s="327"/>
      <c r="Y785" s="327"/>
      <c r="Z785" s="330"/>
    </row>
    <row r="786" spans="1:26" ht="12.5">
      <c r="A786" s="327"/>
      <c r="B786" s="327"/>
      <c r="C786" s="332"/>
      <c r="D786" s="327"/>
      <c r="E786" s="327"/>
      <c r="F786" s="327"/>
      <c r="G786" s="327"/>
      <c r="H786" s="327"/>
      <c r="I786" s="327"/>
      <c r="J786" s="329"/>
      <c r="K786" s="329"/>
      <c r="L786" s="329"/>
      <c r="M786" s="327"/>
      <c r="N786" s="327"/>
      <c r="O786" s="327"/>
      <c r="P786" s="327"/>
      <c r="Q786" s="327"/>
      <c r="R786" s="327"/>
      <c r="S786" s="327"/>
      <c r="T786" s="327"/>
      <c r="U786" s="338"/>
      <c r="V786" s="327"/>
      <c r="W786" s="327"/>
      <c r="X786" s="327"/>
      <c r="Y786" s="327"/>
      <c r="Z786" s="330"/>
    </row>
    <row r="787" spans="1:26" ht="12.5">
      <c r="A787" s="327"/>
      <c r="B787" s="327"/>
      <c r="C787" s="332"/>
      <c r="D787" s="327"/>
      <c r="E787" s="327"/>
      <c r="F787" s="327"/>
      <c r="G787" s="327"/>
      <c r="H787" s="327"/>
      <c r="I787" s="327"/>
      <c r="J787" s="329"/>
      <c r="K787" s="329"/>
      <c r="L787" s="329"/>
      <c r="M787" s="327"/>
      <c r="N787" s="327"/>
      <c r="O787" s="327"/>
      <c r="P787" s="327"/>
      <c r="Q787" s="327"/>
      <c r="R787" s="327"/>
      <c r="S787" s="327"/>
      <c r="T787" s="327"/>
      <c r="U787" s="338"/>
      <c r="V787" s="327"/>
      <c r="W787" s="327"/>
      <c r="X787" s="327"/>
      <c r="Y787" s="327"/>
      <c r="Z787" s="330"/>
    </row>
    <row r="788" spans="1:26" ht="12.5">
      <c r="A788" s="327"/>
      <c r="B788" s="327"/>
      <c r="C788" s="332"/>
      <c r="D788" s="327"/>
      <c r="E788" s="327"/>
      <c r="F788" s="327"/>
      <c r="G788" s="327"/>
      <c r="H788" s="327"/>
      <c r="I788" s="327"/>
      <c r="J788" s="329"/>
      <c r="K788" s="329"/>
      <c r="L788" s="329"/>
      <c r="M788" s="327"/>
      <c r="N788" s="327"/>
      <c r="O788" s="327"/>
      <c r="P788" s="327"/>
      <c r="Q788" s="327"/>
      <c r="R788" s="327"/>
      <c r="S788" s="327"/>
      <c r="T788" s="327"/>
      <c r="U788" s="338"/>
      <c r="V788" s="327"/>
      <c r="W788" s="327"/>
      <c r="X788" s="327"/>
      <c r="Y788" s="327"/>
      <c r="Z788" s="330"/>
    </row>
    <row r="789" spans="1:26" ht="12.5">
      <c r="A789" s="327"/>
      <c r="B789" s="327"/>
      <c r="C789" s="332"/>
      <c r="D789" s="327"/>
      <c r="E789" s="327"/>
      <c r="F789" s="327"/>
      <c r="G789" s="327"/>
      <c r="H789" s="327"/>
      <c r="I789" s="327"/>
      <c r="J789" s="329"/>
      <c r="K789" s="329"/>
      <c r="L789" s="329"/>
      <c r="M789" s="327"/>
      <c r="N789" s="327"/>
      <c r="O789" s="327"/>
      <c r="P789" s="327"/>
      <c r="Q789" s="327"/>
      <c r="R789" s="327"/>
      <c r="S789" s="327"/>
      <c r="T789" s="327"/>
      <c r="U789" s="338"/>
      <c r="V789" s="327"/>
      <c r="W789" s="327"/>
      <c r="X789" s="327"/>
      <c r="Y789" s="327"/>
      <c r="Z789" s="330"/>
    </row>
    <row r="790" spans="1:26" ht="12.5">
      <c r="A790" s="327"/>
      <c r="B790" s="327"/>
      <c r="C790" s="332"/>
      <c r="D790" s="327"/>
      <c r="E790" s="327"/>
      <c r="F790" s="327"/>
      <c r="G790" s="327"/>
      <c r="H790" s="327"/>
      <c r="I790" s="327"/>
      <c r="J790" s="329"/>
      <c r="K790" s="329"/>
      <c r="L790" s="329"/>
      <c r="M790" s="327"/>
      <c r="N790" s="327"/>
      <c r="O790" s="327"/>
      <c r="P790" s="327"/>
      <c r="Q790" s="327"/>
      <c r="R790" s="327"/>
      <c r="S790" s="327"/>
      <c r="T790" s="327"/>
      <c r="U790" s="338"/>
      <c r="V790" s="327"/>
      <c r="W790" s="327"/>
      <c r="X790" s="327"/>
      <c r="Y790" s="327"/>
      <c r="Z790" s="330"/>
    </row>
    <row r="791" spans="1:26" ht="12.5">
      <c r="A791" s="327"/>
      <c r="B791" s="327"/>
      <c r="C791" s="332"/>
      <c r="D791" s="327"/>
      <c r="E791" s="327"/>
      <c r="F791" s="327"/>
      <c r="G791" s="327"/>
      <c r="H791" s="327"/>
      <c r="I791" s="327"/>
      <c r="J791" s="329"/>
      <c r="K791" s="329"/>
      <c r="L791" s="329"/>
      <c r="M791" s="327"/>
      <c r="N791" s="327"/>
      <c r="O791" s="327"/>
      <c r="P791" s="327"/>
      <c r="Q791" s="327"/>
      <c r="R791" s="327"/>
      <c r="S791" s="327"/>
      <c r="T791" s="327"/>
      <c r="U791" s="338"/>
      <c r="V791" s="327"/>
      <c r="W791" s="327"/>
      <c r="X791" s="327"/>
      <c r="Y791" s="327"/>
      <c r="Z791" s="330"/>
    </row>
    <row r="792" spans="1:26" ht="12.5">
      <c r="A792" s="327"/>
      <c r="B792" s="327"/>
      <c r="C792" s="332"/>
      <c r="D792" s="327"/>
      <c r="E792" s="327"/>
      <c r="F792" s="327"/>
      <c r="G792" s="327"/>
      <c r="H792" s="327"/>
      <c r="I792" s="327"/>
      <c r="J792" s="329"/>
      <c r="K792" s="329"/>
      <c r="L792" s="329"/>
      <c r="M792" s="327"/>
      <c r="N792" s="327"/>
      <c r="O792" s="327"/>
      <c r="P792" s="327"/>
      <c r="Q792" s="327"/>
      <c r="R792" s="327"/>
      <c r="S792" s="327"/>
      <c r="T792" s="327"/>
      <c r="U792" s="338"/>
      <c r="V792" s="327"/>
      <c r="W792" s="327"/>
      <c r="X792" s="327"/>
      <c r="Y792" s="327"/>
      <c r="Z792" s="330"/>
    </row>
    <row r="793" spans="1:26" ht="12.5">
      <c r="A793" s="327"/>
      <c r="B793" s="327"/>
      <c r="C793" s="332"/>
      <c r="D793" s="327"/>
      <c r="E793" s="327"/>
      <c r="F793" s="327"/>
      <c r="G793" s="327"/>
      <c r="H793" s="327"/>
      <c r="I793" s="327"/>
      <c r="J793" s="329"/>
      <c r="K793" s="329"/>
      <c r="L793" s="329"/>
      <c r="M793" s="327"/>
      <c r="N793" s="327"/>
      <c r="O793" s="327"/>
      <c r="P793" s="327"/>
      <c r="Q793" s="327"/>
      <c r="R793" s="327"/>
      <c r="S793" s="327"/>
      <c r="T793" s="327"/>
      <c r="U793" s="338"/>
      <c r="V793" s="327"/>
      <c r="W793" s="327"/>
      <c r="X793" s="327"/>
      <c r="Y793" s="327"/>
      <c r="Z793" s="330"/>
    </row>
    <row r="794" spans="1:26" ht="12.5">
      <c r="A794" s="327"/>
      <c r="B794" s="327"/>
      <c r="C794" s="332"/>
      <c r="D794" s="327"/>
      <c r="E794" s="327"/>
      <c r="F794" s="327"/>
      <c r="G794" s="327"/>
      <c r="H794" s="327"/>
      <c r="I794" s="327"/>
      <c r="J794" s="329"/>
      <c r="K794" s="329"/>
      <c r="L794" s="329"/>
      <c r="M794" s="327"/>
      <c r="N794" s="327"/>
      <c r="O794" s="327"/>
      <c r="P794" s="327"/>
      <c r="Q794" s="327"/>
      <c r="R794" s="327"/>
      <c r="S794" s="327"/>
      <c r="T794" s="327"/>
      <c r="U794" s="338"/>
      <c r="V794" s="327"/>
      <c r="W794" s="327"/>
      <c r="X794" s="327"/>
      <c r="Y794" s="327"/>
      <c r="Z794" s="330"/>
    </row>
    <row r="795" spans="1:26" ht="12.5">
      <c r="A795" s="327"/>
      <c r="B795" s="327"/>
      <c r="C795" s="332"/>
      <c r="D795" s="327"/>
      <c r="E795" s="327"/>
      <c r="F795" s="327"/>
      <c r="G795" s="327"/>
      <c r="H795" s="327"/>
      <c r="I795" s="327"/>
      <c r="J795" s="329"/>
      <c r="K795" s="329"/>
      <c r="L795" s="329"/>
      <c r="M795" s="327"/>
      <c r="N795" s="327"/>
      <c r="O795" s="327"/>
      <c r="P795" s="327"/>
      <c r="Q795" s="327"/>
      <c r="R795" s="327"/>
      <c r="S795" s="327"/>
      <c r="T795" s="327"/>
      <c r="U795" s="338"/>
      <c r="V795" s="327"/>
      <c r="W795" s="327"/>
      <c r="X795" s="327"/>
      <c r="Y795" s="327"/>
      <c r="Z795" s="330"/>
    </row>
    <row r="796" spans="1:26" ht="12.5">
      <c r="A796" s="327"/>
      <c r="B796" s="327"/>
      <c r="C796" s="332"/>
      <c r="D796" s="327"/>
      <c r="E796" s="327"/>
      <c r="F796" s="327"/>
      <c r="G796" s="327"/>
      <c r="H796" s="327"/>
      <c r="I796" s="327"/>
      <c r="J796" s="329"/>
      <c r="K796" s="329"/>
      <c r="L796" s="329"/>
      <c r="M796" s="327"/>
      <c r="N796" s="327"/>
      <c r="O796" s="327"/>
      <c r="P796" s="327"/>
      <c r="Q796" s="327"/>
      <c r="R796" s="327"/>
      <c r="S796" s="327"/>
      <c r="T796" s="327"/>
      <c r="U796" s="338"/>
      <c r="V796" s="327"/>
      <c r="W796" s="327"/>
      <c r="X796" s="327"/>
      <c r="Y796" s="327"/>
      <c r="Z796" s="330"/>
    </row>
    <row r="797" spans="1:26" ht="12.5">
      <c r="A797" s="327"/>
      <c r="B797" s="327"/>
      <c r="C797" s="332"/>
      <c r="D797" s="327"/>
      <c r="E797" s="327"/>
      <c r="F797" s="327"/>
      <c r="G797" s="327"/>
      <c r="H797" s="327"/>
      <c r="I797" s="327"/>
      <c r="J797" s="329"/>
      <c r="K797" s="329"/>
      <c r="L797" s="329"/>
      <c r="M797" s="327"/>
      <c r="N797" s="327"/>
      <c r="O797" s="327"/>
      <c r="P797" s="327"/>
      <c r="Q797" s="327"/>
      <c r="R797" s="327"/>
      <c r="S797" s="327"/>
      <c r="T797" s="327"/>
      <c r="U797" s="338"/>
      <c r="V797" s="327"/>
      <c r="W797" s="327"/>
      <c r="X797" s="327"/>
      <c r="Y797" s="327"/>
      <c r="Z797" s="330"/>
    </row>
    <row r="798" spans="1:26" ht="12.5">
      <c r="A798" s="327"/>
      <c r="B798" s="327"/>
      <c r="C798" s="332"/>
      <c r="D798" s="327"/>
      <c r="E798" s="327"/>
      <c r="F798" s="327"/>
      <c r="G798" s="327"/>
      <c r="H798" s="327"/>
      <c r="I798" s="327"/>
      <c r="J798" s="329"/>
      <c r="K798" s="329"/>
      <c r="L798" s="329"/>
      <c r="M798" s="327"/>
      <c r="N798" s="327"/>
      <c r="O798" s="327"/>
      <c r="P798" s="327"/>
      <c r="Q798" s="327"/>
      <c r="R798" s="327"/>
      <c r="S798" s="327"/>
      <c r="T798" s="327"/>
      <c r="U798" s="338"/>
      <c r="V798" s="327"/>
      <c r="W798" s="327"/>
      <c r="X798" s="327"/>
      <c r="Y798" s="327"/>
      <c r="Z798" s="330"/>
    </row>
    <row r="799" spans="1:26" ht="12.5">
      <c r="A799" s="327"/>
      <c r="B799" s="327"/>
      <c r="C799" s="332"/>
      <c r="D799" s="327"/>
      <c r="E799" s="327"/>
      <c r="F799" s="327"/>
      <c r="G799" s="327"/>
      <c r="H799" s="327"/>
      <c r="I799" s="327"/>
      <c r="J799" s="329"/>
      <c r="K799" s="329"/>
      <c r="L799" s="329"/>
      <c r="M799" s="327"/>
      <c r="N799" s="327"/>
      <c r="O799" s="327"/>
      <c r="P799" s="327"/>
      <c r="Q799" s="327"/>
      <c r="R799" s="327"/>
      <c r="S799" s="327"/>
      <c r="T799" s="327"/>
      <c r="U799" s="338"/>
      <c r="V799" s="327"/>
      <c r="W799" s="327"/>
      <c r="X799" s="327"/>
      <c r="Y799" s="327"/>
      <c r="Z799" s="330"/>
    </row>
    <row r="800" spans="1:26" ht="12.5">
      <c r="A800" s="327"/>
      <c r="B800" s="327"/>
      <c r="C800" s="332"/>
      <c r="D800" s="327"/>
      <c r="E800" s="327"/>
      <c r="F800" s="327"/>
      <c r="G800" s="327"/>
      <c r="H800" s="327"/>
      <c r="I800" s="327"/>
      <c r="J800" s="329"/>
      <c r="K800" s="329"/>
      <c r="L800" s="329"/>
      <c r="M800" s="327"/>
      <c r="N800" s="327"/>
      <c r="O800" s="327"/>
      <c r="P800" s="327"/>
      <c r="Q800" s="327"/>
      <c r="R800" s="327"/>
      <c r="S800" s="327"/>
      <c r="T800" s="327"/>
      <c r="U800" s="338"/>
      <c r="V800" s="327"/>
      <c r="W800" s="327"/>
      <c r="X800" s="327"/>
      <c r="Y800" s="327"/>
      <c r="Z800" s="330"/>
    </row>
    <row r="801" spans="1:26" ht="12.5">
      <c r="A801" s="327"/>
      <c r="B801" s="327"/>
      <c r="C801" s="332"/>
      <c r="D801" s="327"/>
      <c r="E801" s="327"/>
      <c r="F801" s="327"/>
      <c r="G801" s="327"/>
      <c r="H801" s="327"/>
      <c r="I801" s="327"/>
      <c r="J801" s="329"/>
      <c r="K801" s="329"/>
      <c r="L801" s="329"/>
      <c r="M801" s="327"/>
      <c r="N801" s="327"/>
      <c r="O801" s="327"/>
      <c r="P801" s="327"/>
      <c r="Q801" s="327"/>
      <c r="R801" s="327"/>
      <c r="S801" s="327"/>
      <c r="T801" s="327"/>
      <c r="U801" s="338"/>
      <c r="V801" s="327"/>
      <c r="W801" s="327"/>
      <c r="X801" s="327"/>
      <c r="Y801" s="327"/>
      <c r="Z801" s="330"/>
    </row>
    <row r="802" spans="1:26" ht="12.5">
      <c r="A802" s="327"/>
      <c r="B802" s="327"/>
      <c r="C802" s="332"/>
      <c r="D802" s="327"/>
      <c r="E802" s="327"/>
      <c r="F802" s="327"/>
      <c r="G802" s="327"/>
      <c r="H802" s="327"/>
      <c r="I802" s="327"/>
      <c r="J802" s="329"/>
      <c r="K802" s="329"/>
      <c r="L802" s="329"/>
      <c r="M802" s="327"/>
      <c r="N802" s="327"/>
      <c r="O802" s="327"/>
      <c r="P802" s="327"/>
      <c r="Q802" s="327"/>
      <c r="R802" s="327"/>
      <c r="S802" s="327"/>
      <c r="T802" s="327"/>
      <c r="U802" s="338"/>
      <c r="V802" s="327"/>
      <c r="W802" s="327"/>
      <c r="X802" s="327"/>
      <c r="Y802" s="327"/>
      <c r="Z802" s="330"/>
    </row>
    <row r="803" spans="1:26" ht="12.5">
      <c r="A803" s="327"/>
      <c r="B803" s="327"/>
      <c r="C803" s="332"/>
      <c r="D803" s="327"/>
      <c r="E803" s="327"/>
      <c r="F803" s="327"/>
      <c r="G803" s="327"/>
      <c r="H803" s="327"/>
      <c r="I803" s="327"/>
      <c r="J803" s="329"/>
      <c r="K803" s="329"/>
      <c r="L803" s="329"/>
      <c r="M803" s="327"/>
      <c r="N803" s="327"/>
      <c r="O803" s="327"/>
      <c r="P803" s="327"/>
      <c r="Q803" s="327"/>
      <c r="R803" s="327"/>
      <c r="S803" s="327"/>
      <c r="T803" s="327"/>
      <c r="U803" s="338"/>
      <c r="V803" s="327"/>
      <c r="W803" s="327"/>
      <c r="X803" s="327"/>
      <c r="Y803" s="327"/>
      <c r="Z803" s="330"/>
    </row>
    <row r="804" spans="1:26" ht="12.5">
      <c r="A804" s="327"/>
      <c r="B804" s="327"/>
      <c r="C804" s="332"/>
      <c r="D804" s="327"/>
      <c r="E804" s="327"/>
      <c r="F804" s="327"/>
      <c r="G804" s="327"/>
      <c r="H804" s="327"/>
      <c r="I804" s="327"/>
      <c r="J804" s="329"/>
      <c r="K804" s="329"/>
      <c r="L804" s="329"/>
      <c r="M804" s="327"/>
      <c r="N804" s="327"/>
      <c r="O804" s="327"/>
      <c r="P804" s="327"/>
      <c r="Q804" s="327"/>
      <c r="R804" s="327"/>
      <c r="S804" s="327"/>
      <c r="T804" s="327"/>
      <c r="U804" s="338"/>
      <c r="V804" s="327"/>
      <c r="W804" s="327"/>
      <c r="X804" s="327"/>
      <c r="Y804" s="327"/>
      <c r="Z804" s="330"/>
    </row>
    <row r="805" spans="1:26" ht="12.5">
      <c r="A805" s="327"/>
      <c r="B805" s="327"/>
      <c r="C805" s="332"/>
      <c r="D805" s="327"/>
      <c r="E805" s="327"/>
      <c r="F805" s="327"/>
      <c r="G805" s="327"/>
      <c r="H805" s="327"/>
      <c r="I805" s="327"/>
      <c r="J805" s="329"/>
      <c r="K805" s="329"/>
      <c r="L805" s="329"/>
      <c r="M805" s="327"/>
      <c r="N805" s="327"/>
      <c r="O805" s="327"/>
      <c r="P805" s="327"/>
      <c r="Q805" s="327"/>
      <c r="R805" s="327"/>
      <c r="S805" s="327"/>
      <c r="T805" s="327"/>
      <c r="U805" s="338"/>
      <c r="V805" s="327"/>
      <c r="W805" s="327"/>
      <c r="X805" s="327"/>
      <c r="Y805" s="327"/>
      <c r="Z805" s="330"/>
    </row>
    <row r="806" spans="1:26" ht="12.5">
      <c r="A806" s="327"/>
      <c r="B806" s="327"/>
      <c r="C806" s="332"/>
      <c r="D806" s="327"/>
      <c r="E806" s="327"/>
      <c r="F806" s="327"/>
      <c r="G806" s="327"/>
      <c r="H806" s="327"/>
      <c r="I806" s="327"/>
      <c r="J806" s="329"/>
      <c r="K806" s="329"/>
      <c r="L806" s="329"/>
      <c r="M806" s="327"/>
      <c r="N806" s="327"/>
      <c r="O806" s="327"/>
      <c r="P806" s="327"/>
      <c r="Q806" s="327"/>
      <c r="R806" s="327"/>
      <c r="S806" s="327"/>
      <c r="T806" s="327"/>
      <c r="U806" s="338"/>
      <c r="V806" s="327"/>
      <c r="W806" s="327"/>
      <c r="X806" s="327"/>
      <c r="Y806" s="327"/>
      <c r="Z806" s="330"/>
    </row>
    <row r="807" spans="1:26" ht="12.5">
      <c r="A807" s="327"/>
      <c r="B807" s="327"/>
      <c r="C807" s="332"/>
      <c r="D807" s="327"/>
      <c r="E807" s="327"/>
      <c r="F807" s="327"/>
      <c r="G807" s="327"/>
      <c r="H807" s="327"/>
      <c r="I807" s="327"/>
      <c r="J807" s="329"/>
      <c r="K807" s="329"/>
      <c r="L807" s="329"/>
      <c r="M807" s="327"/>
      <c r="N807" s="327"/>
      <c r="O807" s="327"/>
      <c r="P807" s="327"/>
      <c r="Q807" s="327"/>
      <c r="R807" s="327"/>
      <c r="S807" s="327"/>
      <c r="T807" s="327"/>
      <c r="U807" s="338"/>
      <c r="V807" s="327"/>
      <c r="W807" s="327"/>
      <c r="X807" s="327"/>
      <c r="Y807" s="327"/>
      <c r="Z807" s="330"/>
    </row>
    <row r="808" spans="1:26" ht="12.5">
      <c r="A808" s="327"/>
      <c r="B808" s="327"/>
      <c r="C808" s="332"/>
      <c r="D808" s="327"/>
      <c r="E808" s="327"/>
      <c r="F808" s="327"/>
      <c r="G808" s="327"/>
      <c r="H808" s="327"/>
      <c r="I808" s="327"/>
      <c r="J808" s="329"/>
      <c r="K808" s="329"/>
      <c r="L808" s="329"/>
      <c r="M808" s="327"/>
      <c r="N808" s="327"/>
      <c r="O808" s="327"/>
      <c r="P808" s="327"/>
      <c r="Q808" s="327"/>
      <c r="R808" s="327"/>
      <c r="S808" s="327"/>
      <c r="T808" s="327"/>
      <c r="U808" s="338"/>
      <c r="V808" s="327"/>
      <c r="W808" s="327"/>
      <c r="X808" s="327"/>
      <c r="Y808" s="327"/>
      <c r="Z808" s="330"/>
    </row>
    <row r="809" spans="1:26" ht="12.5">
      <c r="A809" s="327"/>
      <c r="B809" s="327"/>
      <c r="C809" s="332"/>
      <c r="D809" s="327"/>
      <c r="E809" s="327"/>
      <c r="F809" s="327"/>
      <c r="G809" s="327"/>
      <c r="H809" s="327"/>
      <c r="I809" s="327"/>
      <c r="J809" s="329"/>
      <c r="K809" s="329"/>
      <c r="L809" s="329"/>
      <c r="M809" s="327"/>
      <c r="N809" s="327"/>
      <c r="O809" s="327"/>
      <c r="P809" s="327"/>
      <c r="Q809" s="327"/>
      <c r="R809" s="327"/>
      <c r="S809" s="327"/>
      <c r="T809" s="327"/>
      <c r="U809" s="338"/>
      <c r="V809" s="327"/>
      <c r="W809" s="327"/>
      <c r="X809" s="327"/>
      <c r="Y809" s="327"/>
      <c r="Z809" s="330"/>
    </row>
    <row r="810" spans="1:26" ht="12.5">
      <c r="A810" s="327"/>
      <c r="B810" s="327"/>
      <c r="C810" s="332"/>
      <c r="D810" s="327"/>
      <c r="E810" s="327"/>
      <c r="F810" s="327"/>
      <c r="G810" s="327"/>
      <c r="H810" s="327"/>
      <c r="I810" s="327"/>
      <c r="J810" s="329"/>
      <c r="K810" s="329"/>
      <c r="L810" s="329"/>
      <c r="M810" s="327"/>
      <c r="N810" s="327"/>
      <c r="O810" s="327"/>
      <c r="P810" s="327"/>
      <c r="Q810" s="327"/>
      <c r="R810" s="327"/>
      <c r="S810" s="327"/>
      <c r="T810" s="327"/>
      <c r="U810" s="338"/>
      <c r="V810" s="327"/>
      <c r="W810" s="327"/>
      <c r="X810" s="327"/>
      <c r="Y810" s="327"/>
      <c r="Z810" s="330"/>
    </row>
    <row r="811" spans="1:26" ht="12.5">
      <c r="A811" s="327"/>
      <c r="B811" s="327"/>
      <c r="C811" s="332"/>
      <c r="D811" s="327"/>
      <c r="E811" s="327"/>
      <c r="F811" s="327"/>
      <c r="G811" s="327"/>
      <c r="H811" s="327"/>
      <c r="I811" s="327"/>
      <c r="J811" s="329"/>
      <c r="K811" s="329"/>
      <c r="L811" s="329"/>
      <c r="M811" s="327"/>
      <c r="N811" s="327"/>
      <c r="O811" s="327"/>
      <c r="P811" s="327"/>
      <c r="Q811" s="327"/>
      <c r="R811" s="327"/>
      <c r="S811" s="327"/>
      <c r="T811" s="327"/>
      <c r="U811" s="338"/>
      <c r="V811" s="327"/>
      <c r="W811" s="327"/>
      <c r="X811" s="327"/>
      <c r="Y811" s="327"/>
      <c r="Z811" s="330"/>
    </row>
    <row r="812" spans="1:26" ht="12.5">
      <c r="A812" s="327"/>
      <c r="B812" s="327"/>
      <c r="C812" s="332"/>
      <c r="D812" s="327"/>
      <c r="E812" s="327"/>
      <c r="F812" s="327"/>
      <c r="G812" s="327"/>
      <c r="H812" s="327"/>
      <c r="I812" s="327"/>
      <c r="J812" s="329"/>
      <c r="K812" s="329"/>
      <c r="L812" s="329"/>
      <c r="M812" s="327"/>
      <c r="N812" s="327"/>
      <c r="O812" s="327"/>
      <c r="P812" s="327"/>
      <c r="Q812" s="327"/>
      <c r="R812" s="327"/>
      <c r="S812" s="327"/>
      <c r="T812" s="327"/>
      <c r="U812" s="338"/>
      <c r="V812" s="327"/>
      <c r="W812" s="327"/>
      <c r="X812" s="327"/>
      <c r="Y812" s="327"/>
      <c r="Z812" s="330"/>
    </row>
    <row r="813" spans="1:26" ht="12.5">
      <c r="A813" s="327"/>
      <c r="B813" s="327"/>
      <c r="C813" s="332"/>
      <c r="D813" s="327"/>
      <c r="E813" s="327"/>
      <c r="F813" s="327"/>
      <c r="G813" s="327"/>
      <c r="H813" s="327"/>
      <c r="I813" s="327"/>
      <c r="J813" s="329"/>
      <c r="K813" s="329"/>
      <c r="L813" s="329"/>
      <c r="M813" s="327"/>
      <c r="N813" s="327"/>
      <c r="O813" s="327"/>
      <c r="P813" s="327"/>
      <c r="Q813" s="327"/>
      <c r="R813" s="327"/>
      <c r="S813" s="327"/>
      <c r="T813" s="327"/>
      <c r="U813" s="338"/>
      <c r="V813" s="327"/>
      <c r="W813" s="327"/>
      <c r="X813" s="327"/>
      <c r="Y813" s="327"/>
      <c r="Z813" s="330"/>
    </row>
    <row r="814" spans="1:26" ht="12.5">
      <c r="A814" s="327"/>
      <c r="B814" s="327"/>
      <c r="C814" s="332"/>
      <c r="D814" s="327"/>
      <c r="E814" s="327"/>
      <c r="F814" s="327"/>
      <c r="G814" s="327"/>
      <c r="H814" s="327"/>
      <c r="I814" s="327"/>
      <c r="J814" s="329"/>
      <c r="K814" s="329"/>
      <c r="L814" s="329"/>
      <c r="M814" s="327"/>
      <c r="N814" s="327"/>
      <c r="O814" s="327"/>
      <c r="P814" s="327"/>
      <c r="Q814" s="327"/>
      <c r="R814" s="327"/>
      <c r="S814" s="327"/>
      <c r="T814" s="327"/>
      <c r="U814" s="338"/>
      <c r="V814" s="327"/>
      <c r="W814" s="327"/>
      <c r="X814" s="327"/>
      <c r="Y814" s="327"/>
      <c r="Z814" s="330"/>
    </row>
    <row r="815" spans="1:26" ht="12.5">
      <c r="A815" s="327"/>
      <c r="B815" s="327"/>
      <c r="C815" s="332"/>
      <c r="D815" s="327"/>
      <c r="E815" s="327"/>
      <c r="F815" s="327"/>
      <c r="G815" s="327"/>
      <c r="H815" s="327"/>
      <c r="I815" s="327"/>
      <c r="J815" s="329"/>
      <c r="K815" s="329"/>
      <c r="L815" s="329"/>
      <c r="M815" s="327"/>
      <c r="N815" s="327"/>
      <c r="O815" s="327"/>
      <c r="P815" s="327"/>
      <c r="Q815" s="327"/>
      <c r="R815" s="327"/>
      <c r="S815" s="327"/>
      <c r="T815" s="327"/>
      <c r="U815" s="338"/>
      <c r="V815" s="327"/>
      <c r="W815" s="327"/>
      <c r="X815" s="327"/>
      <c r="Y815" s="327"/>
      <c r="Z815" s="330"/>
    </row>
    <row r="816" spans="1:26" ht="12.5">
      <c r="A816" s="327"/>
      <c r="B816" s="327"/>
      <c r="C816" s="332"/>
      <c r="D816" s="327"/>
      <c r="E816" s="327"/>
      <c r="F816" s="327"/>
      <c r="G816" s="327"/>
      <c r="H816" s="327"/>
      <c r="I816" s="327"/>
      <c r="J816" s="329"/>
      <c r="K816" s="329"/>
      <c r="L816" s="329"/>
      <c r="M816" s="327"/>
      <c r="N816" s="327"/>
      <c r="O816" s="327"/>
      <c r="P816" s="327"/>
      <c r="Q816" s="327"/>
      <c r="R816" s="327"/>
      <c r="S816" s="327"/>
      <c r="T816" s="327"/>
      <c r="U816" s="338"/>
      <c r="V816" s="327"/>
      <c r="W816" s="327"/>
      <c r="X816" s="327"/>
      <c r="Y816" s="327"/>
      <c r="Z816" s="330"/>
    </row>
    <row r="817" spans="1:26" ht="12.5">
      <c r="A817" s="327"/>
      <c r="B817" s="327"/>
      <c r="C817" s="332"/>
      <c r="D817" s="327"/>
      <c r="E817" s="327"/>
      <c r="F817" s="327"/>
      <c r="G817" s="327"/>
      <c r="H817" s="327"/>
      <c r="I817" s="327"/>
      <c r="J817" s="329"/>
      <c r="K817" s="329"/>
      <c r="L817" s="329"/>
      <c r="M817" s="327"/>
      <c r="N817" s="327"/>
      <c r="O817" s="327"/>
      <c r="P817" s="327"/>
      <c r="Q817" s="327"/>
      <c r="R817" s="327"/>
      <c r="S817" s="327"/>
      <c r="T817" s="327"/>
      <c r="U817" s="338"/>
      <c r="V817" s="327"/>
      <c r="W817" s="327"/>
      <c r="X817" s="327"/>
      <c r="Y817" s="327"/>
      <c r="Z817" s="330"/>
    </row>
    <row r="818" spans="1:26" ht="12.5">
      <c r="A818" s="327"/>
      <c r="B818" s="327"/>
      <c r="C818" s="332"/>
      <c r="D818" s="327"/>
      <c r="E818" s="327"/>
      <c r="F818" s="327"/>
      <c r="G818" s="327"/>
      <c r="H818" s="327"/>
      <c r="I818" s="327"/>
      <c r="J818" s="329"/>
      <c r="K818" s="329"/>
      <c r="L818" s="329"/>
      <c r="M818" s="327"/>
      <c r="N818" s="327"/>
      <c r="O818" s="327"/>
      <c r="P818" s="327"/>
      <c r="Q818" s="327"/>
      <c r="R818" s="327"/>
      <c r="S818" s="327"/>
      <c r="T818" s="327"/>
      <c r="U818" s="338"/>
      <c r="V818" s="327"/>
      <c r="W818" s="327"/>
      <c r="X818" s="327"/>
      <c r="Y818" s="327"/>
      <c r="Z818" s="330"/>
    </row>
    <row r="819" spans="1:26" ht="12.5">
      <c r="A819" s="327"/>
      <c r="B819" s="327"/>
      <c r="C819" s="332"/>
      <c r="D819" s="327"/>
      <c r="E819" s="327"/>
      <c r="F819" s="327"/>
      <c r="G819" s="327"/>
      <c r="H819" s="327"/>
      <c r="I819" s="327"/>
      <c r="J819" s="329"/>
      <c r="K819" s="329"/>
      <c r="L819" s="329"/>
      <c r="M819" s="327"/>
      <c r="N819" s="327"/>
      <c r="O819" s="327"/>
      <c r="P819" s="327"/>
      <c r="Q819" s="327"/>
      <c r="R819" s="327"/>
      <c r="S819" s="327"/>
      <c r="T819" s="327"/>
      <c r="U819" s="338"/>
      <c r="V819" s="327"/>
      <c r="W819" s="327"/>
      <c r="X819" s="327"/>
      <c r="Y819" s="327"/>
      <c r="Z819" s="330"/>
    </row>
    <row r="820" spans="1:26" ht="12.5">
      <c r="A820" s="327"/>
      <c r="B820" s="327"/>
      <c r="C820" s="332"/>
      <c r="D820" s="327"/>
      <c r="E820" s="327"/>
      <c r="F820" s="327"/>
      <c r="G820" s="327"/>
      <c r="H820" s="327"/>
      <c r="I820" s="327"/>
      <c r="J820" s="329"/>
      <c r="K820" s="329"/>
      <c r="L820" s="329"/>
      <c r="M820" s="327"/>
      <c r="N820" s="327"/>
      <c r="O820" s="327"/>
      <c r="P820" s="327"/>
      <c r="Q820" s="327"/>
      <c r="R820" s="327"/>
      <c r="S820" s="327"/>
      <c r="T820" s="327"/>
      <c r="U820" s="338"/>
      <c r="V820" s="327"/>
      <c r="W820" s="327"/>
      <c r="X820" s="327"/>
      <c r="Y820" s="327"/>
      <c r="Z820" s="330"/>
    </row>
    <row r="821" spans="1:26" ht="12.5">
      <c r="A821" s="327"/>
      <c r="B821" s="327"/>
      <c r="C821" s="332"/>
      <c r="D821" s="327"/>
      <c r="E821" s="327"/>
      <c r="F821" s="327"/>
      <c r="G821" s="327"/>
      <c r="H821" s="327"/>
      <c r="I821" s="327"/>
      <c r="J821" s="329"/>
      <c r="K821" s="329"/>
      <c r="L821" s="329"/>
      <c r="M821" s="327"/>
      <c r="N821" s="327"/>
      <c r="O821" s="327"/>
      <c r="P821" s="327"/>
      <c r="Q821" s="327"/>
      <c r="R821" s="327"/>
      <c r="S821" s="327"/>
      <c r="T821" s="327"/>
      <c r="U821" s="338"/>
      <c r="V821" s="327"/>
      <c r="W821" s="327"/>
      <c r="X821" s="327"/>
      <c r="Y821" s="327"/>
      <c r="Z821" s="330"/>
    </row>
    <row r="822" spans="1:26" ht="12.5">
      <c r="A822" s="327"/>
      <c r="B822" s="327"/>
      <c r="C822" s="332"/>
      <c r="D822" s="327"/>
      <c r="E822" s="327"/>
      <c r="F822" s="327"/>
      <c r="G822" s="327"/>
      <c r="H822" s="327"/>
      <c r="I822" s="327"/>
      <c r="J822" s="329"/>
      <c r="K822" s="329"/>
      <c r="L822" s="329"/>
      <c r="M822" s="327"/>
      <c r="N822" s="327"/>
      <c r="O822" s="327"/>
      <c r="P822" s="327"/>
      <c r="Q822" s="327"/>
      <c r="R822" s="327"/>
      <c r="S822" s="327"/>
      <c r="T822" s="327"/>
      <c r="U822" s="338"/>
      <c r="V822" s="327"/>
      <c r="W822" s="327"/>
      <c r="X822" s="327"/>
      <c r="Y822" s="327"/>
      <c r="Z822" s="330"/>
    </row>
    <row r="823" spans="1:26" ht="12.5">
      <c r="A823" s="327"/>
      <c r="B823" s="327"/>
      <c r="C823" s="332"/>
      <c r="D823" s="327"/>
      <c r="E823" s="327"/>
      <c r="F823" s="327"/>
      <c r="G823" s="327"/>
      <c r="H823" s="327"/>
      <c r="I823" s="327"/>
      <c r="J823" s="329"/>
      <c r="K823" s="329"/>
      <c r="L823" s="329"/>
      <c r="M823" s="327"/>
      <c r="N823" s="327"/>
      <c r="O823" s="327"/>
      <c r="P823" s="327"/>
      <c r="Q823" s="327"/>
      <c r="R823" s="327"/>
      <c r="S823" s="327"/>
      <c r="T823" s="327"/>
      <c r="U823" s="338"/>
      <c r="V823" s="327"/>
      <c r="W823" s="327"/>
      <c r="X823" s="327"/>
      <c r="Y823" s="327"/>
      <c r="Z823" s="330"/>
    </row>
    <row r="824" spans="1:26" ht="12.5">
      <c r="A824" s="327"/>
      <c r="B824" s="327"/>
      <c r="C824" s="332"/>
      <c r="D824" s="327"/>
      <c r="E824" s="327"/>
      <c r="F824" s="327"/>
      <c r="G824" s="327"/>
      <c r="H824" s="327"/>
      <c r="I824" s="327"/>
      <c r="J824" s="329"/>
      <c r="K824" s="329"/>
      <c r="L824" s="329"/>
      <c r="M824" s="327"/>
      <c r="N824" s="327"/>
      <c r="O824" s="327"/>
      <c r="P824" s="327"/>
      <c r="Q824" s="327"/>
      <c r="R824" s="327"/>
      <c r="S824" s="327"/>
      <c r="T824" s="327"/>
      <c r="U824" s="338"/>
      <c r="V824" s="327"/>
      <c r="W824" s="327"/>
      <c r="X824" s="327"/>
      <c r="Y824" s="327"/>
      <c r="Z824" s="330"/>
    </row>
    <row r="825" spans="1:26" ht="12.5">
      <c r="A825" s="327"/>
      <c r="B825" s="327"/>
      <c r="C825" s="332"/>
      <c r="D825" s="327"/>
      <c r="E825" s="327"/>
      <c r="F825" s="327"/>
      <c r="G825" s="327"/>
      <c r="H825" s="327"/>
      <c r="I825" s="327"/>
      <c r="J825" s="329"/>
      <c r="K825" s="329"/>
      <c r="L825" s="329"/>
      <c r="M825" s="327"/>
      <c r="N825" s="327"/>
      <c r="O825" s="327"/>
      <c r="P825" s="327"/>
      <c r="Q825" s="327"/>
      <c r="R825" s="327"/>
      <c r="S825" s="327"/>
      <c r="T825" s="327"/>
      <c r="U825" s="338"/>
      <c r="V825" s="327"/>
      <c r="W825" s="327"/>
      <c r="X825" s="327"/>
      <c r="Y825" s="327"/>
      <c r="Z825" s="330"/>
    </row>
    <row r="826" spans="1:26" ht="12.5">
      <c r="A826" s="327"/>
      <c r="B826" s="327"/>
      <c r="C826" s="332"/>
      <c r="D826" s="327"/>
      <c r="E826" s="327"/>
      <c r="F826" s="327"/>
      <c r="G826" s="327"/>
      <c r="H826" s="327"/>
      <c r="I826" s="327"/>
      <c r="J826" s="329"/>
      <c r="K826" s="329"/>
      <c r="L826" s="329"/>
      <c r="M826" s="327"/>
      <c r="N826" s="327"/>
      <c r="O826" s="327"/>
      <c r="P826" s="327"/>
      <c r="Q826" s="327"/>
      <c r="R826" s="327"/>
      <c r="S826" s="327"/>
      <c r="T826" s="327"/>
      <c r="U826" s="338"/>
      <c r="V826" s="327"/>
      <c r="W826" s="327"/>
      <c r="X826" s="327"/>
      <c r="Y826" s="327"/>
      <c r="Z826" s="330"/>
    </row>
    <row r="827" spans="1:26" ht="12.5">
      <c r="A827" s="327"/>
      <c r="B827" s="327"/>
      <c r="C827" s="332"/>
      <c r="D827" s="327"/>
      <c r="E827" s="327"/>
      <c r="F827" s="327"/>
      <c r="G827" s="327"/>
      <c r="H827" s="327"/>
      <c r="I827" s="327"/>
      <c r="J827" s="329"/>
      <c r="K827" s="329"/>
      <c r="L827" s="329"/>
      <c r="M827" s="327"/>
      <c r="N827" s="327"/>
      <c r="O827" s="327"/>
      <c r="P827" s="327"/>
      <c r="Q827" s="327"/>
      <c r="R827" s="327"/>
      <c r="S827" s="327"/>
      <c r="T827" s="327"/>
      <c r="U827" s="338"/>
      <c r="V827" s="327"/>
      <c r="W827" s="327"/>
      <c r="X827" s="327"/>
      <c r="Y827" s="327"/>
      <c r="Z827" s="330"/>
    </row>
    <row r="828" spans="1:26" ht="12.5">
      <c r="A828" s="327"/>
      <c r="B828" s="327"/>
      <c r="C828" s="332"/>
      <c r="D828" s="327"/>
      <c r="E828" s="327"/>
      <c r="F828" s="327"/>
      <c r="G828" s="327"/>
      <c r="H828" s="327"/>
      <c r="I828" s="327"/>
      <c r="J828" s="329"/>
      <c r="K828" s="329"/>
      <c r="L828" s="329"/>
      <c r="M828" s="327"/>
      <c r="N828" s="327"/>
      <c r="O828" s="327"/>
      <c r="P828" s="327"/>
      <c r="Q828" s="327"/>
      <c r="R828" s="327"/>
      <c r="S828" s="327"/>
      <c r="T828" s="327"/>
      <c r="U828" s="338"/>
      <c r="V828" s="327"/>
      <c r="W828" s="327"/>
      <c r="X828" s="327"/>
      <c r="Y828" s="327"/>
      <c r="Z828" s="330"/>
    </row>
    <row r="829" spans="1:26" ht="12.5">
      <c r="A829" s="327"/>
      <c r="B829" s="327"/>
      <c r="C829" s="332"/>
      <c r="D829" s="327"/>
      <c r="E829" s="327"/>
      <c r="F829" s="327"/>
      <c r="G829" s="327"/>
      <c r="H829" s="327"/>
      <c r="I829" s="327"/>
      <c r="J829" s="329"/>
      <c r="K829" s="329"/>
      <c r="L829" s="329"/>
      <c r="M829" s="327"/>
      <c r="N829" s="327"/>
      <c r="O829" s="327"/>
      <c r="P829" s="327"/>
      <c r="Q829" s="327"/>
      <c r="R829" s="327"/>
      <c r="S829" s="327"/>
      <c r="T829" s="327"/>
      <c r="U829" s="338"/>
      <c r="V829" s="327"/>
      <c r="W829" s="327"/>
      <c r="X829" s="327"/>
      <c r="Y829" s="327"/>
      <c r="Z829" s="330"/>
    </row>
    <row r="830" spans="1:26" ht="12.5">
      <c r="A830" s="327"/>
      <c r="B830" s="327"/>
      <c r="C830" s="332"/>
      <c r="D830" s="327"/>
      <c r="E830" s="327"/>
      <c r="F830" s="327"/>
      <c r="G830" s="327"/>
      <c r="H830" s="327"/>
      <c r="I830" s="327"/>
      <c r="J830" s="329"/>
      <c r="K830" s="329"/>
      <c r="L830" s="329"/>
      <c r="M830" s="327"/>
      <c r="N830" s="327"/>
      <c r="O830" s="327"/>
      <c r="P830" s="327"/>
      <c r="Q830" s="327"/>
      <c r="R830" s="327"/>
      <c r="S830" s="327"/>
      <c r="T830" s="327"/>
      <c r="U830" s="338"/>
      <c r="V830" s="327"/>
      <c r="W830" s="327"/>
      <c r="X830" s="327"/>
      <c r="Y830" s="327"/>
      <c r="Z830" s="330"/>
    </row>
    <row r="831" spans="1:26" ht="12.5">
      <c r="A831" s="327"/>
      <c r="B831" s="327"/>
      <c r="C831" s="332"/>
      <c r="D831" s="327"/>
      <c r="E831" s="327"/>
      <c r="F831" s="327"/>
      <c r="G831" s="327"/>
      <c r="H831" s="327"/>
      <c r="I831" s="327"/>
      <c r="J831" s="329"/>
      <c r="K831" s="329"/>
      <c r="L831" s="329"/>
      <c r="M831" s="327"/>
      <c r="N831" s="327"/>
      <c r="O831" s="327"/>
      <c r="P831" s="327"/>
      <c r="Q831" s="327"/>
      <c r="R831" s="327"/>
      <c r="S831" s="327"/>
      <c r="T831" s="327"/>
      <c r="U831" s="338"/>
      <c r="V831" s="327"/>
      <c r="W831" s="327"/>
      <c r="X831" s="327"/>
      <c r="Y831" s="327"/>
      <c r="Z831" s="330"/>
    </row>
    <row r="832" spans="1:26" ht="12.5">
      <c r="A832" s="327"/>
      <c r="B832" s="327"/>
      <c r="C832" s="332"/>
      <c r="D832" s="327"/>
      <c r="E832" s="327"/>
      <c r="F832" s="327"/>
      <c r="G832" s="327"/>
      <c r="H832" s="327"/>
      <c r="I832" s="327"/>
      <c r="J832" s="329"/>
      <c r="K832" s="329"/>
      <c r="L832" s="329"/>
      <c r="M832" s="327"/>
      <c r="N832" s="327"/>
      <c r="O832" s="327"/>
      <c r="P832" s="327"/>
      <c r="Q832" s="327"/>
      <c r="R832" s="327"/>
      <c r="S832" s="327"/>
      <c r="T832" s="327"/>
      <c r="U832" s="338"/>
      <c r="V832" s="327"/>
      <c r="W832" s="327"/>
      <c r="X832" s="327"/>
      <c r="Y832" s="327"/>
      <c r="Z832" s="330"/>
    </row>
    <row r="833" spans="1:26" ht="12.5">
      <c r="A833" s="327"/>
      <c r="B833" s="327"/>
      <c r="C833" s="332"/>
      <c r="D833" s="327"/>
      <c r="E833" s="327"/>
      <c r="F833" s="327"/>
      <c r="G833" s="327"/>
      <c r="H833" s="327"/>
      <c r="I833" s="327"/>
      <c r="J833" s="329"/>
      <c r="K833" s="329"/>
      <c r="L833" s="329"/>
      <c r="M833" s="327"/>
      <c r="N833" s="327"/>
      <c r="O833" s="327"/>
      <c r="P833" s="327"/>
      <c r="Q833" s="327"/>
      <c r="R833" s="327"/>
      <c r="S833" s="327"/>
      <c r="T833" s="327"/>
      <c r="U833" s="338"/>
      <c r="V833" s="327"/>
      <c r="W833" s="327"/>
      <c r="X833" s="327"/>
      <c r="Y833" s="327"/>
      <c r="Z833" s="330"/>
    </row>
    <row r="834" spans="1:26" ht="12.5">
      <c r="A834" s="327"/>
      <c r="B834" s="327"/>
      <c r="C834" s="332"/>
      <c r="D834" s="327"/>
      <c r="E834" s="327"/>
      <c r="F834" s="327"/>
      <c r="G834" s="327"/>
      <c r="H834" s="327"/>
      <c r="I834" s="327"/>
      <c r="J834" s="329"/>
      <c r="K834" s="329"/>
      <c r="L834" s="329"/>
      <c r="M834" s="327"/>
      <c r="N834" s="327"/>
      <c r="O834" s="327"/>
      <c r="P834" s="327"/>
      <c r="Q834" s="327"/>
      <c r="R834" s="327"/>
      <c r="S834" s="327"/>
      <c r="T834" s="327"/>
      <c r="U834" s="338"/>
      <c r="V834" s="327"/>
      <c r="W834" s="327"/>
      <c r="X834" s="327"/>
      <c r="Y834" s="327"/>
      <c r="Z834" s="330"/>
    </row>
    <row r="835" spans="1:26" ht="12.5">
      <c r="A835" s="327"/>
      <c r="B835" s="327"/>
      <c r="C835" s="332"/>
      <c r="D835" s="327"/>
      <c r="E835" s="327"/>
      <c r="F835" s="327"/>
      <c r="G835" s="327"/>
      <c r="H835" s="327"/>
      <c r="I835" s="327"/>
      <c r="J835" s="329"/>
      <c r="K835" s="329"/>
      <c r="L835" s="329"/>
      <c r="M835" s="327"/>
      <c r="N835" s="327"/>
      <c r="O835" s="327"/>
      <c r="P835" s="327"/>
      <c r="Q835" s="327"/>
      <c r="R835" s="327"/>
      <c r="S835" s="327"/>
      <c r="T835" s="327"/>
      <c r="U835" s="338"/>
      <c r="V835" s="327"/>
      <c r="W835" s="327"/>
      <c r="X835" s="327"/>
      <c r="Y835" s="327"/>
      <c r="Z835" s="330"/>
    </row>
    <row r="836" spans="1:26" ht="12.5">
      <c r="A836" s="327"/>
      <c r="B836" s="327"/>
      <c r="C836" s="332"/>
      <c r="D836" s="327"/>
      <c r="E836" s="327"/>
      <c r="F836" s="327"/>
      <c r="G836" s="327"/>
      <c r="H836" s="327"/>
      <c r="I836" s="327"/>
      <c r="J836" s="329"/>
      <c r="K836" s="329"/>
      <c r="L836" s="329"/>
      <c r="M836" s="327"/>
      <c r="N836" s="327"/>
      <c r="O836" s="327"/>
      <c r="P836" s="327"/>
      <c r="Q836" s="327"/>
      <c r="R836" s="327"/>
      <c r="S836" s="327"/>
      <c r="T836" s="327"/>
      <c r="U836" s="338"/>
      <c r="V836" s="327"/>
      <c r="W836" s="327"/>
      <c r="X836" s="327"/>
      <c r="Y836" s="327"/>
      <c r="Z836" s="330"/>
    </row>
    <row r="837" spans="1:26" ht="12.5">
      <c r="A837" s="327"/>
      <c r="B837" s="327"/>
      <c r="C837" s="332"/>
      <c r="D837" s="327"/>
      <c r="E837" s="327"/>
      <c r="F837" s="327"/>
      <c r="G837" s="327"/>
      <c r="H837" s="327"/>
      <c r="I837" s="327"/>
      <c r="J837" s="329"/>
      <c r="K837" s="329"/>
      <c r="L837" s="329"/>
      <c r="M837" s="327"/>
      <c r="N837" s="327"/>
      <c r="O837" s="327"/>
      <c r="P837" s="327"/>
      <c r="Q837" s="327"/>
      <c r="R837" s="327"/>
      <c r="S837" s="327"/>
      <c r="T837" s="327"/>
      <c r="U837" s="338"/>
      <c r="V837" s="327"/>
      <c r="W837" s="327"/>
      <c r="X837" s="327"/>
      <c r="Y837" s="327"/>
      <c r="Z837" s="330"/>
    </row>
    <row r="838" spans="1:26" ht="12.5">
      <c r="A838" s="327"/>
      <c r="B838" s="327"/>
      <c r="C838" s="332"/>
      <c r="D838" s="327"/>
      <c r="E838" s="327"/>
      <c r="F838" s="327"/>
      <c r="G838" s="327"/>
      <c r="H838" s="327"/>
      <c r="I838" s="327"/>
      <c r="J838" s="329"/>
      <c r="K838" s="329"/>
      <c r="L838" s="329"/>
      <c r="M838" s="327"/>
      <c r="N838" s="327"/>
      <c r="O838" s="327"/>
      <c r="P838" s="327"/>
      <c r="Q838" s="327"/>
      <c r="R838" s="327"/>
      <c r="S838" s="327"/>
      <c r="T838" s="327"/>
      <c r="U838" s="338"/>
      <c r="V838" s="327"/>
      <c r="W838" s="327"/>
      <c r="X838" s="327"/>
      <c r="Y838" s="327"/>
      <c r="Z838" s="330"/>
    </row>
    <row r="839" spans="1:26" ht="12.5">
      <c r="A839" s="327"/>
      <c r="B839" s="327"/>
      <c r="C839" s="332"/>
      <c r="D839" s="327"/>
      <c r="E839" s="327"/>
      <c r="F839" s="327"/>
      <c r="G839" s="327"/>
      <c r="H839" s="327"/>
      <c r="I839" s="327"/>
      <c r="J839" s="329"/>
      <c r="K839" s="329"/>
      <c r="L839" s="329"/>
      <c r="M839" s="327"/>
      <c r="N839" s="327"/>
      <c r="O839" s="327"/>
      <c r="P839" s="327"/>
      <c r="Q839" s="327"/>
      <c r="R839" s="327"/>
      <c r="S839" s="327"/>
      <c r="T839" s="327"/>
      <c r="U839" s="338"/>
      <c r="V839" s="327"/>
      <c r="W839" s="327"/>
      <c r="X839" s="327"/>
      <c r="Y839" s="327"/>
      <c r="Z839" s="330"/>
    </row>
    <row r="840" spans="1:26" ht="12.5">
      <c r="A840" s="327"/>
      <c r="B840" s="327"/>
      <c r="C840" s="332"/>
      <c r="D840" s="327"/>
      <c r="E840" s="327"/>
      <c r="F840" s="327"/>
      <c r="G840" s="327"/>
      <c r="H840" s="327"/>
      <c r="I840" s="327"/>
      <c r="J840" s="329"/>
      <c r="K840" s="329"/>
      <c r="L840" s="329"/>
      <c r="M840" s="327"/>
      <c r="N840" s="327"/>
      <c r="O840" s="327"/>
      <c r="P840" s="327"/>
      <c r="Q840" s="327"/>
      <c r="R840" s="327"/>
      <c r="S840" s="327"/>
      <c r="T840" s="327"/>
      <c r="U840" s="338"/>
      <c r="V840" s="327"/>
      <c r="W840" s="327"/>
      <c r="X840" s="327"/>
      <c r="Y840" s="327"/>
      <c r="Z840" s="330"/>
    </row>
    <row r="841" spans="1:26" ht="12.5">
      <c r="A841" s="327"/>
      <c r="B841" s="327"/>
      <c r="C841" s="332"/>
      <c r="D841" s="327"/>
      <c r="E841" s="327"/>
      <c r="F841" s="327"/>
      <c r="G841" s="327"/>
      <c r="H841" s="327"/>
      <c r="I841" s="327"/>
      <c r="J841" s="329"/>
      <c r="K841" s="329"/>
      <c r="L841" s="329"/>
      <c r="M841" s="327"/>
      <c r="N841" s="327"/>
      <c r="O841" s="327"/>
      <c r="P841" s="327"/>
      <c r="Q841" s="327"/>
      <c r="R841" s="327"/>
      <c r="S841" s="327"/>
      <c r="T841" s="327"/>
      <c r="U841" s="338"/>
      <c r="V841" s="327"/>
      <c r="W841" s="327"/>
      <c r="X841" s="327"/>
      <c r="Y841" s="327"/>
      <c r="Z841" s="330"/>
    </row>
    <row r="842" spans="1:26" ht="12.5">
      <c r="A842" s="327"/>
      <c r="B842" s="327"/>
      <c r="C842" s="332"/>
      <c r="D842" s="327"/>
      <c r="E842" s="327"/>
      <c r="F842" s="327"/>
      <c r="G842" s="327"/>
      <c r="H842" s="327"/>
      <c r="I842" s="327"/>
      <c r="J842" s="329"/>
      <c r="K842" s="329"/>
      <c r="L842" s="329"/>
      <c r="M842" s="327"/>
      <c r="N842" s="327"/>
      <c r="O842" s="327"/>
      <c r="P842" s="327"/>
      <c r="Q842" s="327"/>
      <c r="R842" s="327"/>
      <c r="S842" s="327"/>
      <c r="T842" s="327"/>
      <c r="U842" s="338"/>
      <c r="V842" s="327"/>
      <c r="W842" s="327"/>
      <c r="X842" s="327"/>
      <c r="Y842" s="327"/>
      <c r="Z842" s="330"/>
    </row>
    <row r="843" spans="1:26" ht="12.5">
      <c r="A843" s="327"/>
      <c r="B843" s="327"/>
      <c r="C843" s="332"/>
      <c r="D843" s="327"/>
      <c r="E843" s="327"/>
      <c r="F843" s="327"/>
      <c r="G843" s="327"/>
      <c r="H843" s="327"/>
      <c r="I843" s="327"/>
      <c r="J843" s="329"/>
      <c r="K843" s="329"/>
      <c r="L843" s="329"/>
      <c r="M843" s="327"/>
      <c r="N843" s="327"/>
      <c r="O843" s="327"/>
      <c r="P843" s="327"/>
      <c r="Q843" s="327"/>
      <c r="R843" s="327"/>
      <c r="S843" s="327"/>
      <c r="T843" s="327"/>
      <c r="U843" s="338"/>
      <c r="V843" s="327"/>
      <c r="W843" s="327"/>
      <c r="X843" s="327"/>
      <c r="Y843" s="327"/>
      <c r="Z843" s="330"/>
    </row>
    <row r="844" spans="1:26" ht="12.5">
      <c r="A844" s="327"/>
      <c r="B844" s="327"/>
      <c r="C844" s="332"/>
      <c r="D844" s="327"/>
      <c r="E844" s="327"/>
      <c r="F844" s="327"/>
      <c r="G844" s="327"/>
      <c r="H844" s="327"/>
      <c r="I844" s="327"/>
      <c r="J844" s="329"/>
      <c r="K844" s="329"/>
      <c r="L844" s="329"/>
      <c r="M844" s="327"/>
      <c r="N844" s="327"/>
      <c r="O844" s="327"/>
      <c r="P844" s="327"/>
      <c r="Q844" s="327"/>
      <c r="R844" s="327"/>
      <c r="S844" s="327"/>
      <c r="T844" s="327"/>
      <c r="U844" s="338"/>
      <c r="V844" s="327"/>
      <c r="W844" s="327"/>
      <c r="X844" s="327"/>
      <c r="Y844" s="327"/>
      <c r="Z844" s="330"/>
    </row>
    <row r="845" spans="1:26" ht="12.5">
      <c r="A845" s="327"/>
      <c r="B845" s="327"/>
      <c r="C845" s="332"/>
      <c r="D845" s="327"/>
      <c r="E845" s="327"/>
      <c r="F845" s="327"/>
      <c r="G845" s="327"/>
      <c r="H845" s="327"/>
      <c r="I845" s="327"/>
      <c r="J845" s="329"/>
      <c r="K845" s="329"/>
      <c r="L845" s="329"/>
      <c r="M845" s="327"/>
      <c r="N845" s="327"/>
      <c r="O845" s="327"/>
      <c r="P845" s="327"/>
      <c r="Q845" s="327"/>
      <c r="R845" s="327"/>
      <c r="S845" s="327"/>
      <c r="T845" s="327"/>
      <c r="U845" s="338"/>
      <c r="V845" s="327"/>
      <c r="W845" s="327"/>
      <c r="X845" s="327"/>
      <c r="Y845" s="327"/>
      <c r="Z845" s="330"/>
    </row>
    <row r="846" spans="1:26" ht="12.5">
      <c r="A846" s="327"/>
      <c r="B846" s="327"/>
      <c r="C846" s="332"/>
      <c r="D846" s="327"/>
      <c r="E846" s="327"/>
      <c r="F846" s="327"/>
      <c r="G846" s="327"/>
      <c r="H846" s="327"/>
      <c r="I846" s="327"/>
      <c r="J846" s="329"/>
      <c r="K846" s="329"/>
      <c r="L846" s="329"/>
      <c r="M846" s="327"/>
      <c r="N846" s="327"/>
      <c r="O846" s="327"/>
      <c r="P846" s="327"/>
      <c r="Q846" s="327"/>
      <c r="R846" s="327"/>
      <c r="S846" s="327"/>
      <c r="T846" s="327"/>
      <c r="U846" s="338"/>
      <c r="V846" s="327"/>
      <c r="W846" s="327"/>
      <c r="X846" s="327"/>
      <c r="Y846" s="327"/>
      <c r="Z846" s="330"/>
    </row>
    <row r="847" spans="1:26" ht="12.5">
      <c r="A847" s="327"/>
      <c r="B847" s="327"/>
      <c r="C847" s="332"/>
      <c r="D847" s="327"/>
      <c r="E847" s="327"/>
      <c r="F847" s="327"/>
      <c r="G847" s="327"/>
      <c r="H847" s="327"/>
      <c r="I847" s="327"/>
      <c r="J847" s="329"/>
      <c r="K847" s="329"/>
      <c r="L847" s="329"/>
      <c r="M847" s="327"/>
      <c r="N847" s="327"/>
      <c r="O847" s="327"/>
      <c r="P847" s="327"/>
      <c r="Q847" s="327"/>
      <c r="R847" s="327"/>
      <c r="S847" s="327"/>
      <c r="T847" s="327"/>
      <c r="U847" s="338"/>
      <c r="V847" s="327"/>
      <c r="W847" s="327"/>
      <c r="X847" s="327"/>
      <c r="Y847" s="327"/>
      <c r="Z847" s="330"/>
    </row>
    <row r="848" spans="1:26" ht="12.5">
      <c r="A848" s="327"/>
      <c r="B848" s="327"/>
      <c r="C848" s="332"/>
      <c r="D848" s="327"/>
      <c r="E848" s="327"/>
      <c r="F848" s="327"/>
      <c r="G848" s="327"/>
      <c r="H848" s="327"/>
      <c r="I848" s="327"/>
      <c r="J848" s="329"/>
      <c r="K848" s="329"/>
      <c r="L848" s="329"/>
      <c r="M848" s="327"/>
      <c r="N848" s="327"/>
      <c r="O848" s="327"/>
      <c r="P848" s="327"/>
      <c r="Q848" s="327"/>
      <c r="R848" s="327"/>
      <c r="S848" s="327"/>
      <c r="T848" s="327"/>
      <c r="U848" s="338"/>
      <c r="V848" s="327"/>
      <c r="W848" s="327"/>
      <c r="X848" s="327"/>
      <c r="Y848" s="327"/>
      <c r="Z848" s="330"/>
    </row>
    <row r="849" spans="1:26" ht="12.5">
      <c r="A849" s="327"/>
      <c r="B849" s="327"/>
      <c r="C849" s="332"/>
      <c r="D849" s="327"/>
      <c r="E849" s="327"/>
      <c r="F849" s="327"/>
      <c r="G849" s="327"/>
      <c r="H849" s="327"/>
      <c r="I849" s="327"/>
      <c r="J849" s="329"/>
      <c r="K849" s="329"/>
      <c r="L849" s="329"/>
      <c r="M849" s="327"/>
      <c r="N849" s="327"/>
      <c r="O849" s="327"/>
      <c r="P849" s="327"/>
      <c r="Q849" s="327"/>
      <c r="R849" s="327"/>
      <c r="S849" s="327"/>
      <c r="T849" s="327"/>
      <c r="U849" s="338"/>
      <c r="V849" s="327"/>
      <c r="W849" s="327"/>
      <c r="X849" s="327"/>
      <c r="Y849" s="327"/>
      <c r="Z849" s="330"/>
    </row>
    <row r="850" spans="1:26" ht="12.5">
      <c r="A850" s="327"/>
      <c r="B850" s="327"/>
      <c r="C850" s="332"/>
      <c r="D850" s="327"/>
      <c r="E850" s="327"/>
      <c r="F850" s="327"/>
      <c r="G850" s="327"/>
      <c r="H850" s="327"/>
      <c r="I850" s="327"/>
      <c r="J850" s="329"/>
      <c r="K850" s="329"/>
      <c r="L850" s="329"/>
      <c r="M850" s="327"/>
      <c r="N850" s="327"/>
      <c r="O850" s="327"/>
      <c r="P850" s="327"/>
      <c r="Q850" s="327"/>
      <c r="R850" s="327"/>
      <c r="S850" s="327"/>
      <c r="T850" s="327"/>
      <c r="U850" s="338"/>
      <c r="V850" s="327"/>
      <c r="W850" s="327"/>
      <c r="X850" s="327"/>
      <c r="Y850" s="327"/>
      <c r="Z850" s="330"/>
    </row>
    <row r="851" spans="1:26" ht="12.5">
      <c r="A851" s="327"/>
      <c r="B851" s="327"/>
      <c r="C851" s="332"/>
      <c r="D851" s="327"/>
      <c r="E851" s="327"/>
      <c r="F851" s="327"/>
      <c r="G851" s="327"/>
      <c r="H851" s="327"/>
      <c r="I851" s="327"/>
      <c r="J851" s="329"/>
      <c r="K851" s="329"/>
      <c r="L851" s="329"/>
      <c r="M851" s="327"/>
      <c r="N851" s="327"/>
      <c r="O851" s="327"/>
      <c r="P851" s="327"/>
      <c r="Q851" s="327"/>
      <c r="R851" s="327"/>
      <c r="S851" s="327"/>
      <c r="T851" s="327"/>
      <c r="U851" s="338"/>
      <c r="V851" s="327"/>
      <c r="W851" s="327"/>
      <c r="X851" s="327"/>
      <c r="Y851" s="327"/>
      <c r="Z851" s="330"/>
    </row>
    <row r="852" spans="1:26" ht="12.5">
      <c r="A852" s="327"/>
      <c r="B852" s="327"/>
      <c r="C852" s="332"/>
      <c r="D852" s="327"/>
      <c r="E852" s="327"/>
      <c r="F852" s="327"/>
      <c r="G852" s="327"/>
      <c r="H852" s="327"/>
      <c r="I852" s="327"/>
      <c r="J852" s="329"/>
      <c r="K852" s="329"/>
      <c r="L852" s="329"/>
      <c r="M852" s="327"/>
      <c r="N852" s="327"/>
      <c r="O852" s="327"/>
      <c r="P852" s="327"/>
      <c r="Q852" s="327"/>
      <c r="R852" s="327"/>
      <c r="S852" s="327"/>
      <c r="T852" s="327"/>
      <c r="U852" s="338"/>
      <c r="V852" s="327"/>
      <c r="W852" s="327"/>
      <c r="X852" s="327"/>
      <c r="Y852" s="327"/>
      <c r="Z852" s="330"/>
    </row>
    <row r="853" spans="1:26" ht="12.5">
      <c r="A853" s="327"/>
      <c r="B853" s="327"/>
      <c r="C853" s="332"/>
      <c r="D853" s="327"/>
      <c r="E853" s="327"/>
      <c r="F853" s="327"/>
      <c r="G853" s="327"/>
      <c r="H853" s="327"/>
      <c r="I853" s="327"/>
      <c r="J853" s="329"/>
      <c r="K853" s="329"/>
      <c r="L853" s="329"/>
      <c r="M853" s="327"/>
      <c r="N853" s="327"/>
      <c r="O853" s="327"/>
      <c r="P853" s="327"/>
      <c r="Q853" s="327"/>
      <c r="R853" s="327"/>
      <c r="S853" s="327"/>
      <c r="T853" s="327"/>
      <c r="U853" s="338"/>
      <c r="V853" s="327"/>
      <c r="W853" s="327"/>
      <c r="X853" s="327"/>
      <c r="Y853" s="327"/>
      <c r="Z853" s="330"/>
    </row>
    <row r="854" spans="1:26" ht="12.5">
      <c r="A854" s="327"/>
      <c r="B854" s="327"/>
      <c r="C854" s="332"/>
      <c r="D854" s="327"/>
      <c r="E854" s="327"/>
      <c r="F854" s="327"/>
      <c r="G854" s="327"/>
      <c r="H854" s="327"/>
      <c r="I854" s="327"/>
      <c r="J854" s="329"/>
      <c r="K854" s="329"/>
      <c r="L854" s="329"/>
      <c r="M854" s="327"/>
      <c r="N854" s="327"/>
      <c r="O854" s="327"/>
      <c r="P854" s="327"/>
      <c r="Q854" s="327"/>
      <c r="R854" s="327"/>
      <c r="S854" s="327"/>
      <c r="T854" s="327"/>
      <c r="U854" s="338"/>
      <c r="V854" s="327"/>
      <c r="W854" s="327"/>
      <c r="X854" s="327"/>
      <c r="Y854" s="327"/>
      <c r="Z854" s="330"/>
    </row>
    <row r="855" spans="1:26" ht="12.5">
      <c r="A855" s="327"/>
      <c r="B855" s="327"/>
      <c r="C855" s="332"/>
      <c r="D855" s="327"/>
      <c r="E855" s="327"/>
      <c r="F855" s="327"/>
      <c r="G855" s="327"/>
      <c r="H855" s="327"/>
      <c r="I855" s="327"/>
      <c r="J855" s="329"/>
      <c r="K855" s="329"/>
      <c r="L855" s="329"/>
      <c r="M855" s="327"/>
      <c r="N855" s="327"/>
      <c r="O855" s="327"/>
      <c r="P855" s="327"/>
      <c r="Q855" s="327"/>
      <c r="R855" s="327"/>
      <c r="S855" s="327"/>
      <c r="T855" s="327"/>
      <c r="U855" s="338"/>
      <c r="V855" s="327"/>
      <c r="W855" s="327"/>
      <c r="X855" s="327"/>
      <c r="Y855" s="327"/>
      <c r="Z855" s="330"/>
    </row>
    <row r="856" spans="1:26" ht="12.5">
      <c r="A856" s="327"/>
      <c r="B856" s="327"/>
      <c r="C856" s="332"/>
      <c r="D856" s="327"/>
      <c r="E856" s="327"/>
      <c r="F856" s="327"/>
      <c r="G856" s="327"/>
      <c r="H856" s="327"/>
      <c r="I856" s="327"/>
      <c r="J856" s="329"/>
      <c r="K856" s="329"/>
      <c r="L856" s="329"/>
      <c r="M856" s="327"/>
      <c r="N856" s="327"/>
      <c r="O856" s="327"/>
      <c r="P856" s="327"/>
      <c r="Q856" s="327"/>
      <c r="R856" s="327"/>
      <c r="S856" s="327"/>
      <c r="T856" s="327"/>
      <c r="U856" s="338"/>
      <c r="V856" s="327"/>
      <c r="W856" s="327"/>
      <c r="X856" s="327"/>
      <c r="Y856" s="327"/>
      <c r="Z856" s="330"/>
    </row>
    <row r="857" spans="1:26" ht="12.5">
      <c r="A857" s="327"/>
      <c r="B857" s="327"/>
      <c r="C857" s="332"/>
      <c r="D857" s="327"/>
      <c r="E857" s="327"/>
      <c r="F857" s="327"/>
      <c r="G857" s="327"/>
      <c r="H857" s="327"/>
      <c r="I857" s="327"/>
      <c r="J857" s="329"/>
      <c r="K857" s="329"/>
      <c r="L857" s="329"/>
      <c r="M857" s="327"/>
      <c r="N857" s="327"/>
      <c r="O857" s="327"/>
      <c r="P857" s="327"/>
      <c r="Q857" s="327"/>
      <c r="R857" s="327"/>
      <c r="S857" s="327"/>
      <c r="T857" s="327"/>
      <c r="U857" s="338"/>
      <c r="V857" s="327"/>
      <c r="W857" s="327"/>
      <c r="X857" s="327"/>
      <c r="Y857" s="327"/>
      <c r="Z857" s="330"/>
    </row>
    <row r="858" spans="1:26" ht="12.5">
      <c r="A858" s="327"/>
      <c r="B858" s="327"/>
      <c r="C858" s="332"/>
      <c r="D858" s="327"/>
      <c r="E858" s="327"/>
      <c r="F858" s="327"/>
      <c r="G858" s="327"/>
      <c r="H858" s="327"/>
      <c r="I858" s="327"/>
      <c r="J858" s="329"/>
      <c r="K858" s="329"/>
      <c r="L858" s="329"/>
      <c r="M858" s="327"/>
      <c r="N858" s="327"/>
      <c r="O858" s="327"/>
      <c r="P858" s="327"/>
      <c r="Q858" s="327"/>
      <c r="R858" s="327"/>
      <c r="S858" s="327"/>
      <c r="T858" s="327"/>
      <c r="U858" s="338"/>
      <c r="V858" s="327"/>
      <c r="W858" s="327"/>
      <c r="X858" s="327"/>
      <c r="Y858" s="327"/>
      <c r="Z858" s="330"/>
    </row>
    <row r="859" spans="1:26" ht="12.5">
      <c r="A859" s="327"/>
      <c r="B859" s="327"/>
      <c r="C859" s="332"/>
      <c r="D859" s="327"/>
      <c r="E859" s="327"/>
      <c r="F859" s="327"/>
      <c r="G859" s="327"/>
      <c r="H859" s="327"/>
      <c r="I859" s="327"/>
      <c r="J859" s="329"/>
      <c r="K859" s="329"/>
      <c r="L859" s="329"/>
      <c r="M859" s="327"/>
      <c r="N859" s="327"/>
      <c r="O859" s="327"/>
      <c r="P859" s="327"/>
      <c r="Q859" s="327"/>
      <c r="R859" s="327"/>
      <c r="S859" s="327"/>
      <c r="T859" s="327"/>
      <c r="U859" s="338"/>
      <c r="V859" s="327"/>
      <c r="W859" s="327"/>
      <c r="X859" s="327"/>
      <c r="Y859" s="327"/>
      <c r="Z859" s="330"/>
    </row>
    <row r="860" spans="1:26" ht="12.5">
      <c r="A860" s="327"/>
      <c r="B860" s="327"/>
      <c r="C860" s="332"/>
      <c r="D860" s="327"/>
      <c r="E860" s="327"/>
      <c r="F860" s="327"/>
      <c r="G860" s="327"/>
      <c r="H860" s="327"/>
      <c r="I860" s="327"/>
      <c r="J860" s="329"/>
      <c r="K860" s="329"/>
      <c r="L860" s="329"/>
      <c r="M860" s="327"/>
      <c r="N860" s="327"/>
      <c r="O860" s="327"/>
      <c r="P860" s="327"/>
      <c r="Q860" s="327"/>
      <c r="R860" s="327"/>
      <c r="S860" s="327"/>
      <c r="T860" s="327"/>
      <c r="U860" s="338"/>
      <c r="V860" s="327"/>
      <c r="W860" s="327"/>
      <c r="X860" s="327"/>
      <c r="Y860" s="327"/>
      <c r="Z860" s="330"/>
    </row>
    <row r="861" spans="1:26" ht="12.5">
      <c r="A861" s="327"/>
      <c r="B861" s="327"/>
      <c r="C861" s="332"/>
      <c r="D861" s="327"/>
      <c r="E861" s="327"/>
      <c r="F861" s="327"/>
      <c r="G861" s="327"/>
      <c r="H861" s="327"/>
      <c r="I861" s="327"/>
      <c r="J861" s="329"/>
      <c r="K861" s="329"/>
      <c r="L861" s="329"/>
      <c r="M861" s="327"/>
      <c r="N861" s="327"/>
      <c r="O861" s="327"/>
      <c r="P861" s="327"/>
      <c r="Q861" s="327"/>
      <c r="R861" s="327"/>
      <c r="S861" s="327"/>
      <c r="T861" s="327"/>
      <c r="U861" s="338"/>
      <c r="V861" s="327"/>
      <c r="W861" s="327"/>
      <c r="X861" s="327"/>
      <c r="Y861" s="327"/>
      <c r="Z861" s="330"/>
    </row>
    <row r="862" spans="1:26" ht="12.5">
      <c r="A862" s="327"/>
      <c r="B862" s="327"/>
      <c r="C862" s="332"/>
      <c r="D862" s="327"/>
      <c r="E862" s="327"/>
      <c r="F862" s="327"/>
      <c r="G862" s="327"/>
      <c r="H862" s="327"/>
      <c r="I862" s="327"/>
      <c r="J862" s="329"/>
      <c r="K862" s="329"/>
      <c r="L862" s="329"/>
      <c r="M862" s="327"/>
      <c r="N862" s="327"/>
      <c r="O862" s="327"/>
      <c r="P862" s="327"/>
      <c r="Q862" s="327"/>
      <c r="R862" s="327"/>
      <c r="S862" s="327"/>
      <c r="T862" s="327"/>
      <c r="U862" s="338"/>
      <c r="V862" s="327"/>
      <c r="W862" s="327"/>
      <c r="X862" s="327"/>
      <c r="Y862" s="327"/>
      <c r="Z862" s="330"/>
    </row>
    <row r="863" spans="1:26" ht="12.5">
      <c r="A863" s="327"/>
      <c r="B863" s="327"/>
      <c r="C863" s="332"/>
      <c r="D863" s="327"/>
      <c r="E863" s="327"/>
      <c r="F863" s="327"/>
      <c r="G863" s="327"/>
      <c r="H863" s="327"/>
      <c r="I863" s="327"/>
      <c r="J863" s="329"/>
      <c r="K863" s="329"/>
      <c r="L863" s="329"/>
      <c r="M863" s="327"/>
      <c r="N863" s="327"/>
      <c r="O863" s="327"/>
      <c r="P863" s="327"/>
      <c r="Q863" s="327"/>
      <c r="R863" s="327"/>
      <c r="S863" s="327"/>
      <c r="T863" s="327"/>
      <c r="U863" s="338"/>
      <c r="V863" s="327"/>
      <c r="W863" s="327"/>
      <c r="X863" s="327"/>
      <c r="Y863" s="327"/>
      <c r="Z863" s="330"/>
    </row>
    <row r="864" spans="1:26" ht="12.5">
      <c r="A864" s="327"/>
      <c r="B864" s="327"/>
      <c r="C864" s="332"/>
      <c r="D864" s="327"/>
      <c r="E864" s="327"/>
      <c r="F864" s="327"/>
      <c r="G864" s="327"/>
      <c r="H864" s="327"/>
      <c r="I864" s="327"/>
      <c r="J864" s="329"/>
      <c r="K864" s="329"/>
      <c r="L864" s="329"/>
      <c r="M864" s="327"/>
      <c r="N864" s="327"/>
      <c r="O864" s="327"/>
      <c r="P864" s="327"/>
      <c r="Q864" s="327"/>
      <c r="R864" s="327"/>
      <c r="S864" s="327"/>
      <c r="T864" s="327"/>
      <c r="U864" s="338"/>
      <c r="V864" s="327"/>
      <c r="W864" s="327"/>
      <c r="X864" s="327"/>
      <c r="Y864" s="327"/>
      <c r="Z864" s="330"/>
    </row>
    <row r="865" spans="1:26" ht="12.5">
      <c r="A865" s="330"/>
      <c r="B865" s="330"/>
      <c r="C865" s="330"/>
      <c r="D865" s="330"/>
      <c r="E865" s="330"/>
      <c r="F865" s="330"/>
      <c r="G865" s="330"/>
      <c r="H865" s="330"/>
      <c r="I865" s="327"/>
      <c r="J865" s="330"/>
      <c r="K865" s="330"/>
      <c r="L865" s="330"/>
      <c r="M865" s="330"/>
      <c r="N865" s="330"/>
      <c r="O865" s="330"/>
      <c r="P865" s="330"/>
      <c r="Q865" s="330"/>
      <c r="R865" s="330"/>
      <c r="S865" s="330"/>
      <c r="T865" s="330"/>
      <c r="U865" s="338"/>
      <c r="V865" s="330"/>
      <c r="W865" s="330"/>
      <c r="X865" s="330"/>
      <c r="Y865" s="330"/>
      <c r="Z865" s="330"/>
    </row>
    <row r="866" spans="1:26" ht="12.5">
      <c r="A866" s="330"/>
      <c r="B866" s="330"/>
      <c r="C866" s="330"/>
      <c r="D866" s="330"/>
      <c r="E866" s="330"/>
      <c r="F866" s="330"/>
      <c r="G866" s="330"/>
      <c r="H866" s="330"/>
      <c r="I866" s="327"/>
      <c r="J866" s="330"/>
      <c r="K866" s="330"/>
      <c r="L866" s="330"/>
      <c r="M866" s="330"/>
      <c r="N866" s="330"/>
      <c r="O866" s="330"/>
      <c r="P866" s="330"/>
      <c r="Q866" s="330"/>
      <c r="R866" s="330"/>
      <c r="S866" s="330"/>
      <c r="T866" s="330"/>
      <c r="U866" s="338"/>
      <c r="V866" s="330"/>
      <c r="W866" s="330"/>
      <c r="X866" s="330"/>
      <c r="Y866" s="330"/>
      <c r="Z866" s="330"/>
    </row>
    <row r="867" spans="1:26" ht="12.5">
      <c r="A867" s="330"/>
      <c r="B867" s="330"/>
      <c r="C867" s="330"/>
      <c r="D867" s="330"/>
      <c r="E867" s="330"/>
      <c r="F867" s="330"/>
      <c r="G867" s="330"/>
      <c r="H867" s="330"/>
      <c r="I867" s="327"/>
      <c r="J867" s="330"/>
      <c r="K867" s="330"/>
      <c r="L867" s="330"/>
      <c r="M867" s="330"/>
      <c r="N867" s="330"/>
      <c r="O867" s="330"/>
      <c r="P867" s="330"/>
      <c r="Q867" s="330"/>
      <c r="R867" s="330"/>
      <c r="S867" s="330"/>
      <c r="T867" s="330"/>
      <c r="U867" s="338"/>
      <c r="V867" s="330"/>
      <c r="W867" s="330"/>
      <c r="X867" s="330"/>
      <c r="Y867" s="330"/>
      <c r="Z867" s="330"/>
    </row>
    <row r="868" spans="1:26" ht="12.5">
      <c r="A868" s="330"/>
      <c r="B868" s="330"/>
      <c r="C868" s="330"/>
      <c r="D868" s="330"/>
      <c r="E868" s="330"/>
      <c r="F868" s="330"/>
      <c r="G868" s="330"/>
      <c r="H868" s="330"/>
      <c r="I868" s="327"/>
      <c r="J868" s="330"/>
      <c r="K868" s="330"/>
      <c r="L868" s="330"/>
      <c r="M868" s="330"/>
      <c r="N868" s="330"/>
      <c r="O868" s="330"/>
      <c r="P868" s="330"/>
      <c r="Q868" s="330"/>
      <c r="R868" s="330"/>
      <c r="S868" s="330"/>
      <c r="T868" s="330"/>
      <c r="U868" s="338"/>
      <c r="V868" s="330"/>
      <c r="W868" s="330"/>
      <c r="X868" s="330"/>
      <c r="Y868" s="330"/>
      <c r="Z868" s="330"/>
    </row>
    <row r="869" spans="1:26" ht="12.5">
      <c r="A869" s="330"/>
      <c r="B869" s="330"/>
      <c r="C869" s="330"/>
      <c r="D869" s="330"/>
      <c r="E869" s="330"/>
      <c r="F869" s="330"/>
      <c r="G869" s="330"/>
      <c r="H869" s="330"/>
      <c r="I869" s="327"/>
      <c r="J869" s="330"/>
      <c r="K869" s="330"/>
      <c r="L869" s="330"/>
      <c r="M869" s="330"/>
      <c r="N869" s="330"/>
      <c r="O869" s="330"/>
      <c r="P869" s="330"/>
      <c r="Q869" s="330"/>
      <c r="R869" s="330"/>
      <c r="S869" s="330"/>
      <c r="T869" s="330"/>
      <c r="U869" s="338"/>
      <c r="V869" s="330"/>
      <c r="W869" s="330"/>
      <c r="X869" s="330"/>
      <c r="Y869" s="330"/>
      <c r="Z869" s="330"/>
    </row>
    <row r="870" spans="1:26" ht="12.5">
      <c r="A870" s="330"/>
      <c r="B870" s="330"/>
      <c r="C870" s="330"/>
      <c r="D870" s="330"/>
      <c r="E870" s="330"/>
      <c r="F870" s="330"/>
      <c r="G870" s="330"/>
      <c r="H870" s="330"/>
      <c r="I870" s="327"/>
      <c r="J870" s="330"/>
      <c r="K870" s="330"/>
      <c r="L870" s="330"/>
      <c r="M870" s="330"/>
      <c r="N870" s="330"/>
      <c r="O870" s="330"/>
      <c r="P870" s="330"/>
      <c r="Q870" s="330"/>
      <c r="R870" s="330"/>
      <c r="S870" s="330"/>
      <c r="T870" s="330"/>
      <c r="U870" s="338"/>
      <c r="V870" s="330"/>
      <c r="W870" s="330"/>
      <c r="X870" s="330"/>
      <c r="Y870" s="330"/>
      <c r="Z870" s="330"/>
    </row>
    <row r="871" spans="1:26" ht="12.5">
      <c r="A871" s="330"/>
      <c r="B871" s="330"/>
      <c r="C871" s="330"/>
      <c r="D871" s="330"/>
      <c r="E871" s="330"/>
      <c r="F871" s="330"/>
      <c r="G871" s="330"/>
      <c r="H871" s="330"/>
      <c r="I871" s="327"/>
      <c r="J871" s="330"/>
      <c r="K871" s="330"/>
      <c r="L871" s="330"/>
      <c r="M871" s="330"/>
      <c r="N871" s="330"/>
      <c r="O871" s="330"/>
      <c r="P871" s="330"/>
      <c r="Q871" s="330"/>
      <c r="R871" s="330"/>
      <c r="S871" s="330"/>
      <c r="T871" s="330"/>
      <c r="U871" s="338"/>
      <c r="V871" s="330"/>
      <c r="W871" s="330"/>
      <c r="X871" s="330"/>
      <c r="Y871" s="330"/>
      <c r="Z871" s="330"/>
    </row>
    <row r="872" spans="1:26" ht="12.5">
      <c r="A872" s="330"/>
      <c r="B872" s="330"/>
      <c r="C872" s="330"/>
      <c r="D872" s="330"/>
      <c r="E872" s="330"/>
      <c r="F872" s="330"/>
      <c r="G872" s="330"/>
      <c r="H872" s="330"/>
      <c r="I872" s="327"/>
      <c r="J872" s="330"/>
      <c r="K872" s="330"/>
      <c r="L872" s="330"/>
      <c r="M872" s="330"/>
      <c r="N872" s="330"/>
      <c r="O872" s="330"/>
      <c r="P872" s="330"/>
      <c r="Q872" s="330"/>
      <c r="R872" s="330"/>
      <c r="S872" s="330"/>
      <c r="T872" s="330"/>
      <c r="U872" s="338"/>
      <c r="V872" s="330"/>
      <c r="W872" s="330"/>
      <c r="X872" s="330"/>
      <c r="Y872" s="330"/>
      <c r="Z872" s="330"/>
    </row>
    <row r="873" spans="1:26" ht="12.5">
      <c r="A873" s="330"/>
      <c r="B873" s="330"/>
      <c r="C873" s="330"/>
      <c r="D873" s="330"/>
      <c r="E873" s="330"/>
      <c r="F873" s="330"/>
      <c r="G873" s="330"/>
      <c r="H873" s="330"/>
      <c r="I873" s="327"/>
      <c r="J873" s="330"/>
      <c r="K873" s="330"/>
      <c r="L873" s="330"/>
      <c r="M873" s="330"/>
      <c r="N873" s="330"/>
      <c r="O873" s="330"/>
      <c r="P873" s="330"/>
      <c r="Q873" s="330"/>
      <c r="R873" s="330"/>
      <c r="S873" s="330"/>
      <c r="T873" s="330"/>
      <c r="U873" s="338"/>
      <c r="V873" s="330"/>
      <c r="W873" s="330"/>
      <c r="X873" s="330"/>
      <c r="Y873" s="330"/>
      <c r="Z873" s="330"/>
    </row>
    <row r="874" spans="1:26" ht="12.5">
      <c r="A874" s="330"/>
      <c r="B874" s="330"/>
      <c r="C874" s="330"/>
      <c r="D874" s="330"/>
      <c r="E874" s="330"/>
      <c r="F874" s="330"/>
      <c r="G874" s="330"/>
      <c r="H874" s="330"/>
      <c r="I874" s="327"/>
      <c r="J874" s="330"/>
      <c r="K874" s="330"/>
      <c r="L874" s="330"/>
      <c r="M874" s="330"/>
      <c r="N874" s="330"/>
      <c r="O874" s="330"/>
      <c r="P874" s="330"/>
      <c r="Q874" s="330"/>
      <c r="R874" s="330"/>
      <c r="S874" s="330"/>
      <c r="T874" s="330"/>
      <c r="U874" s="338"/>
      <c r="V874" s="330"/>
      <c r="W874" s="330"/>
      <c r="X874" s="330"/>
      <c r="Y874" s="330"/>
      <c r="Z874" s="330"/>
    </row>
    <row r="875" spans="1:26" ht="12.5">
      <c r="A875" s="330"/>
      <c r="B875" s="330"/>
      <c r="C875" s="330"/>
      <c r="D875" s="330"/>
      <c r="E875" s="330"/>
      <c r="F875" s="330"/>
      <c r="G875" s="330"/>
      <c r="H875" s="330"/>
      <c r="I875" s="327"/>
      <c r="J875" s="330"/>
      <c r="K875" s="330"/>
      <c r="L875" s="330"/>
      <c r="M875" s="330"/>
      <c r="N875" s="330"/>
      <c r="O875" s="330"/>
      <c r="P875" s="330"/>
      <c r="Q875" s="330"/>
      <c r="R875" s="330"/>
      <c r="S875" s="330"/>
      <c r="T875" s="330"/>
      <c r="U875" s="338"/>
      <c r="V875" s="330"/>
      <c r="W875" s="330"/>
      <c r="X875" s="330"/>
      <c r="Y875" s="330"/>
      <c r="Z875" s="330"/>
    </row>
    <row r="876" spans="1:26" ht="12.5">
      <c r="A876" s="330"/>
      <c r="B876" s="330"/>
      <c r="C876" s="330"/>
      <c r="D876" s="330"/>
      <c r="E876" s="330"/>
      <c r="F876" s="330"/>
      <c r="G876" s="330"/>
      <c r="H876" s="330"/>
      <c r="I876" s="327"/>
      <c r="J876" s="330"/>
      <c r="K876" s="330"/>
      <c r="L876" s="330"/>
      <c r="M876" s="330"/>
      <c r="N876" s="330"/>
      <c r="O876" s="330"/>
      <c r="P876" s="330"/>
      <c r="Q876" s="330"/>
      <c r="R876" s="330"/>
      <c r="S876" s="330"/>
      <c r="T876" s="330"/>
      <c r="U876" s="338"/>
      <c r="V876" s="330"/>
      <c r="W876" s="330"/>
      <c r="X876" s="330"/>
      <c r="Y876" s="330"/>
      <c r="Z876" s="330"/>
    </row>
    <row r="877" spans="1:26" ht="12.5">
      <c r="A877" s="330"/>
      <c r="B877" s="330"/>
      <c r="C877" s="330"/>
      <c r="D877" s="330"/>
      <c r="E877" s="330"/>
      <c r="F877" s="330"/>
      <c r="G877" s="330"/>
      <c r="H877" s="330"/>
      <c r="I877" s="327"/>
      <c r="J877" s="330"/>
      <c r="K877" s="330"/>
      <c r="L877" s="330"/>
      <c r="M877" s="330"/>
      <c r="N877" s="330"/>
      <c r="O877" s="330"/>
      <c r="P877" s="330"/>
      <c r="Q877" s="330"/>
      <c r="R877" s="330"/>
      <c r="S877" s="330"/>
      <c r="T877" s="330"/>
      <c r="U877" s="338"/>
      <c r="V877" s="330"/>
      <c r="W877" s="330"/>
      <c r="X877" s="330"/>
      <c r="Y877" s="330"/>
      <c r="Z877" s="330"/>
    </row>
    <row r="878" spans="1:26" ht="12.5">
      <c r="A878" s="330"/>
      <c r="B878" s="330"/>
      <c r="C878" s="330"/>
      <c r="D878" s="330"/>
      <c r="E878" s="330"/>
      <c r="F878" s="330"/>
      <c r="G878" s="330"/>
      <c r="H878" s="330"/>
      <c r="I878" s="327"/>
      <c r="J878" s="330"/>
      <c r="K878" s="330"/>
      <c r="L878" s="330"/>
      <c r="M878" s="330"/>
      <c r="N878" s="330"/>
      <c r="O878" s="330"/>
      <c r="P878" s="330"/>
      <c r="Q878" s="330"/>
      <c r="R878" s="330"/>
      <c r="S878" s="330"/>
      <c r="T878" s="330"/>
      <c r="U878" s="338"/>
      <c r="V878" s="330"/>
      <c r="W878" s="330"/>
      <c r="X878" s="330"/>
      <c r="Y878" s="330"/>
      <c r="Z878" s="330"/>
    </row>
    <row r="879" spans="1:26" ht="12.5">
      <c r="A879" s="330"/>
      <c r="B879" s="330"/>
      <c r="C879" s="330"/>
      <c r="D879" s="330"/>
      <c r="E879" s="330"/>
      <c r="F879" s="330"/>
      <c r="G879" s="330"/>
      <c r="H879" s="330"/>
      <c r="I879" s="327"/>
      <c r="J879" s="330"/>
      <c r="K879" s="330"/>
      <c r="L879" s="330"/>
      <c r="M879" s="330"/>
      <c r="N879" s="330"/>
      <c r="O879" s="330"/>
      <c r="P879" s="330"/>
      <c r="Q879" s="330"/>
      <c r="R879" s="330"/>
      <c r="S879" s="330"/>
      <c r="T879" s="330"/>
      <c r="U879" s="338"/>
      <c r="V879" s="330"/>
      <c r="W879" s="330"/>
      <c r="X879" s="330"/>
      <c r="Y879" s="330"/>
      <c r="Z879" s="330"/>
    </row>
    <row r="880" spans="1:26" ht="12.5">
      <c r="A880" s="330"/>
      <c r="B880" s="330"/>
      <c r="C880" s="330"/>
      <c r="D880" s="330"/>
      <c r="E880" s="330"/>
      <c r="F880" s="330"/>
      <c r="G880" s="330"/>
      <c r="H880" s="330"/>
      <c r="I880" s="327"/>
      <c r="J880" s="330"/>
      <c r="K880" s="330"/>
      <c r="L880" s="330"/>
      <c r="M880" s="330"/>
      <c r="N880" s="330"/>
      <c r="O880" s="330"/>
      <c r="P880" s="330"/>
      <c r="Q880" s="330"/>
      <c r="R880" s="330"/>
      <c r="S880" s="330"/>
      <c r="T880" s="330"/>
      <c r="U880" s="338"/>
      <c r="V880" s="330"/>
      <c r="W880" s="330"/>
      <c r="X880" s="330"/>
      <c r="Y880" s="330"/>
      <c r="Z880" s="330"/>
    </row>
    <row r="881" spans="1:26" ht="12.5">
      <c r="A881" s="330"/>
      <c r="B881" s="330"/>
      <c r="C881" s="330"/>
      <c r="D881" s="330"/>
      <c r="E881" s="330"/>
      <c r="F881" s="330"/>
      <c r="G881" s="330"/>
      <c r="H881" s="330"/>
      <c r="I881" s="327"/>
      <c r="J881" s="330"/>
      <c r="K881" s="330"/>
      <c r="L881" s="330"/>
      <c r="M881" s="330"/>
      <c r="N881" s="330"/>
      <c r="O881" s="330"/>
      <c r="P881" s="330"/>
      <c r="Q881" s="330"/>
      <c r="R881" s="330"/>
      <c r="S881" s="330"/>
      <c r="T881" s="330"/>
      <c r="U881" s="338"/>
      <c r="V881" s="330"/>
      <c r="W881" s="330"/>
      <c r="X881" s="330"/>
      <c r="Y881" s="330"/>
      <c r="Z881" s="330"/>
    </row>
    <row r="882" spans="1:26" ht="12.5">
      <c r="A882" s="330"/>
      <c r="B882" s="330"/>
      <c r="C882" s="330"/>
      <c r="D882" s="330"/>
      <c r="E882" s="330"/>
      <c r="F882" s="330"/>
      <c r="G882" s="330"/>
      <c r="H882" s="330"/>
      <c r="I882" s="327"/>
      <c r="J882" s="330"/>
      <c r="K882" s="330"/>
      <c r="L882" s="330"/>
      <c r="M882" s="330"/>
      <c r="N882" s="330"/>
      <c r="O882" s="330"/>
      <c r="P882" s="330"/>
      <c r="Q882" s="330"/>
      <c r="R882" s="330"/>
      <c r="S882" s="330"/>
      <c r="T882" s="330"/>
      <c r="U882" s="338"/>
      <c r="V882" s="330"/>
      <c r="W882" s="330"/>
      <c r="X882" s="330"/>
      <c r="Y882" s="330"/>
      <c r="Z882" s="330"/>
    </row>
    <row r="883" spans="1:26" ht="12.5">
      <c r="A883" s="330"/>
      <c r="B883" s="330"/>
      <c r="C883" s="330"/>
      <c r="D883" s="330"/>
      <c r="E883" s="330"/>
      <c r="F883" s="330"/>
      <c r="G883" s="330"/>
      <c r="H883" s="330"/>
      <c r="I883" s="327"/>
      <c r="J883" s="330"/>
      <c r="K883" s="330"/>
      <c r="L883" s="330"/>
      <c r="M883" s="330"/>
      <c r="N883" s="330"/>
      <c r="O883" s="330"/>
      <c r="P883" s="330"/>
      <c r="Q883" s="330"/>
      <c r="R883" s="330"/>
      <c r="S883" s="330"/>
      <c r="T883" s="330"/>
      <c r="U883" s="338"/>
      <c r="V883" s="330"/>
      <c r="W883" s="330"/>
      <c r="X883" s="330"/>
      <c r="Y883" s="330"/>
      <c r="Z883" s="330"/>
    </row>
    <row r="884" spans="1:26" ht="12.5">
      <c r="A884" s="330"/>
      <c r="B884" s="330"/>
      <c r="C884" s="330"/>
      <c r="D884" s="330"/>
      <c r="E884" s="330"/>
      <c r="F884" s="330"/>
      <c r="G884" s="330"/>
      <c r="H884" s="330"/>
      <c r="I884" s="327"/>
      <c r="J884" s="330"/>
      <c r="K884" s="330"/>
      <c r="L884" s="330"/>
      <c r="M884" s="330"/>
      <c r="N884" s="330"/>
      <c r="O884" s="330"/>
      <c r="P884" s="330"/>
      <c r="Q884" s="330"/>
      <c r="R884" s="330"/>
      <c r="S884" s="330"/>
      <c r="T884" s="330"/>
      <c r="U884" s="338"/>
      <c r="V884" s="330"/>
      <c r="W884" s="330"/>
      <c r="X884" s="330"/>
      <c r="Y884" s="330"/>
      <c r="Z884" s="330"/>
    </row>
    <row r="885" spans="1:26" ht="12.5">
      <c r="A885" s="330"/>
      <c r="B885" s="330"/>
      <c r="C885" s="330"/>
      <c r="D885" s="330"/>
      <c r="E885" s="330"/>
      <c r="F885" s="330"/>
      <c r="G885" s="330"/>
      <c r="H885" s="330"/>
      <c r="I885" s="327"/>
      <c r="J885" s="330"/>
      <c r="K885" s="330"/>
      <c r="L885" s="330"/>
      <c r="M885" s="330"/>
      <c r="N885" s="330"/>
      <c r="O885" s="330"/>
      <c r="P885" s="330"/>
      <c r="Q885" s="330"/>
      <c r="R885" s="330"/>
      <c r="S885" s="330"/>
      <c r="T885" s="330"/>
      <c r="U885" s="338"/>
      <c r="V885" s="330"/>
      <c r="W885" s="330"/>
      <c r="X885" s="330"/>
      <c r="Y885" s="330"/>
      <c r="Z885" s="330"/>
    </row>
    <row r="886" spans="1:26" ht="12.5">
      <c r="A886" s="330"/>
      <c r="B886" s="330"/>
      <c r="C886" s="330"/>
      <c r="D886" s="330"/>
      <c r="E886" s="330"/>
      <c r="F886" s="330"/>
      <c r="G886" s="330"/>
      <c r="H886" s="330"/>
      <c r="I886" s="327"/>
      <c r="J886" s="330"/>
      <c r="K886" s="330"/>
      <c r="L886" s="330"/>
      <c r="M886" s="330"/>
      <c r="N886" s="330"/>
      <c r="O886" s="330"/>
      <c r="P886" s="330"/>
      <c r="Q886" s="330"/>
      <c r="R886" s="330"/>
      <c r="S886" s="330"/>
      <c r="T886" s="330"/>
      <c r="U886" s="338"/>
      <c r="V886" s="330"/>
      <c r="W886" s="330"/>
      <c r="X886" s="330"/>
      <c r="Y886" s="330"/>
      <c r="Z886" s="330"/>
    </row>
    <row r="887" spans="1:26" ht="12.5">
      <c r="A887" s="330"/>
      <c r="B887" s="330"/>
      <c r="C887" s="330"/>
      <c r="D887" s="330"/>
      <c r="E887" s="330"/>
      <c r="F887" s="330"/>
      <c r="G887" s="330"/>
      <c r="H887" s="330"/>
      <c r="I887" s="327"/>
      <c r="J887" s="330"/>
      <c r="K887" s="330"/>
      <c r="L887" s="330"/>
      <c r="M887" s="330"/>
      <c r="N887" s="330"/>
      <c r="O887" s="330"/>
      <c r="P887" s="330"/>
      <c r="Q887" s="330"/>
      <c r="R887" s="330"/>
      <c r="S887" s="330"/>
      <c r="T887" s="330"/>
      <c r="U887" s="338"/>
      <c r="V887" s="330"/>
      <c r="W887" s="330"/>
      <c r="X887" s="330"/>
      <c r="Y887" s="330"/>
      <c r="Z887" s="330"/>
    </row>
    <row r="888" spans="1:26" ht="12.5">
      <c r="A888" s="330"/>
      <c r="B888" s="330"/>
      <c r="C888" s="330"/>
      <c r="D888" s="330"/>
      <c r="E888" s="330"/>
      <c r="F888" s="330"/>
      <c r="G888" s="330"/>
      <c r="H888" s="330"/>
      <c r="I888" s="327"/>
      <c r="J888" s="330"/>
      <c r="K888" s="330"/>
      <c r="L888" s="330"/>
      <c r="M888" s="330"/>
      <c r="N888" s="330"/>
      <c r="O888" s="330"/>
      <c r="P888" s="330"/>
      <c r="Q888" s="330"/>
      <c r="R888" s="330"/>
      <c r="S888" s="330"/>
      <c r="T888" s="330"/>
      <c r="U888" s="338"/>
      <c r="V888" s="330"/>
      <c r="W888" s="330"/>
      <c r="X888" s="330"/>
      <c r="Y888" s="330"/>
      <c r="Z888" s="330"/>
    </row>
    <row r="889" spans="1:26" ht="12.5">
      <c r="A889" s="330"/>
      <c r="B889" s="330"/>
      <c r="C889" s="330"/>
      <c r="D889" s="330"/>
      <c r="E889" s="330"/>
      <c r="F889" s="330"/>
      <c r="G889" s="330"/>
      <c r="H889" s="330"/>
      <c r="I889" s="327"/>
      <c r="J889" s="330"/>
      <c r="K889" s="330"/>
      <c r="L889" s="330"/>
      <c r="M889" s="330"/>
      <c r="N889" s="330"/>
      <c r="O889" s="330"/>
      <c r="P889" s="330"/>
      <c r="Q889" s="330"/>
      <c r="R889" s="330"/>
      <c r="S889" s="330"/>
      <c r="T889" s="330"/>
      <c r="U889" s="338"/>
      <c r="V889" s="330"/>
      <c r="W889" s="330"/>
      <c r="X889" s="330"/>
      <c r="Y889" s="330"/>
      <c r="Z889" s="330"/>
    </row>
    <row r="890" spans="1:26" ht="12.5">
      <c r="A890" s="330"/>
      <c r="B890" s="330"/>
      <c r="C890" s="330"/>
      <c r="D890" s="330"/>
      <c r="E890" s="330"/>
      <c r="F890" s="330"/>
      <c r="G890" s="330"/>
      <c r="H890" s="330"/>
      <c r="I890" s="327"/>
      <c r="J890" s="330"/>
      <c r="K890" s="330"/>
      <c r="L890" s="330"/>
      <c r="M890" s="330"/>
      <c r="N890" s="330"/>
      <c r="O890" s="330"/>
      <c r="P890" s="330"/>
      <c r="Q890" s="330"/>
      <c r="R890" s="330"/>
      <c r="S890" s="330"/>
      <c r="T890" s="330"/>
      <c r="U890" s="338"/>
      <c r="V890" s="330"/>
      <c r="W890" s="330"/>
      <c r="X890" s="330"/>
      <c r="Y890" s="330"/>
      <c r="Z890" s="330"/>
    </row>
    <row r="891" spans="1:26" ht="12.5">
      <c r="A891" s="330"/>
      <c r="B891" s="330"/>
      <c r="C891" s="330"/>
      <c r="D891" s="330"/>
      <c r="E891" s="330"/>
      <c r="F891" s="330"/>
      <c r="G891" s="330"/>
      <c r="H891" s="330"/>
      <c r="I891" s="327"/>
      <c r="J891" s="330"/>
      <c r="K891" s="330"/>
      <c r="L891" s="330"/>
      <c r="M891" s="330"/>
      <c r="N891" s="330"/>
      <c r="O891" s="330"/>
      <c r="P891" s="330"/>
      <c r="Q891" s="330"/>
      <c r="R891" s="330"/>
      <c r="S891" s="330"/>
      <c r="T891" s="330"/>
      <c r="U891" s="338"/>
      <c r="V891" s="330"/>
      <c r="W891" s="330"/>
      <c r="X891" s="330"/>
      <c r="Y891" s="330"/>
      <c r="Z891" s="330"/>
    </row>
    <row r="892" spans="1:26" ht="12.5">
      <c r="A892" s="330"/>
      <c r="B892" s="330"/>
      <c r="C892" s="330"/>
      <c r="D892" s="330"/>
      <c r="E892" s="330"/>
      <c r="F892" s="330"/>
      <c r="G892" s="330"/>
      <c r="H892" s="330"/>
      <c r="I892" s="327"/>
      <c r="J892" s="330"/>
      <c r="K892" s="330"/>
      <c r="L892" s="330"/>
      <c r="M892" s="330"/>
      <c r="N892" s="330"/>
      <c r="O892" s="330"/>
      <c r="P892" s="330"/>
      <c r="Q892" s="330"/>
      <c r="R892" s="330"/>
      <c r="S892" s="330"/>
      <c r="T892" s="330"/>
      <c r="U892" s="338"/>
      <c r="V892" s="330"/>
      <c r="W892" s="330"/>
      <c r="X892" s="330"/>
      <c r="Y892" s="330"/>
      <c r="Z892" s="330"/>
    </row>
    <row r="893" spans="1:26" ht="12.5">
      <c r="A893" s="330"/>
      <c r="B893" s="330"/>
      <c r="C893" s="330"/>
      <c r="D893" s="330"/>
      <c r="E893" s="330"/>
      <c r="F893" s="330"/>
      <c r="G893" s="330"/>
      <c r="H893" s="330"/>
      <c r="I893" s="327"/>
      <c r="J893" s="330"/>
      <c r="K893" s="330"/>
      <c r="L893" s="330"/>
      <c r="M893" s="330"/>
      <c r="N893" s="330"/>
      <c r="O893" s="330"/>
      <c r="P893" s="330"/>
      <c r="Q893" s="330"/>
      <c r="R893" s="330"/>
      <c r="S893" s="330"/>
      <c r="T893" s="330"/>
      <c r="U893" s="338"/>
      <c r="V893" s="330"/>
      <c r="W893" s="330"/>
      <c r="X893" s="330"/>
      <c r="Y893" s="330"/>
      <c r="Z893" s="330"/>
    </row>
    <row r="894" spans="1:26" ht="12.5">
      <c r="A894" s="330"/>
      <c r="B894" s="330"/>
      <c r="C894" s="330"/>
      <c r="D894" s="330"/>
      <c r="E894" s="330"/>
      <c r="F894" s="330"/>
      <c r="G894" s="330"/>
      <c r="H894" s="330"/>
      <c r="I894" s="327"/>
      <c r="J894" s="330"/>
      <c r="K894" s="330"/>
      <c r="L894" s="330"/>
      <c r="M894" s="330"/>
      <c r="N894" s="330"/>
      <c r="O894" s="330"/>
      <c r="P894" s="330"/>
      <c r="Q894" s="330"/>
      <c r="R894" s="330"/>
      <c r="S894" s="330"/>
      <c r="T894" s="330"/>
      <c r="U894" s="338"/>
      <c r="V894" s="330"/>
      <c r="W894" s="330"/>
      <c r="X894" s="330"/>
      <c r="Y894" s="330"/>
      <c r="Z894" s="330"/>
    </row>
    <row r="895" spans="1:26" ht="12.5">
      <c r="A895" s="330"/>
      <c r="B895" s="330"/>
      <c r="C895" s="330"/>
      <c r="D895" s="330"/>
      <c r="E895" s="330"/>
      <c r="F895" s="330"/>
      <c r="G895" s="330"/>
      <c r="H895" s="330"/>
      <c r="I895" s="327"/>
      <c r="J895" s="330"/>
      <c r="K895" s="330"/>
      <c r="L895" s="330"/>
      <c r="M895" s="330"/>
      <c r="N895" s="330"/>
      <c r="O895" s="330"/>
      <c r="P895" s="330"/>
      <c r="Q895" s="330"/>
      <c r="R895" s="330"/>
      <c r="S895" s="330"/>
      <c r="T895" s="330"/>
      <c r="U895" s="338"/>
      <c r="V895" s="330"/>
      <c r="W895" s="330"/>
      <c r="X895" s="330"/>
      <c r="Y895" s="330"/>
      <c r="Z895" s="330"/>
    </row>
    <row r="896" spans="1:26" ht="12.5">
      <c r="A896" s="330"/>
      <c r="B896" s="330"/>
      <c r="C896" s="330"/>
      <c r="D896" s="330"/>
      <c r="E896" s="330"/>
      <c r="F896" s="330"/>
      <c r="G896" s="330"/>
      <c r="H896" s="330"/>
      <c r="I896" s="327"/>
      <c r="J896" s="330"/>
      <c r="K896" s="330"/>
      <c r="L896" s="330"/>
      <c r="M896" s="330"/>
      <c r="N896" s="330"/>
      <c r="O896" s="330"/>
      <c r="P896" s="330"/>
      <c r="Q896" s="330"/>
      <c r="R896" s="330"/>
      <c r="S896" s="330"/>
      <c r="T896" s="330"/>
      <c r="U896" s="338"/>
      <c r="V896" s="330"/>
      <c r="W896" s="330"/>
      <c r="X896" s="330"/>
      <c r="Y896" s="330"/>
      <c r="Z896" s="330"/>
    </row>
    <row r="897" spans="1:26" ht="12.5">
      <c r="A897" s="330"/>
      <c r="B897" s="330"/>
      <c r="C897" s="330"/>
      <c r="D897" s="330"/>
      <c r="E897" s="330"/>
      <c r="F897" s="330"/>
      <c r="G897" s="330"/>
      <c r="H897" s="330"/>
      <c r="I897" s="327"/>
      <c r="J897" s="330"/>
      <c r="K897" s="330"/>
      <c r="L897" s="330"/>
      <c r="M897" s="330"/>
      <c r="N897" s="330"/>
      <c r="O897" s="330"/>
      <c r="P897" s="330"/>
      <c r="Q897" s="330"/>
      <c r="R897" s="330"/>
      <c r="S897" s="330"/>
      <c r="T897" s="330"/>
      <c r="U897" s="338"/>
      <c r="V897" s="330"/>
      <c r="W897" s="330"/>
      <c r="X897" s="330"/>
      <c r="Y897" s="330"/>
      <c r="Z897" s="330"/>
    </row>
    <row r="898" spans="1:26" ht="12.5">
      <c r="A898" s="330"/>
      <c r="B898" s="330"/>
      <c r="C898" s="330"/>
      <c r="D898" s="330"/>
      <c r="E898" s="330"/>
      <c r="F898" s="330"/>
      <c r="G898" s="330"/>
      <c r="H898" s="330"/>
      <c r="I898" s="327"/>
      <c r="J898" s="330"/>
      <c r="K898" s="330"/>
      <c r="L898" s="330"/>
      <c r="M898" s="330"/>
      <c r="N898" s="330"/>
      <c r="O898" s="330"/>
      <c r="P898" s="330"/>
      <c r="Q898" s="330"/>
      <c r="R898" s="330"/>
      <c r="S898" s="330"/>
      <c r="T898" s="330"/>
      <c r="U898" s="338"/>
      <c r="V898" s="330"/>
      <c r="W898" s="330"/>
      <c r="X898" s="330"/>
      <c r="Y898" s="330"/>
      <c r="Z898" s="330"/>
    </row>
    <row r="899" spans="1:26" ht="12.5">
      <c r="A899" s="330"/>
      <c r="B899" s="330"/>
      <c r="C899" s="330"/>
      <c r="D899" s="330"/>
      <c r="E899" s="330"/>
      <c r="F899" s="330"/>
      <c r="G899" s="330"/>
      <c r="H899" s="330"/>
      <c r="I899" s="327"/>
      <c r="J899" s="330"/>
      <c r="K899" s="330"/>
      <c r="L899" s="330"/>
      <c r="M899" s="330"/>
      <c r="N899" s="330"/>
      <c r="O899" s="330"/>
      <c r="P899" s="330"/>
      <c r="Q899" s="330"/>
      <c r="R899" s="330"/>
      <c r="S899" s="330"/>
      <c r="T899" s="330"/>
      <c r="U899" s="338"/>
      <c r="V899" s="330"/>
      <c r="W899" s="330"/>
      <c r="X899" s="330"/>
      <c r="Y899" s="330"/>
      <c r="Z899" s="330"/>
    </row>
    <row r="900" spans="1:26" ht="12.5">
      <c r="A900" s="330"/>
      <c r="B900" s="330"/>
      <c r="C900" s="330"/>
      <c r="D900" s="330"/>
      <c r="E900" s="330"/>
      <c r="F900" s="330"/>
      <c r="G900" s="330"/>
      <c r="H900" s="330"/>
      <c r="I900" s="327"/>
      <c r="J900" s="330"/>
      <c r="K900" s="330"/>
      <c r="L900" s="330"/>
      <c r="M900" s="330"/>
      <c r="N900" s="330"/>
      <c r="O900" s="330"/>
      <c r="P900" s="330"/>
      <c r="Q900" s="330"/>
      <c r="R900" s="330"/>
      <c r="S900" s="330"/>
      <c r="T900" s="330"/>
      <c r="U900" s="338"/>
      <c r="V900" s="330"/>
      <c r="W900" s="330"/>
      <c r="X900" s="330"/>
      <c r="Y900" s="330"/>
      <c r="Z900" s="330"/>
    </row>
    <row r="901" spans="1:26" ht="12.5">
      <c r="A901" s="330"/>
      <c r="B901" s="330"/>
      <c r="C901" s="330"/>
      <c r="D901" s="330"/>
      <c r="E901" s="330"/>
      <c r="F901" s="330"/>
      <c r="G901" s="330"/>
      <c r="H901" s="330"/>
      <c r="I901" s="327"/>
      <c r="J901" s="330"/>
      <c r="K901" s="330"/>
      <c r="L901" s="330"/>
      <c r="M901" s="330"/>
      <c r="N901" s="330"/>
      <c r="O901" s="330"/>
      <c r="P901" s="330"/>
      <c r="Q901" s="330"/>
      <c r="R901" s="330"/>
      <c r="S901" s="330"/>
      <c r="T901" s="330"/>
      <c r="U901" s="338"/>
      <c r="V901" s="330"/>
      <c r="W901" s="330"/>
      <c r="X901" s="330"/>
      <c r="Y901" s="330"/>
      <c r="Z901" s="330"/>
    </row>
    <row r="902" spans="1:26" ht="12.5">
      <c r="A902" s="330"/>
      <c r="B902" s="330"/>
      <c r="C902" s="330"/>
      <c r="D902" s="330"/>
      <c r="E902" s="330"/>
      <c r="F902" s="330"/>
      <c r="G902" s="330"/>
      <c r="H902" s="330"/>
      <c r="I902" s="327"/>
      <c r="J902" s="330"/>
      <c r="K902" s="330"/>
      <c r="L902" s="330"/>
      <c r="M902" s="330"/>
      <c r="N902" s="330"/>
      <c r="O902" s="330"/>
      <c r="P902" s="330"/>
      <c r="Q902" s="330"/>
      <c r="R902" s="330"/>
      <c r="S902" s="330"/>
      <c r="T902" s="330"/>
      <c r="U902" s="338"/>
      <c r="V902" s="330"/>
      <c r="W902" s="330"/>
      <c r="X902" s="330"/>
      <c r="Y902" s="330"/>
      <c r="Z902" s="330"/>
    </row>
    <row r="903" spans="1:26" ht="12.5">
      <c r="A903" s="330"/>
      <c r="B903" s="330"/>
      <c r="C903" s="330"/>
      <c r="D903" s="330"/>
      <c r="E903" s="330"/>
      <c r="F903" s="330"/>
      <c r="G903" s="330"/>
      <c r="H903" s="330"/>
      <c r="I903" s="327"/>
      <c r="J903" s="330"/>
      <c r="K903" s="330"/>
      <c r="L903" s="330"/>
      <c r="M903" s="330"/>
      <c r="N903" s="330"/>
      <c r="O903" s="330"/>
      <c r="P903" s="330"/>
      <c r="Q903" s="330"/>
      <c r="R903" s="330"/>
      <c r="S903" s="330"/>
      <c r="T903" s="330"/>
      <c r="U903" s="338"/>
      <c r="V903" s="330"/>
      <c r="W903" s="330"/>
      <c r="X903" s="330"/>
      <c r="Y903" s="330"/>
      <c r="Z903" s="330"/>
    </row>
    <row r="904" spans="1:26" ht="12.5">
      <c r="A904" s="330"/>
      <c r="B904" s="330"/>
      <c r="C904" s="330"/>
      <c r="D904" s="330"/>
      <c r="E904" s="330"/>
      <c r="F904" s="330"/>
      <c r="G904" s="330"/>
      <c r="H904" s="330"/>
      <c r="I904" s="327"/>
      <c r="J904" s="330"/>
      <c r="K904" s="330"/>
      <c r="L904" s="330"/>
      <c r="M904" s="330"/>
      <c r="N904" s="330"/>
      <c r="O904" s="330"/>
      <c r="P904" s="330"/>
      <c r="Q904" s="330"/>
      <c r="R904" s="330"/>
      <c r="S904" s="330"/>
      <c r="T904" s="330"/>
      <c r="U904" s="338"/>
      <c r="V904" s="330"/>
      <c r="W904" s="330"/>
      <c r="X904" s="330"/>
      <c r="Y904" s="330"/>
      <c r="Z904" s="330"/>
    </row>
    <row r="905" spans="1:26" ht="12.5">
      <c r="A905" s="330"/>
      <c r="B905" s="330"/>
      <c r="C905" s="330"/>
      <c r="D905" s="330"/>
      <c r="E905" s="330"/>
      <c r="F905" s="330"/>
      <c r="G905" s="330"/>
      <c r="H905" s="330"/>
      <c r="I905" s="327"/>
      <c r="J905" s="330"/>
      <c r="K905" s="330"/>
      <c r="L905" s="330"/>
      <c r="M905" s="330"/>
      <c r="N905" s="330"/>
      <c r="O905" s="330"/>
      <c r="P905" s="330"/>
      <c r="Q905" s="330"/>
      <c r="R905" s="330"/>
      <c r="S905" s="330"/>
      <c r="T905" s="330"/>
      <c r="U905" s="338"/>
      <c r="V905" s="330"/>
      <c r="W905" s="330"/>
      <c r="X905" s="330"/>
      <c r="Y905" s="330"/>
      <c r="Z905" s="330"/>
    </row>
    <row r="906" spans="1:26" ht="12.5">
      <c r="A906" s="330"/>
      <c r="B906" s="330"/>
      <c r="C906" s="330"/>
      <c r="D906" s="330"/>
      <c r="E906" s="330"/>
      <c r="F906" s="330"/>
      <c r="G906" s="330"/>
      <c r="H906" s="330"/>
      <c r="I906" s="327"/>
      <c r="J906" s="330"/>
      <c r="K906" s="330"/>
      <c r="L906" s="330"/>
      <c r="M906" s="330"/>
      <c r="N906" s="330"/>
      <c r="O906" s="330"/>
      <c r="P906" s="330"/>
      <c r="Q906" s="330"/>
      <c r="R906" s="330"/>
      <c r="S906" s="330"/>
      <c r="T906" s="330"/>
      <c r="U906" s="338"/>
      <c r="V906" s="330"/>
      <c r="W906" s="330"/>
      <c r="X906" s="330"/>
      <c r="Y906" s="330"/>
      <c r="Z906" s="330"/>
    </row>
    <row r="907" spans="1:26" ht="12.5">
      <c r="A907" s="330"/>
      <c r="B907" s="330"/>
      <c r="C907" s="330"/>
      <c r="D907" s="330"/>
      <c r="E907" s="330"/>
      <c r="F907" s="330"/>
      <c r="G907" s="330"/>
      <c r="H907" s="330"/>
      <c r="I907" s="327"/>
      <c r="J907" s="330"/>
      <c r="K907" s="330"/>
      <c r="L907" s="330"/>
      <c r="M907" s="330"/>
      <c r="N907" s="330"/>
      <c r="O907" s="330"/>
      <c r="P907" s="330"/>
      <c r="Q907" s="330"/>
      <c r="R907" s="330"/>
      <c r="S907" s="330"/>
      <c r="T907" s="330"/>
      <c r="U907" s="338"/>
      <c r="V907" s="330"/>
      <c r="W907" s="330"/>
      <c r="X907" s="330"/>
      <c r="Y907" s="330"/>
      <c r="Z907" s="330"/>
    </row>
    <row r="908" spans="1:26" ht="12.5">
      <c r="A908" s="330"/>
      <c r="B908" s="330"/>
      <c r="C908" s="330"/>
      <c r="D908" s="330"/>
      <c r="E908" s="330"/>
      <c r="F908" s="330"/>
      <c r="G908" s="330"/>
      <c r="H908" s="330"/>
      <c r="I908" s="327"/>
      <c r="J908" s="330"/>
      <c r="K908" s="330"/>
      <c r="L908" s="330"/>
      <c r="M908" s="330"/>
      <c r="N908" s="330"/>
      <c r="O908" s="330"/>
      <c r="P908" s="330"/>
      <c r="Q908" s="330"/>
      <c r="R908" s="330"/>
      <c r="S908" s="330"/>
      <c r="T908" s="330"/>
      <c r="U908" s="338"/>
      <c r="V908" s="330"/>
      <c r="W908" s="330"/>
      <c r="X908" s="330"/>
      <c r="Y908" s="330"/>
      <c r="Z908" s="330"/>
    </row>
    <row r="909" spans="1:26" ht="12.5">
      <c r="A909" s="330"/>
      <c r="B909" s="330"/>
      <c r="C909" s="330"/>
      <c r="D909" s="330"/>
      <c r="E909" s="330"/>
      <c r="F909" s="330"/>
      <c r="G909" s="330"/>
      <c r="H909" s="330"/>
      <c r="I909" s="327"/>
      <c r="J909" s="330"/>
      <c r="K909" s="330"/>
      <c r="L909" s="330"/>
      <c r="M909" s="330"/>
      <c r="N909" s="330"/>
      <c r="O909" s="330"/>
      <c r="P909" s="330"/>
      <c r="Q909" s="330"/>
      <c r="R909" s="330"/>
      <c r="S909" s="330"/>
      <c r="T909" s="330"/>
      <c r="U909" s="338"/>
      <c r="V909" s="330"/>
      <c r="W909" s="330"/>
      <c r="X909" s="330"/>
      <c r="Y909" s="330"/>
      <c r="Z909" s="330"/>
    </row>
    <row r="910" spans="1:26" ht="12.5">
      <c r="A910" s="330"/>
      <c r="B910" s="330"/>
      <c r="C910" s="330"/>
      <c r="D910" s="330"/>
      <c r="E910" s="330"/>
      <c r="F910" s="330"/>
      <c r="G910" s="330"/>
      <c r="H910" s="330"/>
      <c r="I910" s="327"/>
      <c r="J910" s="330"/>
      <c r="K910" s="330"/>
      <c r="L910" s="330"/>
      <c r="M910" s="330"/>
      <c r="N910" s="330"/>
      <c r="O910" s="330"/>
      <c r="P910" s="330"/>
      <c r="Q910" s="330"/>
      <c r="R910" s="330"/>
      <c r="S910" s="330"/>
      <c r="T910" s="330"/>
      <c r="U910" s="338"/>
      <c r="V910" s="330"/>
      <c r="W910" s="330"/>
      <c r="X910" s="330"/>
      <c r="Y910" s="330"/>
      <c r="Z910" s="330"/>
    </row>
    <row r="911" spans="1:26" ht="12.5">
      <c r="A911" s="330"/>
      <c r="B911" s="330"/>
      <c r="C911" s="330"/>
      <c r="D911" s="330"/>
      <c r="E911" s="330"/>
      <c r="F911" s="330"/>
      <c r="G911" s="330"/>
      <c r="H911" s="330"/>
      <c r="I911" s="327"/>
      <c r="J911" s="330"/>
      <c r="K911" s="330"/>
      <c r="L911" s="330"/>
      <c r="M911" s="330"/>
      <c r="N911" s="330"/>
      <c r="O911" s="330"/>
      <c r="P911" s="330"/>
      <c r="Q911" s="330"/>
      <c r="R911" s="330"/>
      <c r="S911" s="330"/>
      <c r="T911" s="330"/>
      <c r="U911" s="338"/>
      <c r="V911" s="330"/>
      <c r="W911" s="330"/>
      <c r="X911" s="330"/>
      <c r="Y911" s="330"/>
      <c r="Z911" s="330"/>
    </row>
    <row r="912" spans="1:26" ht="12.5">
      <c r="A912" s="330"/>
      <c r="B912" s="330"/>
      <c r="C912" s="330"/>
      <c r="D912" s="330"/>
      <c r="E912" s="330"/>
      <c r="F912" s="330"/>
      <c r="G912" s="330"/>
      <c r="H912" s="330"/>
      <c r="I912" s="327"/>
      <c r="J912" s="330"/>
      <c r="K912" s="330"/>
      <c r="L912" s="330"/>
      <c r="M912" s="330"/>
      <c r="N912" s="330"/>
      <c r="O912" s="330"/>
      <c r="P912" s="330"/>
      <c r="Q912" s="330"/>
      <c r="R912" s="330"/>
      <c r="S912" s="330"/>
      <c r="T912" s="330"/>
      <c r="U912" s="338"/>
      <c r="V912" s="330"/>
      <c r="W912" s="330"/>
      <c r="X912" s="330"/>
      <c r="Y912" s="330"/>
      <c r="Z912" s="330"/>
    </row>
    <row r="913" spans="1:26" ht="12.5">
      <c r="A913" s="330"/>
      <c r="B913" s="330"/>
      <c r="C913" s="330"/>
      <c r="D913" s="330"/>
      <c r="E913" s="330"/>
      <c r="F913" s="330"/>
      <c r="G913" s="330"/>
      <c r="H913" s="330"/>
      <c r="I913" s="327"/>
      <c r="J913" s="330"/>
      <c r="K913" s="330"/>
      <c r="L913" s="330"/>
      <c r="M913" s="330"/>
      <c r="N913" s="330"/>
      <c r="O913" s="330"/>
      <c r="P913" s="330"/>
      <c r="Q913" s="330"/>
      <c r="R913" s="330"/>
      <c r="S913" s="330"/>
      <c r="T913" s="330"/>
      <c r="U913" s="338"/>
      <c r="V913" s="330"/>
      <c r="W913" s="330"/>
      <c r="X913" s="330"/>
      <c r="Y913" s="330"/>
      <c r="Z913" s="330"/>
    </row>
    <row r="914" spans="1:26" ht="12.5">
      <c r="A914" s="330"/>
      <c r="B914" s="330"/>
      <c r="C914" s="330"/>
      <c r="D914" s="330"/>
      <c r="E914" s="330"/>
      <c r="F914" s="330"/>
      <c r="G914" s="330"/>
      <c r="H914" s="330"/>
      <c r="I914" s="327"/>
      <c r="J914" s="330"/>
      <c r="K914" s="330"/>
      <c r="L914" s="330"/>
      <c r="M914" s="330"/>
      <c r="N914" s="330"/>
      <c r="O914" s="330"/>
      <c r="P914" s="330"/>
      <c r="Q914" s="330"/>
      <c r="R914" s="330"/>
      <c r="S914" s="330"/>
      <c r="T914" s="330"/>
      <c r="U914" s="338"/>
      <c r="V914" s="330"/>
      <c r="W914" s="330"/>
      <c r="X914" s="330"/>
      <c r="Y914" s="330"/>
      <c r="Z914" s="330"/>
    </row>
    <row r="915" spans="1:26" ht="12.5">
      <c r="A915" s="330"/>
      <c r="B915" s="330"/>
      <c r="C915" s="330"/>
      <c r="D915" s="330"/>
      <c r="E915" s="330"/>
      <c r="F915" s="330"/>
      <c r="G915" s="330"/>
      <c r="H915" s="330"/>
      <c r="I915" s="327"/>
      <c r="J915" s="330"/>
      <c r="K915" s="330"/>
      <c r="L915" s="330"/>
      <c r="M915" s="330"/>
      <c r="N915" s="330"/>
      <c r="O915" s="330"/>
      <c r="P915" s="330"/>
      <c r="Q915" s="330"/>
      <c r="R915" s="330"/>
      <c r="S915" s="330"/>
      <c r="T915" s="330"/>
      <c r="U915" s="338"/>
      <c r="V915" s="330"/>
      <c r="W915" s="330"/>
      <c r="X915" s="330"/>
      <c r="Y915" s="330"/>
      <c r="Z915" s="330"/>
    </row>
    <row r="916" spans="1:26" ht="12.5">
      <c r="A916" s="330"/>
      <c r="B916" s="330"/>
      <c r="C916" s="330"/>
      <c r="D916" s="330"/>
      <c r="E916" s="330"/>
      <c r="F916" s="330"/>
      <c r="G916" s="330"/>
      <c r="H916" s="330"/>
      <c r="I916" s="327"/>
      <c r="J916" s="330"/>
      <c r="K916" s="330"/>
      <c r="L916" s="330"/>
      <c r="M916" s="330"/>
      <c r="N916" s="330"/>
      <c r="O916" s="330"/>
      <c r="P916" s="330"/>
      <c r="Q916" s="330"/>
      <c r="R916" s="330"/>
      <c r="S916" s="330"/>
      <c r="T916" s="330"/>
      <c r="U916" s="338"/>
      <c r="V916" s="330"/>
      <c r="W916" s="330"/>
      <c r="X916" s="330"/>
      <c r="Y916" s="330"/>
      <c r="Z916" s="330"/>
    </row>
    <row r="917" spans="1:26" ht="12.5">
      <c r="A917" s="330"/>
      <c r="B917" s="330"/>
      <c r="C917" s="330"/>
      <c r="D917" s="330"/>
      <c r="E917" s="330"/>
      <c r="F917" s="330"/>
      <c r="G917" s="330"/>
      <c r="H917" s="330"/>
      <c r="I917" s="327"/>
      <c r="J917" s="330"/>
      <c r="K917" s="330"/>
      <c r="L917" s="330"/>
      <c r="M917" s="330"/>
      <c r="N917" s="330"/>
      <c r="O917" s="330"/>
      <c r="P917" s="330"/>
      <c r="Q917" s="330"/>
      <c r="R917" s="330"/>
      <c r="S917" s="330"/>
      <c r="T917" s="330"/>
      <c r="U917" s="338"/>
      <c r="V917" s="330"/>
      <c r="W917" s="330"/>
      <c r="X917" s="330"/>
      <c r="Y917" s="330"/>
      <c r="Z917" s="330"/>
    </row>
    <row r="918" spans="1:26" ht="12.5">
      <c r="A918" s="330"/>
      <c r="B918" s="330"/>
      <c r="C918" s="330"/>
      <c r="D918" s="330"/>
      <c r="E918" s="330"/>
      <c r="F918" s="330"/>
      <c r="G918" s="330"/>
      <c r="H918" s="330"/>
      <c r="I918" s="327"/>
      <c r="J918" s="330"/>
      <c r="K918" s="330"/>
      <c r="L918" s="330"/>
      <c r="M918" s="330"/>
      <c r="N918" s="330"/>
      <c r="O918" s="330"/>
      <c r="P918" s="330"/>
      <c r="Q918" s="330"/>
      <c r="R918" s="330"/>
      <c r="S918" s="330"/>
      <c r="T918" s="330"/>
      <c r="U918" s="338"/>
      <c r="V918" s="330"/>
      <c r="W918" s="330"/>
      <c r="X918" s="330"/>
      <c r="Y918" s="330"/>
      <c r="Z918" s="330"/>
    </row>
    <row r="919" spans="1:26" ht="12.5">
      <c r="A919" s="330"/>
      <c r="B919" s="330"/>
      <c r="C919" s="330"/>
      <c r="D919" s="330"/>
      <c r="E919" s="330"/>
      <c r="F919" s="330"/>
      <c r="G919" s="330"/>
      <c r="H919" s="330"/>
      <c r="I919" s="327"/>
      <c r="J919" s="330"/>
      <c r="K919" s="330"/>
      <c r="L919" s="330"/>
      <c r="M919" s="330"/>
      <c r="N919" s="330"/>
      <c r="O919" s="330"/>
      <c r="P919" s="330"/>
      <c r="Q919" s="330"/>
      <c r="R919" s="330"/>
      <c r="S919" s="330"/>
      <c r="T919" s="330"/>
      <c r="U919" s="338"/>
      <c r="V919" s="330"/>
      <c r="W919" s="330"/>
      <c r="X919" s="330"/>
      <c r="Y919" s="330"/>
      <c r="Z919" s="330"/>
    </row>
    <row r="920" spans="1:26" ht="12.5">
      <c r="A920" s="330"/>
      <c r="B920" s="330"/>
      <c r="C920" s="330"/>
      <c r="D920" s="330"/>
      <c r="E920" s="330"/>
      <c r="F920" s="330"/>
      <c r="G920" s="330"/>
      <c r="H920" s="330"/>
      <c r="I920" s="327"/>
      <c r="J920" s="330"/>
      <c r="K920" s="330"/>
      <c r="L920" s="330"/>
      <c r="M920" s="330"/>
      <c r="N920" s="330"/>
      <c r="O920" s="330"/>
      <c r="P920" s="330"/>
      <c r="Q920" s="330"/>
      <c r="R920" s="330"/>
      <c r="S920" s="330"/>
      <c r="T920" s="330"/>
      <c r="U920" s="338"/>
      <c r="V920" s="330"/>
      <c r="W920" s="330"/>
      <c r="X920" s="330"/>
      <c r="Y920" s="330"/>
      <c r="Z920" s="330"/>
    </row>
    <row r="921" spans="1:26" ht="12.5">
      <c r="A921" s="330"/>
      <c r="B921" s="330"/>
      <c r="C921" s="330"/>
      <c r="D921" s="330"/>
      <c r="E921" s="330"/>
      <c r="F921" s="330"/>
      <c r="G921" s="330"/>
      <c r="H921" s="330"/>
      <c r="I921" s="327"/>
      <c r="J921" s="330"/>
      <c r="K921" s="330"/>
      <c r="L921" s="330"/>
      <c r="M921" s="330"/>
      <c r="N921" s="330"/>
      <c r="O921" s="330"/>
      <c r="P921" s="330"/>
      <c r="Q921" s="330"/>
      <c r="R921" s="330"/>
      <c r="S921" s="330"/>
      <c r="T921" s="330"/>
      <c r="U921" s="338"/>
      <c r="V921" s="330"/>
      <c r="W921" s="330"/>
      <c r="X921" s="330"/>
      <c r="Y921" s="330"/>
      <c r="Z921" s="330"/>
    </row>
    <row r="922" spans="1:26" ht="12.5">
      <c r="A922" s="330"/>
      <c r="B922" s="330"/>
      <c r="C922" s="330"/>
      <c r="D922" s="330"/>
      <c r="E922" s="330"/>
      <c r="F922" s="330"/>
      <c r="G922" s="330"/>
      <c r="H922" s="330"/>
      <c r="I922" s="327"/>
      <c r="J922" s="330"/>
      <c r="K922" s="330"/>
      <c r="L922" s="330"/>
      <c r="M922" s="330"/>
      <c r="N922" s="330"/>
      <c r="O922" s="330"/>
      <c r="P922" s="330"/>
      <c r="Q922" s="330"/>
      <c r="R922" s="330"/>
      <c r="S922" s="330"/>
      <c r="T922" s="330"/>
      <c r="U922" s="338"/>
      <c r="V922" s="330"/>
      <c r="W922" s="330"/>
      <c r="X922" s="330"/>
      <c r="Y922" s="330"/>
      <c r="Z922" s="330"/>
    </row>
    <row r="923" spans="1:26" ht="12.5">
      <c r="A923" s="330"/>
      <c r="B923" s="330"/>
      <c r="C923" s="330"/>
      <c r="D923" s="330"/>
      <c r="E923" s="330"/>
      <c r="F923" s="330"/>
      <c r="G923" s="330"/>
      <c r="H923" s="330"/>
      <c r="I923" s="327"/>
      <c r="J923" s="330"/>
      <c r="K923" s="330"/>
      <c r="L923" s="330"/>
      <c r="M923" s="330"/>
      <c r="N923" s="330"/>
      <c r="O923" s="330"/>
      <c r="P923" s="330"/>
      <c r="Q923" s="330"/>
      <c r="R923" s="330"/>
      <c r="S923" s="330"/>
      <c r="T923" s="330"/>
      <c r="U923" s="338"/>
      <c r="V923" s="330"/>
      <c r="W923" s="330"/>
      <c r="X923" s="330"/>
      <c r="Y923" s="330"/>
      <c r="Z923" s="330"/>
    </row>
    <row r="924" spans="1:26" ht="12.5">
      <c r="A924" s="330"/>
      <c r="B924" s="330"/>
      <c r="C924" s="330"/>
      <c r="D924" s="330"/>
      <c r="E924" s="330"/>
      <c r="F924" s="330"/>
      <c r="G924" s="330"/>
      <c r="H924" s="330"/>
      <c r="I924" s="327"/>
      <c r="J924" s="330"/>
      <c r="K924" s="330"/>
      <c r="L924" s="330"/>
      <c r="M924" s="330"/>
      <c r="N924" s="330"/>
      <c r="O924" s="330"/>
      <c r="P924" s="330"/>
      <c r="Q924" s="330"/>
      <c r="R924" s="330"/>
      <c r="S924" s="330"/>
      <c r="T924" s="330"/>
      <c r="U924" s="338"/>
      <c r="V924" s="330"/>
      <c r="W924" s="330"/>
      <c r="X924" s="330"/>
      <c r="Y924" s="330"/>
      <c r="Z924" s="330"/>
    </row>
    <row r="925" spans="1:26" ht="12.5">
      <c r="A925" s="330"/>
      <c r="B925" s="330"/>
      <c r="C925" s="330"/>
      <c r="D925" s="330"/>
      <c r="E925" s="330"/>
      <c r="F925" s="330"/>
      <c r="G925" s="330"/>
      <c r="H925" s="330"/>
      <c r="I925" s="327"/>
      <c r="J925" s="330"/>
      <c r="K925" s="330"/>
      <c r="L925" s="330"/>
      <c r="M925" s="330"/>
      <c r="N925" s="330"/>
      <c r="O925" s="330"/>
      <c r="P925" s="330"/>
      <c r="Q925" s="330"/>
      <c r="R925" s="330"/>
      <c r="S925" s="330"/>
      <c r="T925" s="330"/>
      <c r="U925" s="338"/>
      <c r="V925" s="330"/>
      <c r="W925" s="330"/>
      <c r="X925" s="330"/>
      <c r="Y925" s="330"/>
      <c r="Z925" s="330"/>
    </row>
    <row r="926" spans="1:26" ht="12.5">
      <c r="A926" s="330"/>
      <c r="B926" s="330"/>
      <c r="C926" s="330"/>
      <c r="D926" s="330"/>
      <c r="E926" s="330"/>
      <c r="F926" s="330"/>
      <c r="G926" s="330"/>
      <c r="H926" s="330"/>
      <c r="I926" s="327"/>
      <c r="J926" s="330"/>
      <c r="K926" s="330"/>
      <c r="L926" s="330"/>
      <c r="M926" s="330"/>
      <c r="N926" s="330"/>
      <c r="O926" s="330"/>
      <c r="P926" s="330"/>
      <c r="Q926" s="330"/>
      <c r="R926" s="330"/>
      <c r="S926" s="330"/>
      <c r="T926" s="330"/>
      <c r="U926" s="338"/>
      <c r="V926" s="330"/>
      <c r="W926" s="330"/>
      <c r="X926" s="330"/>
      <c r="Y926" s="330"/>
      <c r="Z926" s="330"/>
    </row>
    <row r="927" spans="1:26" ht="12.5">
      <c r="A927" s="330"/>
      <c r="B927" s="330"/>
      <c r="C927" s="330"/>
      <c r="D927" s="330"/>
      <c r="E927" s="330"/>
      <c r="F927" s="330"/>
      <c r="G927" s="330"/>
      <c r="H927" s="330"/>
      <c r="I927" s="327"/>
      <c r="J927" s="330"/>
      <c r="K927" s="330"/>
      <c r="L927" s="330"/>
      <c r="M927" s="330"/>
      <c r="N927" s="330"/>
      <c r="O927" s="330"/>
      <c r="P927" s="330"/>
      <c r="Q927" s="330"/>
      <c r="R927" s="330"/>
      <c r="S927" s="330"/>
      <c r="T927" s="330"/>
      <c r="U927" s="338"/>
      <c r="V927" s="330"/>
      <c r="W927" s="330"/>
      <c r="X927" s="330"/>
      <c r="Y927" s="330"/>
      <c r="Z927" s="330"/>
    </row>
    <row r="928" spans="1:26" ht="12.5">
      <c r="A928" s="330"/>
      <c r="B928" s="330"/>
      <c r="C928" s="330"/>
      <c r="D928" s="330"/>
      <c r="E928" s="330"/>
      <c r="F928" s="330"/>
      <c r="G928" s="330"/>
      <c r="H928" s="330"/>
      <c r="I928" s="327"/>
      <c r="J928" s="330"/>
      <c r="K928" s="330"/>
      <c r="L928" s="330"/>
      <c r="M928" s="330"/>
      <c r="N928" s="330"/>
      <c r="O928" s="330"/>
      <c r="P928" s="330"/>
      <c r="Q928" s="330"/>
      <c r="R928" s="330"/>
      <c r="S928" s="330"/>
      <c r="T928" s="330"/>
      <c r="U928" s="338"/>
      <c r="V928" s="330"/>
      <c r="W928" s="330"/>
      <c r="X928" s="330"/>
      <c r="Y928" s="330"/>
      <c r="Z928" s="330"/>
    </row>
    <row r="929" spans="1:26" ht="12.5">
      <c r="A929" s="330"/>
      <c r="B929" s="330"/>
      <c r="C929" s="330"/>
      <c r="D929" s="330"/>
      <c r="E929" s="330"/>
      <c r="F929" s="330"/>
      <c r="G929" s="330"/>
      <c r="H929" s="330"/>
      <c r="I929" s="327"/>
      <c r="J929" s="330"/>
      <c r="K929" s="330"/>
      <c r="L929" s="330"/>
      <c r="M929" s="330"/>
      <c r="N929" s="330"/>
      <c r="O929" s="330"/>
      <c r="P929" s="330"/>
      <c r="Q929" s="330"/>
      <c r="R929" s="330"/>
      <c r="S929" s="330"/>
      <c r="T929" s="330"/>
      <c r="U929" s="338"/>
      <c r="V929" s="330"/>
      <c r="W929" s="330"/>
      <c r="X929" s="330"/>
      <c r="Y929" s="330"/>
      <c r="Z929" s="330"/>
    </row>
    <row r="930" spans="1:26" ht="12.5">
      <c r="A930" s="330"/>
      <c r="B930" s="330"/>
      <c r="C930" s="330"/>
      <c r="D930" s="330"/>
      <c r="E930" s="330"/>
      <c r="F930" s="330"/>
      <c r="G930" s="330"/>
      <c r="H930" s="330"/>
      <c r="I930" s="327"/>
      <c r="J930" s="330"/>
      <c r="K930" s="330"/>
      <c r="L930" s="330"/>
      <c r="M930" s="330"/>
      <c r="N930" s="330"/>
      <c r="O930" s="330"/>
      <c r="P930" s="330"/>
      <c r="Q930" s="330"/>
      <c r="R930" s="330"/>
      <c r="S930" s="330"/>
      <c r="T930" s="330"/>
      <c r="U930" s="338"/>
      <c r="V930" s="330"/>
      <c r="W930" s="330"/>
      <c r="X930" s="330"/>
      <c r="Y930" s="330"/>
      <c r="Z930" s="330"/>
    </row>
    <row r="931" spans="1:26" ht="12.5">
      <c r="A931" s="330"/>
      <c r="B931" s="330"/>
      <c r="C931" s="330"/>
      <c r="D931" s="330"/>
      <c r="E931" s="330"/>
      <c r="F931" s="330"/>
      <c r="G931" s="330"/>
      <c r="H931" s="330"/>
      <c r="I931" s="327"/>
      <c r="J931" s="330"/>
      <c r="K931" s="330"/>
      <c r="L931" s="330"/>
      <c r="M931" s="330"/>
      <c r="N931" s="330"/>
      <c r="O931" s="330"/>
      <c r="P931" s="330"/>
      <c r="Q931" s="330"/>
      <c r="R931" s="330"/>
      <c r="S931" s="330"/>
      <c r="T931" s="330"/>
      <c r="U931" s="338"/>
      <c r="V931" s="330"/>
      <c r="W931" s="330"/>
      <c r="X931" s="330"/>
      <c r="Y931" s="330"/>
      <c r="Z931" s="330"/>
    </row>
    <row r="932" spans="1:26" ht="12.5">
      <c r="A932" s="330"/>
      <c r="B932" s="330"/>
      <c r="C932" s="330"/>
      <c r="D932" s="330"/>
      <c r="E932" s="330"/>
      <c r="F932" s="330"/>
      <c r="G932" s="330"/>
      <c r="H932" s="330"/>
      <c r="I932" s="327"/>
      <c r="J932" s="330"/>
      <c r="K932" s="330"/>
      <c r="L932" s="330"/>
      <c r="M932" s="330"/>
      <c r="N932" s="330"/>
      <c r="O932" s="330"/>
      <c r="P932" s="330"/>
      <c r="Q932" s="330"/>
      <c r="R932" s="330"/>
      <c r="S932" s="330"/>
      <c r="T932" s="330"/>
      <c r="U932" s="338"/>
      <c r="V932" s="330"/>
      <c r="W932" s="330"/>
      <c r="X932" s="330"/>
      <c r="Y932" s="330"/>
      <c r="Z932" s="330"/>
    </row>
    <row r="933" spans="1:26" ht="12.5">
      <c r="A933" s="330"/>
      <c r="B933" s="330"/>
      <c r="C933" s="330"/>
      <c r="D933" s="330"/>
      <c r="E933" s="330"/>
      <c r="F933" s="330"/>
      <c r="G933" s="330"/>
      <c r="H933" s="330"/>
      <c r="I933" s="327"/>
      <c r="J933" s="330"/>
      <c r="K933" s="330"/>
      <c r="L933" s="330"/>
      <c r="M933" s="330"/>
      <c r="N933" s="330"/>
      <c r="O933" s="330"/>
      <c r="P933" s="330"/>
      <c r="Q933" s="330"/>
      <c r="R933" s="330"/>
      <c r="S933" s="330"/>
      <c r="T933" s="330"/>
      <c r="U933" s="338"/>
      <c r="V933" s="330"/>
      <c r="W933" s="330"/>
      <c r="X933" s="330"/>
      <c r="Y933" s="330"/>
      <c r="Z933" s="330"/>
    </row>
    <row r="934" spans="1:26" ht="12.5">
      <c r="A934" s="330"/>
      <c r="B934" s="330"/>
      <c r="C934" s="330"/>
      <c r="D934" s="330"/>
      <c r="E934" s="330"/>
      <c r="F934" s="330"/>
      <c r="G934" s="330"/>
      <c r="H934" s="330"/>
      <c r="I934" s="327"/>
      <c r="J934" s="330"/>
      <c r="K934" s="330"/>
      <c r="L934" s="330"/>
      <c r="M934" s="330"/>
      <c r="N934" s="330"/>
      <c r="O934" s="330"/>
      <c r="P934" s="330"/>
      <c r="Q934" s="330"/>
      <c r="R934" s="330"/>
      <c r="S934" s="330"/>
      <c r="T934" s="330"/>
      <c r="U934" s="338"/>
      <c r="V934" s="330"/>
      <c r="W934" s="330"/>
      <c r="X934" s="330"/>
      <c r="Y934" s="330"/>
      <c r="Z934" s="330"/>
    </row>
    <row r="935" spans="1:26" ht="12.5">
      <c r="A935" s="330"/>
      <c r="B935" s="330"/>
      <c r="C935" s="330"/>
      <c r="D935" s="330"/>
      <c r="E935" s="330"/>
      <c r="F935" s="330"/>
      <c r="G935" s="330"/>
      <c r="H935" s="330"/>
      <c r="I935" s="327"/>
      <c r="J935" s="330"/>
      <c r="K935" s="330"/>
      <c r="L935" s="330"/>
      <c r="M935" s="330"/>
      <c r="N935" s="330"/>
      <c r="O935" s="330"/>
      <c r="P935" s="330"/>
      <c r="Q935" s="330"/>
      <c r="R935" s="330"/>
      <c r="S935" s="330"/>
      <c r="T935" s="330"/>
      <c r="U935" s="338"/>
      <c r="V935" s="330"/>
      <c r="W935" s="330"/>
      <c r="X935" s="330"/>
      <c r="Y935" s="330"/>
      <c r="Z935" s="330"/>
    </row>
    <row r="936" spans="1:26" ht="12.5">
      <c r="A936" s="330"/>
      <c r="B936" s="330"/>
      <c r="C936" s="330"/>
      <c r="D936" s="330"/>
      <c r="E936" s="330"/>
      <c r="F936" s="330"/>
      <c r="G936" s="330"/>
      <c r="H936" s="330"/>
      <c r="I936" s="327"/>
      <c r="J936" s="330"/>
      <c r="K936" s="330"/>
      <c r="L936" s="330"/>
      <c r="M936" s="330"/>
      <c r="N936" s="330"/>
      <c r="O936" s="330"/>
      <c r="P936" s="330"/>
      <c r="Q936" s="330"/>
      <c r="R936" s="330"/>
      <c r="S936" s="330"/>
      <c r="T936" s="330"/>
      <c r="U936" s="338"/>
      <c r="V936" s="330"/>
      <c r="W936" s="330"/>
      <c r="X936" s="330"/>
      <c r="Y936" s="330"/>
      <c r="Z936" s="330"/>
    </row>
    <row r="937" spans="1:26" ht="12.5">
      <c r="A937" s="330"/>
      <c r="B937" s="330"/>
      <c r="C937" s="330"/>
      <c r="D937" s="330"/>
      <c r="E937" s="330"/>
      <c r="F937" s="330"/>
      <c r="G937" s="330"/>
      <c r="H937" s="330"/>
      <c r="I937" s="327"/>
      <c r="J937" s="330"/>
      <c r="K937" s="330"/>
      <c r="L937" s="330"/>
      <c r="M937" s="330"/>
      <c r="N937" s="330"/>
      <c r="O937" s="330"/>
      <c r="P937" s="330"/>
      <c r="Q937" s="330"/>
      <c r="R937" s="330"/>
      <c r="S937" s="330"/>
      <c r="T937" s="330"/>
      <c r="U937" s="338"/>
      <c r="V937" s="330"/>
      <c r="W937" s="330"/>
      <c r="X937" s="330"/>
      <c r="Y937" s="330"/>
      <c r="Z937" s="330"/>
    </row>
    <row r="938" spans="1:26" ht="12.5">
      <c r="A938" s="330"/>
      <c r="B938" s="330"/>
      <c r="C938" s="330"/>
      <c r="D938" s="330"/>
      <c r="E938" s="330"/>
      <c r="F938" s="330"/>
      <c r="G938" s="330"/>
      <c r="H938" s="330"/>
      <c r="I938" s="327"/>
      <c r="J938" s="330"/>
      <c r="K938" s="330"/>
      <c r="L938" s="330"/>
      <c r="M938" s="330"/>
      <c r="N938" s="330"/>
      <c r="O938" s="330"/>
      <c r="P938" s="330"/>
      <c r="Q938" s="330"/>
      <c r="R938" s="330"/>
      <c r="S938" s="330"/>
      <c r="T938" s="330"/>
      <c r="U938" s="338"/>
      <c r="V938" s="330"/>
      <c r="W938" s="330"/>
      <c r="X938" s="330"/>
      <c r="Y938" s="330"/>
      <c r="Z938" s="330"/>
    </row>
    <row r="939" spans="1:26" ht="12.5">
      <c r="A939" s="330"/>
      <c r="B939" s="330"/>
      <c r="C939" s="330"/>
      <c r="D939" s="330"/>
      <c r="E939" s="330"/>
      <c r="F939" s="330"/>
      <c r="G939" s="330"/>
      <c r="H939" s="330"/>
      <c r="I939" s="327"/>
      <c r="J939" s="330"/>
      <c r="K939" s="330"/>
      <c r="L939" s="330"/>
      <c r="M939" s="330"/>
      <c r="N939" s="330"/>
      <c r="O939" s="330"/>
      <c r="P939" s="330"/>
      <c r="Q939" s="330"/>
      <c r="R939" s="330"/>
      <c r="S939" s="330"/>
      <c r="T939" s="330"/>
      <c r="U939" s="338"/>
      <c r="V939" s="330"/>
      <c r="W939" s="330"/>
      <c r="X939" s="330"/>
      <c r="Y939" s="330"/>
      <c r="Z939" s="330"/>
    </row>
    <row r="940" spans="1:26" ht="12.5">
      <c r="A940" s="330"/>
      <c r="B940" s="330"/>
      <c r="C940" s="330"/>
      <c r="D940" s="330"/>
      <c r="E940" s="330"/>
      <c r="F940" s="330"/>
      <c r="G940" s="330"/>
      <c r="H940" s="330"/>
      <c r="I940" s="327"/>
      <c r="J940" s="330"/>
      <c r="K940" s="330"/>
      <c r="L940" s="330"/>
      <c r="M940" s="330"/>
      <c r="N940" s="330"/>
      <c r="O940" s="330"/>
      <c r="P940" s="330"/>
      <c r="Q940" s="330"/>
      <c r="R940" s="330"/>
      <c r="S940" s="330"/>
      <c r="T940" s="330"/>
      <c r="U940" s="338"/>
      <c r="V940" s="330"/>
      <c r="W940" s="330"/>
      <c r="X940" s="330"/>
      <c r="Y940" s="330"/>
      <c r="Z940" s="330"/>
    </row>
    <row r="941" spans="1:26" ht="12.5">
      <c r="A941" s="330"/>
      <c r="B941" s="330"/>
      <c r="C941" s="330"/>
      <c r="D941" s="330"/>
      <c r="E941" s="330"/>
      <c r="F941" s="330"/>
      <c r="G941" s="330"/>
      <c r="H941" s="330"/>
      <c r="I941" s="327"/>
      <c r="J941" s="330"/>
      <c r="K941" s="330"/>
      <c r="L941" s="330"/>
      <c r="M941" s="330"/>
      <c r="N941" s="330"/>
      <c r="O941" s="330"/>
      <c r="P941" s="330"/>
      <c r="Q941" s="330"/>
      <c r="R941" s="330"/>
      <c r="S941" s="330"/>
      <c r="T941" s="330"/>
      <c r="U941" s="338"/>
      <c r="V941" s="330"/>
      <c r="W941" s="330"/>
      <c r="X941" s="330"/>
      <c r="Y941" s="330"/>
      <c r="Z941" s="330"/>
    </row>
    <row r="942" spans="1:26" ht="12.5">
      <c r="A942" s="330"/>
      <c r="B942" s="330"/>
      <c r="C942" s="330"/>
      <c r="D942" s="330"/>
      <c r="E942" s="330"/>
      <c r="F942" s="330"/>
      <c r="G942" s="330"/>
      <c r="H942" s="330"/>
      <c r="I942" s="327"/>
      <c r="J942" s="330"/>
      <c r="K942" s="330"/>
      <c r="L942" s="330"/>
      <c r="M942" s="330"/>
      <c r="N942" s="330"/>
      <c r="O942" s="330"/>
      <c r="P942" s="330"/>
      <c r="Q942" s="330"/>
      <c r="R942" s="330"/>
      <c r="S942" s="330"/>
      <c r="T942" s="330"/>
      <c r="U942" s="338"/>
      <c r="V942" s="330"/>
      <c r="W942" s="330"/>
      <c r="X942" s="330"/>
      <c r="Y942" s="330"/>
      <c r="Z942" s="330"/>
    </row>
    <row r="943" spans="1:26" ht="12.5">
      <c r="A943" s="330"/>
      <c r="B943" s="330"/>
      <c r="C943" s="330"/>
      <c r="D943" s="330"/>
      <c r="E943" s="330"/>
      <c r="F943" s="330"/>
      <c r="G943" s="330"/>
      <c r="H943" s="330"/>
      <c r="I943" s="327"/>
      <c r="J943" s="330"/>
      <c r="K943" s="330"/>
      <c r="L943" s="330"/>
      <c r="M943" s="330"/>
      <c r="N943" s="330"/>
      <c r="O943" s="330"/>
      <c r="P943" s="330"/>
      <c r="Q943" s="330"/>
      <c r="R943" s="330"/>
      <c r="S943" s="330"/>
      <c r="T943" s="330"/>
      <c r="U943" s="338"/>
      <c r="V943" s="330"/>
      <c r="W943" s="330"/>
      <c r="X943" s="330"/>
      <c r="Y943" s="330"/>
      <c r="Z943" s="330"/>
    </row>
    <row r="944" spans="1:26" ht="12.5">
      <c r="A944" s="330"/>
      <c r="B944" s="330"/>
      <c r="C944" s="330"/>
      <c r="D944" s="330"/>
      <c r="E944" s="330"/>
      <c r="F944" s="330"/>
      <c r="G944" s="330"/>
      <c r="H944" s="330"/>
      <c r="I944" s="327"/>
      <c r="J944" s="330"/>
      <c r="K944" s="330"/>
      <c r="L944" s="330"/>
      <c r="M944" s="330"/>
      <c r="N944" s="330"/>
      <c r="O944" s="330"/>
      <c r="P944" s="330"/>
      <c r="Q944" s="330"/>
      <c r="R944" s="330"/>
      <c r="S944" s="330"/>
      <c r="T944" s="330"/>
      <c r="U944" s="338"/>
      <c r="V944" s="330"/>
      <c r="W944" s="330"/>
      <c r="X944" s="330"/>
      <c r="Y944" s="330"/>
      <c r="Z944" s="330"/>
    </row>
    <row r="945" spans="1:26" ht="12.5">
      <c r="A945" s="330"/>
      <c r="B945" s="330"/>
      <c r="C945" s="330"/>
      <c r="D945" s="330"/>
      <c r="E945" s="330"/>
      <c r="F945" s="330"/>
      <c r="G945" s="330"/>
      <c r="H945" s="330"/>
      <c r="I945" s="327"/>
      <c r="J945" s="330"/>
      <c r="K945" s="330"/>
      <c r="L945" s="330"/>
      <c r="M945" s="330"/>
      <c r="N945" s="330"/>
      <c r="O945" s="330"/>
      <c r="P945" s="330"/>
      <c r="Q945" s="330"/>
      <c r="R945" s="330"/>
      <c r="S945" s="330"/>
      <c r="T945" s="330"/>
      <c r="U945" s="338"/>
      <c r="V945" s="330"/>
      <c r="W945" s="330"/>
      <c r="X945" s="330"/>
      <c r="Y945" s="330"/>
      <c r="Z945" s="330"/>
    </row>
    <row r="946" spans="1:26" ht="12.5">
      <c r="A946" s="330"/>
      <c r="B946" s="330"/>
      <c r="C946" s="330"/>
      <c r="D946" s="330"/>
      <c r="E946" s="330"/>
      <c r="F946" s="330"/>
      <c r="G946" s="330"/>
      <c r="H946" s="330"/>
      <c r="I946" s="327"/>
      <c r="J946" s="330"/>
      <c r="K946" s="330"/>
      <c r="L946" s="330"/>
      <c r="M946" s="330"/>
      <c r="N946" s="330"/>
      <c r="O946" s="330"/>
      <c r="P946" s="330"/>
      <c r="Q946" s="330"/>
      <c r="R946" s="330"/>
      <c r="S946" s="330"/>
      <c r="T946" s="330"/>
      <c r="U946" s="338"/>
      <c r="V946" s="330"/>
      <c r="W946" s="330"/>
      <c r="X946" s="330"/>
      <c r="Y946" s="330"/>
      <c r="Z946" s="330"/>
    </row>
    <row r="947" spans="1:26" ht="12.5">
      <c r="A947" s="330"/>
      <c r="B947" s="330"/>
      <c r="C947" s="330"/>
      <c r="D947" s="330"/>
      <c r="E947" s="330"/>
      <c r="F947" s="330"/>
      <c r="G947" s="330"/>
      <c r="H947" s="330"/>
      <c r="I947" s="327"/>
      <c r="J947" s="330"/>
      <c r="K947" s="330"/>
      <c r="L947" s="330"/>
      <c r="M947" s="330"/>
      <c r="N947" s="330"/>
      <c r="O947" s="330"/>
      <c r="P947" s="330"/>
      <c r="Q947" s="330"/>
      <c r="R947" s="330"/>
      <c r="S947" s="330"/>
      <c r="T947" s="330"/>
      <c r="U947" s="338"/>
      <c r="V947" s="330"/>
      <c r="W947" s="330"/>
      <c r="X947" s="330"/>
      <c r="Y947" s="330"/>
      <c r="Z947" s="330"/>
    </row>
    <row r="948" spans="1:26" ht="12.5">
      <c r="A948" s="330"/>
      <c r="B948" s="330"/>
      <c r="C948" s="330"/>
      <c r="D948" s="330"/>
      <c r="E948" s="330"/>
      <c r="F948" s="330"/>
      <c r="G948" s="330"/>
      <c r="H948" s="330"/>
      <c r="I948" s="327"/>
      <c r="J948" s="330"/>
      <c r="K948" s="330"/>
      <c r="L948" s="330"/>
      <c r="M948" s="330"/>
      <c r="N948" s="330"/>
      <c r="O948" s="330"/>
      <c r="P948" s="330"/>
      <c r="Q948" s="330"/>
      <c r="R948" s="330"/>
      <c r="S948" s="330"/>
      <c r="T948" s="330"/>
      <c r="U948" s="338"/>
      <c r="V948" s="330"/>
      <c r="W948" s="330"/>
      <c r="X948" s="330"/>
      <c r="Y948" s="330"/>
      <c r="Z948" s="330"/>
    </row>
    <row r="949" spans="1:26" ht="12.5">
      <c r="A949" s="330"/>
      <c r="B949" s="330"/>
      <c r="C949" s="330"/>
      <c r="D949" s="330"/>
      <c r="E949" s="330"/>
      <c r="F949" s="330"/>
      <c r="G949" s="330"/>
      <c r="H949" s="330"/>
      <c r="I949" s="327"/>
      <c r="J949" s="330"/>
      <c r="K949" s="330"/>
      <c r="L949" s="330"/>
      <c r="M949" s="330"/>
      <c r="N949" s="330"/>
      <c r="O949" s="330"/>
      <c r="P949" s="330"/>
      <c r="Q949" s="330"/>
      <c r="R949" s="330"/>
      <c r="S949" s="330"/>
      <c r="T949" s="330"/>
      <c r="U949" s="338"/>
      <c r="V949" s="330"/>
      <c r="W949" s="330"/>
      <c r="X949" s="330"/>
      <c r="Y949" s="330"/>
      <c r="Z949" s="330"/>
    </row>
    <row r="950" spans="1:26" ht="12.5">
      <c r="A950" s="330"/>
      <c r="B950" s="330"/>
      <c r="C950" s="330"/>
      <c r="D950" s="330"/>
      <c r="E950" s="330"/>
      <c r="F950" s="330"/>
      <c r="G950" s="330"/>
      <c r="H950" s="330"/>
      <c r="I950" s="327"/>
      <c r="J950" s="330"/>
      <c r="K950" s="330"/>
      <c r="L950" s="330"/>
      <c r="M950" s="330"/>
      <c r="N950" s="330"/>
      <c r="O950" s="330"/>
      <c r="P950" s="330"/>
      <c r="Q950" s="330"/>
      <c r="R950" s="330"/>
      <c r="S950" s="330"/>
      <c r="T950" s="330"/>
      <c r="U950" s="338"/>
      <c r="V950" s="330"/>
      <c r="W950" s="330"/>
      <c r="X950" s="330"/>
      <c r="Y950" s="330"/>
      <c r="Z950" s="330"/>
    </row>
    <row r="951" spans="1:26" ht="12.5">
      <c r="A951" s="330"/>
      <c r="B951" s="330"/>
      <c r="C951" s="330"/>
      <c r="D951" s="330"/>
      <c r="E951" s="330"/>
      <c r="F951" s="330"/>
      <c r="G951" s="330"/>
      <c r="H951" s="330"/>
      <c r="I951" s="327"/>
      <c r="J951" s="330"/>
      <c r="K951" s="330"/>
      <c r="L951" s="330"/>
      <c r="M951" s="330"/>
      <c r="N951" s="330"/>
      <c r="O951" s="330"/>
      <c r="P951" s="330"/>
      <c r="Q951" s="330"/>
      <c r="R951" s="330"/>
      <c r="S951" s="330"/>
      <c r="T951" s="330"/>
      <c r="U951" s="338"/>
      <c r="V951" s="330"/>
      <c r="W951" s="330"/>
      <c r="X951" s="330"/>
      <c r="Y951" s="330"/>
      <c r="Z951" s="330"/>
    </row>
    <row r="952" spans="1:26" ht="12.5">
      <c r="A952" s="330"/>
      <c r="B952" s="330"/>
      <c r="C952" s="330"/>
      <c r="D952" s="330"/>
      <c r="E952" s="330"/>
      <c r="F952" s="330"/>
      <c r="G952" s="330"/>
      <c r="H952" s="330"/>
      <c r="I952" s="327"/>
      <c r="J952" s="330"/>
      <c r="K952" s="330"/>
      <c r="L952" s="330"/>
      <c r="M952" s="330"/>
      <c r="N952" s="330"/>
      <c r="O952" s="330"/>
      <c r="P952" s="330"/>
      <c r="Q952" s="330"/>
      <c r="R952" s="330"/>
      <c r="S952" s="330"/>
      <c r="T952" s="330"/>
      <c r="U952" s="338"/>
      <c r="V952" s="330"/>
      <c r="W952" s="330"/>
      <c r="X952" s="330"/>
      <c r="Y952" s="330"/>
      <c r="Z952" s="330"/>
    </row>
    <row r="953" spans="1:26" ht="12.5">
      <c r="A953" s="330"/>
      <c r="B953" s="330"/>
      <c r="C953" s="330"/>
      <c r="D953" s="330"/>
      <c r="E953" s="330"/>
      <c r="F953" s="330"/>
      <c r="G953" s="330"/>
      <c r="H953" s="330"/>
      <c r="I953" s="327"/>
      <c r="J953" s="330"/>
      <c r="K953" s="330"/>
      <c r="L953" s="330"/>
      <c r="M953" s="330"/>
      <c r="N953" s="330"/>
      <c r="O953" s="330"/>
      <c r="P953" s="330"/>
      <c r="Q953" s="330"/>
      <c r="R953" s="330"/>
      <c r="S953" s="330"/>
      <c r="T953" s="330"/>
      <c r="U953" s="338"/>
      <c r="V953" s="330"/>
      <c r="W953" s="330"/>
      <c r="X953" s="330"/>
      <c r="Y953" s="330"/>
      <c r="Z953" s="330"/>
    </row>
    <row r="954" spans="1:26" ht="12.5">
      <c r="A954" s="330"/>
      <c r="B954" s="330"/>
      <c r="C954" s="330"/>
      <c r="D954" s="330"/>
      <c r="E954" s="330"/>
      <c r="F954" s="330"/>
      <c r="G954" s="330"/>
      <c r="H954" s="330"/>
      <c r="I954" s="327"/>
      <c r="J954" s="330"/>
      <c r="K954" s="330"/>
      <c r="L954" s="330"/>
      <c r="M954" s="330"/>
      <c r="N954" s="330"/>
      <c r="O954" s="330"/>
      <c r="P954" s="330"/>
      <c r="Q954" s="330"/>
      <c r="R954" s="330"/>
      <c r="S954" s="330"/>
      <c r="T954" s="330"/>
      <c r="U954" s="338"/>
      <c r="V954" s="330"/>
      <c r="W954" s="330"/>
      <c r="X954" s="330"/>
      <c r="Y954" s="330"/>
      <c r="Z954" s="330"/>
    </row>
    <row r="955" spans="1:26" ht="12.5">
      <c r="A955" s="330"/>
      <c r="B955" s="330"/>
      <c r="C955" s="330"/>
      <c r="D955" s="330"/>
      <c r="E955" s="330"/>
      <c r="F955" s="330"/>
      <c r="G955" s="330"/>
      <c r="H955" s="330"/>
      <c r="I955" s="327"/>
      <c r="J955" s="330"/>
      <c r="K955" s="330"/>
      <c r="L955" s="330"/>
      <c r="M955" s="330"/>
      <c r="N955" s="330"/>
      <c r="O955" s="330"/>
      <c r="P955" s="330"/>
      <c r="Q955" s="330"/>
      <c r="R955" s="330"/>
      <c r="S955" s="330"/>
      <c r="T955" s="330"/>
      <c r="U955" s="338"/>
      <c r="V955" s="330"/>
      <c r="W955" s="330"/>
      <c r="X955" s="330"/>
      <c r="Y955" s="330"/>
      <c r="Z955" s="330"/>
    </row>
    <row r="956" spans="1:26" ht="12.5">
      <c r="A956" s="330"/>
      <c r="B956" s="330"/>
      <c r="C956" s="330"/>
      <c r="D956" s="330"/>
      <c r="E956" s="330"/>
      <c r="F956" s="330"/>
      <c r="G956" s="330"/>
      <c r="H956" s="330"/>
      <c r="I956" s="327"/>
      <c r="J956" s="330"/>
      <c r="K956" s="330"/>
      <c r="L956" s="330"/>
      <c r="M956" s="330"/>
      <c r="N956" s="330"/>
      <c r="O956" s="330"/>
      <c r="P956" s="330"/>
      <c r="Q956" s="330"/>
      <c r="R956" s="330"/>
      <c r="S956" s="330"/>
      <c r="T956" s="330"/>
      <c r="U956" s="338"/>
      <c r="V956" s="330"/>
      <c r="W956" s="330"/>
      <c r="X956" s="330"/>
      <c r="Y956" s="330"/>
      <c r="Z956" s="330"/>
    </row>
    <row r="957" spans="1:26" ht="12.5">
      <c r="A957" s="330"/>
      <c r="B957" s="330"/>
      <c r="C957" s="330"/>
      <c r="D957" s="330"/>
      <c r="E957" s="330"/>
      <c r="F957" s="330"/>
      <c r="G957" s="330"/>
      <c r="H957" s="330"/>
      <c r="I957" s="327"/>
      <c r="J957" s="330"/>
      <c r="K957" s="330"/>
      <c r="L957" s="330"/>
      <c r="M957" s="330"/>
      <c r="N957" s="330"/>
      <c r="O957" s="330"/>
      <c r="P957" s="330"/>
      <c r="Q957" s="330"/>
      <c r="R957" s="330"/>
      <c r="S957" s="330"/>
      <c r="T957" s="330"/>
      <c r="U957" s="338"/>
      <c r="V957" s="330"/>
      <c r="W957" s="330"/>
      <c r="X957" s="330"/>
      <c r="Y957" s="330"/>
      <c r="Z957" s="330"/>
    </row>
    <row r="958" spans="1:26" ht="12.5">
      <c r="A958" s="330"/>
      <c r="B958" s="330"/>
      <c r="C958" s="330"/>
      <c r="D958" s="330"/>
      <c r="E958" s="330"/>
      <c r="F958" s="330"/>
      <c r="G958" s="330"/>
      <c r="H958" s="330"/>
      <c r="I958" s="327"/>
      <c r="J958" s="330"/>
      <c r="K958" s="330"/>
      <c r="L958" s="330"/>
      <c r="M958" s="330"/>
      <c r="N958" s="330"/>
      <c r="O958" s="330"/>
      <c r="P958" s="330"/>
      <c r="Q958" s="330"/>
      <c r="R958" s="330"/>
      <c r="S958" s="330"/>
      <c r="T958" s="330"/>
      <c r="U958" s="338"/>
      <c r="V958" s="330"/>
      <c r="W958" s="330"/>
      <c r="X958" s="330"/>
      <c r="Y958" s="330"/>
      <c r="Z958" s="330"/>
    </row>
    <row r="959" spans="1:26" ht="12.5">
      <c r="A959" s="330"/>
      <c r="B959" s="330"/>
      <c r="C959" s="330"/>
      <c r="D959" s="330"/>
      <c r="E959" s="330"/>
      <c r="F959" s="330"/>
      <c r="G959" s="330"/>
      <c r="H959" s="330"/>
      <c r="I959" s="327"/>
      <c r="J959" s="330"/>
      <c r="K959" s="330"/>
      <c r="L959" s="330"/>
      <c r="M959" s="330"/>
      <c r="N959" s="330"/>
      <c r="O959" s="330"/>
      <c r="P959" s="330"/>
      <c r="Q959" s="330"/>
      <c r="R959" s="330"/>
      <c r="S959" s="330"/>
      <c r="T959" s="330"/>
      <c r="U959" s="338"/>
      <c r="V959" s="330"/>
      <c r="W959" s="330"/>
      <c r="X959" s="330"/>
      <c r="Y959" s="330"/>
      <c r="Z959" s="330"/>
    </row>
    <row r="960" spans="1:26" ht="12.5">
      <c r="A960" s="330"/>
      <c r="B960" s="330"/>
      <c r="C960" s="330"/>
      <c r="D960" s="330"/>
      <c r="E960" s="330"/>
      <c r="F960" s="330"/>
      <c r="G960" s="330"/>
      <c r="H960" s="330"/>
      <c r="I960" s="327"/>
      <c r="J960" s="330"/>
      <c r="K960" s="330"/>
      <c r="L960" s="330"/>
      <c r="M960" s="330"/>
      <c r="N960" s="330"/>
      <c r="O960" s="330"/>
      <c r="P960" s="330"/>
      <c r="Q960" s="330"/>
      <c r="R960" s="330"/>
      <c r="S960" s="330"/>
      <c r="T960" s="330"/>
      <c r="U960" s="338"/>
      <c r="V960" s="330"/>
      <c r="W960" s="330"/>
      <c r="X960" s="330"/>
      <c r="Y960" s="330"/>
      <c r="Z960" s="330"/>
    </row>
    <row r="961" spans="1:26" ht="12.5">
      <c r="A961" s="330"/>
      <c r="B961" s="330"/>
      <c r="C961" s="330"/>
      <c r="D961" s="330"/>
      <c r="E961" s="330"/>
      <c r="F961" s="330"/>
      <c r="G961" s="330"/>
      <c r="H961" s="330"/>
      <c r="I961" s="327"/>
      <c r="J961" s="330"/>
      <c r="K961" s="330"/>
      <c r="L961" s="330"/>
      <c r="M961" s="330"/>
      <c r="N961" s="330"/>
      <c r="O961" s="330"/>
      <c r="P961" s="330"/>
      <c r="Q961" s="330"/>
      <c r="R961" s="330"/>
      <c r="S961" s="330"/>
      <c r="T961" s="330"/>
      <c r="U961" s="338"/>
      <c r="V961" s="330"/>
      <c r="W961" s="330"/>
      <c r="X961" s="330"/>
      <c r="Y961" s="330"/>
      <c r="Z961" s="330"/>
    </row>
    <row r="962" spans="1:26" ht="12.5">
      <c r="A962" s="330"/>
      <c r="B962" s="330"/>
      <c r="C962" s="330"/>
      <c r="D962" s="330"/>
      <c r="E962" s="330"/>
      <c r="F962" s="330"/>
      <c r="G962" s="330"/>
      <c r="H962" s="330"/>
      <c r="I962" s="327"/>
      <c r="J962" s="330"/>
      <c r="K962" s="330"/>
      <c r="L962" s="330"/>
      <c r="M962" s="330"/>
      <c r="N962" s="330"/>
      <c r="O962" s="330"/>
      <c r="P962" s="330"/>
      <c r="Q962" s="330"/>
      <c r="R962" s="330"/>
      <c r="S962" s="330"/>
      <c r="T962" s="330"/>
      <c r="U962" s="338"/>
      <c r="V962" s="330"/>
      <c r="W962" s="330"/>
      <c r="X962" s="330"/>
      <c r="Y962" s="330"/>
      <c r="Z962" s="330"/>
    </row>
    <row r="963" spans="1:26" ht="12.5">
      <c r="A963" s="330"/>
      <c r="B963" s="330"/>
      <c r="C963" s="330"/>
      <c r="D963" s="330"/>
      <c r="E963" s="330"/>
      <c r="F963" s="330"/>
      <c r="G963" s="330"/>
      <c r="H963" s="330"/>
      <c r="I963" s="327"/>
      <c r="J963" s="330"/>
      <c r="K963" s="330"/>
      <c r="L963" s="330"/>
      <c r="M963" s="330"/>
      <c r="N963" s="330"/>
      <c r="O963" s="330"/>
      <c r="P963" s="330"/>
      <c r="Q963" s="330"/>
      <c r="R963" s="330"/>
      <c r="S963" s="330"/>
      <c r="T963" s="330"/>
      <c r="U963" s="338"/>
      <c r="V963" s="330"/>
      <c r="W963" s="330"/>
      <c r="X963" s="330"/>
      <c r="Y963" s="330"/>
      <c r="Z963" s="330"/>
    </row>
    <row r="964" spans="1:26" ht="12.5">
      <c r="A964" s="330"/>
      <c r="B964" s="330"/>
      <c r="C964" s="330"/>
      <c r="D964" s="330"/>
      <c r="E964" s="330"/>
      <c r="F964" s="330"/>
      <c r="G964" s="330"/>
      <c r="H964" s="330"/>
      <c r="I964" s="327"/>
      <c r="J964" s="330"/>
      <c r="K964" s="330"/>
      <c r="L964" s="330"/>
      <c r="M964" s="330"/>
      <c r="N964" s="330"/>
      <c r="O964" s="330"/>
      <c r="P964" s="330"/>
      <c r="Q964" s="330"/>
      <c r="R964" s="330"/>
      <c r="S964" s="330"/>
      <c r="T964" s="330"/>
      <c r="U964" s="338"/>
      <c r="V964" s="330"/>
      <c r="W964" s="330"/>
      <c r="X964" s="330"/>
      <c r="Y964" s="330"/>
      <c r="Z964" s="330"/>
    </row>
    <row r="965" spans="1:26" ht="12.5">
      <c r="A965" s="330"/>
      <c r="B965" s="330"/>
      <c r="C965" s="330"/>
      <c r="D965" s="330"/>
      <c r="E965" s="330"/>
      <c r="F965" s="330"/>
      <c r="G965" s="330"/>
      <c r="H965" s="330"/>
      <c r="I965" s="327"/>
      <c r="J965" s="330"/>
      <c r="K965" s="330"/>
      <c r="L965" s="330"/>
      <c r="M965" s="330"/>
      <c r="N965" s="330"/>
      <c r="O965" s="330"/>
      <c r="P965" s="330"/>
      <c r="Q965" s="330"/>
      <c r="R965" s="330"/>
      <c r="S965" s="330"/>
      <c r="T965" s="330"/>
      <c r="U965" s="338"/>
      <c r="V965" s="330"/>
      <c r="W965" s="330"/>
      <c r="X965" s="330"/>
      <c r="Y965" s="330"/>
      <c r="Z965" s="330"/>
    </row>
    <row r="966" spans="1:26" ht="12.5">
      <c r="A966" s="330"/>
      <c r="B966" s="330"/>
      <c r="C966" s="330"/>
      <c r="D966" s="330"/>
      <c r="E966" s="330"/>
      <c r="F966" s="330"/>
      <c r="G966" s="330"/>
      <c r="H966" s="330"/>
      <c r="I966" s="327"/>
      <c r="J966" s="330"/>
      <c r="K966" s="330"/>
      <c r="L966" s="330"/>
      <c r="M966" s="330"/>
      <c r="N966" s="330"/>
      <c r="O966" s="330"/>
      <c r="P966" s="330"/>
      <c r="Q966" s="330"/>
      <c r="R966" s="330"/>
      <c r="S966" s="330"/>
      <c r="T966" s="330"/>
      <c r="U966" s="338"/>
      <c r="V966" s="330"/>
      <c r="W966" s="330"/>
      <c r="X966" s="330"/>
      <c r="Y966" s="330"/>
      <c r="Z966" s="330"/>
    </row>
    <row r="967" spans="1:26" ht="12.5">
      <c r="A967" s="330"/>
      <c r="B967" s="330"/>
      <c r="C967" s="330"/>
      <c r="D967" s="330"/>
      <c r="E967" s="330"/>
      <c r="F967" s="330"/>
      <c r="G967" s="330"/>
      <c r="H967" s="330"/>
      <c r="I967" s="327"/>
      <c r="J967" s="330"/>
      <c r="K967" s="330"/>
      <c r="L967" s="330"/>
      <c r="M967" s="330"/>
      <c r="N967" s="330"/>
      <c r="O967" s="330"/>
      <c r="P967" s="330"/>
      <c r="Q967" s="330"/>
      <c r="R967" s="330"/>
      <c r="S967" s="330"/>
      <c r="T967" s="330"/>
      <c r="U967" s="338"/>
      <c r="V967" s="330"/>
      <c r="W967" s="330"/>
      <c r="X967" s="330"/>
      <c r="Y967" s="330"/>
      <c r="Z967" s="330"/>
    </row>
    <row r="968" spans="1:26" ht="12.5">
      <c r="A968" s="330"/>
      <c r="B968" s="330"/>
      <c r="C968" s="330"/>
      <c r="D968" s="330"/>
      <c r="E968" s="330"/>
      <c r="F968" s="330"/>
      <c r="G968" s="330"/>
      <c r="H968" s="330"/>
      <c r="I968" s="327"/>
      <c r="J968" s="330"/>
      <c r="K968" s="330"/>
      <c r="L968" s="330"/>
      <c r="M968" s="330"/>
      <c r="N968" s="330"/>
      <c r="O968" s="330"/>
      <c r="P968" s="330"/>
      <c r="Q968" s="330"/>
      <c r="R968" s="330"/>
      <c r="S968" s="330"/>
      <c r="T968" s="330"/>
      <c r="U968" s="338"/>
      <c r="V968" s="330"/>
      <c r="W968" s="330"/>
      <c r="X968" s="330"/>
      <c r="Y968" s="330"/>
      <c r="Z968" s="330"/>
    </row>
    <row r="969" spans="1:26" ht="12.5">
      <c r="A969" s="330"/>
      <c r="B969" s="330"/>
      <c r="C969" s="330"/>
      <c r="D969" s="330"/>
      <c r="E969" s="330"/>
      <c r="F969" s="330"/>
      <c r="G969" s="330"/>
      <c r="H969" s="330"/>
      <c r="I969" s="327"/>
      <c r="J969" s="330"/>
      <c r="K969" s="330"/>
      <c r="L969" s="330"/>
      <c r="M969" s="330"/>
      <c r="N969" s="330"/>
      <c r="O969" s="330"/>
      <c r="P969" s="330"/>
      <c r="Q969" s="330"/>
      <c r="R969" s="330"/>
      <c r="S969" s="330"/>
      <c r="T969" s="330"/>
      <c r="U969" s="338"/>
      <c r="V969" s="330"/>
      <c r="W969" s="330"/>
      <c r="X969" s="330"/>
      <c r="Y969" s="330"/>
      <c r="Z969" s="330"/>
    </row>
    <row r="970" spans="1:26" ht="12.5">
      <c r="A970" s="330"/>
      <c r="B970" s="330"/>
      <c r="C970" s="330"/>
      <c r="D970" s="330"/>
      <c r="E970" s="330"/>
      <c r="F970" s="330"/>
      <c r="G970" s="330"/>
      <c r="H970" s="330"/>
      <c r="I970" s="327"/>
      <c r="J970" s="330"/>
      <c r="K970" s="330"/>
      <c r="L970" s="330"/>
      <c r="M970" s="330"/>
      <c r="N970" s="330"/>
      <c r="O970" s="330"/>
      <c r="P970" s="330"/>
      <c r="Q970" s="330"/>
      <c r="R970" s="330"/>
      <c r="S970" s="330"/>
      <c r="T970" s="330"/>
      <c r="U970" s="338"/>
      <c r="V970" s="330"/>
      <c r="W970" s="330"/>
      <c r="X970" s="330"/>
      <c r="Y970" s="330"/>
      <c r="Z970" s="330"/>
    </row>
    <row r="971" spans="1:26" ht="12.5">
      <c r="A971" s="330"/>
      <c r="B971" s="330"/>
      <c r="C971" s="330"/>
      <c r="D971" s="330"/>
      <c r="E971" s="330"/>
      <c r="F971" s="330"/>
      <c r="G971" s="330"/>
      <c r="H971" s="330"/>
      <c r="I971" s="327"/>
      <c r="J971" s="330"/>
      <c r="K971" s="330"/>
      <c r="L971" s="330"/>
      <c r="M971" s="330"/>
      <c r="N971" s="330"/>
      <c r="O971" s="330"/>
      <c r="P971" s="330"/>
      <c r="Q971" s="330"/>
      <c r="R971" s="330"/>
      <c r="S971" s="330"/>
      <c r="T971" s="330"/>
      <c r="U971" s="338"/>
      <c r="V971" s="330"/>
      <c r="W971" s="330"/>
      <c r="X971" s="330"/>
      <c r="Y971" s="330"/>
      <c r="Z971" s="330"/>
    </row>
    <row r="972" spans="1:26" ht="12.5">
      <c r="A972" s="330"/>
      <c r="B972" s="330"/>
      <c r="C972" s="330"/>
      <c r="D972" s="330"/>
      <c r="E972" s="330"/>
      <c r="F972" s="330"/>
      <c r="G972" s="330"/>
      <c r="H972" s="330"/>
      <c r="I972" s="327"/>
      <c r="J972" s="330"/>
      <c r="K972" s="330"/>
      <c r="L972" s="330"/>
      <c r="M972" s="330"/>
      <c r="N972" s="330"/>
      <c r="O972" s="330"/>
      <c r="P972" s="330"/>
      <c r="Q972" s="330"/>
      <c r="R972" s="330"/>
      <c r="S972" s="330"/>
      <c r="T972" s="330"/>
      <c r="U972" s="338"/>
      <c r="V972" s="330"/>
      <c r="W972" s="330"/>
      <c r="X972" s="330"/>
      <c r="Y972" s="330"/>
      <c r="Z972" s="330"/>
    </row>
    <row r="973" spans="1:26" ht="12.5">
      <c r="A973" s="330"/>
      <c r="B973" s="330"/>
      <c r="C973" s="330"/>
      <c r="D973" s="330"/>
      <c r="E973" s="330"/>
      <c r="F973" s="330"/>
      <c r="G973" s="330"/>
      <c r="H973" s="330"/>
      <c r="I973" s="327"/>
      <c r="J973" s="330"/>
      <c r="K973" s="330"/>
      <c r="L973" s="330"/>
      <c r="M973" s="330"/>
      <c r="N973" s="330"/>
      <c r="O973" s="330"/>
      <c r="P973" s="330"/>
      <c r="Q973" s="330"/>
      <c r="R973" s="330"/>
      <c r="S973" s="330"/>
      <c r="T973" s="330"/>
      <c r="U973" s="338"/>
      <c r="V973" s="330"/>
      <c r="W973" s="330"/>
      <c r="X973" s="330"/>
      <c r="Y973" s="330"/>
      <c r="Z973" s="330"/>
    </row>
    <row r="974" spans="1:26" ht="12.5">
      <c r="A974" s="330"/>
      <c r="B974" s="330"/>
      <c r="C974" s="330"/>
      <c r="D974" s="330"/>
      <c r="E974" s="330"/>
      <c r="F974" s="330"/>
      <c r="G974" s="330"/>
      <c r="H974" s="330"/>
      <c r="I974" s="327"/>
      <c r="J974" s="330"/>
      <c r="K974" s="330"/>
      <c r="L974" s="330"/>
      <c r="M974" s="330"/>
      <c r="N974" s="330"/>
      <c r="O974" s="330"/>
      <c r="P974" s="330"/>
      <c r="Q974" s="330"/>
      <c r="R974" s="330"/>
      <c r="S974" s="330"/>
      <c r="T974" s="330"/>
      <c r="U974" s="338"/>
      <c r="V974" s="330"/>
      <c r="W974" s="330"/>
      <c r="X974" s="330"/>
      <c r="Y974" s="330"/>
      <c r="Z974" s="330"/>
    </row>
    <row r="975" spans="1:26" ht="12.5">
      <c r="A975" s="330"/>
      <c r="B975" s="330"/>
      <c r="C975" s="330"/>
      <c r="D975" s="330"/>
      <c r="E975" s="330"/>
      <c r="F975" s="330"/>
      <c r="G975" s="330"/>
      <c r="H975" s="330"/>
      <c r="I975" s="327"/>
      <c r="J975" s="330"/>
      <c r="K975" s="330"/>
      <c r="L975" s="330"/>
      <c r="M975" s="330"/>
      <c r="N975" s="330"/>
      <c r="O975" s="330"/>
      <c r="P975" s="330"/>
      <c r="Q975" s="330"/>
      <c r="R975" s="330"/>
      <c r="S975" s="330"/>
      <c r="T975" s="330"/>
      <c r="U975" s="338"/>
      <c r="V975" s="330"/>
      <c r="W975" s="330"/>
      <c r="X975" s="330"/>
      <c r="Y975" s="330"/>
      <c r="Z975" s="330"/>
    </row>
    <row r="976" spans="1:26" ht="12.5">
      <c r="A976" s="330"/>
      <c r="B976" s="330"/>
      <c r="C976" s="330"/>
      <c r="D976" s="330"/>
      <c r="E976" s="330"/>
      <c r="F976" s="330"/>
      <c r="G976" s="330"/>
      <c r="H976" s="330"/>
      <c r="I976" s="327"/>
      <c r="J976" s="330"/>
      <c r="K976" s="330"/>
      <c r="L976" s="330"/>
      <c r="M976" s="330"/>
      <c r="N976" s="330"/>
      <c r="O976" s="330"/>
      <c r="P976" s="330"/>
      <c r="Q976" s="330"/>
      <c r="R976" s="330"/>
      <c r="S976" s="330"/>
      <c r="T976" s="330"/>
      <c r="U976" s="338"/>
      <c r="V976" s="330"/>
      <c r="W976" s="330"/>
      <c r="X976" s="330"/>
      <c r="Y976" s="330"/>
      <c r="Z976" s="330"/>
    </row>
    <row r="977" spans="1:26" ht="12.5">
      <c r="A977" s="330"/>
      <c r="B977" s="330"/>
      <c r="C977" s="330"/>
      <c r="D977" s="330"/>
      <c r="E977" s="330"/>
      <c r="F977" s="330"/>
      <c r="G977" s="330"/>
      <c r="H977" s="330"/>
      <c r="I977" s="327"/>
      <c r="J977" s="330"/>
      <c r="K977" s="330"/>
      <c r="L977" s="330"/>
      <c r="M977" s="330"/>
      <c r="N977" s="330"/>
      <c r="O977" s="330"/>
      <c r="P977" s="330"/>
      <c r="Q977" s="330"/>
      <c r="R977" s="330"/>
      <c r="S977" s="330"/>
      <c r="T977" s="330"/>
      <c r="U977" s="338"/>
      <c r="V977" s="330"/>
      <c r="W977" s="330"/>
      <c r="X977" s="330"/>
      <c r="Y977" s="330"/>
      <c r="Z977" s="330"/>
    </row>
    <row r="978" spans="1:26" ht="12.5">
      <c r="A978" s="330"/>
      <c r="B978" s="330"/>
      <c r="C978" s="330"/>
      <c r="D978" s="330"/>
      <c r="E978" s="330"/>
      <c r="F978" s="330"/>
      <c r="G978" s="330"/>
      <c r="H978" s="330"/>
      <c r="I978" s="327"/>
      <c r="J978" s="330"/>
      <c r="K978" s="330"/>
      <c r="L978" s="330"/>
      <c r="M978" s="330"/>
      <c r="N978" s="330"/>
      <c r="O978" s="330"/>
      <c r="P978" s="330"/>
      <c r="Q978" s="330"/>
      <c r="R978" s="330"/>
      <c r="S978" s="330"/>
      <c r="T978" s="330"/>
      <c r="U978" s="338"/>
      <c r="V978" s="330"/>
      <c r="W978" s="330"/>
      <c r="X978" s="330"/>
      <c r="Y978" s="330"/>
      <c r="Z978" s="330"/>
    </row>
    <row r="979" spans="1:26" ht="12.5">
      <c r="A979" s="330"/>
      <c r="B979" s="330"/>
      <c r="C979" s="330"/>
      <c r="D979" s="330"/>
      <c r="E979" s="330"/>
      <c r="F979" s="330"/>
      <c r="G979" s="330"/>
      <c r="H979" s="330"/>
      <c r="I979" s="327"/>
      <c r="J979" s="330"/>
      <c r="K979" s="330"/>
      <c r="L979" s="330"/>
      <c r="M979" s="330"/>
      <c r="N979" s="330"/>
      <c r="O979" s="330"/>
      <c r="P979" s="330"/>
      <c r="Q979" s="330"/>
      <c r="R979" s="330"/>
      <c r="S979" s="330"/>
      <c r="T979" s="330"/>
      <c r="U979" s="338"/>
      <c r="V979" s="330"/>
      <c r="W979" s="330"/>
      <c r="X979" s="330"/>
      <c r="Y979" s="330"/>
      <c r="Z979" s="330"/>
    </row>
    <row r="980" spans="1:26" ht="12.5">
      <c r="A980" s="330"/>
      <c r="B980" s="330"/>
      <c r="C980" s="330"/>
      <c r="D980" s="330"/>
      <c r="E980" s="330"/>
      <c r="F980" s="330"/>
      <c r="G980" s="330"/>
      <c r="H980" s="330"/>
      <c r="I980" s="327"/>
      <c r="J980" s="330"/>
      <c r="K980" s="330"/>
      <c r="L980" s="330"/>
      <c r="M980" s="330"/>
      <c r="N980" s="330"/>
      <c r="O980" s="330"/>
      <c r="P980" s="330"/>
      <c r="Q980" s="330"/>
      <c r="R980" s="330"/>
      <c r="S980" s="330"/>
      <c r="T980" s="330"/>
      <c r="U980" s="338"/>
      <c r="V980" s="330"/>
      <c r="W980" s="330"/>
      <c r="X980" s="330"/>
      <c r="Y980" s="330"/>
      <c r="Z980" s="330"/>
    </row>
    <row r="981" spans="1:26" ht="12.5">
      <c r="A981" s="330"/>
      <c r="B981" s="330"/>
      <c r="C981" s="330"/>
      <c r="D981" s="330"/>
      <c r="E981" s="330"/>
      <c r="F981" s="330"/>
      <c r="G981" s="330"/>
      <c r="H981" s="330"/>
      <c r="I981" s="327"/>
      <c r="J981" s="330"/>
      <c r="K981" s="330"/>
      <c r="L981" s="330"/>
      <c r="M981" s="330"/>
      <c r="N981" s="330"/>
      <c r="O981" s="330"/>
      <c r="P981" s="330"/>
      <c r="Q981" s="330"/>
      <c r="R981" s="330"/>
      <c r="S981" s="330"/>
      <c r="T981" s="330"/>
      <c r="U981" s="338"/>
      <c r="V981" s="330"/>
      <c r="W981" s="330"/>
      <c r="X981" s="330"/>
      <c r="Y981" s="330"/>
      <c r="Z981" s="330"/>
    </row>
    <row r="982" spans="1:26" ht="12.5">
      <c r="A982" s="330"/>
      <c r="B982" s="330"/>
      <c r="C982" s="330"/>
      <c r="D982" s="330"/>
      <c r="E982" s="330"/>
      <c r="F982" s="330"/>
      <c r="G982" s="330"/>
      <c r="H982" s="330"/>
      <c r="I982" s="327"/>
      <c r="J982" s="330"/>
      <c r="K982" s="330"/>
      <c r="L982" s="330"/>
      <c r="M982" s="330"/>
      <c r="N982" s="330"/>
      <c r="O982" s="330"/>
      <c r="P982" s="330"/>
      <c r="Q982" s="330"/>
      <c r="R982" s="330"/>
      <c r="S982" s="330"/>
      <c r="T982" s="330"/>
      <c r="U982" s="338"/>
      <c r="V982" s="330"/>
      <c r="W982" s="330"/>
      <c r="X982" s="330"/>
      <c r="Y982" s="330"/>
      <c r="Z982" s="330"/>
    </row>
    <row r="983" spans="1:26" ht="12.5">
      <c r="A983" s="330"/>
      <c r="B983" s="330"/>
      <c r="C983" s="330"/>
      <c r="D983" s="330"/>
      <c r="E983" s="330"/>
      <c r="F983" s="330"/>
      <c r="G983" s="330"/>
      <c r="H983" s="330"/>
      <c r="I983" s="327"/>
      <c r="J983" s="330"/>
      <c r="K983" s="330"/>
      <c r="L983" s="330"/>
      <c r="M983" s="330"/>
      <c r="N983" s="330"/>
      <c r="O983" s="330"/>
      <c r="P983" s="330"/>
      <c r="Q983" s="330"/>
      <c r="R983" s="330"/>
      <c r="S983" s="330"/>
      <c r="T983" s="330"/>
      <c r="U983" s="338"/>
      <c r="V983" s="330"/>
      <c r="W983" s="330"/>
      <c r="X983" s="330"/>
      <c r="Y983" s="330"/>
      <c r="Z983" s="330"/>
    </row>
    <row r="984" spans="1:26" ht="12.5">
      <c r="A984" s="330"/>
      <c r="B984" s="330"/>
      <c r="C984" s="330"/>
      <c r="D984" s="330"/>
      <c r="E984" s="330"/>
      <c r="F984" s="330"/>
      <c r="G984" s="330"/>
      <c r="H984" s="330"/>
      <c r="I984" s="327"/>
      <c r="J984" s="330"/>
      <c r="K984" s="330"/>
      <c r="L984" s="330"/>
      <c r="M984" s="330"/>
      <c r="N984" s="330"/>
      <c r="O984" s="330"/>
      <c r="P984" s="330"/>
      <c r="Q984" s="330"/>
      <c r="R984" s="330"/>
      <c r="S984" s="330"/>
      <c r="T984" s="330"/>
      <c r="U984" s="338"/>
      <c r="V984" s="330"/>
      <c r="W984" s="330"/>
      <c r="X984" s="330"/>
      <c r="Y984" s="330"/>
      <c r="Z984" s="330"/>
    </row>
    <row r="985" spans="1:26" ht="12.5">
      <c r="A985" s="330"/>
      <c r="B985" s="330"/>
      <c r="C985" s="330"/>
      <c r="D985" s="330"/>
      <c r="E985" s="330"/>
      <c r="F985" s="330"/>
      <c r="G985" s="330"/>
      <c r="H985" s="330"/>
      <c r="I985" s="327"/>
      <c r="J985" s="330"/>
      <c r="K985" s="330"/>
      <c r="L985" s="330"/>
      <c r="M985" s="330"/>
      <c r="N985" s="330"/>
      <c r="O985" s="330"/>
      <c r="P985" s="330"/>
      <c r="Q985" s="330"/>
      <c r="R985" s="330"/>
      <c r="S985" s="330"/>
      <c r="T985" s="330"/>
      <c r="U985" s="338"/>
      <c r="V985" s="330"/>
      <c r="W985" s="330"/>
      <c r="X985" s="330"/>
      <c r="Y985" s="330"/>
      <c r="Z985" s="330"/>
    </row>
    <row r="986" spans="1:26" ht="12.5">
      <c r="A986" s="330"/>
      <c r="B986" s="330"/>
      <c r="C986" s="330"/>
      <c r="D986" s="330"/>
      <c r="E986" s="330"/>
      <c r="F986" s="330"/>
      <c r="G986" s="330"/>
      <c r="H986" s="330"/>
      <c r="I986" s="327"/>
      <c r="J986" s="330"/>
      <c r="K986" s="330"/>
      <c r="L986" s="330"/>
      <c r="M986" s="330"/>
      <c r="N986" s="330"/>
      <c r="O986" s="330"/>
      <c r="P986" s="330"/>
      <c r="Q986" s="330"/>
      <c r="R986" s="330"/>
      <c r="S986" s="330"/>
      <c r="T986" s="330"/>
      <c r="U986" s="338"/>
      <c r="V986" s="330"/>
      <c r="W986" s="330"/>
      <c r="X986" s="330"/>
      <c r="Y986" s="330"/>
      <c r="Z986" s="330"/>
    </row>
    <row r="987" spans="1:26" ht="12.5">
      <c r="A987" s="330"/>
      <c r="B987" s="330"/>
      <c r="C987" s="330"/>
      <c r="D987" s="330"/>
      <c r="E987" s="330"/>
      <c r="F987" s="330"/>
      <c r="G987" s="330"/>
      <c r="H987" s="330"/>
      <c r="I987" s="327"/>
      <c r="J987" s="330"/>
      <c r="K987" s="330"/>
      <c r="L987" s="330"/>
      <c r="M987" s="330"/>
      <c r="N987" s="330"/>
      <c r="O987" s="330"/>
      <c r="P987" s="330"/>
      <c r="Q987" s="330"/>
      <c r="R987" s="330"/>
      <c r="S987" s="330"/>
      <c r="T987" s="330"/>
      <c r="U987" s="338"/>
      <c r="V987" s="330"/>
      <c r="W987" s="330"/>
      <c r="X987" s="330"/>
      <c r="Y987" s="330"/>
      <c r="Z987" s="330"/>
    </row>
    <row r="988" spans="1:26" ht="12.5">
      <c r="A988" s="330"/>
      <c r="B988" s="330"/>
      <c r="C988" s="330"/>
      <c r="D988" s="330"/>
      <c r="E988" s="330"/>
      <c r="F988" s="330"/>
      <c r="G988" s="330"/>
      <c r="H988" s="330"/>
      <c r="I988" s="327"/>
      <c r="J988" s="330"/>
      <c r="K988" s="330"/>
      <c r="L988" s="330"/>
      <c r="M988" s="330"/>
      <c r="N988" s="330"/>
      <c r="O988" s="330"/>
      <c r="P988" s="330"/>
      <c r="Q988" s="330"/>
      <c r="R988" s="330"/>
      <c r="S988" s="330"/>
      <c r="T988" s="330"/>
      <c r="U988" s="338"/>
      <c r="V988" s="330"/>
      <c r="W988" s="330"/>
      <c r="X988" s="330"/>
      <c r="Y988" s="330"/>
      <c r="Z988" s="330"/>
    </row>
    <row r="989" spans="1:26" ht="12.5">
      <c r="A989" s="330"/>
      <c r="B989" s="330"/>
      <c r="C989" s="330"/>
      <c r="D989" s="330"/>
      <c r="E989" s="330"/>
      <c r="F989" s="330"/>
      <c r="G989" s="330"/>
      <c r="H989" s="330"/>
      <c r="I989" s="327"/>
      <c r="J989" s="330"/>
      <c r="K989" s="330"/>
      <c r="L989" s="330"/>
      <c r="M989" s="330"/>
      <c r="N989" s="330"/>
      <c r="O989" s="330"/>
      <c r="P989" s="330"/>
      <c r="Q989" s="330"/>
      <c r="R989" s="330"/>
      <c r="S989" s="330"/>
      <c r="T989" s="330"/>
      <c r="U989" s="338"/>
      <c r="V989" s="330"/>
      <c r="W989" s="330"/>
      <c r="X989" s="330"/>
      <c r="Y989" s="330"/>
      <c r="Z989" s="330"/>
    </row>
    <row r="990" spans="1:26" ht="12.5">
      <c r="A990" s="330"/>
      <c r="B990" s="330"/>
      <c r="C990" s="330"/>
      <c r="D990" s="330"/>
      <c r="E990" s="330"/>
      <c r="F990" s="330"/>
      <c r="G990" s="330"/>
      <c r="H990" s="330"/>
      <c r="I990" s="327"/>
      <c r="J990" s="330"/>
      <c r="K990" s="330"/>
      <c r="L990" s="330"/>
      <c r="M990" s="330"/>
      <c r="N990" s="330"/>
      <c r="O990" s="330"/>
      <c r="P990" s="330"/>
      <c r="Q990" s="330"/>
      <c r="R990" s="330"/>
      <c r="S990" s="330"/>
      <c r="T990" s="330"/>
      <c r="U990" s="338"/>
      <c r="V990" s="330"/>
      <c r="W990" s="330"/>
      <c r="X990" s="330"/>
      <c r="Y990" s="330"/>
      <c r="Z990" s="330"/>
    </row>
    <row r="991" spans="1:26" ht="12.5">
      <c r="A991" s="330"/>
      <c r="B991" s="330"/>
      <c r="C991" s="330"/>
      <c r="D991" s="330"/>
      <c r="E991" s="330"/>
      <c r="F991" s="330"/>
      <c r="G991" s="330"/>
      <c r="H991" s="330"/>
      <c r="I991" s="327"/>
      <c r="J991" s="330"/>
      <c r="K991" s="330"/>
      <c r="L991" s="330"/>
      <c r="M991" s="330"/>
      <c r="N991" s="330"/>
      <c r="O991" s="330"/>
      <c r="P991" s="330"/>
      <c r="Q991" s="330"/>
      <c r="R991" s="330"/>
      <c r="S991" s="330"/>
      <c r="T991" s="330"/>
      <c r="U991" s="338"/>
      <c r="V991" s="330"/>
      <c r="W991" s="330"/>
      <c r="X991" s="330"/>
      <c r="Y991" s="330"/>
      <c r="Z991" s="330"/>
    </row>
    <row r="992" spans="1:26" ht="12.5">
      <c r="A992" s="330"/>
      <c r="B992" s="330"/>
      <c r="C992" s="330"/>
      <c r="D992" s="330"/>
      <c r="E992" s="330"/>
      <c r="F992" s="330"/>
      <c r="G992" s="330"/>
      <c r="H992" s="330"/>
      <c r="I992" s="327"/>
      <c r="J992" s="330"/>
      <c r="K992" s="330"/>
      <c r="L992" s="330"/>
      <c r="M992" s="330"/>
      <c r="N992" s="330"/>
      <c r="O992" s="330"/>
      <c r="P992" s="330"/>
      <c r="Q992" s="330"/>
      <c r="R992" s="330"/>
      <c r="S992" s="330"/>
      <c r="T992" s="330"/>
      <c r="U992" s="338"/>
      <c r="V992" s="330"/>
      <c r="W992" s="330"/>
      <c r="X992" s="330"/>
      <c r="Y992" s="330"/>
      <c r="Z992" s="330"/>
    </row>
    <row r="993" spans="1:26" ht="12.5">
      <c r="A993" s="330"/>
      <c r="B993" s="330"/>
      <c r="C993" s="330"/>
      <c r="D993" s="330"/>
      <c r="E993" s="330"/>
      <c r="F993" s="330"/>
      <c r="G993" s="330"/>
      <c r="H993" s="330"/>
      <c r="I993" s="327"/>
      <c r="J993" s="330"/>
      <c r="K993" s="330"/>
      <c r="L993" s="330"/>
      <c r="M993" s="330"/>
      <c r="N993" s="330"/>
      <c r="O993" s="330"/>
      <c r="P993" s="330"/>
      <c r="Q993" s="330"/>
      <c r="R993" s="330"/>
      <c r="S993" s="330"/>
      <c r="T993" s="330"/>
      <c r="U993" s="338"/>
      <c r="V993" s="330"/>
      <c r="W993" s="330"/>
      <c r="X993" s="330"/>
      <c r="Y993" s="330"/>
      <c r="Z993" s="330"/>
    </row>
    <row r="994" spans="1:26" ht="12.5">
      <c r="A994" s="330"/>
      <c r="B994" s="330"/>
      <c r="C994" s="330"/>
      <c r="D994" s="330"/>
      <c r="E994" s="330"/>
      <c r="F994" s="330"/>
      <c r="G994" s="330"/>
      <c r="H994" s="330"/>
      <c r="I994" s="327"/>
      <c r="J994" s="330"/>
      <c r="K994" s="330"/>
      <c r="L994" s="330"/>
      <c r="M994" s="330"/>
      <c r="N994" s="330"/>
      <c r="O994" s="330"/>
      <c r="P994" s="330"/>
      <c r="Q994" s="330"/>
      <c r="R994" s="330"/>
      <c r="S994" s="330"/>
      <c r="T994" s="330"/>
      <c r="U994" s="338"/>
      <c r="V994" s="330"/>
      <c r="W994" s="330"/>
      <c r="X994" s="330"/>
      <c r="Y994" s="330"/>
      <c r="Z994" s="330"/>
    </row>
    <row r="995" spans="1:26" ht="12.5">
      <c r="A995" s="330"/>
      <c r="B995" s="330"/>
      <c r="C995" s="330"/>
      <c r="D995" s="330"/>
      <c r="E995" s="330"/>
      <c r="F995" s="330"/>
      <c r="G995" s="330"/>
      <c r="H995" s="330"/>
      <c r="I995" s="327"/>
      <c r="J995" s="330"/>
      <c r="K995" s="330"/>
      <c r="L995" s="330"/>
      <c r="M995" s="330"/>
      <c r="N995" s="330"/>
      <c r="O995" s="330"/>
      <c r="P995" s="330"/>
      <c r="Q995" s="330"/>
      <c r="R995" s="330"/>
      <c r="S995" s="330"/>
      <c r="T995" s="330"/>
      <c r="U995" s="338"/>
      <c r="V995" s="330"/>
      <c r="W995" s="330"/>
      <c r="X995" s="330"/>
      <c r="Y995" s="330"/>
      <c r="Z995" s="330"/>
    </row>
    <row r="996" spans="1:26" ht="12.5">
      <c r="A996" s="330"/>
      <c r="B996" s="330"/>
      <c r="C996" s="330"/>
      <c r="D996" s="330"/>
      <c r="E996" s="330"/>
      <c r="F996" s="330"/>
      <c r="G996" s="330"/>
      <c r="H996" s="330"/>
      <c r="I996" s="327"/>
      <c r="J996" s="330"/>
      <c r="K996" s="330"/>
      <c r="L996" s="330"/>
      <c r="M996" s="330"/>
      <c r="N996" s="330"/>
      <c r="O996" s="330"/>
      <c r="P996" s="330"/>
      <c r="Q996" s="330"/>
      <c r="R996" s="330"/>
      <c r="S996" s="330"/>
      <c r="T996" s="330"/>
      <c r="U996" s="338"/>
      <c r="V996" s="330"/>
      <c r="W996" s="330"/>
      <c r="X996" s="330"/>
      <c r="Y996" s="330"/>
      <c r="Z996" s="330"/>
    </row>
    <row r="997" spans="1:26" ht="12.5">
      <c r="A997" s="330"/>
      <c r="B997" s="330"/>
      <c r="C997" s="330"/>
      <c r="D997" s="330"/>
      <c r="E997" s="330"/>
      <c r="F997" s="330"/>
      <c r="G997" s="330"/>
      <c r="H997" s="330"/>
      <c r="I997" s="327"/>
      <c r="J997" s="330"/>
      <c r="K997" s="330"/>
      <c r="L997" s="330"/>
      <c r="M997" s="330"/>
      <c r="N997" s="330"/>
      <c r="O997" s="330"/>
      <c r="P997" s="330"/>
      <c r="Q997" s="330"/>
      <c r="R997" s="330"/>
      <c r="S997" s="330"/>
      <c r="T997" s="330"/>
      <c r="U997" s="338"/>
      <c r="V997" s="330"/>
      <c r="W997" s="330"/>
      <c r="X997" s="330"/>
      <c r="Y997" s="330"/>
      <c r="Z997" s="330"/>
    </row>
    <row r="998" spans="1:26" ht="12.5">
      <c r="A998" s="330"/>
      <c r="B998" s="330"/>
      <c r="C998" s="330"/>
      <c r="D998" s="330"/>
      <c r="E998" s="330"/>
      <c r="F998" s="330"/>
      <c r="G998" s="330"/>
      <c r="H998" s="330"/>
      <c r="I998" s="327"/>
      <c r="J998" s="330"/>
      <c r="K998" s="330"/>
      <c r="L998" s="330"/>
      <c r="M998" s="330"/>
      <c r="N998" s="330"/>
      <c r="O998" s="330"/>
      <c r="P998" s="330"/>
      <c r="Q998" s="330"/>
      <c r="R998" s="330"/>
      <c r="S998" s="330"/>
      <c r="T998" s="330"/>
      <c r="U998" s="338"/>
      <c r="V998" s="330"/>
      <c r="W998" s="330"/>
      <c r="X998" s="330"/>
      <c r="Y998" s="330"/>
      <c r="Z998" s="330"/>
    </row>
    <row r="999" spans="1:26" ht="12.5">
      <c r="A999" s="330"/>
      <c r="B999" s="330"/>
      <c r="C999" s="330"/>
      <c r="D999" s="330"/>
      <c r="E999" s="330"/>
      <c r="F999" s="330"/>
      <c r="G999" s="330"/>
      <c r="H999" s="330"/>
      <c r="I999" s="327"/>
      <c r="J999" s="330"/>
      <c r="K999" s="330"/>
      <c r="L999" s="330"/>
      <c r="M999" s="330"/>
      <c r="N999" s="330"/>
      <c r="O999" s="330"/>
      <c r="P999" s="330"/>
      <c r="Q999" s="330"/>
      <c r="R999" s="330"/>
      <c r="S999" s="330"/>
      <c r="T999" s="330"/>
      <c r="U999" s="338"/>
      <c r="V999" s="330"/>
      <c r="W999" s="330"/>
      <c r="X999" s="330"/>
      <c r="Y999" s="330"/>
      <c r="Z999" s="330"/>
    </row>
    <row r="1000" spans="1:26" ht="12.5">
      <c r="A1000" s="330"/>
      <c r="B1000" s="330"/>
      <c r="C1000" s="330"/>
      <c r="D1000" s="330"/>
      <c r="E1000" s="330"/>
      <c r="F1000" s="330"/>
      <c r="G1000" s="330"/>
      <c r="H1000" s="330"/>
      <c r="I1000" s="327"/>
      <c r="J1000" s="330"/>
      <c r="K1000" s="330"/>
      <c r="L1000" s="330"/>
      <c r="M1000" s="330"/>
      <c r="N1000" s="330"/>
      <c r="O1000" s="330"/>
      <c r="P1000" s="330"/>
      <c r="Q1000" s="330"/>
      <c r="R1000" s="330"/>
      <c r="S1000" s="330"/>
      <c r="T1000" s="330"/>
      <c r="U1000" s="338"/>
      <c r="V1000" s="330"/>
      <c r="W1000" s="330"/>
      <c r="X1000" s="330"/>
      <c r="Y1000" s="330"/>
      <c r="Z1000" s="330"/>
    </row>
    <row r="1001" spans="1:26" ht="12.5">
      <c r="A1001" s="330"/>
      <c r="B1001" s="330"/>
      <c r="C1001" s="330"/>
      <c r="D1001" s="330"/>
      <c r="E1001" s="330"/>
      <c r="F1001" s="330"/>
      <c r="G1001" s="330"/>
      <c r="H1001" s="330"/>
      <c r="I1001" s="327"/>
      <c r="J1001" s="330"/>
      <c r="K1001" s="330"/>
      <c r="L1001" s="330"/>
      <c r="M1001" s="330"/>
      <c r="N1001" s="330"/>
      <c r="O1001" s="330"/>
      <c r="P1001" s="330"/>
      <c r="Q1001" s="330"/>
      <c r="R1001" s="330"/>
      <c r="S1001" s="330"/>
      <c r="T1001" s="330"/>
      <c r="U1001" s="338"/>
      <c r="V1001" s="330"/>
      <c r="W1001" s="330"/>
      <c r="X1001" s="330"/>
      <c r="Y1001" s="330"/>
      <c r="Z1001" s="330"/>
    </row>
    <row r="1002" spans="1:26" ht="12.5">
      <c r="A1002" s="330"/>
      <c r="B1002" s="330"/>
      <c r="C1002" s="330"/>
      <c r="D1002" s="330"/>
      <c r="E1002" s="330"/>
      <c r="F1002" s="330"/>
      <c r="G1002" s="330"/>
      <c r="H1002" s="330"/>
      <c r="I1002" s="327"/>
      <c r="J1002" s="330"/>
      <c r="K1002" s="330"/>
      <c r="L1002" s="330"/>
      <c r="M1002" s="330"/>
      <c r="N1002" s="330"/>
      <c r="O1002" s="330"/>
      <c r="P1002" s="330"/>
      <c r="Q1002" s="330"/>
      <c r="R1002" s="330"/>
      <c r="S1002" s="330"/>
      <c r="T1002" s="330"/>
      <c r="U1002" s="338"/>
      <c r="V1002" s="330"/>
      <c r="W1002" s="330"/>
      <c r="X1002" s="330"/>
      <c r="Y1002" s="330"/>
      <c r="Z1002" s="330"/>
    </row>
    <row r="1003" spans="1:26" ht="12.5">
      <c r="A1003" s="330"/>
      <c r="B1003" s="330"/>
      <c r="C1003" s="330"/>
      <c r="D1003" s="330"/>
      <c r="E1003" s="330"/>
      <c r="F1003" s="330"/>
      <c r="G1003" s="330"/>
      <c r="H1003" s="330"/>
      <c r="I1003" s="327"/>
      <c r="J1003" s="330"/>
      <c r="K1003" s="330"/>
      <c r="L1003" s="330"/>
      <c r="M1003" s="330"/>
      <c r="N1003" s="330"/>
      <c r="O1003" s="330"/>
      <c r="P1003" s="330"/>
      <c r="Q1003" s="330"/>
      <c r="R1003" s="330"/>
      <c r="S1003" s="330"/>
      <c r="T1003" s="330"/>
      <c r="U1003" s="338"/>
      <c r="V1003" s="330"/>
      <c r="W1003" s="330"/>
      <c r="X1003" s="330"/>
      <c r="Y1003" s="330"/>
      <c r="Z1003" s="330"/>
    </row>
    <row r="1004" spans="1:26" ht="12.5">
      <c r="A1004" s="330"/>
      <c r="B1004" s="330"/>
      <c r="C1004" s="330"/>
      <c r="D1004" s="330"/>
      <c r="E1004" s="330"/>
      <c r="F1004" s="330"/>
      <c r="G1004" s="330"/>
      <c r="H1004" s="330"/>
      <c r="I1004" s="327"/>
      <c r="J1004" s="330"/>
      <c r="K1004" s="330"/>
      <c r="L1004" s="330"/>
      <c r="M1004" s="330"/>
      <c r="N1004" s="330"/>
      <c r="O1004" s="330"/>
      <c r="P1004" s="330"/>
      <c r="Q1004" s="330"/>
      <c r="R1004" s="330"/>
      <c r="S1004" s="330"/>
      <c r="T1004" s="330"/>
      <c r="U1004" s="338"/>
      <c r="V1004" s="330"/>
      <c r="W1004" s="330"/>
      <c r="X1004" s="330"/>
      <c r="Y1004" s="330"/>
      <c r="Z1004" s="330"/>
    </row>
    <row r="1005" spans="1:26" ht="12.5">
      <c r="A1005" s="330"/>
      <c r="B1005" s="330"/>
      <c r="C1005" s="330"/>
      <c r="D1005" s="330"/>
      <c r="E1005" s="330"/>
      <c r="F1005" s="330"/>
      <c r="G1005" s="330"/>
      <c r="H1005" s="330"/>
      <c r="I1005" s="327"/>
      <c r="J1005" s="330"/>
      <c r="K1005" s="330"/>
      <c r="L1005" s="330"/>
      <c r="M1005" s="330"/>
      <c r="N1005" s="330"/>
      <c r="O1005" s="330"/>
      <c r="P1005" s="330"/>
      <c r="Q1005" s="330"/>
      <c r="R1005" s="330"/>
      <c r="S1005" s="330"/>
      <c r="T1005" s="330"/>
      <c r="U1005" s="338"/>
      <c r="V1005" s="330"/>
      <c r="W1005" s="330"/>
      <c r="X1005" s="330"/>
      <c r="Y1005" s="330"/>
      <c r="Z1005" s="330"/>
    </row>
    <row r="1006" spans="1:26" ht="12.5">
      <c r="A1006" s="330"/>
      <c r="B1006" s="330"/>
      <c r="C1006" s="330"/>
      <c r="D1006" s="330"/>
      <c r="E1006" s="330"/>
      <c r="F1006" s="330"/>
      <c r="G1006" s="330"/>
      <c r="H1006" s="330"/>
      <c r="I1006" s="327"/>
      <c r="J1006" s="330"/>
      <c r="K1006" s="330"/>
      <c r="L1006" s="330"/>
      <c r="M1006" s="330"/>
      <c r="N1006" s="330"/>
      <c r="O1006" s="330"/>
      <c r="P1006" s="330"/>
      <c r="Q1006" s="330"/>
      <c r="R1006" s="330"/>
      <c r="S1006" s="330"/>
      <c r="T1006" s="330"/>
      <c r="U1006" s="338"/>
      <c r="V1006" s="330"/>
      <c r="W1006" s="330"/>
      <c r="X1006" s="330"/>
      <c r="Y1006" s="330"/>
      <c r="Z1006" s="330"/>
    </row>
    <row r="1007" spans="1:26" ht="12.5">
      <c r="A1007" s="330"/>
      <c r="B1007" s="330"/>
      <c r="C1007" s="330"/>
      <c r="D1007" s="330"/>
      <c r="E1007" s="330"/>
      <c r="F1007" s="330"/>
      <c r="G1007" s="330"/>
      <c r="H1007" s="330"/>
      <c r="I1007" s="327"/>
      <c r="J1007" s="330"/>
      <c r="K1007" s="330"/>
      <c r="L1007" s="330"/>
      <c r="M1007" s="330"/>
      <c r="N1007" s="330"/>
      <c r="O1007" s="330"/>
      <c r="P1007" s="330"/>
      <c r="Q1007" s="330"/>
      <c r="R1007" s="330"/>
      <c r="S1007" s="330"/>
      <c r="T1007" s="330"/>
      <c r="U1007" s="338"/>
      <c r="V1007" s="330"/>
      <c r="W1007" s="330"/>
      <c r="X1007" s="330"/>
      <c r="Y1007" s="330"/>
      <c r="Z1007" s="330"/>
    </row>
    <row r="1008" spans="1:26" ht="12.5">
      <c r="A1008" s="330"/>
      <c r="B1008" s="330"/>
      <c r="C1008" s="330"/>
      <c r="D1008" s="330"/>
      <c r="E1008" s="330"/>
      <c r="F1008" s="330"/>
      <c r="G1008" s="330"/>
      <c r="H1008" s="330"/>
      <c r="I1008" s="327"/>
      <c r="J1008" s="330"/>
      <c r="K1008" s="330"/>
      <c r="L1008" s="330"/>
      <c r="M1008" s="330"/>
      <c r="N1008" s="330"/>
      <c r="O1008" s="330"/>
      <c r="P1008" s="330"/>
      <c r="Q1008" s="330"/>
      <c r="R1008" s="330"/>
      <c r="S1008" s="330"/>
      <c r="T1008" s="330"/>
      <c r="U1008" s="338"/>
      <c r="V1008" s="330"/>
      <c r="W1008" s="330"/>
      <c r="X1008" s="330"/>
      <c r="Y1008" s="330"/>
      <c r="Z1008" s="330"/>
    </row>
    <row r="1009" spans="1:26" ht="12.5">
      <c r="A1009" s="330"/>
      <c r="B1009" s="330"/>
      <c r="C1009" s="330"/>
      <c r="D1009" s="330"/>
      <c r="E1009" s="330"/>
      <c r="F1009" s="330"/>
      <c r="G1009" s="330"/>
      <c r="H1009" s="330"/>
      <c r="I1009" s="327"/>
      <c r="J1009" s="330"/>
      <c r="K1009" s="330"/>
      <c r="L1009" s="330"/>
      <c r="M1009" s="330"/>
      <c r="N1009" s="330"/>
      <c r="O1009" s="330"/>
      <c r="P1009" s="330"/>
      <c r="Q1009" s="330"/>
      <c r="R1009" s="330"/>
      <c r="S1009" s="330"/>
      <c r="T1009" s="330"/>
      <c r="U1009" s="338"/>
      <c r="V1009" s="330"/>
      <c r="W1009" s="330"/>
      <c r="X1009" s="330"/>
      <c r="Y1009" s="330"/>
      <c r="Z1009" s="330"/>
    </row>
    <row r="1010" spans="1:26" ht="12.5">
      <c r="A1010" s="330"/>
      <c r="B1010" s="330"/>
      <c r="C1010" s="330"/>
      <c r="D1010" s="330"/>
      <c r="E1010" s="330"/>
      <c r="F1010" s="330"/>
      <c r="G1010" s="330"/>
      <c r="H1010" s="330"/>
      <c r="I1010" s="327"/>
      <c r="J1010" s="330"/>
      <c r="K1010" s="330"/>
      <c r="L1010" s="330"/>
      <c r="M1010" s="330"/>
      <c r="N1010" s="330"/>
      <c r="O1010" s="330"/>
      <c r="P1010" s="330"/>
      <c r="Q1010" s="330"/>
      <c r="R1010" s="330"/>
      <c r="S1010" s="330"/>
      <c r="T1010" s="330"/>
      <c r="U1010" s="338"/>
      <c r="V1010" s="330"/>
      <c r="W1010" s="330"/>
      <c r="X1010" s="330"/>
      <c r="Y1010" s="330"/>
      <c r="Z1010" s="330"/>
    </row>
    <row r="1011" spans="1:26" ht="12.5">
      <c r="A1011" s="330"/>
      <c r="B1011" s="330"/>
      <c r="C1011" s="330"/>
      <c r="D1011" s="330"/>
      <c r="E1011" s="330"/>
      <c r="F1011" s="330"/>
      <c r="G1011" s="330"/>
      <c r="H1011" s="330"/>
      <c r="I1011" s="327"/>
      <c r="J1011" s="330"/>
      <c r="K1011" s="330"/>
      <c r="L1011" s="330"/>
      <c r="M1011" s="330"/>
      <c r="N1011" s="330"/>
      <c r="O1011" s="330"/>
      <c r="P1011" s="330"/>
      <c r="Q1011" s="330"/>
      <c r="R1011" s="330"/>
      <c r="S1011" s="330"/>
      <c r="T1011" s="330"/>
      <c r="U1011" s="338"/>
      <c r="V1011" s="330"/>
      <c r="W1011" s="330"/>
      <c r="X1011" s="330"/>
      <c r="Y1011" s="330"/>
      <c r="Z1011" s="330"/>
    </row>
    <row r="1012" spans="1:26" ht="12.5">
      <c r="A1012" s="330"/>
      <c r="B1012" s="330"/>
      <c r="C1012" s="330"/>
      <c r="D1012" s="330"/>
      <c r="E1012" s="330"/>
      <c r="F1012" s="330"/>
      <c r="G1012" s="330"/>
      <c r="H1012" s="330"/>
      <c r="I1012" s="327"/>
      <c r="J1012" s="330"/>
      <c r="K1012" s="330"/>
      <c r="L1012" s="330"/>
      <c r="M1012" s="330"/>
      <c r="N1012" s="330"/>
      <c r="O1012" s="330"/>
      <c r="P1012" s="330"/>
      <c r="Q1012" s="330"/>
      <c r="R1012" s="330"/>
      <c r="S1012" s="330"/>
      <c r="T1012" s="330"/>
      <c r="U1012" s="338"/>
      <c r="V1012" s="330"/>
      <c r="W1012" s="330"/>
      <c r="X1012" s="330"/>
      <c r="Y1012" s="330"/>
      <c r="Z1012" s="330"/>
    </row>
    <row r="1013" spans="1:26" ht="12.5">
      <c r="A1013" s="330"/>
      <c r="B1013" s="330"/>
      <c r="C1013" s="330"/>
      <c r="D1013" s="330"/>
      <c r="E1013" s="330"/>
      <c r="F1013" s="330"/>
      <c r="G1013" s="330"/>
      <c r="H1013" s="330"/>
      <c r="I1013" s="327"/>
      <c r="J1013" s="330"/>
      <c r="K1013" s="330"/>
      <c r="L1013" s="330"/>
      <c r="M1013" s="330"/>
      <c r="N1013" s="330"/>
      <c r="O1013" s="330"/>
      <c r="P1013" s="330"/>
      <c r="Q1013" s="330"/>
      <c r="R1013" s="330"/>
      <c r="S1013" s="330"/>
      <c r="T1013" s="330"/>
      <c r="U1013" s="338"/>
      <c r="V1013" s="330"/>
      <c r="W1013" s="330"/>
      <c r="X1013" s="330"/>
      <c r="Y1013" s="330"/>
      <c r="Z1013" s="330"/>
    </row>
    <row r="1014" spans="1:26" ht="12.5">
      <c r="A1014" s="330"/>
      <c r="B1014" s="330"/>
      <c r="C1014" s="330"/>
      <c r="D1014" s="330"/>
      <c r="E1014" s="330"/>
      <c r="F1014" s="330"/>
      <c r="G1014" s="330"/>
      <c r="H1014" s="330"/>
      <c r="I1014" s="327"/>
      <c r="J1014" s="330"/>
      <c r="K1014" s="330"/>
      <c r="L1014" s="330"/>
      <c r="M1014" s="330"/>
      <c r="N1014" s="330"/>
      <c r="O1014" s="330"/>
      <c r="P1014" s="330"/>
      <c r="Q1014" s="330"/>
      <c r="R1014" s="330"/>
      <c r="S1014" s="330"/>
      <c r="T1014" s="330"/>
      <c r="U1014" s="338"/>
      <c r="V1014" s="330"/>
      <c r="W1014" s="330"/>
      <c r="X1014" s="330"/>
      <c r="Y1014" s="330"/>
      <c r="Z1014" s="330"/>
    </row>
    <row r="1015" spans="1:26" ht="12.5">
      <c r="A1015" s="330"/>
      <c r="B1015" s="330"/>
      <c r="C1015" s="330"/>
      <c r="D1015" s="330"/>
      <c r="E1015" s="330"/>
      <c r="F1015" s="330"/>
      <c r="G1015" s="330"/>
      <c r="H1015" s="330"/>
      <c r="I1015" s="327"/>
      <c r="J1015" s="330"/>
      <c r="K1015" s="330"/>
      <c r="L1015" s="330"/>
      <c r="M1015" s="330"/>
      <c r="N1015" s="330"/>
      <c r="O1015" s="330"/>
      <c r="P1015" s="330"/>
      <c r="Q1015" s="330"/>
      <c r="R1015" s="330"/>
      <c r="S1015" s="330"/>
      <c r="T1015" s="330"/>
      <c r="U1015" s="338"/>
      <c r="V1015" s="330"/>
      <c r="W1015" s="330"/>
      <c r="X1015" s="330"/>
      <c r="Y1015" s="330"/>
      <c r="Z1015" s="330"/>
    </row>
    <row r="1016" spans="1:26" ht="12.5">
      <c r="A1016" s="330"/>
      <c r="B1016" s="330"/>
      <c r="C1016" s="330"/>
      <c r="D1016" s="330"/>
      <c r="E1016" s="330"/>
      <c r="F1016" s="330"/>
      <c r="G1016" s="330"/>
      <c r="H1016" s="330"/>
      <c r="I1016" s="327"/>
      <c r="J1016" s="330"/>
      <c r="K1016" s="330"/>
      <c r="L1016" s="330"/>
      <c r="M1016" s="330"/>
      <c r="N1016" s="330"/>
      <c r="O1016" s="330"/>
      <c r="P1016" s="330"/>
      <c r="Q1016" s="330"/>
      <c r="R1016" s="330"/>
      <c r="S1016" s="330"/>
      <c r="T1016" s="330"/>
      <c r="U1016" s="338"/>
      <c r="V1016" s="330"/>
      <c r="W1016" s="330"/>
      <c r="X1016" s="330"/>
      <c r="Y1016" s="330"/>
      <c r="Z1016" s="330"/>
    </row>
    <row r="1017" spans="1:26" ht="12.5">
      <c r="A1017" s="330"/>
      <c r="B1017" s="330"/>
      <c r="C1017" s="330"/>
      <c r="D1017" s="330"/>
      <c r="E1017" s="330"/>
      <c r="F1017" s="330"/>
      <c r="G1017" s="330"/>
      <c r="H1017" s="330"/>
      <c r="I1017" s="327"/>
      <c r="J1017" s="330"/>
      <c r="K1017" s="330"/>
      <c r="L1017" s="330"/>
      <c r="M1017" s="330"/>
      <c r="N1017" s="330"/>
      <c r="O1017" s="330"/>
      <c r="P1017" s="330"/>
      <c r="Q1017" s="330"/>
      <c r="R1017" s="330"/>
      <c r="S1017" s="330"/>
      <c r="T1017" s="330"/>
      <c r="U1017" s="338"/>
      <c r="V1017" s="330"/>
      <c r="W1017" s="330"/>
      <c r="X1017" s="330"/>
      <c r="Y1017" s="330"/>
      <c r="Z1017" s="330"/>
    </row>
    <row r="1018" spans="1:26" ht="12.5">
      <c r="A1018" s="330"/>
      <c r="B1018" s="330"/>
      <c r="C1018" s="330"/>
      <c r="D1018" s="330"/>
      <c r="E1018" s="330"/>
      <c r="F1018" s="330"/>
      <c r="G1018" s="330"/>
      <c r="H1018" s="330"/>
      <c r="I1018" s="327"/>
      <c r="J1018" s="330"/>
      <c r="K1018" s="330"/>
      <c r="L1018" s="330"/>
      <c r="M1018" s="330"/>
      <c r="N1018" s="330"/>
      <c r="O1018" s="330"/>
      <c r="P1018" s="330"/>
      <c r="Q1018" s="330"/>
      <c r="R1018" s="330"/>
      <c r="S1018" s="330"/>
      <c r="T1018" s="330"/>
      <c r="U1018" s="338"/>
      <c r="V1018" s="330"/>
      <c r="W1018" s="330"/>
      <c r="X1018" s="330"/>
      <c r="Y1018" s="330"/>
      <c r="Z1018" s="330"/>
    </row>
    <row r="1019" spans="1:26" ht="12.5">
      <c r="A1019" s="330"/>
      <c r="B1019" s="330"/>
      <c r="C1019" s="330"/>
      <c r="D1019" s="330"/>
      <c r="E1019" s="330"/>
      <c r="F1019" s="330"/>
      <c r="G1019" s="330"/>
      <c r="H1019" s="330"/>
      <c r="I1019" s="327"/>
      <c r="J1019" s="330"/>
      <c r="K1019" s="330"/>
      <c r="L1019" s="330"/>
      <c r="M1019" s="330"/>
      <c r="N1019" s="330"/>
      <c r="O1019" s="330"/>
      <c r="P1019" s="330"/>
      <c r="Q1019" s="330"/>
      <c r="R1019" s="330"/>
      <c r="S1019" s="330"/>
      <c r="T1019" s="330"/>
      <c r="U1019" s="338"/>
      <c r="V1019" s="330"/>
      <c r="W1019" s="330"/>
      <c r="X1019" s="330"/>
      <c r="Y1019" s="330"/>
      <c r="Z1019" s="330"/>
    </row>
    <row r="1020" spans="1:26" ht="12.5">
      <c r="A1020" s="330"/>
      <c r="B1020" s="330"/>
      <c r="C1020" s="330"/>
      <c r="D1020" s="330"/>
      <c r="E1020" s="330"/>
      <c r="F1020" s="330"/>
      <c r="G1020" s="330"/>
      <c r="H1020" s="330"/>
      <c r="I1020" s="327"/>
      <c r="J1020" s="330"/>
      <c r="K1020" s="330"/>
      <c r="L1020" s="330"/>
      <c r="M1020" s="330"/>
      <c r="N1020" s="330"/>
      <c r="O1020" s="330"/>
      <c r="P1020" s="330"/>
      <c r="Q1020" s="330"/>
      <c r="R1020" s="330"/>
      <c r="S1020" s="330"/>
      <c r="T1020" s="330"/>
      <c r="U1020" s="338"/>
      <c r="V1020" s="330"/>
      <c r="W1020" s="330"/>
      <c r="X1020" s="330"/>
      <c r="Y1020" s="330"/>
      <c r="Z1020" s="330"/>
    </row>
    <row r="1021" spans="1:26" ht="12.5">
      <c r="A1021" s="330"/>
      <c r="B1021" s="330"/>
      <c r="C1021" s="330"/>
      <c r="D1021" s="330"/>
      <c r="E1021" s="330"/>
      <c r="F1021" s="330"/>
      <c r="G1021" s="330"/>
      <c r="H1021" s="330"/>
      <c r="I1021" s="327"/>
      <c r="J1021" s="330"/>
      <c r="K1021" s="330"/>
      <c r="L1021" s="330"/>
      <c r="M1021" s="330"/>
      <c r="N1021" s="330"/>
      <c r="O1021" s="330"/>
      <c r="P1021" s="330"/>
      <c r="Q1021" s="330"/>
      <c r="R1021" s="330"/>
      <c r="S1021" s="330"/>
      <c r="T1021" s="330"/>
      <c r="U1021" s="338"/>
      <c r="V1021" s="330"/>
      <c r="W1021" s="330"/>
      <c r="X1021" s="330"/>
      <c r="Y1021" s="330"/>
      <c r="Z1021" s="330"/>
    </row>
    <row r="1022" spans="1:26" ht="12.5">
      <c r="A1022" s="330"/>
      <c r="B1022" s="330"/>
      <c r="C1022" s="330"/>
      <c r="D1022" s="330"/>
      <c r="E1022" s="330"/>
      <c r="F1022" s="330"/>
      <c r="G1022" s="330"/>
      <c r="H1022" s="330"/>
      <c r="I1022" s="327"/>
      <c r="J1022" s="330"/>
      <c r="K1022" s="330"/>
      <c r="L1022" s="330"/>
      <c r="M1022" s="330"/>
      <c r="N1022" s="330"/>
      <c r="O1022" s="330"/>
      <c r="P1022" s="330"/>
      <c r="Q1022" s="330"/>
      <c r="R1022" s="330"/>
      <c r="S1022" s="330"/>
      <c r="T1022" s="330"/>
      <c r="U1022" s="338"/>
      <c r="V1022" s="330"/>
      <c r="W1022" s="330"/>
      <c r="X1022" s="330"/>
      <c r="Y1022" s="330"/>
      <c r="Z1022" s="330"/>
    </row>
    <row r="1023" spans="1:26" ht="12.5">
      <c r="A1023" s="330"/>
      <c r="B1023" s="330"/>
      <c r="C1023" s="330"/>
      <c r="D1023" s="330"/>
      <c r="E1023" s="330"/>
      <c r="F1023" s="330"/>
      <c r="G1023" s="330"/>
      <c r="H1023" s="330"/>
      <c r="I1023" s="327"/>
      <c r="J1023" s="330"/>
      <c r="K1023" s="330"/>
      <c r="L1023" s="330"/>
      <c r="M1023" s="330"/>
      <c r="N1023" s="330"/>
      <c r="O1023" s="330"/>
      <c r="P1023" s="330"/>
      <c r="Q1023" s="330"/>
      <c r="R1023" s="330"/>
      <c r="S1023" s="330"/>
      <c r="T1023" s="330"/>
      <c r="U1023" s="338"/>
      <c r="V1023" s="330"/>
      <c r="W1023" s="330"/>
      <c r="X1023" s="330"/>
      <c r="Y1023" s="330"/>
      <c r="Z1023" s="330"/>
    </row>
    <row r="1024" spans="1:26" ht="12.5">
      <c r="A1024" s="330"/>
      <c r="B1024" s="330"/>
      <c r="C1024" s="330"/>
      <c r="D1024" s="330"/>
      <c r="E1024" s="330"/>
      <c r="F1024" s="330"/>
      <c r="G1024" s="330"/>
      <c r="H1024" s="330"/>
      <c r="I1024" s="327"/>
      <c r="J1024" s="330"/>
      <c r="K1024" s="330"/>
      <c r="L1024" s="330"/>
      <c r="M1024" s="330"/>
      <c r="N1024" s="330"/>
      <c r="O1024" s="330"/>
      <c r="P1024" s="330"/>
      <c r="Q1024" s="330"/>
      <c r="R1024" s="330"/>
      <c r="S1024" s="330"/>
      <c r="T1024" s="330"/>
      <c r="U1024" s="338"/>
      <c r="V1024" s="330"/>
      <c r="W1024" s="330"/>
      <c r="X1024" s="330"/>
      <c r="Y1024" s="330"/>
      <c r="Z1024" s="330"/>
    </row>
    <row r="1025" spans="1:26" ht="12.5">
      <c r="A1025" s="330"/>
      <c r="B1025" s="330"/>
      <c r="C1025" s="330"/>
      <c r="D1025" s="330"/>
      <c r="E1025" s="330"/>
      <c r="F1025" s="330"/>
      <c r="G1025" s="330"/>
      <c r="H1025" s="330"/>
      <c r="I1025" s="327"/>
      <c r="J1025" s="330"/>
      <c r="K1025" s="330"/>
      <c r="L1025" s="330"/>
      <c r="M1025" s="330"/>
      <c r="N1025" s="330"/>
      <c r="O1025" s="330"/>
      <c r="P1025" s="330"/>
      <c r="Q1025" s="330"/>
      <c r="R1025" s="330"/>
      <c r="S1025" s="330"/>
      <c r="T1025" s="330"/>
      <c r="U1025" s="338"/>
      <c r="V1025" s="330"/>
      <c r="W1025" s="330"/>
      <c r="X1025" s="330"/>
      <c r="Y1025" s="330"/>
      <c r="Z1025" s="330"/>
    </row>
    <row r="1026" spans="1:26" ht="12.5">
      <c r="A1026" s="330"/>
      <c r="B1026" s="330"/>
      <c r="C1026" s="330"/>
      <c r="D1026" s="330"/>
      <c r="E1026" s="330"/>
      <c r="F1026" s="330"/>
      <c r="G1026" s="330"/>
      <c r="H1026" s="330"/>
      <c r="I1026" s="327"/>
      <c r="J1026" s="330"/>
      <c r="K1026" s="330"/>
      <c r="L1026" s="330"/>
      <c r="M1026" s="330"/>
      <c r="N1026" s="330"/>
      <c r="O1026" s="330"/>
      <c r="P1026" s="330"/>
      <c r="Q1026" s="330"/>
      <c r="R1026" s="330"/>
      <c r="S1026" s="330"/>
      <c r="T1026" s="330"/>
      <c r="U1026" s="338"/>
      <c r="V1026" s="330"/>
      <c r="W1026" s="330"/>
      <c r="X1026" s="330"/>
      <c r="Y1026" s="330"/>
      <c r="Z1026" s="330"/>
    </row>
    <row r="1027" spans="1:26" ht="12.5">
      <c r="A1027" s="330"/>
      <c r="B1027" s="330"/>
      <c r="C1027" s="330"/>
      <c r="D1027" s="330"/>
      <c r="E1027" s="330"/>
      <c r="F1027" s="330"/>
      <c r="G1027" s="330"/>
      <c r="H1027" s="330"/>
      <c r="I1027" s="327"/>
      <c r="J1027" s="330"/>
      <c r="K1027" s="330"/>
      <c r="L1027" s="330"/>
      <c r="M1027" s="330"/>
      <c r="N1027" s="330"/>
      <c r="O1027" s="330"/>
      <c r="P1027" s="330"/>
      <c r="Q1027" s="330"/>
      <c r="R1027" s="330"/>
      <c r="S1027" s="330"/>
      <c r="T1027" s="330"/>
      <c r="U1027" s="338"/>
      <c r="V1027" s="330"/>
      <c r="W1027" s="330"/>
      <c r="X1027" s="330"/>
      <c r="Y1027" s="330"/>
      <c r="Z1027" s="330"/>
    </row>
    <row r="1028" spans="1:26" ht="12.5">
      <c r="A1028" s="330"/>
      <c r="B1028" s="330"/>
      <c r="C1028" s="330"/>
      <c r="D1028" s="330"/>
      <c r="E1028" s="330"/>
      <c r="F1028" s="330"/>
      <c r="G1028" s="330"/>
      <c r="H1028" s="330"/>
      <c r="I1028" s="327"/>
      <c r="J1028" s="330"/>
      <c r="K1028" s="330"/>
      <c r="L1028" s="330"/>
      <c r="M1028" s="330"/>
      <c r="N1028" s="330"/>
      <c r="O1028" s="330"/>
      <c r="P1028" s="330"/>
      <c r="Q1028" s="330"/>
      <c r="R1028" s="330"/>
      <c r="S1028" s="330"/>
      <c r="T1028" s="330"/>
      <c r="U1028" s="338"/>
      <c r="V1028" s="330"/>
      <c r="W1028" s="330"/>
      <c r="X1028" s="330"/>
      <c r="Y1028" s="330"/>
      <c r="Z1028" s="330"/>
    </row>
    <row r="1029" spans="1:26" ht="12.5">
      <c r="A1029" s="330"/>
      <c r="B1029" s="330"/>
      <c r="C1029" s="330"/>
      <c r="D1029" s="330"/>
      <c r="E1029" s="330"/>
      <c r="F1029" s="330"/>
      <c r="G1029" s="330"/>
      <c r="H1029" s="330"/>
      <c r="I1029" s="327"/>
      <c r="J1029" s="330"/>
      <c r="K1029" s="330"/>
      <c r="L1029" s="330"/>
      <c r="M1029" s="330"/>
      <c r="N1029" s="330"/>
      <c r="O1029" s="330"/>
      <c r="P1029" s="330"/>
      <c r="Q1029" s="330"/>
      <c r="R1029" s="330"/>
      <c r="S1029" s="330"/>
      <c r="T1029" s="330"/>
      <c r="U1029" s="338"/>
      <c r="V1029" s="330"/>
      <c r="W1029" s="330"/>
      <c r="X1029" s="330"/>
      <c r="Y1029" s="330"/>
      <c r="Z1029" s="330"/>
    </row>
    <row r="1030" spans="1:26" ht="12.5">
      <c r="A1030" s="330"/>
      <c r="B1030" s="330"/>
      <c r="C1030" s="330"/>
      <c r="D1030" s="330"/>
      <c r="E1030" s="330"/>
      <c r="F1030" s="330"/>
      <c r="G1030" s="330"/>
      <c r="H1030" s="330"/>
      <c r="I1030" s="327"/>
      <c r="J1030" s="330"/>
      <c r="K1030" s="330"/>
      <c r="L1030" s="330"/>
      <c r="M1030" s="330"/>
      <c r="N1030" s="330"/>
      <c r="O1030" s="330"/>
      <c r="P1030" s="330"/>
      <c r="Q1030" s="330"/>
      <c r="R1030" s="330"/>
      <c r="S1030" s="330"/>
      <c r="T1030" s="330"/>
      <c r="U1030" s="338"/>
      <c r="V1030" s="330"/>
      <c r="W1030" s="330"/>
      <c r="X1030" s="330"/>
      <c r="Y1030" s="330"/>
      <c r="Z1030" s="330"/>
    </row>
    <row r="1031" spans="1:26" ht="12.5">
      <c r="A1031" s="330"/>
      <c r="B1031" s="330"/>
      <c r="C1031" s="330"/>
      <c r="D1031" s="330"/>
      <c r="E1031" s="330"/>
      <c r="F1031" s="330"/>
      <c r="G1031" s="330"/>
      <c r="H1031" s="330"/>
      <c r="I1031" s="327"/>
      <c r="J1031" s="330"/>
      <c r="K1031" s="330"/>
      <c r="L1031" s="330"/>
      <c r="M1031" s="330"/>
      <c r="N1031" s="330"/>
      <c r="O1031" s="330"/>
      <c r="P1031" s="330"/>
      <c r="Q1031" s="330"/>
      <c r="R1031" s="330"/>
      <c r="S1031" s="330"/>
      <c r="T1031" s="330"/>
      <c r="U1031" s="338"/>
      <c r="V1031" s="330"/>
      <c r="W1031" s="330"/>
      <c r="X1031" s="330"/>
      <c r="Y1031" s="330"/>
      <c r="Z1031" s="330"/>
    </row>
    <row r="1032" spans="1:26" ht="12.5">
      <c r="A1032" s="330"/>
      <c r="B1032" s="330"/>
      <c r="C1032" s="330"/>
      <c r="D1032" s="330"/>
      <c r="E1032" s="330"/>
      <c r="F1032" s="330"/>
      <c r="G1032" s="330"/>
      <c r="H1032" s="330"/>
      <c r="I1032" s="327"/>
      <c r="J1032" s="330"/>
      <c r="K1032" s="330"/>
      <c r="L1032" s="330"/>
      <c r="M1032" s="330"/>
      <c r="N1032" s="330"/>
      <c r="O1032" s="330"/>
      <c r="P1032" s="330"/>
      <c r="Q1032" s="330"/>
      <c r="R1032" s="330"/>
      <c r="S1032" s="330"/>
      <c r="T1032" s="330"/>
      <c r="U1032" s="338"/>
      <c r="V1032" s="330"/>
      <c r="W1032" s="330"/>
      <c r="X1032" s="330"/>
      <c r="Y1032" s="330"/>
      <c r="Z1032" s="330"/>
    </row>
    <row r="1033" spans="1:26" ht="12.5">
      <c r="A1033" s="330"/>
      <c r="B1033" s="330"/>
      <c r="C1033" s="330"/>
      <c r="D1033" s="330"/>
      <c r="E1033" s="330"/>
      <c r="F1033" s="330"/>
      <c r="G1033" s="330"/>
      <c r="H1033" s="330"/>
      <c r="I1033" s="327"/>
      <c r="J1033" s="330"/>
      <c r="K1033" s="330"/>
      <c r="L1033" s="330"/>
      <c r="M1033" s="330"/>
      <c r="N1033" s="330"/>
      <c r="O1033" s="330"/>
      <c r="P1033" s="330"/>
      <c r="Q1033" s="330"/>
      <c r="R1033" s="330"/>
      <c r="S1033" s="330"/>
      <c r="T1033" s="330"/>
      <c r="U1033" s="338"/>
      <c r="V1033" s="330"/>
      <c r="W1033" s="330"/>
      <c r="X1033" s="330"/>
      <c r="Y1033" s="330"/>
      <c r="Z1033" s="330"/>
    </row>
    <row r="1034" spans="1:26" ht="12.5">
      <c r="A1034" s="330"/>
      <c r="B1034" s="330"/>
      <c r="C1034" s="330"/>
      <c r="D1034" s="330"/>
      <c r="E1034" s="330"/>
      <c r="F1034" s="330"/>
      <c r="G1034" s="330"/>
      <c r="H1034" s="330"/>
      <c r="I1034" s="327"/>
      <c r="J1034" s="330"/>
      <c r="K1034" s="330"/>
      <c r="L1034" s="330"/>
      <c r="M1034" s="330"/>
      <c r="N1034" s="330"/>
      <c r="O1034" s="330"/>
      <c r="P1034" s="330"/>
      <c r="Q1034" s="330"/>
      <c r="R1034" s="330"/>
      <c r="S1034" s="330"/>
      <c r="T1034" s="330"/>
      <c r="U1034" s="338"/>
      <c r="V1034" s="330"/>
      <c r="W1034" s="330"/>
      <c r="X1034" s="330"/>
      <c r="Y1034" s="330"/>
      <c r="Z1034" s="330"/>
    </row>
    <row r="1035" spans="1:26" ht="12.5">
      <c r="A1035" s="330"/>
      <c r="B1035" s="330"/>
      <c r="C1035" s="330"/>
      <c r="D1035" s="330"/>
      <c r="E1035" s="330"/>
      <c r="F1035" s="330"/>
      <c r="G1035" s="330"/>
      <c r="H1035" s="330"/>
      <c r="I1035" s="327"/>
      <c r="J1035" s="330"/>
      <c r="K1035" s="330"/>
      <c r="L1035" s="330"/>
      <c r="M1035" s="330"/>
      <c r="N1035" s="330"/>
      <c r="O1035" s="330"/>
      <c r="P1035" s="330"/>
      <c r="Q1035" s="330"/>
      <c r="R1035" s="330"/>
      <c r="S1035" s="330"/>
      <c r="T1035" s="330"/>
      <c r="U1035" s="338"/>
      <c r="V1035" s="330"/>
      <c r="W1035" s="330"/>
      <c r="X1035" s="330"/>
      <c r="Y1035" s="330"/>
      <c r="Z1035" s="330"/>
    </row>
    <row r="1036" spans="1:26" ht="12.5">
      <c r="A1036" s="330"/>
      <c r="B1036" s="330"/>
      <c r="C1036" s="330"/>
      <c r="D1036" s="330"/>
      <c r="E1036" s="330"/>
      <c r="F1036" s="330"/>
      <c r="G1036" s="330"/>
      <c r="H1036" s="330"/>
      <c r="I1036" s="327"/>
      <c r="J1036" s="330"/>
      <c r="K1036" s="330"/>
      <c r="L1036" s="330"/>
      <c r="M1036" s="330"/>
      <c r="N1036" s="330"/>
      <c r="O1036" s="330"/>
      <c r="P1036" s="330"/>
      <c r="Q1036" s="330"/>
      <c r="R1036" s="330"/>
      <c r="S1036" s="330"/>
      <c r="T1036" s="330"/>
      <c r="U1036" s="338"/>
      <c r="V1036" s="330"/>
      <c r="W1036" s="330"/>
      <c r="X1036" s="330"/>
      <c r="Y1036" s="330"/>
      <c r="Z1036" s="330"/>
    </row>
    <row r="1037" spans="1:26" ht="12.5">
      <c r="A1037" s="330"/>
      <c r="B1037" s="330"/>
      <c r="C1037" s="330"/>
      <c r="D1037" s="330"/>
      <c r="E1037" s="330"/>
      <c r="F1037" s="330"/>
      <c r="G1037" s="330"/>
      <c r="H1037" s="330"/>
      <c r="I1037" s="327"/>
      <c r="J1037" s="330"/>
      <c r="K1037" s="330"/>
      <c r="L1037" s="330"/>
      <c r="M1037" s="330"/>
      <c r="N1037" s="330"/>
      <c r="O1037" s="330"/>
      <c r="P1037" s="330"/>
      <c r="Q1037" s="330"/>
      <c r="R1037" s="330"/>
      <c r="S1037" s="330"/>
      <c r="T1037" s="330"/>
      <c r="U1037" s="338"/>
      <c r="V1037" s="330"/>
      <c r="W1037" s="330"/>
      <c r="X1037" s="330"/>
      <c r="Y1037" s="330"/>
      <c r="Z1037" s="330"/>
    </row>
    <row r="1038" spans="1:26" ht="12.5">
      <c r="A1038" s="330"/>
      <c r="B1038" s="330"/>
      <c r="C1038" s="330"/>
      <c r="D1038" s="330"/>
      <c r="E1038" s="330"/>
      <c r="F1038" s="330"/>
      <c r="G1038" s="330"/>
      <c r="H1038" s="330"/>
      <c r="I1038" s="327"/>
      <c r="J1038" s="330"/>
      <c r="K1038" s="330"/>
      <c r="L1038" s="330"/>
      <c r="M1038" s="330"/>
      <c r="N1038" s="330"/>
      <c r="O1038" s="330"/>
      <c r="P1038" s="330"/>
      <c r="Q1038" s="330"/>
      <c r="R1038" s="330"/>
      <c r="S1038" s="330"/>
      <c r="T1038" s="330"/>
      <c r="U1038" s="338"/>
      <c r="V1038" s="330"/>
      <c r="W1038" s="330"/>
      <c r="X1038" s="330"/>
      <c r="Y1038" s="330"/>
      <c r="Z1038" s="330"/>
    </row>
    <row r="1039" spans="1:26" ht="12.5">
      <c r="A1039" s="330"/>
      <c r="B1039" s="330"/>
      <c r="C1039" s="330"/>
      <c r="D1039" s="330"/>
      <c r="E1039" s="330"/>
      <c r="F1039" s="330"/>
      <c r="G1039" s="330"/>
      <c r="H1039" s="330"/>
      <c r="I1039" s="327"/>
      <c r="J1039" s="330"/>
      <c r="K1039" s="330"/>
      <c r="L1039" s="330"/>
      <c r="M1039" s="330"/>
      <c r="N1039" s="330"/>
      <c r="O1039" s="330"/>
      <c r="P1039" s="330"/>
      <c r="Q1039" s="330"/>
      <c r="R1039" s="330"/>
      <c r="S1039" s="330"/>
      <c r="T1039" s="330"/>
      <c r="U1039" s="338"/>
      <c r="V1039" s="330"/>
      <c r="W1039" s="330"/>
      <c r="X1039" s="330"/>
      <c r="Y1039" s="330"/>
      <c r="Z1039" s="330"/>
    </row>
    <row r="1040" spans="1:26" ht="12.5">
      <c r="A1040" s="330"/>
      <c r="B1040" s="330"/>
      <c r="C1040" s="330"/>
      <c r="D1040" s="330"/>
      <c r="E1040" s="330"/>
      <c r="F1040" s="330"/>
      <c r="G1040" s="330"/>
      <c r="H1040" s="330"/>
      <c r="I1040" s="327"/>
      <c r="J1040" s="330"/>
      <c r="K1040" s="330"/>
      <c r="L1040" s="330"/>
      <c r="M1040" s="330"/>
      <c r="N1040" s="330"/>
      <c r="O1040" s="330"/>
      <c r="P1040" s="330"/>
      <c r="Q1040" s="330"/>
      <c r="R1040" s="330"/>
      <c r="S1040" s="330"/>
      <c r="T1040" s="330"/>
      <c r="U1040" s="338"/>
      <c r="V1040" s="330"/>
      <c r="W1040" s="330"/>
      <c r="X1040" s="330"/>
      <c r="Y1040" s="330"/>
      <c r="Z1040" s="330"/>
    </row>
    <row r="1041" spans="1:26" ht="12.5">
      <c r="A1041" s="330"/>
      <c r="B1041" s="330"/>
      <c r="C1041" s="330"/>
      <c r="D1041" s="330"/>
      <c r="E1041" s="330"/>
      <c r="F1041" s="330"/>
      <c r="G1041" s="330"/>
      <c r="H1041" s="330"/>
      <c r="I1041" s="327"/>
      <c r="J1041" s="330"/>
      <c r="K1041" s="330"/>
      <c r="L1041" s="330"/>
      <c r="M1041" s="330"/>
      <c r="N1041" s="330"/>
      <c r="O1041" s="330"/>
      <c r="P1041" s="330"/>
      <c r="Q1041" s="330"/>
      <c r="R1041" s="330"/>
      <c r="S1041" s="330"/>
      <c r="T1041" s="330"/>
      <c r="U1041" s="338"/>
      <c r="V1041" s="330"/>
      <c r="W1041" s="330"/>
      <c r="X1041" s="330"/>
      <c r="Y1041" s="330"/>
      <c r="Z1041" s="330"/>
    </row>
    <row r="1042" spans="1:26" ht="12.5">
      <c r="A1042" s="330"/>
      <c r="B1042" s="330"/>
      <c r="C1042" s="330"/>
      <c r="D1042" s="330"/>
      <c r="E1042" s="330"/>
      <c r="F1042" s="330"/>
      <c r="G1042" s="330"/>
      <c r="H1042" s="330"/>
      <c r="I1042" s="327"/>
      <c r="J1042" s="330"/>
      <c r="K1042" s="330"/>
      <c r="L1042" s="330"/>
      <c r="M1042" s="330"/>
      <c r="N1042" s="330"/>
      <c r="O1042" s="330"/>
      <c r="P1042" s="330"/>
      <c r="Q1042" s="330"/>
      <c r="R1042" s="330"/>
      <c r="S1042" s="330"/>
      <c r="T1042" s="330"/>
      <c r="U1042" s="338"/>
      <c r="V1042" s="330"/>
      <c r="W1042" s="330"/>
      <c r="X1042" s="330"/>
      <c r="Y1042" s="330"/>
      <c r="Z1042" s="330"/>
    </row>
    <row r="1043" spans="1:26" ht="12.5">
      <c r="A1043" s="330"/>
      <c r="B1043" s="330"/>
      <c r="C1043" s="330"/>
      <c r="D1043" s="330"/>
      <c r="E1043" s="330"/>
      <c r="F1043" s="330"/>
      <c r="G1043" s="330"/>
      <c r="H1043" s="330"/>
      <c r="I1043" s="327"/>
      <c r="J1043" s="330"/>
      <c r="K1043" s="330"/>
      <c r="L1043" s="330"/>
      <c r="M1043" s="330"/>
      <c r="N1043" s="330"/>
      <c r="O1043" s="330"/>
      <c r="P1043" s="330"/>
      <c r="Q1043" s="330"/>
      <c r="R1043" s="330"/>
      <c r="S1043" s="330"/>
      <c r="T1043" s="330"/>
      <c r="U1043" s="338"/>
      <c r="V1043" s="330"/>
      <c r="W1043" s="330"/>
      <c r="X1043" s="330"/>
      <c r="Y1043" s="330"/>
      <c r="Z1043" s="330"/>
    </row>
    <row r="1044" spans="1:26" ht="12.5">
      <c r="A1044" s="330"/>
      <c r="B1044" s="330"/>
      <c r="C1044" s="330"/>
      <c r="D1044" s="330"/>
      <c r="E1044" s="330"/>
      <c r="F1044" s="330"/>
      <c r="G1044" s="330"/>
      <c r="H1044" s="330"/>
      <c r="I1044" s="327"/>
      <c r="J1044" s="330"/>
      <c r="K1044" s="330"/>
      <c r="L1044" s="330"/>
      <c r="M1044" s="330"/>
      <c r="N1044" s="330"/>
      <c r="O1044" s="330"/>
      <c r="P1044" s="330"/>
      <c r="Q1044" s="330"/>
      <c r="R1044" s="330"/>
      <c r="S1044" s="330"/>
      <c r="T1044" s="330"/>
      <c r="U1044" s="338"/>
      <c r="V1044" s="330"/>
      <c r="W1044" s="330"/>
      <c r="X1044" s="330"/>
      <c r="Y1044" s="330"/>
      <c r="Z1044" s="330"/>
    </row>
    <row r="1045" spans="1:26" ht="12.5">
      <c r="A1045" s="330"/>
      <c r="B1045" s="330"/>
      <c r="C1045" s="330"/>
      <c r="D1045" s="330"/>
      <c r="E1045" s="330"/>
      <c r="F1045" s="330"/>
      <c r="G1045" s="330"/>
      <c r="H1045" s="330"/>
      <c r="I1045" s="327"/>
      <c r="J1045" s="330"/>
      <c r="K1045" s="330"/>
      <c r="L1045" s="330"/>
      <c r="M1045" s="330"/>
      <c r="N1045" s="330"/>
      <c r="O1045" s="330"/>
      <c r="P1045" s="330"/>
      <c r="Q1045" s="330"/>
      <c r="R1045" s="330"/>
      <c r="S1045" s="330"/>
      <c r="T1045" s="330"/>
      <c r="U1045" s="338"/>
      <c r="V1045" s="330"/>
      <c r="W1045" s="330"/>
      <c r="X1045" s="330"/>
      <c r="Y1045" s="330"/>
      <c r="Z1045" s="330"/>
    </row>
    <row r="1046" spans="1:26" ht="12.5">
      <c r="A1046" s="330"/>
      <c r="B1046" s="330"/>
      <c r="C1046" s="330"/>
      <c r="D1046" s="330"/>
      <c r="E1046" s="330"/>
      <c r="F1046" s="330"/>
      <c r="G1046" s="330"/>
      <c r="H1046" s="330"/>
      <c r="I1046" s="327"/>
      <c r="J1046" s="330"/>
      <c r="K1046" s="330"/>
      <c r="L1046" s="330"/>
      <c r="M1046" s="330"/>
      <c r="N1046" s="330"/>
      <c r="O1046" s="330"/>
      <c r="P1046" s="330"/>
      <c r="Q1046" s="330"/>
      <c r="R1046" s="330"/>
      <c r="S1046" s="330"/>
      <c r="T1046" s="330"/>
      <c r="U1046" s="338"/>
      <c r="V1046" s="330"/>
      <c r="W1046" s="330"/>
      <c r="X1046" s="330"/>
      <c r="Y1046" s="330"/>
      <c r="Z1046" s="330"/>
    </row>
    <row r="1047" spans="1:26" ht="12.5">
      <c r="A1047" s="330"/>
      <c r="B1047" s="330"/>
      <c r="C1047" s="330"/>
      <c r="D1047" s="330"/>
      <c r="E1047" s="330"/>
      <c r="F1047" s="330"/>
      <c r="G1047" s="330"/>
      <c r="H1047" s="330"/>
      <c r="I1047" s="327"/>
      <c r="J1047" s="330"/>
      <c r="K1047" s="330"/>
      <c r="L1047" s="330"/>
      <c r="M1047" s="330"/>
      <c r="N1047" s="330"/>
      <c r="O1047" s="330"/>
      <c r="P1047" s="330"/>
      <c r="Q1047" s="330"/>
      <c r="R1047" s="330"/>
      <c r="S1047" s="330"/>
      <c r="T1047" s="330"/>
      <c r="U1047" s="338"/>
      <c r="V1047" s="330"/>
      <c r="W1047" s="330"/>
      <c r="X1047" s="330"/>
      <c r="Y1047" s="330"/>
      <c r="Z1047" s="330"/>
    </row>
    <row r="1048" spans="1:26" ht="12.5">
      <c r="A1048" s="330"/>
      <c r="B1048" s="330"/>
      <c r="C1048" s="330"/>
      <c r="D1048" s="330"/>
      <c r="E1048" s="330"/>
      <c r="F1048" s="330"/>
      <c r="G1048" s="330"/>
      <c r="H1048" s="330"/>
      <c r="I1048" s="327"/>
      <c r="J1048" s="330"/>
      <c r="K1048" s="330"/>
      <c r="L1048" s="330"/>
      <c r="M1048" s="330"/>
      <c r="N1048" s="330"/>
      <c r="O1048" s="330"/>
      <c r="P1048" s="330"/>
      <c r="Q1048" s="330"/>
      <c r="R1048" s="330"/>
      <c r="S1048" s="330"/>
      <c r="T1048" s="330"/>
      <c r="U1048" s="338"/>
      <c r="V1048" s="330"/>
      <c r="W1048" s="330"/>
      <c r="X1048" s="330"/>
      <c r="Y1048" s="330"/>
      <c r="Z1048" s="330"/>
    </row>
    <row r="1049" spans="1:26" ht="12.5">
      <c r="A1049" s="330"/>
      <c r="B1049" s="330"/>
      <c r="C1049" s="330"/>
      <c r="D1049" s="330"/>
      <c r="E1049" s="330"/>
      <c r="F1049" s="330"/>
      <c r="G1049" s="330"/>
      <c r="H1049" s="330"/>
      <c r="I1049" s="327"/>
      <c r="J1049" s="330"/>
      <c r="K1049" s="330"/>
      <c r="L1049" s="330"/>
      <c r="M1049" s="330"/>
      <c r="N1049" s="330"/>
      <c r="O1049" s="330"/>
      <c r="P1049" s="330"/>
      <c r="Q1049" s="330"/>
      <c r="R1049" s="330"/>
      <c r="S1049" s="330"/>
      <c r="T1049" s="330"/>
      <c r="U1049" s="338"/>
      <c r="V1049" s="330"/>
      <c r="W1049" s="330"/>
      <c r="X1049" s="330"/>
      <c r="Y1049" s="330"/>
      <c r="Z1049" s="330"/>
    </row>
    <row r="1050" spans="1:26" ht="12.5">
      <c r="A1050" s="330"/>
      <c r="B1050" s="330"/>
      <c r="C1050" s="330"/>
      <c r="D1050" s="330"/>
      <c r="E1050" s="330"/>
      <c r="F1050" s="330"/>
      <c r="G1050" s="330"/>
      <c r="H1050" s="330"/>
      <c r="I1050" s="327"/>
      <c r="J1050" s="330"/>
      <c r="K1050" s="330"/>
      <c r="L1050" s="330"/>
      <c r="M1050" s="330"/>
      <c r="N1050" s="330"/>
      <c r="O1050" s="330"/>
      <c r="P1050" s="330"/>
      <c r="Q1050" s="330"/>
      <c r="R1050" s="330"/>
      <c r="S1050" s="330"/>
      <c r="T1050" s="330"/>
      <c r="U1050" s="338"/>
      <c r="V1050" s="330"/>
      <c r="W1050" s="330"/>
      <c r="X1050" s="330"/>
      <c r="Y1050" s="330"/>
      <c r="Z1050" s="330"/>
    </row>
    <row r="1051" spans="1:26" ht="12.5">
      <c r="A1051" s="330"/>
      <c r="B1051" s="330"/>
      <c r="C1051" s="330"/>
      <c r="D1051" s="330"/>
      <c r="E1051" s="330"/>
      <c r="F1051" s="330"/>
      <c r="G1051" s="330"/>
      <c r="H1051" s="330"/>
      <c r="I1051" s="327"/>
      <c r="J1051" s="330"/>
      <c r="K1051" s="330"/>
      <c r="L1051" s="330"/>
      <c r="M1051" s="330"/>
      <c r="N1051" s="330"/>
      <c r="O1051" s="330"/>
      <c r="P1051" s="330"/>
      <c r="Q1051" s="330"/>
      <c r="R1051" s="330"/>
      <c r="S1051" s="330"/>
      <c r="T1051" s="330"/>
      <c r="U1051" s="338"/>
      <c r="V1051" s="330"/>
      <c r="W1051" s="330"/>
      <c r="X1051" s="330"/>
      <c r="Y1051" s="330"/>
      <c r="Z1051" s="330"/>
    </row>
    <row r="1052" spans="1:26" ht="12.5">
      <c r="A1052" s="330"/>
      <c r="B1052" s="330"/>
      <c r="C1052" s="330"/>
      <c r="D1052" s="330"/>
      <c r="E1052" s="330"/>
      <c r="F1052" s="330"/>
      <c r="G1052" s="330"/>
      <c r="H1052" s="330"/>
      <c r="I1052" s="327"/>
      <c r="J1052" s="330"/>
      <c r="K1052" s="330"/>
      <c r="L1052" s="330"/>
      <c r="M1052" s="330"/>
      <c r="N1052" s="330"/>
      <c r="O1052" s="330"/>
      <c r="P1052" s="330"/>
      <c r="Q1052" s="330"/>
      <c r="R1052" s="330"/>
      <c r="S1052" s="330"/>
      <c r="T1052" s="330"/>
      <c r="U1052" s="338"/>
      <c r="V1052" s="330"/>
      <c r="W1052" s="330"/>
      <c r="X1052" s="330"/>
      <c r="Y1052" s="330"/>
      <c r="Z1052" s="330"/>
    </row>
    <row r="1053" spans="1:26" ht="12.5">
      <c r="A1053" s="330"/>
      <c r="B1053" s="330"/>
      <c r="C1053" s="330"/>
      <c r="D1053" s="330"/>
      <c r="E1053" s="330"/>
      <c r="F1053" s="330"/>
      <c r="G1053" s="330"/>
      <c r="H1053" s="330"/>
      <c r="I1053" s="327"/>
      <c r="J1053" s="330"/>
      <c r="K1053" s="330"/>
      <c r="L1053" s="330"/>
      <c r="M1053" s="330"/>
      <c r="N1053" s="330"/>
      <c r="O1053" s="330"/>
      <c r="P1053" s="330"/>
      <c r="Q1053" s="330"/>
      <c r="R1053" s="330"/>
      <c r="S1053" s="330"/>
      <c r="T1053" s="330"/>
      <c r="U1053" s="338"/>
      <c r="V1053" s="330"/>
      <c r="W1053" s="330"/>
      <c r="X1053" s="330"/>
      <c r="Y1053" s="330"/>
      <c r="Z1053" s="330"/>
    </row>
    <row r="1054" spans="1:26" ht="12.5">
      <c r="A1054" s="330"/>
      <c r="B1054" s="330"/>
      <c r="C1054" s="330"/>
      <c r="D1054" s="330"/>
      <c r="E1054" s="330"/>
      <c r="F1054" s="330"/>
      <c r="G1054" s="330"/>
      <c r="H1054" s="330"/>
      <c r="I1054" s="327"/>
      <c r="J1054" s="330"/>
      <c r="K1054" s="330"/>
      <c r="L1054" s="330"/>
      <c r="M1054" s="330"/>
      <c r="N1054" s="330"/>
      <c r="O1054" s="330"/>
      <c r="P1054" s="330"/>
      <c r="Q1054" s="330"/>
      <c r="R1054" s="330"/>
      <c r="S1054" s="330"/>
      <c r="T1054" s="330"/>
      <c r="U1054" s="338"/>
      <c r="V1054" s="330"/>
      <c r="W1054" s="330"/>
      <c r="X1054" s="330"/>
      <c r="Y1054" s="330"/>
      <c r="Z1054" s="330"/>
    </row>
    <row r="1055" spans="1:26" ht="12.5">
      <c r="A1055" s="330"/>
      <c r="B1055" s="330"/>
      <c r="C1055" s="330"/>
      <c r="D1055" s="330"/>
      <c r="E1055" s="330"/>
      <c r="F1055" s="330"/>
      <c r="G1055" s="330"/>
      <c r="H1055" s="330"/>
      <c r="I1055" s="327"/>
      <c r="J1055" s="330"/>
      <c r="K1055" s="330"/>
      <c r="L1055" s="330"/>
      <c r="M1055" s="330"/>
      <c r="N1055" s="330"/>
      <c r="O1055" s="330"/>
      <c r="P1055" s="330"/>
      <c r="Q1055" s="330"/>
      <c r="R1055" s="330"/>
      <c r="S1055" s="330"/>
      <c r="T1055" s="330"/>
      <c r="U1055" s="338"/>
      <c r="V1055" s="330"/>
      <c r="W1055" s="330"/>
      <c r="X1055" s="330"/>
      <c r="Y1055" s="330"/>
      <c r="Z1055" s="330"/>
    </row>
    <row r="1056" spans="1:26" ht="12.5">
      <c r="A1056" s="330"/>
      <c r="B1056" s="330"/>
      <c r="C1056" s="330"/>
      <c r="D1056" s="330"/>
      <c r="E1056" s="330"/>
      <c r="F1056" s="330"/>
      <c r="G1056" s="330"/>
      <c r="H1056" s="330"/>
      <c r="I1056" s="327"/>
      <c r="J1056" s="330"/>
      <c r="K1056" s="330"/>
      <c r="L1056" s="330"/>
      <c r="M1056" s="330"/>
      <c r="N1056" s="330"/>
      <c r="O1056" s="330"/>
      <c r="P1056" s="330"/>
      <c r="Q1056" s="330"/>
      <c r="R1056" s="330"/>
      <c r="S1056" s="330"/>
      <c r="T1056" s="330"/>
      <c r="U1056" s="338"/>
      <c r="V1056" s="330"/>
      <c r="W1056" s="330"/>
      <c r="X1056" s="330"/>
      <c r="Y1056" s="330"/>
      <c r="Z1056" s="330"/>
    </row>
    <row r="1057" spans="1:26" ht="12.5">
      <c r="A1057" s="330"/>
      <c r="B1057" s="330"/>
      <c r="C1057" s="330"/>
      <c r="D1057" s="330"/>
      <c r="E1057" s="330"/>
      <c r="F1057" s="330"/>
      <c r="G1057" s="330"/>
      <c r="H1057" s="330"/>
      <c r="I1057" s="327"/>
      <c r="J1057" s="330"/>
      <c r="K1057" s="330"/>
      <c r="L1057" s="330"/>
      <c r="M1057" s="330"/>
      <c r="N1057" s="330"/>
      <c r="O1057" s="330"/>
      <c r="P1057" s="330"/>
      <c r="Q1057" s="330"/>
      <c r="R1057" s="330"/>
      <c r="S1057" s="330"/>
      <c r="T1057" s="330"/>
      <c r="U1057" s="338"/>
      <c r="V1057" s="330"/>
      <c r="W1057" s="330"/>
      <c r="X1057" s="330"/>
      <c r="Y1057" s="330"/>
      <c r="Z1057" s="330"/>
    </row>
    <row r="1058" spans="1:26" ht="12.5">
      <c r="A1058" s="330"/>
      <c r="B1058" s="330"/>
      <c r="C1058" s="330"/>
      <c r="D1058" s="330"/>
      <c r="E1058" s="330"/>
      <c r="F1058" s="330"/>
      <c r="G1058" s="330"/>
      <c r="H1058" s="330"/>
      <c r="I1058" s="327"/>
      <c r="J1058" s="330"/>
      <c r="K1058" s="330"/>
      <c r="L1058" s="330"/>
      <c r="M1058" s="330"/>
      <c r="N1058" s="330"/>
      <c r="O1058" s="330"/>
      <c r="P1058" s="330"/>
      <c r="Q1058" s="330"/>
      <c r="R1058" s="330"/>
      <c r="S1058" s="330"/>
      <c r="T1058" s="330"/>
      <c r="U1058" s="338"/>
      <c r="V1058" s="330"/>
      <c r="W1058" s="330"/>
      <c r="X1058" s="330"/>
      <c r="Y1058" s="330"/>
      <c r="Z1058" s="330"/>
    </row>
    <row r="1059" spans="1:26" ht="12.5">
      <c r="A1059" s="330"/>
      <c r="B1059" s="330"/>
      <c r="C1059" s="330"/>
      <c r="D1059" s="330"/>
      <c r="E1059" s="330"/>
      <c r="F1059" s="330"/>
      <c r="G1059" s="330"/>
      <c r="H1059" s="330"/>
      <c r="I1059" s="327"/>
      <c r="J1059" s="330"/>
      <c r="K1059" s="330"/>
      <c r="L1059" s="330"/>
      <c r="M1059" s="330"/>
      <c r="N1059" s="330"/>
      <c r="O1059" s="330"/>
      <c r="P1059" s="330"/>
      <c r="Q1059" s="330"/>
      <c r="R1059" s="330"/>
      <c r="S1059" s="330"/>
      <c r="T1059" s="330"/>
      <c r="U1059" s="338"/>
      <c r="V1059" s="330"/>
      <c r="W1059" s="330"/>
      <c r="X1059" s="330"/>
      <c r="Y1059" s="330"/>
      <c r="Z1059" s="330"/>
    </row>
    <row r="1060" spans="1:26" ht="12.5">
      <c r="A1060" s="330"/>
      <c r="B1060" s="330"/>
      <c r="C1060" s="330"/>
      <c r="D1060" s="330"/>
      <c r="E1060" s="330"/>
      <c r="F1060" s="330"/>
      <c r="G1060" s="330"/>
      <c r="H1060" s="330"/>
      <c r="I1060" s="327"/>
      <c r="J1060" s="330"/>
      <c r="K1060" s="330"/>
      <c r="L1060" s="330"/>
      <c r="M1060" s="330"/>
      <c r="N1060" s="330"/>
      <c r="O1060" s="330"/>
      <c r="P1060" s="330"/>
      <c r="Q1060" s="330"/>
      <c r="R1060" s="330"/>
      <c r="S1060" s="330"/>
      <c r="T1060" s="330"/>
      <c r="U1060" s="338"/>
      <c r="V1060" s="330"/>
      <c r="W1060" s="330"/>
      <c r="X1060" s="330"/>
      <c r="Y1060" s="330"/>
      <c r="Z1060" s="330"/>
    </row>
    <row r="1061" spans="1:26" ht="12.5">
      <c r="A1061" s="330"/>
      <c r="B1061" s="330"/>
      <c r="C1061" s="330"/>
      <c r="D1061" s="330"/>
      <c r="E1061" s="330"/>
      <c r="F1061" s="330"/>
      <c r="G1061" s="330"/>
      <c r="H1061" s="330"/>
      <c r="I1061" s="327"/>
      <c r="J1061" s="330"/>
      <c r="K1061" s="330"/>
      <c r="L1061" s="330"/>
      <c r="M1061" s="330"/>
      <c r="N1061" s="330"/>
      <c r="O1061" s="330"/>
      <c r="P1061" s="330"/>
      <c r="Q1061" s="330"/>
      <c r="R1061" s="330"/>
      <c r="S1061" s="330"/>
      <c r="T1061" s="330"/>
      <c r="U1061" s="338"/>
      <c r="V1061" s="330"/>
      <c r="W1061" s="330"/>
      <c r="X1061" s="330"/>
      <c r="Y1061" s="330"/>
      <c r="Z1061" s="330"/>
    </row>
    <row r="1062" spans="1:26" ht="12.5">
      <c r="A1062" s="330"/>
      <c r="B1062" s="330"/>
      <c r="C1062" s="330"/>
      <c r="D1062" s="330"/>
      <c r="E1062" s="330"/>
      <c r="F1062" s="330"/>
      <c r="G1062" s="330"/>
      <c r="H1062" s="330"/>
      <c r="I1062" s="327"/>
      <c r="J1062" s="330"/>
      <c r="K1062" s="330"/>
      <c r="L1062" s="330"/>
      <c r="M1062" s="330"/>
      <c r="N1062" s="330"/>
      <c r="O1062" s="330"/>
      <c r="P1062" s="330"/>
      <c r="Q1062" s="330"/>
      <c r="R1062" s="330"/>
      <c r="S1062" s="330"/>
      <c r="T1062" s="330"/>
      <c r="U1062" s="338"/>
      <c r="V1062" s="330"/>
      <c r="W1062" s="330"/>
      <c r="X1062" s="330"/>
      <c r="Y1062" s="330"/>
      <c r="Z1062" s="330"/>
    </row>
    <row r="1063" spans="1:26" ht="12.5">
      <c r="A1063" s="330"/>
      <c r="B1063" s="330"/>
      <c r="C1063" s="330"/>
      <c r="D1063" s="330"/>
      <c r="E1063" s="330"/>
      <c r="F1063" s="330"/>
      <c r="G1063" s="330"/>
      <c r="H1063" s="330"/>
      <c r="I1063" s="327"/>
      <c r="J1063" s="330"/>
      <c r="K1063" s="330"/>
      <c r="L1063" s="330"/>
      <c r="M1063" s="330"/>
      <c r="N1063" s="330"/>
      <c r="O1063" s="330"/>
      <c r="P1063" s="330"/>
      <c r="Q1063" s="330"/>
      <c r="R1063" s="330"/>
      <c r="S1063" s="330"/>
      <c r="T1063" s="330"/>
      <c r="U1063" s="338"/>
      <c r="V1063" s="330"/>
      <c r="W1063" s="330"/>
      <c r="X1063" s="330"/>
      <c r="Y1063" s="330"/>
      <c r="Z1063" s="330"/>
    </row>
    <row r="1064" spans="1:26" ht="12.5">
      <c r="A1064" s="330"/>
      <c r="B1064" s="330"/>
      <c r="C1064" s="330"/>
      <c r="D1064" s="330"/>
      <c r="E1064" s="330"/>
      <c r="F1064" s="330"/>
      <c r="G1064" s="330"/>
      <c r="H1064" s="330"/>
      <c r="I1064" s="327"/>
      <c r="J1064" s="330"/>
      <c r="K1064" s="330"/>
      <c r="L1064" s="330"/>
      <c r="M1064" s="330"/>
      <c r="N1064" s="330"/>
      <c r="O1064" s="330"/>
      <c r="P1064" s="330"/>
      <c r="Q1064" s="330"/>
      <c r="R1064" s="330"/>
      <c r="S1064" s="330"/>
      <c r="T1064" s="330"/>
      <c r="U1064" s="338"/>
      <c r="V1064" s="330"/>
      <c r="W1064" s="330"/>
      <c r="X1064" s="330"/>
      <c r="Y1064" s="330"/>
      <c r="Z1064" s="330"/>
    </row>
    <row r="1065" spans="1:26" ht="12.5">
      <c r="A1065" s="330"/>
      <c r="B1065" s="330"/>
      <c r="C1065" s="330"/>
      <c r="D1065" s="330"/>
      <c r="E1065" s="330"/>
      <c r="F1065" s="330"/>
      <c r="G1065" s="330"/>
      <c r="H1065" s="330"/>
      <c r="I1065" s="327"/>
      <c r="J1065" s="330"/>
      <c r="K1065" s="330"/>
      <c r="L1065" s="330"/>
      <c r="M1065" s="330"/>
      <c r="N1065" s="330"/>
      <c r="O1065" s="330"/>
      <c r="P1065" s="330"/>
      <c r="Q1065" s="330"/>
      <c r="R1065" s="330"/>
      <c r="S1065" s="330"/>
      <c r="T1065" s="330"/>
      <c r="U1065" s="338"/>
      <c r="V1065" s="330"/>
      <c r="W1065" s="330"/>
      <c r="X1065" s="330"/>
      <c r="Y1065" s="330"/>
      <c r="Z1065" s="330"/>
    </row>
    <row r="1066" spans="1:26" ht="12.5">
      <c r="A1066" s="330"/>
      <c r="B1066" s="330"/>
      <c r="C1066" s="330"/>
      <c r="D1066" s="330"/>
      <c r="E1066" s="330"/>
      <c r="F1066" s="330"/>
      <c r="G1066" s="330"/>
      <c r="H1066" s="330"/>
      <c r="I1066" s="327"/>
      <c r="J1066" s="330"/>
      <c r="K1066" s="330"/>
      <c r="L1066" s="330"/>
      <c r="M1066" s="330"/>
      <c r="N1066" s="330"/>
      <c r="O1066" s="330"/>
      <c r="P1066" s="330"/>
      <c r="Q1066" s="330"/>
      <c r="R1066" s="330"/>
      <c r="S1066" s="330"/>
      <c r="T1066" s="330"/>
      <c r="U1066" s="338"/>
      <c r="V1066" s="330"/>
      <c r="W1066" s="330"/>
      <c r="X1066" s="330"/>
      <c r="Y1066" s="330"/>
      <c r="Z1066" s="330"/>
    </row>
    <row r="1067" spans="1:26" ht="12.5">
      <c r="A1067" s="330"/>
      <c r="B1067" s="330"/>
      <c r="C1067" s="330"/>
      <c r="D1067" s="330"/>
      <c r="E1067" s="330"/>
      <c r="F1067" s="330"/>
      <c r="G1067" s="330"/>
      <c r="H1067" s="330"/>
      <c r="I1067" s="327"/>
      <c r="J1067" s="330"/>
      <c r="K1067" s="330"/>
      <c r="L1067" s="330"/>
      <c r="M1067" s="330"/>
      <c r="N1067" s="330"/>
      <c r="O1067" s="330"/>
      <c r="P1067" s="330"/>
      <c r="Q1067" s="330"/>
      <c r="R1067" s="330"/>
      <c r="S1067" s="330"/>
      <c r="T1067" s="330"/>
      <c r="U1067" s="338"/>
      <c r="V1067" s="330"/>
      <c r="W1067" s="330"/>
      <c r="X1067" s="330"/>
      <c r="Y1067" s="330"/>
      <c r="Z1067" s="330"/>
    </row>
    <row r="1068" spans="1:26" ht="12.5">
      <c r="A1068" s="330"/>
      <c r="B1068" s="330"/>
      <c r="C1068" s="330"/>
      <c r="D1068" s="330"/>
      <c r="E1068" s="330"/>
      <c r="F1068" s="330"/>
      <c r="G1068" s="330"/>
      <c r="H1068" s="330"/>
      <c r="I1068" s="327"/>
      <c r="J1068" s="330"/>
      <c r="K1068" s="330"/>
      <c r="L1068" s="330"/>
      <c r="M1068" s="330"/>
      <c r="N1068" s="330"/>
      <c r="O1068" s="330"/>
      <c r="P1068" s="330"/>
      <c r="Q1068" s="330"/>
      <c r="R1068" s="330"/>
      <c r="S1068" s="330"/>
      <c r="T1068" s="330"/>
      <c r="U1068" s="338"/>
      <c r="V1068" s="330"/>
      <c r="W1068" s="330"/>
      <c r="X1068" s="330"/>
      <c r="Y1068" s="330"/>
      <c r="Z1068" s="330"/>
    </row>
    <row r="1069" spans="1:26" ht="12.5">
      <c r="A1069" s="330"/>
      <c r="B1069" s="330"/>
      <c r="C1069" s="330"/>
      <c r="D1069" s="330"/>
      <c r="E1069" s="330"/>
      <c r="F1069" s="330"/>
      <c r="G1069" s="330"/>
      <c r="H1069" s="330"/>
      <c r="I1069" s="327"/>
      <c r="J1069" s="330"/>
      <c r="K1069" s="330"/>
      <c r="L1069" s="330"/>
      <c r="M1069" s="330"/>
      <c r="N1069" s="330"/>
      <c r="O1069" s="330"/>
      <c r="P1069" s="330"/>
      <c r="Q1069" s="330"/>
      <c r="R1069" s="330"/>
      <c r="S1069" s="330"/>
      <c r="T1069" s="330"/>
      <c r="U1069" s="338"/>
      <c r="V1069" s="330"/>
      <c r="W1069" s="330"/>
      <c r="X1069" s="330"/>
      <c r="Y1069" s="330"/>
      <c r="Z1069" s="330"/>
    </row>
    <row r="1070" spans="1:26" ht="12.5">
      <c r="A1070" s="330"/>
      <c r="B1070" s="330"/>
      <c r="C1070" s="330"/>
      <c r="D1070" s="330"/>
      <c r="E1070" s="330"/>
      <c r="F1070" s="330"/>
      <c r="G1070" s="330"/>
      <c r="H1070" s="330"/>
      <c r="I1070" s="327"/>
      <c r="J1070" s="330"/>
      <c r="K1070" s="330"/>
      <c r="L1070" s="330"/>
      <c r="M1070" s="330"/>
      <c r="N1070" s="330"/>
      <c r="O1070" s="330"/>
      <c r="P1070" s="330"/>
      <c r="Q1070" s="330"/>
      <c r="R1070" s="330"/>
      <c r="S1070" s="330"/>
      <c r="T1070" s="330"/>
      <c r="U1070" s="338"/>
      <c r="V1070" s="330"/>
      <c r="W1070" s="330"/>
      <c r="X1070" s="330"/>
      <c r="Y1070" s="330"/>
      <c r="Z1070" s="330"/>
    </row>
    <row r="1071" spans="1:26" ht="12.5">
      <c r="A1071" s="330"/>
      <c r="B1071" s="330"/>
      <c r="C1071" s="330"/>
      <c r="D1071" s="330"/>
      <c r="E1071" s="330"/>
      <c r="F1071" s="330"/>
      <c r="G1071" s="330"/>
      <c r="H1071" s="330"/>
      <c r="I1071" s="327"/>
      <c r="J1071" s="330"/>
      <c r="K1071" s="330"/>
      <c r="L1071" s="330"/>
      <c r="M1071" s="330"/>
      <c r="N1071" s="330"/>
      <c r="O1071" s="330"/>
      <c r="P1071" s="330"/>
      <c r="Q1071" s="330"/>
      <c r="R1071" s="330"/>
      <c r="S1071" s="330"/>
      <c r="T1071" s="330"/>
      <c r="U1071" s="338"/>
      <c r="V1071" s="330"/>
      <c r="W1071" s="330"/>
      <c r="X1071" s="330"/>
      <c r="Y1071" s="330"/>
      <c r="Z1071" s="330"/>
    </row>
    <row r="1072" spans="1:26" ht="12.5">
      <c r="A1072" s="330"/>
      <c r="B1072" s="330"/>
      <c r="C1072" s="330"/>
      <c r="D1072" s="330"/>
      <c r="E1072" s="330"/>
      <c r="F1072" s="330"/>
      <c r="G1072" s="330"/>
      <c r="H1072" s="330"/>
      <c r="I1072" s="327"/>
      <c r="J1072" s="330"/>
      <c r="K1072" s="330"/>
      <c r="L1072" s="330"/>
      <c r="M1072" s="330"/>
      <c r="N1072" s="330"/>
      <c r="O1072" s="330"/>
      <c r="P1072" s="330"/>
      <c r="Q1072" s="330"/>
      <c r="R1072" s="330"/>
      <c r="S1072" s="330"/>
      <c r="T1072" s="330"/>
      <c r="U1072" s="338"/>
      <c r="V1072" s="330"/>
      <c r="W1072" s="330"/>
      <c r="X1072" s="330"/>
      <c r="Y1072" s="330"/>
      <c r="Z1072" s="330"/>
    </row>
    <row r="1073" spans="1:26" ht="12.5">
      <c r="A1073" s="330"/>
      <c r="B1073" s="330"/>
      <c r="C1073" s="330"/>
      <c r="D1073" s="330"/>
      <c r="E1073" s="330"/>
      <c r="F1073" s="330"/>
      <c r="G1073" s="330"/>
      <c r="H1073" s="330"/>
      <c r="I1073" s="327"/>
      <c r="J1073" s="330"/>
      <c r="K1073" s="330"/>
      <c r="L1073" s="330"/>
      <c r="M1073" s="330"/>
      <c r="N1073" s="330"/>
      <c r="O1073" s="330"/>
      <c r="P1073" s="330"/>
      <c r="Q1073" s="330"/>
      <c r="R1073" s="330"/>
      <c r="S1073" s="330"/>
      <c r="T1073" s="330"/>
      <c r="U1073" s="338"/>
      <c r="V1073" s="330"/>
      <c r="W1073" s="330"/>
      <c r="X1073" s="330"/>
      <c r="Y1073" s="330"/>
      <c r="Z1073" s="330"/>
    </row>
    <row r="1074" spans="1:26" ht="12.5">
      <c r="A1074" s="330"/>
      <c r="B1074" s="330"/>
      <c r="C1074" s="330"/>
      <c r="D1074" s="330"/>
      <c r="E1074" s="330"/>
      <c r="F1074" s="330"/>
      <c r="G1074" s="330"/>
      <c r="H1074" s="330"/>
      <c r="I1074" s="327"/>
      <c r="J1074" s="330"/>
      <c r="K1074" s="330"/>
      <c r="L1074" s="330"/>
      <c r="M1074" s="330"/>
      <c r="N1074" s="330"/>
      <c r="O1074" s="330"/>
      <c r="P1074" s="330"/>
      <c r="Q1074" s="330"/>
      <c r="R1074" s="330"/>
      <c r="S1074" s="330"/>
      <c r="T1074" s="330"/>
      <c r="U1074" s="338"/>
      <c r="V1074" s="330"/>
      <c r="W1074" s="330"/>
      <c r="X1074" s="330"/>
      <c r="Y1074" s="330"/>
      <c r="Z1074" s="330"/>
    </row>
    <row r="1075" spans="1:26" ht="12.5">
      <c r="A1075" s="330"/>
      <c r="B1075" s="330"/>
      <c r="C1075" s="330"/>
      <c r="D1075" s="330"/>
      <c r="E1075" s="330"/>
      <c r="F1075" s="330"/>
      <c r="G1075" s="330"/>
      <c r="H1075" s="330"/>
      <c r="I1075" s="327"/>
      <c r="J1075" s="330"/>
      <c r="K1075" s="330"/>
      <c r="L1075" s="330"/>
      <c r="M1075" s="330"/>
      <c r="N1075" s="330"/>
      <c r="O1075" s="330"/>
      <c r="P1075" s="330"/>
      <c r="Q1075" s="330"/>
      <c r="R1075" s="330"/>
      <c r="S1075" s="330"/>
      <c r="T1075" s="330"/>
      <c r="U1075" s="338"/>
      <c r="V1075" s="330"/>
      <c r="W1075" s="330"/>
      <c r="X1075" s="330"/>
      <c r="Y1075" s="330"/>
      <c r="Z1075" s="330"/>
    </row>
    <row r="1076" spans="1:26" ht="12.5">
      <c r="A1076" s="330"/>
      <c r="B1076" s="330"/>
      <c r="C1076" s="330"/>
      <c r="D1076" s="330"/>
      <c r="E1076" s="330"/>
      <c r="F1076" s="330"/>
      <c r="G1076" s="330"/>
      <c r="H1076" s="330"/>
      <c r="I1076" s="327"/>
      <c r="J1076" s="330"/>
      <c r="K1076" s="330"/>
      <c r="L1076" s="330"/>
      <c r="M1076" s="330"/>
      <c r="N1076" s="330"/>
      <c r="O1076" s="330"/>
      <c r="P1076" s="330"/>
      <c r="Q1076" s="330"/>
      <c r="R1076" s="330"/>
      <c r="S1076" s="330"/>
      <c r="T1076" s="330"/>
      <c r="U1076" s="338"/>
      <c r="V1076" s="330"/>
      <c r="W1076" s="330"/>
      <c r="X1076" s="330"/>
      <c r="Y1076" s="330"/>
      <c r="Z1076" s="330"/>
    </row>
    <row r="1077" spans="1:26" ht="12.5">
      <c r="A1077" s="330"/>
      <c r="B1077" s="330"/>
      <c r="C1077" s="330"/>
      <c r="D1077" s="330"/>
      <c r="E1077" s="330"/>
      <c r="F1077" s="330"/>
      <c r="G1077" s="330"/>
      <c r="H1077" s="330"/>
      <c r="I1077" s="327"/>
      <c r="J1077" s="330"/>
      <c r="K1077" s="330"/>
      <c r="L1077" s="330"/>
      <c r="M1077" s="330"/>
      <c r="N1077" s="330"/>
      <c r="O1077" s="330"/>
      <c r="P1077" s="330"/>
      <c r="Q1077" s="330"/>
      <c r="R1077" s="330"/>
      <c r="S1077" s="330"/>
      <c r="T1077" s="330"/>
      <c r="U1077" s="338"/>
      <c r="V1077" s="330"/>
      <c r="W1077" s="330"/>
      <c r="X1077" s="330"/>
      <c r="Y1077" s="330"/>
      <c r="Z1077" s="330"/>
    </row>
    <row r="1078" spans="1:26" ht="12.5">
      <c r="A1078" s="330"/>
      <c r="B1078" s="330"/>
      <c r="C1078" s="330"/>
      <c r="D1078" s="330"/>
      <c r="E1078" s="330"/>
      <c r="F1078" s="330"/>
      <c r="G1078" s="330"/>
      <c r="H1078" s="330"/>
      <c r="I1078" s="327"/>
      <c r="J1078" s="330"/>
      <c r="K1078" s="330"/>
      <c r="L1078" s="330"/>
      <c r="M1078" s="330"/>
      <c r="N1078" s="330"/>
      <c r="O1078" s="330"/>
      <c r="P1078" s="330"/>
      <c r="Q1078" s="330"/>
      <c r="R1078" s="330"/>
      <c r="S1078" s="330"/>
      <c r="T1078" s="330"/>
      <c r="U1078" s="338"/>
      <c r="V1078" s="330"/>
      <c r="W1078" s="330"/>
      <c r="X1078" s="330"/>
      <c r="Y1078" s="330"/>
      <c r="Z1078" s="330"/>
    </row>
    <row r="1079" spans="1:26" ht="12.5">
      <c r="A1079" s="330"/>
      <c r="B1079" s="330"/>
      <c r="C1079" s="330"/>
      <c r="D1079" s="330"/>
      <c r="E1079" s="330"/>
      <c r="F1079" s="330"/>
      <c r="G1079" s="330"/>
      <c r="H1079" s="330"/>
      <c r="I1079" s="327"/>
      <c r="J1079" s="330"/>
      <c r="K1079" s="330"/>
      <c r="L1079" s="330"/>
      <c r="M1079" s="330"/>
      <c r="N1079" s="330"/>
      <c r="O1079" s="330"/>
      <c r="P1079" s="330"/>
      <c r="Q1079" s="330"/>
      <c r="R1079" s="330"/>
      <c r="S1079" s="330"/>
      <c r="T1079" s="330"/>
      <c r="U1079" s="338"/>
      <c r="V1079" s="330"/>
      <c r="W1079" s="330"/>
      <c r="X1079" s="330"/>
      <c r="Y1079" s="330"/>
      <c r="Z1079" s="330"/>
    </row>
    <row r="1080" spans="1:26" ht="12.5">
      <c r="A1080" s="330"/>
      <c r="B1080" s="330"/>
      <c r="C1080" s="330"/>
      <c r="D1080" s="330"/>
      <c r="E1080" s="330"/>
      <c r="F1080" s="330"/>
      <c r="G1080" s="330"/>
      <c r="H1080" s="330"/>
      <c r="I1080" s="327"/>
      <c r="J1080" s="330"/>
      <c r="K1080" s="330"/>
      <c r="L1080" s="330"/>
      <c r="M1080" s="330"/>
      <c r="N1080" s="330"/>
      <c r="O1080" s="330"/>
      <c r="P1080" s="330"/>
      <c r="Q1080" s="330"/>
      <c r="R1080" s="330"/>
      <c r="S1080" s="330"/>
      <c r="T1080" s="330"/>
      <c r="U1080" s="338"/>
      <c r="V1080" s="330"/>
      <c r="W1080" s="330"/>
      <c r="X1080" s="330"/>
      <c r="Y1080" s="330"/>
      <c r="Z1080" s="330"/>
    </row>
    <row r="1081" spans="1:26" ht="12.5">
      <c r="A1081" s="330"/>
      <c r="B1081" s="330"/>
      <c r="C1081" s="330"/>
      <c r="D1081" s="330"/>
      <c r="E1081" s="330"/>
      <c r="F1081" s="330"/>
      <c r="G1081" s="330"/>
      <c r="H1081" s="330"/>
      <c r="I1081" s="327"/>
      <c r="J1081" s="330"/>
      <c r="K1081" s="330"/>
      <c r="L1081" s="330"/>
      <c r="M1081" s="330"/>
      <c r="N1081" s="330"/>
      <c r="O1081" s="330"/>
      <c r="P1081" s="330"/>
      <c r="Q1081" s="330"/>
      <c r="R1081" s="330"/>
      <c r="S1081" s="330"/>
      <c r="T1081" s="330"/>
      <c r="U1081" s="338"/>
      <c r="V1081" s="330"/>
      <c r="W1081" s="330"/>
      <c r="X1081" s="330"/>
      <c r="Y1081" s="330"/>
      <c r="Z1081" s="330"/>
    </row>
    <row r="1082" spans="1:26" ht="12.5">
      <c r="A1082" s="330"/>
      <c r="B1082" s="330"/>
      <c r="C1082" s="330"/>
      <c r="D1082" s="330"/>
      <c r="E1082" s="330"/>
      <c r="F1082" s="330"/>
      <c r="G1082" s="330"/>
      <c r="H1082" s="330"/>
      <c r="I1082" s="327"/>
      <c r="J1082" s="330"/>
      <c r="K1082" s="330"/>
      <c r="L1082" s="330"/>
      <c r="M1082" s="330"/>
      <c r="N1082" s="330"/>
      <c r="O1082" s="330"/>
      <c r="P1082" s="330"/>
      <c r="Q1082" s="330"/>
      <c r="R1082" s="330"/>
      <c r="S1082" s="330"/>
      <c r="T1082" s="330"/>
      <c r="U1082" s="338"/>
      <c r="V1082" s="330"/>
      <c r="W1082" s="330"/>
      <c r="X1082" s="330"/>
      <c r="Y1082" s="330"/>
      <c r="Z1082" s="330"/>
    </row>
    <row r="1083" spans="1:26" ht="12.5">
      <c r="A1083" s="330"/>
      <c r="B1083" s="330"/>
      <c r="C1083" s="330"/>
      <c r="D1083" s="330"/>
      <c r="E1083" s="330"/>
      <c r="F1083" s="330"/>
      <c r="G1083" s="330"/>
      <c r="H1083" s="330"/>
      <c r="I1083" s="327"/>
      <c r="J1083" s="330"/>
      <c r="K1083" s="330"/>
      <c r="L1083" s="330"/>
      <c r="M1083" s="330"/>
      <c r="N1083" s="330"/>
      <c r="O1083" s="330"/>
      <c r="P1083" s="330"/>
      <c r="Q1083" s="330"/>
      <c r="R1083" s="330"/>
      <c r="S1083" s="330"/>
      <c r="T1083" s="330"/>
      <c r="U1083" s="338"/>
      <c r="V1083" s="330"/>
      <c r="W1083" s="330"/>
      <c r="X1083" s="330"/>
      <c r="Y1083" s="330"/>
      <c r="Z1083" s="330"/>
    </row>
    <row r="1084" spans="1:26" ht="12.5">
      <c r="A1084" s="330"/>
      <c r="B1084" s="330"/>
      <c r="C1084" s="330"/>
      <c r="D1084" s="330"/>
      <c r="E1084" s="330"/>
      <c r="F1084" s="330"/>
      <c r="G1084" s="330"/>
      <c r="H1084" s="330"/>
      <c r="I1084" s="327"/>
      <c r="J1084" s="330"/>
      <c r="K1084" s="330"/>
      <c r="L1084" s="330"/>
      <c r="M1084" s="330"/>
      <c r="N1084" s="330"/>
      <c r="O1084" s="330"/>
      <c r="P1084" s="330"/>
      <c r="Q1084" s="330"/>
      <c r="R1084" s="330"/>
      <c r="S1084" s="330"/>
      <c r="T1084" s="330"/>
      <c r="U1084" s="338"/>
      <c r="V1084" s="330"/>
      <c r="W1084" s="330"/>
      <c r="X1084" s="330"/>
      <c r="Y1084" s="330"/>
      <c r="Z1084" s="330"/>
    </row>
    <row r="1085" spans="1:26" ht="12.5">
      <c r="A1085" s="330"/>
      <c r="B1085" s="330"/>
      <c r="C1085" s="330"/>
      <c r="D1085" s="330"/>
      <c r="E1085" s="330"/>
      <c r="F1085" s="330"/>
      <c r="G1085" s="330"/>
      <c r="H1085" s="330"/>
      <c r="I1085" s="327"/>
      <c r="J1085" s="330"/>
      <c r="K1085" s="330"/>
      <c r="L1085" s="330"/>
      <c r="M1085" s="330"/>
      <c r="N1085" s="330"/>
      <c r="O1085" s="330"/>
      <c r="P1085" s="330"/>
      <c r="Q1085" s="330"/>
      <c r="R1085" s="330"/>
      <c r="S1085" s="330"/>
      <c r="T1085" s="330"/>
      <c r="U1085" s="338"/>
      <c r="V1085" s="330"/>
      <c r="W1085" s="330"/>
      <c r="X1085" s="330"/>
      <c r="Y1085" s="330"/>
      <c r="Z1085" s="330"/>
    </row>
    <row r="1086" spans="1:26" ht="12.5">
      <c r="A1086" s="330"/>
      <c r="B1086" s="330"/>
      <c r="C1086" s="330"/>
      <c r="D1086" s="330"/>
      <c r="E1086" s="330"/>
      <c r="F1086" s="330"/>
      <c r="G1086" s="330"/>
      <c r="H1086" s="330"/>
      <c r="I1086" s="327"/>
      <c r="J1086" s="330"/>
      <c r="K1086" s="330"/>
      <c r="L1086" s="330"/>
      <c r="M1086" s="330"/>
      <c r="N1086" s="330"/>
      <c r="O1086" s="330"/>
      <c r="P1086" s="330"/>
      <c r="Q1086" s="330"/>
      <c r="R1086" s="330"/>
      <c r="S1086" s="330"/>
      <c r="T1086" s="330"/>
      <c r="U1086" s="338"/>
      <c r="V1086" s="330"/>
      <c r="W1086" s="330"/>
      <c r="X1086" s="330"/>
      <c r="Y1086" s="330"/>
      <c r="Z1086" s="330"/>
    </row>
    <row r="1087" spans="1:26" ht="12.5">
      <c r="A1087" s="330"/>
      <c r="B1087" s="330"/>
      <c r="C1087" s="330"/>
      <c r="D1087" s="330"/>
      <c r="E1087" s="330"/>
      <c r="F1087" s="330"/>
      <c r="G1087" s="330"/>
      <c r="H1087" s="330"/>
      <c r="I1087" s="327"/>
      <c r="J1087" s="330"/>
      <c r="K1087" s="330"/>
      <c r="L1087" s="330"/>
      <c r="M1087" s="330"/>
      <c r="N1087" s="330"/>
      <c r="O1087" s="330"/>
      <c r="P1087" s="330"/>
      <c r="Q1087" s="330"/>
      <c r="R1087" s="330"/>
      <c r="S1087" s="330"/>
      <c r="T1087" s="330"/>
      <c r="U1087" s="338"/>
      <c r="V1087" s="330"/>
      <c r="W1087" s="330"/>
      <c r="X1087" s="330"/>
      <c r="Y1087" s="330"/>
      <c r="Z1087" s="330"/>
    </row>
    <row r="1088" spans="1:26" ht="12.5">
      <c r="A1088" s="330"/>
      <c r="B1088" s="330"/>
      <c r="C1088" s="330"/>
      <c r="D1088" s="330"/>
      <c r="E1088" s="330"/>
      <c r="F1088" s="330"/>
      <c r="G1088" s="330"/>
      <c r="H1088" s="330"/>
      <c r="I1088" s="327"/>
      <c r="J1088" s="330"/>
      <c r="K1088" s="330"/>
      <c r="L1088" s="330"/>
      <c r="M1088" s="330"/>
      <c r="N1088" s="330"/>
      <c r="O1088" s="330"/>
      <c r="P1088" s="330"/>
      <c r="Q1088" s="330"/>
      <c r="R1088" s="330"/>
      <c r="S1088" s="330"/>
      <c r="T1088" s="330"/>
      <c r="U1088" s="338"/>
      <c r="V1088" s="330"/>
      <c r="W1088" s="330"/>
      <c r="X1088" s="330"/>
      <c r="Y1088" s="330"/>
      <c r="Z1088" s="330"/>
    </row>
    <row r="1089" spans="1:26" ht="12.5">
      <c r="A1089" s="330"/>
      <c r="B1089" s="330"/>
      <c r="C1089" s="330"/>
      <c r="D1089" s="330"/>
      <c r="E1089" s="330"/>
      <c r="F1089" s="330"/>
      <c r="G1089" s="330"/>
      <c r="H1089" s="330"/>
      <c r="I1089" s="327"/>
      <c r="J1089" s="330"/>
      <c r="K1089" s="330"/>
      <c r="L1089" s="330"/>
      <c r="M1089" s="330"/>
      <c r="N1089" s="330"/>
      <c r="O1089" s="330"/>
      <c r="P1089" s="330"/>
      <c r="Q1089" s="330"/>
      <c r="R1089" s="330"/>
      <c r="S1089" s="330"/>
      <c r="T1089" s="330"/>
      <c r="U1089" s="338"/>
      <c r="V1089" s="330"/>
      <c r="W1089" s="330"/>
      <c r="X1089" s="330"/>
      <c r="Y1089" s="330"/>
      <c r="Z1089" s="330"/>
    </row>
    <row r="1090" spans="1:26" ht="12.5">
      <c r="A1090" s="330"/>
      <c r="B1090" s="330"/>
      <c r="C1090" s="330"/>
      <c r="D1090" s="330"/>
      <c r="E1090" s="330"/>
      <c r="F1090" s="330"/>
      <c r="G1090" s="330"/>
      <c r="H1090" s="330"/>
      <c r="I1090" s="327"/>
      <c r="J1090" s="330"/>
      <c r="K1090" s="330"/>
      <c r="L1090" s="330"/>
      <c r="M1090" s="330"/>
      <c r="N1090" s="330"/>
      <c r="O1090" s="330"/>
      <c r="P1090" s="330"/>
      <c r="Q1090" s="330"/>
      <c r="R1090" s="330"/>
      <c r="S1090" s="330"/>
      <c r="T1090" s="330"/>
      <c r="U1090" s="338"/>
      <c r="V1090" s="330"/>
      <c r="W1090" s="330"/>
      <c r="X1090" s="330"/>
      <c r="Y1090" s="330"/>
      <c r="Z1090" s="330"/>
    </row>
    <row r="1091" spans="1:26" ht="12.5">
      <c r="A1091" s="330"/>
      <c r="B1091" s="330"/>
      <c r="C1091" s="330"/>
      <c r="D1091" s="330"/>
      <c r="E1091" s="330"/>
      <c r="F1091" s="330"/>
      <c r="G1091" s="330"/>
      <c r="H1091" s="330"/>
      <c r="I1091" s="327"/>
      <c r="J1091" s="330"/>
      <c r="K1091" s="330"/>
      <c r="L1091" s="330"/>
      <c r="M1091" s="330"/>
      <c r="N1091" s="330"/>
      <c r="O1091" s="330"/>
      <c r="P1091" s="330"/>
      <c r="Q1091" s="330"/>
      <c r="R1091" s="330"/>
      <c r="S1091" s="330"/>
      <c r="T1091" s="330"/>
      <c r="U1091" s="338"/>
      <c r="V1091" s="330"/>
      <c r="W1091" s="330"/>
      <c r="X1091" s="330"/>
      <c r="Y1091" s="330"/>
      <c r="Z1091" s="330"/>
    </row>
    <row r="1092" spans="1:26" ht="12.5">
      <c r="A1092" s="330"/>
      <c r="B1092" s="330"/>
      <c r="C1092" s="330"/>
      <c r="D1092" s="330"/>
      <c r="E1092" s="330"/>
      <c r="F1092" s="330"/>
      <c r="G1092" s="330"/>
      <c r="H1092" s="330"/>
      <c r="I1092" s="327"/>
      <c r="J1092" s="330"/>
      <c r="K1092" s="330"/>
      <c r="L1092" s="330"/>
      <c r="M1092" s="330"/>
      <c r="N1092" s="330"/>
      <c r="O1092" s="330"/>
      <c r="P1092" s="330"/>
      <c r="Q1092" s="330"/>
      <c r="R1092" s="330"/>
      <c r="S1092" s="330"/>
      <c r="T1092" s="330"/>
      <c r="U1092" s="338"/>
      <c r="V1092" s="330"/>
      <c r="W1092" s="330"/>
      <c r="X1092" s="330"/>
      <c r="Y1092" s="330"/>
      <c r="Z1092" s="330"/>
    </row>
    <row r="1093" spans="1:26" ht="12.5">
      <c r="A1093" s="330"/>
      <c r="B1093" s="330"/>
      <c r="C1093" s="330"/>
      <c r="D1093" s="330"/>
      <c r="E1093" s="330"/>
      <c r="F1093" s="330"/>
      <c r="G1093" s="330"/>
      <c r="H1093" s="330"/>
      <c r="I1093" s="327"/>
      <c r="J1093" s="330"/>
      <c r="K1093" s="330"/>
      <c r="L1093" s="330"/>
      <c r="M1093" s="330"/>
      <c r="N1093" s="330"/>
      <c r="O1093" s="330"/>
      <c r="P1093" s="330"/>
      <c r="Q1093" s="330"/>
      <c r="R1093" s="330"/>
      <c r="S1093" s="330"/>
      <c r="T1093" s="330"/>
      <c r="U1093" s="338"/>
      <c r="V1093" s="330"/>
      <c r="W1093" s="330"/>
      <c r="X1093" s="330"/>
      <c r="Y1093" s="330"/>
      <c r="Z1093" s="330"/>
    </row>
    <row r="1094" spans="1:26" ht="12.5">
      <c r="A1094" s="330"/>
      <c r="B1094" s="330"/>
      <c r="C1094" s="330"/>
      <c r="D1094" s="330"/>
      <c r="E1094" s="330"/>
      <c r="F1094" s="330"/>
      <c r="G1094" s="330"/>
      <c r="H1094" s="330"/>
      <c r="I1094" s="327"/>
      <c r="J1094" s="330"/>
      <c r="K1094" s="330"/>
      <c r="L1094" s="330"/>
      <c r="M1094" s="330"/>
      <c r="N1094" s="330"/>
      <c r="O1094" s="330"/>
      <c r="P1094" s="330"/>
      <c r="Q1094" s="330"/>
      <c r="R1094" s="330"/>
      <c r="S1094" s="330"/>
      <c r="T1094" s="330"/>
      <c r="U1094" s="338"/>
      <c r="V1094" s="330"/>
      <c r="W1094" s="330"/>
      <c r="X1094" s="330"/>
      <c r="Y1094" s="330"/>
      <c r="Z1094" s="330"/>
    </row>
    <row r="1095" spans="1:26" ht="12.5">
      <c r="A1095" s="330"/>
      <c r="B1095" s="330"/>
      <c r="C1095" s="330"/>
      <c r="D1095" s="330"/>
      <c r="E1095" s="330"/>
      <c r="F1095" s="330"/>
      <c r="G1095" s="330"/>
      <c r="H1095" s="330"/>
      <c r="I1095" s="327"/>
      <c r="J1095" s="330"/>
      <c r="K1095" s="330"/>
      <c r="L1095" s="330"/>
      <c r="M1095" s="330"/>
      <c r="N1095" s="330"/>
      <c r="O1095" s="330"/>
      <c r="P1095" s="330"/>
      <c r="Q1095" s="330"/>
      <c r="R1095" s="330"/>
      <c r="S1095" s="330"/>
      <c r="T1095" s="330"/>
      <c r="U1095" s="338"/>
      <c r="V1095" s="330"/>
      <c r="W1095" s="330"/>
      <c r="X1095" s="330"/>
      <c r="Y1095" s="330"/>
      <c r="Z1095" s="330"/>
    </row>
    <row r="1096" spans="1:26" ht="12.5">
      <c r="A1096" s="330"/>
      <c r="B1096" s="330"/>
      <c r="C1096" s="330"/>
      <c r="D1096" s="330"/>
      <c r="E1096" s="330"/>
      <c r="F1096" s="330"/>
      <c r="G1096" s="330"/>
      <c r="H1096" s="330"/>
      <c r="I1096" s="327"/>
      <c r="J1096" s="330"/>
      <c r="K1096" s="330"/>
      <c r="L1096" s="330"/>
      <c r="M1096" s="330"/>
      <c r="N1096" s="330"/>
      <c r="O1096" s="330"/>
      <c r="P1096" s="330"/>
      <c r="Q1096" s="330"/>
      <c r="R1096" s="330"/>
      <c r="S1096" s="330"/>
      <c r="T1096" s="330"/>
      <c r="U1096" s="338"/>
      <c r="V1096" s="330"/>
      <c r="W1096" s="330"/>
      <c r="X1096" s="330"/>
      <c r="Y1096" s="330"/>
      <c r="Z1096" s="330"/>
    </row>
    <row r="1097" spans="1:26" ht="12.5">
      <c r="A1097" s="330"/>
      <c r="B1097" s="330"/>
      <c r="C1097" s="330"/>
      <c r="D1097" s="330"/>
      <c r="E1097" s="330"/>
      <c r="F1097" s="330"/>
      <c r="G1097" s="330"/>
      <c r="H1097" s="330"/>
      <c r="I1097" s="327"/>
      <c r="J1097" s="330"/>
      <c r="K1097" s="330"/>
      <c r="L1097" s="330"/>
      <c r="M1097" s="330"/>
      <c r="N1097" s="330"/>
      <c r="O1097" s="330"/>
      <c r="P1097" s="330"/>
      <c r="Q1097" s="330"/>
      <c r="R1097" s="330"/>
      <c r="S1097" s="330"/>
      <c r="T1097" s="330"/>
      <c r="U1097" s="338"/>
      <c r="V1097" s="330"/>
      <c r="W1097" s="330"/>
      <c r="X1097" s="330"/>
      <c r="Y1097" s="330"/>
      <c r="Z1097" s="330"/>
    </row>
    <row r="1098" spans="1:26" ht="12.5">
      <c r="A1098" s="330"/>
      <c r="B1098" s="330"/>
      <c r="C1098" s="330"/>
      <c r="D1098" s="330"/>
      <c r="E1098" s="330"/>
      <c r="F1098" s="330"/>
      <c r="G1098" s="330"/>
      <c r="H1098" s="330"/>
      <c r="I1098" s="327"/>
      <c r="J1098" s="330"/>
      <c r="K1098" s="330"/>
      <c r="L1098" s="330"/>
      <c r="M1098" s="330"/>
      <c r="N1098" s="330"/>
      <c r="O1098" s="330"/>
      <c r="P1098" s="330"/>
      <c r="Q1098" s="330"/>
      <c r="R1098" s="330"/>
      <c r="S1098" s="330"/>
      <c r="T1098" s="330"/>
      <c r="U1098" s="338"/>
      <c r="V1098" s="330"/>
      <c r="W1098" s="330"/>
      <c r="X1098" s="330"/>
      <c r="Y1098" s="330"/>
      <c r="Z1098" s="330"/>
    </row>
    <row r="1099" spans="1:26" ht="12.5">
      <c r="A1099" s="330"/>
      <c r="B1099" s="330"/>
      <c r="C1099" s="330"/>
      <c r="D1099" s="330"/>
      <c r="E1099" s="330"/>
      <c r="F1099" s="330"/>
      <c r="G1099" s="330"/>
      <c r="H1099" s="330"/>
      <c r="I1099" s="327"/>
      <c r="J1099" s="330"/>
      <c r="K1099" s="330"/>
      <c r="L1099" s="330"/>
      <c r="M1099" s="330"/>
      <c r="N1099" s="330"/>
      <c r="O1099" s="330"/>
      <c r="P1099" s="330"/>
      <c r="Q1099" s="330"/>
      <c r="R1099" s="330"/>
      <c r="S1099" s="330"/>
      <c r="T1099" s="330"/>
      <c r="U1099" s="338"/>
      <c r="V1099" s="330"/>
      <c r="W1099" s="330"/>
      <c r="X1099" s="330"/>
      <c r="Y1099" s="330"/>
      <c r="Z1099" s="330"/>
    </row>
    <row r="1100" spans="1:26" ht="12.5">
      <c r="A1100" s="330"/>
      <c r="B1100" s="330"/>
      <c r="C1100" s="330"/>
      <c r="D1100" s="330"/>
      <c r="E1100" s="330"/>
      <c r="F1100" s="330"/>
      <c r="G1100" s="330"/>
      <c r="H1100" s="330"/>
      <c r="I1100" s="327"/>
      <c r="J1100" s="330"/>
      <c r="K1100" s="330"/>
      <c r="L1100" s="330"/>
      <c r="M1100" s="330"/>
      <c r="N1100" s="330"/>
      <c r="O1100" s="330"/>
      <c r="P1100" s="330"/>
      <c r="Q1100" s="330"/>
      <c r="R1100" s="330"/>
      <c r="S1100" s="330"/>
      <c r="T1100" s="330"/>
      <c r="U1100" s="338"/>
      <c r="V1100" s="330"/>
      <c r="W1100" s="330"/>
      <c r="X1100" s="330"/>
      <c r="Y1100" s="330"/>
      <c r="Z1100" s="330"/>
    </row>
    <row r="1101" spans="1:26" ht="12.5">
      <c r="A1101" s="330"/>
      <c r="B1101" s="330"/>
      <c r="C1101" s="330"/>
      <c r="D1101" s="330"/>
      <c r="E1101" s="330"/>
      <c r="F1101" s="330"/>
      <c r="G1101" s="330"/>
      <c r="H1101" s="330"/>
      <c r="I1101" s="327"/>
      <c r="J1101" s="330"/>
      <c r="K1101" s="330"/>
      <c r="L1101" s="330"/>
      <c r="M1101" s="330"/>
      <c r="N1101" s="330"/>
      <c r="O1101" s="330"/>
      <c r="P1101" s="330"/>
      <c r="Q1101" s="330"/>
      <c r="R1101" s="330"/>
      <c r="S1101" s="330"/>
      <c r="T1101" s="330"/>
      <c r="U1101" s="338"/>
      <c r="V1101" s="330"/>
      <c r="W1101" s="330"/>
      <c r="X1101" s="330"/>
      <c r="Y1101" s="330"/>
      <c r="Z1101" s="330"/>
    </row>
    <row r="1102" spans="1:26" ht="12.5">
      <c r="A1102" s="330"/>
      <c r="B1102" s="330"/>
      <c r="C1102" s="330"/>
      <c r="D1102" s="330"/>
      <c r="E1102" s="330"/>
      <c r="F1102" s="330"/>
      <c r="G1102" s="330"/>
      <c r="H1102" s="330"/>
      <c r="I1102" s="327"/>
      <c r="J1102" s="330"/>
      <c r="K1102" s="330"/>
      <c r="L1102" s="330"/>
      <c r="M1102" s="330"/>
      <c r="N1102" s="330"/>
      <c r="O1102" s="330"/>
      <c r="P1102" s="330"/>
      <c r="Q1102" s="330"/>
      <c r="R1102" s="330"/>
      <c r="S1102" s="330"/>
      <c r="T1102" s="330"/>
      <c r="U1102" s="338"/>
      <c r="V1102" s="330"/>
      <c r="W1102" s="330"/>
      <c r="X1102" s="330"/>
      <c r="Y1102" s="330"/>
      <c r="Z1102" s="330"/>
    </row>
    <row r="1103" spans="1:26" ht="12.5">
      <c r="A1103" s="330"/>
      <c r="B1103" s="330"/>
      <c r="C1103" s="330"/>
      <c r="D1103" s="330"/>
      <c r="E1103" s="330"/>
      <c r="F1103" s="330"/>
      <c r="G1103" s="330"/>
      <c r="H1103" s="330"/>
      <c r="I1103" s="327"/>
      <c r="J1103" s="330"/>
      <c r="K1103" s="330"/>
      <c r="L1103" s="330"/>
      <c r="M1103" s="330"/>
      <c r="N1103" s="330"/>
      <c r="O1103" s="330"/>
      <c r="P1103" s="330"/>
      <c r="Q1103" s="330"/>
      <c r="R1103" s="330"/>
      <c r="S1103" s="330"/>
      <c r="T1103" s="330"/>
      <c r="U1103" s="338"/>
      <c r="V1103" s="330"/>
      <c r="W1103" s="330"/>
      <c r="X1103" s="330"/>
      <c r="Y1103" s="330"/>
      <c r="Z1103" s="330"/>
    </row>
    <row r="1104" spans="1:26" ht="12.5">
      <c r="A1104" s="330"/>
      <c r="B1104" s="330"/>
      <c r="C1104" s="330"/>
      <c r="D1104" s="330"/>
      <c r="E1104" s="330"/>
      <c r="F1104" s="330"/>
      <c r="G1104" s="330"/>
      <c r="H1104" s="330"/>
      <c r="I1104" s="327"/>
      <c r="J1104" s="330"/>
      <c r="K1104" s="330"/>
      <c r="L1104" s="330"/>
      <c r="M1104" s="330"/>
      <c r="N1104" s="330"/>
      <c r="O1104" s="330"/>
      <c r="P1104" s="330"/>
      <c r="Q1104" s="330"/>
      <c r="R1104" s="330"/>
      <c r="S1104" s="330"/>
      <c r="T1104" s="330"/>
      <c r="U1104" s="338"/>
      <c r="V1104" s="330"/>
      <c r="W1104" s="330"/>
      <c r="X1104" s="330"/>
      <c r="Y1104" s="330"/>
      <c r="Z1104" s="330"/>
    </row>
    <row r="1105" spans="1:26" ht="12.5">
      <c r="A1105" s="330"/>
      <c r="B1105" s="330"/>
      <c r="C1105" s="330"/>
      <c r="D1105" s="330"/>
      <c r="E1105" s="330"/>
      <c r="F1105" s="330"/>
      <c r="G1105" s="330"/>
      <c r="H1105" s="330"/>
      <c r="I1105" s="327"/>
      <c r="J1105" s="330"/>
      <c r="K1105" s="330"/>
      <c r="L1105" s="330"/>
      <c r="M1105" s="330"/>
      <c r="N1105" s="330"/>
      <c r="O1105" s="330"/>
      <c r="P1105" s="330"/>
      <c r="Q1105" s="330"/>
      <c r="R1105" s="330"/>
      <c r="S1105" s="330"/>
      <c r="T1105" s="330"/>
      <c r="U1105" s="338"/>
      <c r="V1105" s="330"/>
      <c r="W1105" s="330"/>
      <c r="X1105" s="330"/>
      <c r="Y1105" s="330"/>
      <c r="Z1105" s="330"/>
    </row>
    <row r="1106" spans="1:26" ht="12.5">
      <c r="A1106" s="330"/>
      <c r="B1106" s="330"/>
      <c r="C1106" s="330"/>
      <c r="D1106" s="330"/>
      <c r="E1106" s="330"/>
      <c r="F1106" s="330"/>
      <c r="G1106" s="330"/>
      <c r="H1106" s="330"/>
      <c r="I1106" s="327"/>
      <c r="J1106" s="330"/>
      <c r="K1106" s="330"/>
      <c r="L1106" s="330"/>
      <c r="M1106" s="330"/>
      <c r="N1106" s="330"/>
      <c r="O1106" s="330"/>
      <c r="P1106" s="330"/>
      <c r="Q1106" s="330"/>
      <c r="R1106" s="330"/>
      <c r="S1106" s="330"/>
      <c r="T1106" s="330"/>
      <c r="U1106" s="338"/>
      <c r="V1106" s="330"/>
      <c r="W1106" s="330"/>
      <c r="X1106" s="330"/>
      <c r="Y1106" s="330"/>
      <c r="Z1106" s="330"/>
    </row>
    <row r="1107" spans="1:26" ht="12.5">
      <c r="A1107" s="330"/>
      <c r="B1107" s="330"/>
      <c r="C1107" s="330"/>
      <c r="D1107" s="330"/>
      <c r="E1107" s="330"/>
      <c r="F1107" s="330"/>
      <c r="G1107" s="330"/>
      <c r="H1107" s="330"/>
      <c r="I1107" s="327"/>
      <c r="J1107" s="330"/>
      <c r="K1107" s="330"/>
      <c r="L1107" s="330"/>
      <c r="M1107" s="330"/>
      <c r="N1107" s="330"/>
      <c r="O1107" s="330"/>
      <c r="P1107" s="330"/>
      <c r="Q1107" s="330"/>
      <c r="R1107" s="330"/>
      <c r="S1107" s="330"/>
      <c r="T1107" s="330"/>
      <c r="U1107" s="338"/>
      <c r="V1107" s="330"/>
      <c r="W1107" s="330"/>
      <c r="X1107" s="330"/>
      <c r="Y1107" s="330"/>
      <c r="Z1107" s="330"/>
    </row>
    <row r="1108" spans="1:26" ht="12.5">
      <c r="A1108" s="330"/>
      <c r="B1108" s="330"/>
      <c r="C1108" s="330"/>
      <c r="D1108" s="330"/>
      <c r="E1108" s="330"/>
      <c r="F1108" s="330"/>
      <c r="G1108" s="330"/>
      <c r="H1108" s="330"/>
      <c r="I1108" s="327"/>
      <c r="J1108" s="330"/>
      <c r="K1108" s="330"/>
      <c r="L1108" s="330"/>
      <c r="M1108" s="330"/>
      <c r="N1108" s="330"/>
      <c r="O1108" s="330"/>
      <c r="P1108" s="330"/>
      <c r="Q1108" s="330"/>
      <c r="R1108" s="330"/>
      <c r="S1108" s="330"/>
      <c r="T1108" s="330"/>
      <c r="U1108" s="338"/>
      <c r="V1108" s="330"/>
      <c r="W1108" s="330"/>
      <c r="X1108" s="330"/>
      <c r="Y1108" s="330"/>
      <c r="Z1108" s="330"/>
    </row>
    <row r="1109" spans="1:26" ht="12.5">
      <c r="A1109" s="330"/>
      <c r="B1109" s="330"/>
      <c r="C1109" s="330"/>
      <c r="D1109" s="330"/>
      <c r="E1109" s="330"/>
      <c r="F1109" s="330"/>
      <c r="G1109" s="330"/>
      <c r="H1109" s="330"/>
      <c r="I1109" s="327"/>
      <c r="J1109" s="330"/>
      <c r="K1109" s="330"/>
      <c r="L1109" s="330"/>
      <c r="M1109" s="330"/>
      <c r="N1109" s="330"/>
      <c r="O1109" s="330"/>
      <c r="P1109" s="330"/>
      <c r="Q1109" s="330"/>
      <c r="R1109" s="330"/>
      <c r="S1109" s="330"/>
      <c r="T1109" s="330"/>
      <c r="U1109" s="338"/>
      <c r="V1109" s="330"/>
      <c r="W1109" s="330"/>
      <c r="X1109" s="330"/>
      <c r="Y1109" s="330"/>
      <c r="Z1109" s="330"/>
    </row>
    <row r="1110" spans="1:26" ht="12.5">
      <c r="A1110" s="330"/>
      <c r="B1110" s="330"/>
      <c r="C1110" s="330"/>
      <c r="D1110" s="330"/>
      <c r="E1110" s="330"/>
      <c r="F1110" s="330"/>
      <c r="G1110" s="330"/>
      <c r="H1110" s="330"/>
      <c r="I1110" s="327"/>
      <c r="J1110" s="330"/>
      <c r="K1110" s="330"/>
      <c r="L1110" s="330"/>
      <c r="M1110" s="330"/>
      <c r="N1110" s="330"/>
      <c r="O1110" s="330"/>
      <c r="P1110" s="330"/>
      <c r="Q1110" s="330"/>
      <c r="R1110" s="330"/>
      <c r="S1110" s="330"/>
      <c r="T1110" s="330"/>
      <c r="U1110" s="338"/>
      <c r="V1110" s="330"/>
      <c r="W1110" s="330"/>
      <c r="X1110" s="330"/>
      <c r="Y1110" s="330"/>
      <c r="Z1110" s="330"/>
    </row>
    <row r="1111" spans="1:26" ht="12.5">
      <c r="A1111" s="330"/>
      <c r="B1111" s="330"/>
      <c r="C1111" s="330"/>
      <c r="D1111" s="330"/>
      <c r="E1111" s="330"/>
      <c r="F1111" s="330"/>
      <c r="G1111" s="330"/>
      <c r="H1111" s="330"/>
      <c r="I1111" s="327"/>
      <c r="J1111" s="330"/>
      <c r="K1111" s="330"/>
      <c r="L1111" s="330"/>
      <c r="M1111" s="330"/>
      <c r="N1111" s="330"/>
      <c r="O1111" s="330"/>
      <c r="P1111" s="330"/>
      <c r="Q1111" s="330"/>
      <c r="R1111" s="330"/>
      <c r="S1111" s="330"/>
      <c r="T1111" s="330"/>
      <c r="U1111" s="338"/>
      <c r="V1111" s="330"/>
      <c r="W1111" s="330"/>
      <c r="X1111" s="330"/>
      <c r="Y1111" s="330"/>
      <c r="Z1111" s="330"/>
    </row>
    <row r="1112" spans="1:26" ht="12.5">
      <c r="A1112" s="330"/>
      <c r="B1112" s="330"/>
      <c r="C1112" s="330"/>
      <c r="D1112" s="330"/>
      <c r="E1112" s="330"/>
      <c r="F1112" s="330"/>
      <c r="G1112" s="330"/>
      <c r="H1112" s="330"/>
      <c r="I1112" s="327"/>
      <c r="J1112" s="330"/>
      <c r="K1112" s="330"/>
      <c r="L1112" s="330"/>
      <c r="M1112" s="330"/>
      <c r="N1112" s="330"/>
      <c r="O1112" s="330"/>
      <c r="P1112" s="330"/>
      <c r="Q1112" s="330"/>
      <c r="R1112" s="330"/>
      <c r="S1112" s="330"/>
      <c r="T1112" s="330"/>
      <c r="U1112" s="338"/>
      <c r="V1112" s="330"/>
      <c r="W1112" s="330"/>
      <c r="X1112" s="330"/>
      <c r="Y1112" s="330"/>
      <c r="Z1112" s="330"/>
    </row>
    <row r="1113" spans="1:26" ht="12.5">
      <c r="A1113" s="330"/>
      <c r="B1113" s="330"/>
      <c r="C1113" s="330"/>
      <c r="D1113" s="330"/>
      <c r="E1113" s="330"/>
      <c r="F1113" s="330"/>
      <c r="G1113" s="330"/>
      <c r="H1113" s="330"/>
      <c r="I1113" s="327"/>
      <c r="J1113" s="330"/>
      <c r="K1113" s="330"/>
      <c r="L1113" s="330"/>
      <c r="M1113" s="330"/>
      <c r="N1113" s="330"/>
      <c r="O1113" s="330"/>
      <c r="P1113" s="330"/>
      <c r="Q1113" s="330"/>
      <c r="R1113" s="330"/>
      <c r="S1113" s="330"/>
      <c r="T1113" s="330"/>
      <c r="U1113" s="338"/>
      <c r="V1113" s="330"/>
      <c r="W1113" s="330"/>
      <c r="X1113" s="330"/>
      <c r="Y1113" s="330"/>
      <c r="Z1113" s="330"/>
    </row>
    <row r="1114" spans="1:26" ht="12.5">
      <c r="A1114" s="330"/>
      <c r="B1114" s="330"/>
      <c r="C1114" s="330"/>
      <c r="D1114" s="330"/>
      <c r="E1114" s="330"/>
      <c r="F1114" s="330"/>
      <c r="G1114" s="330"/>
      <c r="H1114" s="330"/>
      <c r="I1114" s="327"/>
      <c r="J1114" s="330"/>
      <c r="K1114" s="330"/>
      <c r="L1114" s="330"/>
      <c r="M1114" s="330"/>
      <c r="N1114" s="330"/>
      <c r="O1114" s="330"/>
      <c r="P1114" s="330"/>
      <c r="Q1114" s="330"/>
      <c r="R1114" s="330"/>
      <c r="S1114" s="330"/>
      <c r="T1114" s="330"/>
      <c r="U1114" s="338"/>
      <c r="V1114" s="330"/>
      <c r="W1114" s="330"/>
      <c r="X1114" s="330"/>
      <c r="Y1114" s="330"/>
      <c r="Z1114" s="330"/>
    </row>
    <row r="1115" spans="1:26" ht="12.5">
      <c r="A1115" s="330"/>
      <c r="B1115" s="330"/>
      <c r="C1115" s="330"/>
      <c r="D1115" s="330"/>
      <c r="E1115" s="330"/>
      <c r="F1115" s="330"/>
      <c r="G1115" s="330"/>
      <c r="H1115" s="330"/>
      <c r="I1115" s="327"/>
      <c r="J1115" s="330"/>
      <c r="K1115" s="330"/>
      <c r="L1115" s="330"/>
      <c r="M1115" s="330"/>
      <c r="N1115" s="330"/>
      <c r="O1115" s="330"/>
      <c r="P1115" s="330"/>
      <c r="Q1115" s="330"/>
      <c r="R1115" s="330"/>
      <c r="S1115" s="330"/>
      <c r="T1115" s="330"/>
      <c r="U1115" s="338"/>
      <c r="V1115" s="330"/>
      <c r="W1115" s="330"/>
      <c r="X1115" s="330"/>
      <c r="Y1115" s="330"/>
      <c r="Z1115" s="330"/>
    </row>
    <row r="1116" spans="1:26" ht="12.5">
      <c r="A1116" s="330"/>
      <c r="B1116" s="330"/>
      <c r="C1116" s="330"/>
      <c r="D1116" s="330"/>
      <c r="E1116" s="330"/>
      <c r="F1116" s="330"/>
      <c r="G1116" s="330"/>
      <c r="H1116" s="330"/>
      <c r="I1116" s="327"/>
      <c r="J1116" s="330"/>
      <c r="K1116" s="330"/>
      <c r="L1116" s="330"/>
      <c r="M1116" s="330"/>
      <c r="N1116" s="330"/>
      <c r="O1116" s="330"/>
      <c r="P1116" s="330"/>
      <c r="Q1116" s="330"/>
      <c r="R1116" s="330"/>
      <c r="S1116" s="330"/>
      <c r="T1116" s="330"/>
      <c r="U1116" s="338"/>
      <c r="V1116" s="330"/>
      <c r="W1116" s="330"/>
      <c r="X1116" s="330"/>
      <c r="Y1116" s="330"/>
      <c r="Z1116" s="330"/>
    </row>
    <row r="1117" spans="1:26" ht="12.5">
      <c r="A1117" s="330"/>
      <c r="B1117" s="330"/>
      <c r="C1117" s="330"/>
      <c r="D1117" s="330"/>
      <c r="E1117" s="330"/>
      <c r="F1117" s="330"/>
      <c r="G1117" s="330"/>
      <c r="H1117" s="330"/>
      <c r="I1117" s="327"/>
      <c r="J1117" s="330"/>
      <c r="K1117" s="330"/>
      <c r="L1117" s="330"/>
      <c r="M1117" s="330"/>
      <c r="N1117" s="330"/>
      <c r="O1117" s="330"/>
      <c r="P1117" s="330"/>
      <c r="Q1117" s="330"/>
      <c r="R1117" s="330"/>
      <c r="S1117" s="330"/>
      <c r="T1117" s="330"/>
      <c r="U1117" s="338"/>
      <c r="V1117" s="330"/>
      <c r="W1117" s="330"/>
      <c r="X1117" s="330"/>
      <c r="Y1117" s="330"/>
      <c r="Z1117" s="330"/>
    </row>
    <row r="1118" spans="1:26" ht="12.5">
      <c r="A1118" s="330"/>
      <c r="B1118" s="330"/>
      <c r="C1118" s="330"/>
      <c r="D1118" s="330"/>
      <c r="E1118" s="330"/>
      <c r="F1118" s="330"/>
      <c r="G1118" s="330"/>
      <c r="H1118" s="330"/>
      <c r="I1118" s="327"/>
      <c r="J1118" s="330"/>
      <c r="K1118" s="330"/>
      <c r="L1118" s="330"/>
      <c r="M1118" s="330"/>
      <c r="N1118" s="330"/>
      <c r="O1118" s="330"/>
      <c r="P1118" s="330"/>
      <c r="Q1118" s="330"/>
      <c r="R1118" s="330"/>
      <c r="S1118" s="330"/>
      <c r="T1118" s="330"/>
      <c r="U1118" s="338"/>
      <c r="V1118" s="330"/>
      <c r="W1118" s="330"/>
      <c r="X1118" s="330"/>
      <c r="Y1118" s="330"/>
      <c r="Z1118" s="330"/>
    </row>
    <row r="1119" spans="1:26" ht="12.5">
      <c r="A1119" s="330"/>
      <c r="B1119" s="330"/>
      <c r="C1119" s="330"/>
      <c r="D1119" s="330"/>
      <c r="E1119" s="330"/>
      <c r="F1119" s="330"/>
      <c r="G1119" s="330"/>
      <c r="H1119" s="330"/>
      <c r="I1119" s="327"/>
      <c r="J1119" s="330"/>
      <c r="K1119" s="330"/>
      <c r="L1119" s="330"/>
      <c r="M1119" s="330"/>
      <c r="N1119" s="330"/>
      <c r="O1119" s="330"/>
      <c r="P1119" s="330"/>
      <c r="Q1119" s="330"/>
      <c r="R1119" s="330"/>
      <c r="S1119" s="330"/>
      <c r="T1119" s="330"/>
      <c r="U1119" s="338"/>
      <c r="V1119" s="330"/>
      <c r="W1119" s="330"/>
      <c r="X1119" s="330"/>
      <c r="Y1119" s="330"/>
      <c r="Z1119" s="330"/>
    </row>
    <row r="1120" spans="1:26" ht="12.5">
      <c r="A1120" s="330"/>
      <c r="B1120" s="330"/>
      <c r="C1120" s="330"/>
      <c r="D1120" s="330"/>
      <c r="E1120" s="330"/>
      <c r="F1120" s="330"/>
      <c r="G1120" s="330"/>
      <c r="H1120" s="330"/>
      <c r="I1120" s="327"/>
      <c r="J1120" s="330"/>
      <c r="K1120" s="330"/>
      <c r="L1120" s="330"/>
      <c r="M1120" s="330"/>
      <c r="N1120" s="330"/>
      <c r="O1120" s="330"/>
      <c r="P1120" s="330"/>
      <c r="Q1120" s="330"/>
      <c r="R1120" s="330"/>
      <c r="S1120" s="330"/>
      <c r="T1120" s="330"/>
      <c r="U1120" s="338"/>
      <c r="V1120" s="330"/>
      <c r="W1120" s="330"/>
      <c r="X1120" s="330"/>
      <c r="Y1120" s="330"/>
      <c r="Z1120" s="330"/>
    </row>
    <row r="1121" spans="1:26" ht="12.5">
      <c r="A1121" s="330"/>
      <c r="B1121" s="330"/>
      <c r="C1121" s="330"/>
      <c r="D1121" s="330"/>
      <c r="E1121" s="330"/>
      <c r="F1121" s="330"/>
      <c r="G1121" s="330"/>
      <c r="H1121" s="330"/>
      <c r="I1121" s="327"/>
      <c r="J1121" s="330"/>
      <c r="K1121" s="330"/>
      <c r="L1121" s="330"/>
      <c r="M1121" s="330"/>
      <c r="N1121" s="330"/>
      <c r="O1121" s="330"/>
      <c r="P1121" s="330"/>
      <c r="Q1121" s="330"/>
      <c r="R1121" s="330"/>
      <c r="S1121" s="330"/>
      <c r="T1121" s="330"/>
      <c r="U1121" s="338"/>
      <c r="V1121" s="330"/>
      <c r="W1121" s="330"/>
      <c r="X1121" s="330"/>
      <c r="Y1121" s="330"/>
      <c r="Z1121" s="330"/>
    </row>
    <row r="1122" spans="1:26" ht="12.5">
      <c r="A1122" s="330"/>
      <c r="B1122" s="330"/>
      <c r="C1122" s="330"/>
      <c r="D1122" s="330"/>
      <c r="E1122" s="330"/>
      <c r="F1122" s="330"/>
      <c r="G1122" s="330"/>
      <c r="H1122" s="330"/>
      <c r="I1122" s="327"/>
      <c r="J1122" s="330"/>
      <c r="K1122" s="330"/>
      <c r="L1122" s="330"/>
      <c r="M1122" s="330"/>
      <c r="N1122" s="330"/>
      <c r="O1122" s="330"/>
      <c r="P1122" s="330"/>
      <c r="Q1122" s="330"/>
      <c r="R1122" s="330"/>
      <c r="S1122" s="330"/>
      <c r="T1122" s="330"/>
      <c r="U1122" s="338"/>
      <c r="V1122" s="330"/>
      <c r="W1122" s="330"/>
      <c r="X1122" s="330"/>
      <c r="Y1122" s="330"/>
      <c r="Z1122" s="330"/>
    </row>
    <row r="1123" spans="1:26" ht="12.5">
      <c r="A1123" s="330"/>
      <c r="B1123" s="330"/>
      <c r="C1123" s="330"/>
      <c r="D1123" s="330"/>
      <c r="E1123" s="330"/>
      <c r="F1123" s="330"/>
      <c r="G1123" s="330"/>
      <c r="H1123" s="330"/>
      <c r="I1123" s="327"/>
      <c r="J1123" s="330"/>
      <c r="K1123" s="330"/>
      <c r="L1123" s="330"/>
      <c r="M1123" s="330"/>
      <c r="N1123" s="330"/>
      <c r="O1123" s="330"/>
      <c r="P1123" s="330"/>
      <c r="Q1123" s="330"/>
      <c r="R1123" s="330"/>
      <c r="S1123" s="330"/>
      <c r="T1123" s="330"/>
      <c r="U1123" s="338"/>
      <c r="V1123" s="330"/>
      <c r="W1123" s="330"/>
      <c r="X1123" s="330"/>
      <c r="Y1123" s="330"/>
      <c r="Z1123" s="330"/>
    </row>
    <row r="1124" spans="1:26" ht="12.5">
      <c r="A1124" s="330"/>
      <c r="B1124" s="330"/>
      <c r="C1124" s="330"/>
      <c r="D1124" s="330"/>
      <c r="E1124" s="330"/>
      <c r="F1124" s="330"/>
      <c r="G1124" s="330"/>
      <c r="H1124" s="330"/>
      <c r="I1124" s="327"/>
      <c r="J1124" s="330"/>
      <c r="K1124" s="330"/>
      <c r="L1124" s="330"/>
      <c r="M1124" s="330"/>
      <c r="N1124" s="330"/>
      <c r="O1124" s="330"/>
      <c r="P1124" s="330"/>
      <c r="Q1124" s="330"/>
      <c r="R1124" s="330"/>
      <c r="S1124" s="330"/>
      <c r="T1124" s="330"/>
      <c r="U1124" s="338"/>
      <c r="V1124" s="330"/>
      <c r="W1124" s="330"/>
      <c r="X1124" s="330"/>
      <c r="Y1124" s="330"/>
      <c r="Z1124" s="330"/>
    </row>
    <row r="1125" spans="1:26" ht="12.5">
      <c r="A1125" s="330"/>
      <c r="B1125" s="330"/>
      <c r="C1125" s="330"/>
      <c r="D1125" s="330"/>
      <c r="E1125" s="330"/>
      <c r="F1125" s="330"/>
      <c r="G1125" s="330"/>
      <c r="H1125" s="330"/>
      <c r="I1125" s="327"/>
      <c r="J1125" s="330"/>
      <c r="K1125" s="330"/>
      <c r="L1125" s="330"/>
      <c r="M1125" s="330"/>
      <c r="N1125" s="330"/>
      <c r="O1125" s="330"/>
      <c r="P1125" s="330"/>
      <c r="Q1125" s="330"/>
      <c r="R1125" s="330"/>
      <c r="S1125" s="330"/>
      <c r="T1125" s="330"/>
      <c r="U1125" s="338"/>
      <c r="V1125" s="330"/>
      <c r="W1125" s="330"/>
      <c r="X1125" s="330"/>
      <c r="Y1125" s="330"/>
      <c r="Z1125" s="330"/>
    </row>
    <row r="1126" spans="1:26" ht="12.5">
      <c r="A1126" s="330"/>
      <c r="B1126" s="330"/>
      <c r="C1126" s="330"/>
      <c r="D1126" s="330"/>
      <c r="E1126" s="330"/>
      <c r="F1126" s="330"/>
      <c r="G1126" s="330"/>
      <c r="H1126" s="330"/>
      <c r="I1126" s="327"/>
      <c r="J1126" s="330"/>
      <c r="K1126" s="330"/>
      <c r="L1126" s="330"/>
      <c r="M1126" s="330"/>
      <c r="N1126" s="330"/>
      <c r="O1126" s="330"/>
      <c r="P1126" s="330"/>
      <c r="Q1126" s="330"/>
      <c r="R1126" s="330"/>
      <c r="S1126" s="330"/>
      <c r="T1126" s="330"/>
      <c r="U1126" s="338"/>
      <c r="V1126" s="330"/>
      <c r="W1126" s="330"/>
      <c r="X1126" s="330"/>
      <c r="Y1126" s="330"/>
      <c r="Z1126" s="330"/>
    </row>
    <row r="1127" spans="1:26" ht="12.5">
      <c r="A1127" s="330"/>
      <c r="B1127" s="330"/>
      <c r="C1127" s="330"/>
      <c r="D1127" s="330"/>
      <c r="E1127" s="330"/>
      <c r="F1127" s="330"/>
      <c r="G1127" s="330"/>
      <c r="H1127" s="330"/>
      <c r="I1127" s="327"/>
      <c r="J1127" s="330"/>
      <c r="K1127" s="330"/>
      <c r="L1127" s="330"/>
      <c r="M1127" s="330"/>
      <c r="N1127" s="330"/>
      <c r="O1127" s="330"/>
      <c r="P1127" s="330"/>
      <c r="Q1127" s="330"/>
      <c r="R1127" s="330"/>
      <c r="S1127" s="330"/>
      <c r="T1127" s="330"/>
      <c r="U1127" s="338"/>
      <c r="V1127" s="330"/>
      <c r="W1127" s="330"/>
      <c r="X1127" s="330"/>
      <c r="Y1127" s="330"/>
      <c r="Z1127" s="330"/>
    </row>
    <row r="1128" spans="1:26" ht="12.5">
      <c r="A1128" s="330"/>
      <c r="B1128" s="330"/>
      <c r="C1128" s="330"/>
      <c r="D1128" s="330"/>
      <c r="E1128" s="330"/>
      <c r="F1128" s="330"/>
      <c r="G1128" s="330"/>
      <c r="H1128" s="330"/>
      <c r="I1128" s="327"/>
      <c r="J1128" s="330"/>
      <c r="K1128" s="330"/>
      <c r="L1128" s="330"/>
      <c r="M1128" s="330"/>
      <c r="N1128" s="330"/>
      <c r="O1128" s="330"/>
      <c r="P1128" s="330"/>
      <c r="Q1128" s="330"/>
      <c r="R1128" s="330"/>
      <c r="S1128" s="330"/>
      <c r="T1128" s="330"/>
      <c r="U1128" s="338"/>
      <c r="V1128" s="330"/>
      <c r="W1128" s="330"/>
      <c r="X1128" s="330"/>
      <c r="Y1128" s="330"/>
      <c r="Z1128" s="330"/>
    </row>
    <row r="1129" spans="1:26" ht="12.5">
      <c r="A1129" s="330"/>
      <c r="B1129" s="330"/>
      <c r="C1129" s="330"/>
      <c r="D1129" s="330"/>
      <c r="E1129" s="330"/>
      <c r="F1129" s="330"/>
      <c r="G1129" s="330"/>
      <c r="H1129" s="330"/>
      <c r="I1129" s="327"/>
      <c r="J1129" s="330"/>
      <c r="K1129" s="330"/>
      <c r="L1129" s="330"/>
      <c r="M1129" s="330"/>
      <c r="N1129" s="330"/>
      <c r="O1129" s="330"/>
      <c r="P1129" s="330"/>
      <c r="Q1129" s="330"/>
      <c r="R1129" s="330"/>
      <c r="S1129" s="330"/>
      <c r="T1129" s="330"/>
      <c r="U1129" s="338"/>
      <c r="V1129" s="330"/>
      <c r="W1129" s="330"/>
      <c r="X1129" s="330"/>
      <c r="Y1129" s="330"/>
      <c r="Z1129" s="330"/>
    </row>
    <row r="1130" spans="1:26" ht="12.5">
      <c r="A1130" s="330"/>
      <c r="B1130" s="330"/>
      <c r="C1130" s="330"/>
      <c r="D1130" s="330"/>
      <c r="E1130" s="330"/>
      <c r="F1130" s="330"/>
      <c r="G1130" s="330"/>
      <c r="H1130" s="330"/>
      <c r="I1130" s="327"/>
      <c r="J1130" s="330"/>
      <c r="K1130" s="330"/>
      <c r="L1130" s="330"/>
      <c r="M1130" s="330"/>
      <c r="N1130" s="330"/>
      <c r="O1130" s="330"/>
      <c r="P1130" s="330"/>
      <c r="Q1130" s="330"/>
      <c r="R1130" s="330"/>
      <c r="S1130" s="330"/>
      <c r="T1130" s="330"/>
      <c r="U1130" s="338"/>
      <c r="V1130" s="330"/>
      <c r="W1130" s="330"/>
      <c r="X1130" s="330"/>
      <c r="Y1130" s="330"/>
      <c r="Z1130" s="330"/>
    </row>
    <row r="1131" spans="1:26" ht="12.5">
      <c r="A1131" s="330"/>
      <c r="B1131" s="330"/>
      <c r="C1131" s="330"/>
      <c r="D1131" s="330"/>
      <c r="E1131" s="330"/>
      <c r="F1131" s="330"/>
      <c r="G1131" s="330"/>
      <c r="H1131" s="330"/>
      <c r="I1131" s="327"/>
      <c r="J1131" s="330"/>
      <c r="K1131" s="330"/>
      <c r="L1131" s="330"/>
      <c r="M1131" s="330"/>
      <c r="N1131" s="330"/>
      <c r="O1131" s="330"/>
      <c r="P1131" s="330"/>
      <c r="Q1131" s="330"/>
      <c r="R1131" s="330"/>
      <c r="S1131" s="330"/>
      <c r="T1131" s="330"/>
      <c r="U1131" s="338"/>
      <c r="V1131" s="330"/>
      <c r="W1131" s="330"/>
      <c r="X1131" s="330"/>
      <c r="Y1131" s="330"/>
      <c r="Z1131" s="330"/>
    </row>
    <row r="1132" spans="1:26" ht="12.5">
      <c r="A1132" s="330"/>
      <c r="B1132" s="330"/>
      <c r="C1132" s="330"/>
      <c r="D1132" s="330"/>
      <c r="E1132" s="330"/>
      <c r="F1132" s="330"/>
      <c r="G1132" s="330"/>
      <c r="H1132" s="330"/>
      <c r="I1132" s="327"/>
      <c r="J1132" s="330"/>
      <c r="K1132" s="330"/>
      <c r="L1132" s="330"/>
      <c r="M1132" s="330"/>
      <c r="N1132" s="330"/>
      <c r="O1132" s="330"/>
      <c r="P1132" s="330"/>
      <c r="Q1132" s="330"/>
      <c r="R1132" s="330"/>
      <c r="S1132" s="330"/>
      <c r="T1132" s="330"/>
      <c r="U1132" s="338"/>
      <c r="V1132" s="330"/>
      <c r="W1132" s="330"/>
      <c r="X1132" s="330"/>
      <c r="Y1132" s="330"/>
      <c r="Z1132" s="330"/>
    </row>
    <row r="1133" spans="1:26" ht="12.5">
      <c r="A1133" s="330"/>
      <c r="B1133" s="330"/>
      <c r="C1133" s="330"/>
      <c r="D1133" s="330"/>
      <c r="E1133" s="330"/>
      <c r="F1133" s="330"/>
      <c r="G1133" s="330"/>
      <c r="H1133" s="330"/>
      <c r="I1133" s="327"/>
      <c r="J1133" s="330"/>
      <c r="K1133" s="330"/>
      <c r="L1133" s="330"/>
      <c r="M1133" s="330"/>
      <c r="N1133" s="330"/>
      <c r="O1133" s="330"/>
      <c r="P1133" s="330"/>
      <c r="Q1133" s="330"/>
      <c r="R1133" s="330"/>
      <c r="S1133" s="330"/>
      <c r="T1133" s="330"/>
      <c r="U1133" s="338"/>
      <c r="V1133" s="330"/>
      <c r="W1133" s="330"/>
      <c r="X1133" s="330"/>
      <c r="Y1133" s="330"/>
      <c r="Z1133" s="330"/>
    </row>
    <row r="1134" spans="1:26" ht="12.5">
      <c r="A1134" s="330"/>
      <c r="B1134" s="330"/>
      <c r="C1134" s="330"/>
      <c r="D1134" s="330"/>
      <c r="E1134" s="330"/>
      <c r="F1134" s="330"/>
      <c r="G1134" s="330"/>
      <c r="H1134" s="330"/>
      <c r="I1134" s="327"/>
      <c r="J1134" s="330"/>
      <c r="K1134" s="330"/>
      <c r="L1134" s="330"/>
      <c r="M1134" s="330"/>
      <c r="N1134" s="330"/>
      <c r="O1134" s="330"/>
      <c r="P1134" s="330"/>
      <c r="Q1134" s="330"/>
      <c r="R1134" s="330"/>
      <c r="S1134" s="330"/>
      <c r="T1134" s="330"/>
      <c r="U1134" s="338"/>
      <c r="V1134" s="330"/>
      <c r="W1134" s="330"/>
      <c r="X1134" s="330"/>
      <c r="Y1134" s="330"/>
      <c r="Z1134" s="330"/>
    </row>
    <row r="1135" spans="1:26" ht="12.5">
      <c r="A1135" s="330"/>
      <c r="B1135" s="330"/>
      <c r="C1135" s="330"/>
      <c r="D1135" s="330"/>
      <c r="E1135" s="330"/>
      <c r="F1135" s="330"/>
      <c r="G1135" s="330"/>
      <c r="H1135" s="330"/>
      <c r="I1135" s="327"/>
      <c r="J1135" s="330"/>
      <c r="K1135" s="330"/>
      <c r="L1135" s="330"/>
      <c r="M1135" s="330"/>
      <c r="N1135" s="330"/>
      <c r="O1135" s="330"/>
      <c r="P1135" s="330"/>
      <c r="Q1135" s="330"/>
      <c r="R1135" s="330"/>
      <c r="S1135" s="330"/>
      <c r="T1135" s="330"/>
      <c r="U1135" s="338"/>
      <c r="V1135" s="330"/>
      <c r="W1135" s="330"/>
      <c r="X1135" s="330"/>
      <c r="Y1135" s="330"/>
      <c r="Z1135" s="330"/>
    </row>
    <row r="1136" spans="1:26" ht="12.5">
      <c r="A1136" s="330"/>
      <c r="B1136" s="330"/>
      <c r="C1136" s="330"/>
      <c r="D1136" s="330"/>
      <c r="E1136" s="330"/>
      <c r="F1136" s="330"/>
      <c r="G1136" s="330"/>
      <c r="H1136" s="330"/>
      <c r="I1136" s="327"/>
      <c r="J1136" s="330"/>
      <c r="K1136" s="330"/>
      <c r="L1136" s="330"/>
      <c r="M1136" s="330"/>
      <c r="N1136" s="330"/>
      <c r="O1136" s="330"/>
      <c r="P1136" s="330"/>
      <c r="Q1136" s="330"/>
      <c r="R1136" s="330"/>
      <c r="S1136" s="330"/>
      <c r="T1136" s="330"/>
      <c r="U1136" s="338"/>
      <c r="V1136" s="330"/>
      <c r="W1136" s="330"/>
      <c r="X1136" s="330"/>
      <c r="Y1136" s="330"/>
      <c r="Z1136" s="330"/>
    </row>
    <row r="1137" spans="1:26" ht="12.5">
      <c r="A1137" s="330"/>
      <c r="B1137" s="330"/>
      <c r="C1137" s="330"/>
      <c r="D1137" s="330"/>
      <c r="E1137" s="330"/>
      <c r="F1137" s="330"/>
      <c r="G1137" s="330"/>
      <c r="H1137" s="330"/>
      <c r="I1137" s="327"/>
      <c r="J1137" s="330"/>
      <c r="K1137" s="330"/>
      <c r="L1137" s="330"/>
      <c r="M1137" s="330"/>
      <c r="N1137" s="330"/>
      <c r="O1137" s="330"/>
      <c r="P1137" s="330"/>
      <c r="Q1137" s="330"/>
      <c r="R1137" s="330"/>
      <c r="S1137" s="330"/>
      <c r="T1137" s="330"/>
      <c r="U1137" s="338"/>
      <c r="V1137" s="330"/>
      <c r="W1137" s="330"/>
      <c r="X1137" s="330"/>
      <c r="Y1137" s="330"/>
      <c r="Z1137" s="330"/>
    </row>
    <row r="1138" spans="1:26" ht="12.5">
      <c r="A1138" s="330"/>
      <c r="B1138" s="330"/>
      <c r="C1138" s="330"/>
      <c r="D1138" s="330"/>
      <c r="E1138" s="330"/>
      <c r="F1138" s="330"/>
      <c r="G1138" s="330"/>
      <c r="H1138" s="330"/>
      <c r="I1138" s="327"/>
      <c r="J1138" s="330"/>
      <c r="K1138" s="330"/>
      <c r="L1138" s="330"/>
      <c r="M1138" s="330"/>
      <c r="N1138" s="330"/>
      <c r="O1138" s="330"/>
      <c r="P1138" s="330"/>
      <c r="Q1138" s="330"/>
      <c r="R1138" s="330"/>
      <c r="S1138" s="330"/>
      <c r="T1138" s="330"/>
      <c r="U1138" s="338"/>
      <c r="V1138" s="330"/>
      <c r="W1138" s="330"/>
      <c r="X1138" s="330"/>
      <c r="Y1138" s="330"/>
      <c r="Z1138" s="330"/>
    </row>
    <row r="1139" spans="1:26" ht="12.5">
      <c r="A1139" s="330"/>
      <c r="B1139" s="330"/>
      <c r="C1139" s="330"/>
      <c r="D1139" s="330"/>
      <c r="E1139" s="330"/>
      <c r="F1139" s="330"/>
      <c r="G1139" s="330"/>
      <c r="H1139" s="330"/>
      <c r="I1139" s="327"/>
      <c r="J1139" s="330"/>
      <c r="K1139" s="330"/>
      <c r="L1139" s="330"/>
      <c r="M1139" s="330"/>
      <c r="N1139" s="330"/>
      <c r="O1139" s="330"/>
      <c r="P1139" s="330"/>
      <c r="Q1139" s="330"/>
      <c r="R1139" s="330"/>
      <c r="S1139" s="330"/>
      <c r="T1139" s="330"/>
      <c r="U1139" s="338"/>
      <c r="V1139" s="330"/>
      <c r="W1139" s="330"/>
      <c r="X1139" s="330"/>
      <c r="Y1139" s="330"/>
      <c r="Z1139" s="330"/>
    </row>
    <row r="1140" spans="1:26" ht="12.5">
      <c r="A1140" s="330"/>
      <c r="B1140" s="330"/>
      <c r="C1140" s="330"/>
      <c r="D1140" s="330"/>
      <c r="E1140" s="330"/>
      <c r="F1140" s="330"/>
      <c r="G1140" s="330"/>
      <c r="H1140" s="330"/>
      <c r="I1140" s="327"/>
      <c r="J1140" s="330"/>
      <c r="K1140" s="330"/>
      <c r="L1140" s="330"/>
      <c r="M1140" s="330"/>
      <c r="N1140" s="330"/>
      <c r="O1140" s="330"/>
      <c r="P1140" s="330"/>
      <c r="Q1140" s="330"/>
      <c r="R1140" s="330"/>
      <c r="S1140" s="330"/>
      <c r="T1140" s="330"/>
      <c r="U1140" s="338"/>
      <c r="V1140" s="330"/>
      <c r="W1140" s="330"/>
      <c r="X1140" s="330"/>
      <c r="Y1140" s="330"/>
      <c r="Z1140" s="330"/>
    </row>
    <row r="1141" spans="1:26" ht="12.5">
      <c r="A1141" s="330"/>
      <c r="B1141" s="330"/>
      <c r="C1141" s="330"/>
      <c r="D1141" s="330"/>
      <c r="E1141" s="330"/>
      <c r="F1141" s="330"/>
      <c r="G1141" s="330"/>
      <c r="H1141" s="330"/>
      <c r="I1141" s="327"/>
      <c r="J1141" s="330"/>
      <c r="K1141" s="330"/>
      <c r="L1141" s="330"/>
      <c r="M1141" s="330"/>
      <c r="N1141" s="330"/>
      <c r="O1141" s="330"/>
      <c r="P1141" s="330"/>
      <c r="Q1141" s="330"/>
      <c r="R1141" s="330"/>
      <c r="S1141" s="330"/>
      <c r="T1141" s="330"/>
      <c r="U1141" s="338"/>
      <c r="V1141" s="330"/>
      <c r="W1141" s="330"/>
      <c r="X1141" s="330"/>
      <c r="Y1141" s="330"/>
      <c r="Z1141" s="330"/>
    </row>
    <row r="1142" spans="1:26" ht="12.5">
      <c r="A1142" s="330"/>
      <c r="B1142" s="330"/>
      <c r="C1142" s="330"/>
      <c r="D1142" s="330"/>
      <c r="E1142" s="330"/>
      <c r="F1142" s="330"/>
      <c r="G1142" s="330"/>
      <c r="H1142" s="330"/>
      <c r="I1142" s="327"/>
      <c r="J1142" s="330"/>
      <c r="K1142" s="330"/>
      <c r="L1142" s="330"/>
      <c r="M1142" s="330"/>
      <c r="N1142" s="330"/>
      <c r="O1142" s="330"/>
      <c r="P1142" s="330"/>
      <c r="Q1142" s="330"/>
      <c r="R1142" s="330"/>
      <c r="S1142" s="330"/>
      <c r="T1142" s="330"/>
      <c r="U1142" s="338"/>
      <c r="V1142" s="330"/>
      <c r="W1142" s="330"/>
      <c r="X1142" s="330"/>
      <c r="Y1142" s="330"/>
      <c r="Z1142" s="330"/>
    </row>
    <row r="1143" spans="1:26" ht="12.5">
      <c r="A1143" s="330"/>
      <c r="B1143" s="330"/>
      <c r="C1143" s="330"/>
      <c r="D1143" s="330"/>
      <c r="E1143" s="330"/>
      <c r="F1143" s="330"/>
      <c r="G1143" s="330"/>
      <c r="H1143" s="330"/>
      <c r="I1143" s="327"/>
      <c r="J1143" s="330"/>
      <c r="K1143" s="330"/>
      <c r="L1143" s="330"/>
      <c r="M1143" s="330"/>
      <c r="N1143" s="330"/>
      <c r="O1143" s="330"/>
      <c r="P1143" s="330"/>
      <c r="Q1143" s="330"/>
      <c r="R1143" s="330"/>
      <c r="S1143" s="330"/>
      <c r="T1143" s="330"/>
      <c r="U1143" s="338"/>
      <c r="V1143" s="330"/>
      <c r="W1143" s="330"/>
      <c r="X1143" s="330"/>
      <c r="Y1143" s="330"/>
      <c r="Z1143" s="330"/>
    </row>
    <row r="1144" spans="1:26" ht="12.5">
      <c r="A1144" s="330"/>
      <c r="B1144" s="330"/>
      <c r="C1144" s="330"/>
      <c r="D1144" s="330"/>
      <c r="E1144" s="330"/>
      <c r="F1144" s="330"/>
      <c r="G1144" s="330"/>
      <c r="H1144" s="330"/>
      <c r="I1144" s="327"/>
      <c r="J1144" s="330"/>
      <c r="K1144" s="330"/>
      <c r="L1144" s="330"/>
      <c r="M1144" s="330"/>
      <c r="N1144" s="330"/>
      <c r="O1144" s="330"/>
      <c r="P1144" s="330"/>
      <c r="Q1144" s="330"/>
      <c r="R1144" s="330"/>
      <c r="S1144" s="330"/>
      <c r="T1144" s="330"/>
      <c r="U1144" s="338"/>
      <c r="V1144" s="330"/>
      <c r="W1144" s="330"/>
      <c r="X1144" s="330"/>
      <c r="Y1144" s="330"/>
      <c r="Z1144" s="330"/>
    </row>
    <row r="1145" spans="1:26" ht="12.5">
      <c r="A1145" s="330"/>
      <c r="B1145" s="330"/>
      <c r="C1145" s="330"/>
      <c r="D1145" s="330"/>
      <c r="E1145" s="330"/>
      <c r="F1145" s="330"/>
      <c r="G1145" s="330"/>
      <c r="H1145" s="330"/>
      <c r="I1145" s="327"/>
      <c r="J1145" s="330"/>
      <c r="K1145" s="330"/>
      <c r="L1145" s="330"/>
      <c r="M1145" s="330"/>
      <c r="N1145" s="330"/>
      <c r="O1145" s="330"/>
      <c r="P1145" s="330"/>
      <c r="Q1145" s="330"/>
      <c r="R1145" s="330"/>
      <c r="S1145" s="330"/>
      <c r="T1145" s="330"/>
      <c r="U1145" s="338"/>
      <c r="V1145" s="330"/>
      <c r="W1145" s="330"/>
      <c r="X1145" s="330"/>
      <c r="Y1145" s="330"/>
      <c r="Z1145" s="330"/>
    </row>
    <row r="1146" spans="1:26" ht="12.5">
      <c r="A1146" s="330"/>
      <c r="B1146" s="330"/>
      <c r="C1146" s="330"/>
      <c r="D1146" s="330"/>
      <c r="E1146" s="330"/>
      <c r="F1146" s="330"/>
      <c r="G1146" s="330"/>
      <c r="H1146" s="330"/>
      <c r="I1146" s="327"/>
      <c r="J1146" s="330"/>
      <c r="K1146" s="330"/>
      <c r="L1146" s="330"/>
      <c r="M1146" s="330"/>
      <c r="N1146" s="330"/>
      <c r="O1146" s="330"/>
      <c r="P1146" s="330"/>
      <c r="Q1146" s="330"/>
      <c r="R1146" s="330"/>
      <c r="S1146" s="330"/>
      <c r="T1146" s="330"/>
      <c r="U1146" s="338"/>
      <c r="V1146" s="330"/>
      <c r="W1146" s="330"/>
      <c r="X1146" s="330"/>
      <c r="Y1146" s="330"/>
      <c r="Z1146" s="330"/>
    </row>
    <row r="1147" spans="1:26" ht="12.5">
      <c r="A1147" s="330"/>
      <c r="B1147" s="330"/>
      <c r="C1147" s="330"/>
      <c r="D1147" s="330"/>
      <c r="E1147" s="330"/>
      <c r="F1147" s="330"/>
      <c r="G1147" s="330"/>
      <c r="H1147" s="330"/>
      <c r="I1147" s="327"/>
      <c r="J1147" s="330"/>
      <c r="K1147" s="330"/>
      <c r="L1147" s="330"/>
      <c r="M1147" s="330"/>
      <c r="N1147" s="330"/>
      <c r="O1147" s="330"/>
      <c r="P1147" s="330"/>
      <c r="Q1147" s="330"/>
      <c r="R1147" s="330"/>
      <c r="S1147" s="330"/>
      <c r="T1147" s="330"/>
      <c r="U1147" s="338"/>
      <c r="V1147" s="330"/>
      <c r="W1147" s="330"/>
      <c r="X1147" s="330"/>
      <c r="Y1147" s="330"/>
      <c r="Z1147" s="330"/>
    </row>
    <row r="1148" spans="1:26" ht="12.5">
      <c r="A1148" s="330"/>
      <c r="B1148" s="330"/>
      <c r="C1148" s="330"/>
      <c r="D1148" s="330"/>
      <c r="E1148" s="330"/>
      <c r="F1148" s="330"/>
      <c r="G1148" s="330"/>
      <c r="H1148" s="330"/>
      <c r="I1148" s="327"/>
      <c r="J1148" s="330"/>
      <c r="K1148" s="330"/>
      <c r="L1148" s="330"/>
      <c r="M1148" s="330"/>
      <c r="N1148" s="330"/>
      <c r="O1148" s="330"/>
      <c r="P1148" s="330"/>
      <c r="Q1148" s="330"/>
      <c r="R1148" s="330"/>
      <c r="S1148" s="330"/>
      <c r="T1148" s="330"/>
      <c r="U1148" s="338"/>
      <c r="V1148" s="330"/>
      <c r="W1148" s="330"/>
      <c r="X1148" s="330"/>
      <c r="Y1148" s="330"/>
      <c r="Z1148" s="330"/>
    </row>
    <row r="1149" spans="1:26" ht="12.5">
      <c r="A1149" s="330"/>
      <c r="B1149" s="330"/>
      <c r="C1149" s="330"/>
      <c r="D1149" s="330"/>
      <c r="E1149" s="330"/>
      <c r="F1149" s="330"/>
      <c r="G1149" s="330"/>
      <c r="H1149" s="330"/>
      <c r="I1149" s="327"/>
      <c r="J1149" s="330"/>
      <c r="K1149" s="330"/>
      <c r="L1149" s="330"/>
      <c r="M1149" s="330"/>
      <c r="N1149" s="330"/>
      <c r="O1149" s="330"/>
      <c r="P1149" s="330"/>
      <c r="Q1149" s="330"/>
      <c r="R1149" s="330"/>
      <c r="S1149" s="330"/>
      <c r="T1149" s="330"/>
      <c r="U1149" s="338"/>
      <c r="V1149" s="330"/>
      <c r="W1149" s="330"/>
      <c r="X1149" s="330"/>
      <c r="Y1149" s="330"/>
      <c r="Z1149" s="330"/>
    </row>
    <row r="1150" spans="1:26" ht="12.5">
      <c r="A1150" s="330"/>
      <c r="B1150" s="330"/>
      <c r="C1150" s="330"/>
      <c r="D1150" s="330"/>
      <c r="E1150" s="330"/>
      <c r="F1150" s="330"/>
      <c r="G1150" s="330"/>
      <c r="H1150" s="330"/>
      <c r="I1150" s="327"/>
      <c r="J1150" s="330"/>
      <c r="K1150" s="330"/>
      <c r="L1150" s="330"/>
      <c r="M1150" s="330"/>
      <c r="N1150" s="330"/>
      <c r="O1150" s="330"/>
      <c r="P1150" s="330"/>
      <c r="Q1150" s="330"/>
      <c r="R1150" s="330"/>
      <c r="S1150" s="330"/>
      <c r="T1150" s="330"/>
      <c r="U1150" s="338"/>
      <c r="V1150" s="330"/>
      <c r="W1150" s="330"/>
      <c r="X1150" s="330"/>
      <c r="Y1150" s="330"/>
      <c r="Z1150" s="330"/>
    </row>
    <row r="1151" spans="1:26" ht="12.5">
      <c r="A1151" s="330"/>
      <c r="B1151" s="330"/>
      <c r="C1151" s="330"/>
      <c r="D1151" s="330"/>
      <c r="E1151" s="330"/>
      <c r="F1151" s="330"/>
      <c r="G1151" s="330"/>
      <c r="H1151" s="330"/>
      <c r="I1151" s="327"/>
      <c r="J1151" s="330"/>
      <c r="K1151" s="330"/>
      <c r="L1151" s="330"/>
      <c r="M1151" s="330"/>
      <c r="N1151" s="330"/>
      <c r="O1151" s="330"/>
      <c r="P1151" s="330"/>
      <c r="Q1151" s="330"/>
      <c r="R1151" s="330"/>
      <c r="S1151" s="330"/>
      <c r="T1151" s="330"/>
      <c r="U1151" s="338"/>
      <c r="V1151" s="330"/>
      <c r="W1151" s="330"/>
      <c r="X1151" s="330"/>
      <c r="Y1151" s="330"/>
      <c r="Z1151" s="330"/>
    </row>
    <row r="1152" spans="1:26" ht="12.5">
      <c r="A1152" s="330"/>
      <c r="B1152" s="330"/>
      <c r="C1152" s="330"/>
      <c r="D1152" s="330"/>
      <c r="E1152" s="330"/>
      <c r="F1152" s="330"/>
      <c r="G1152" s="330"/>
      <c r="H1152" s="330"/>
      <c r="I1152" s="327"/>
      <c r="J1152" s="330"/>
      <c r="K1152" s="330"/>
      <c r="L1152" s="330"/>
      <c r="M1152" s="330"/>
      <c r="N1152" s="330"/>
      <c r="O1152" s="330"/>
      <c r="P1152" s="330"/>
      <c r="Q1152" s="330"/>
      <c r="R1152" s="330"/>
      <c r="S1152" s="330"/>
      <c r="T1152" s="330"/>
      <c r="U1152" s="338"/>
      <c r="V1152" s="330"/>
      <c r="W1152" s="330"/>
      <c r="X1152" s="330"/>
      <c r="Y1152" s="330"/>
      <c r="Z1152" s="330"/>
    </row>
    <row r="1153" spans="1:26" ht="12.5">
      <c r="A1153" s="330"/>
      <c r="B1153" s="330"/>
      <c r="C1153" s="330"/>
      <c r="D1153" s="330"/>
      <c r="E1153" s="330"/>
      <c r="F1153" s="330"/>
      <c r="G1153" s="330"/>
      <c r="H1153" s="330"/>
      <c r="I1153" s="327"/>
      <c r="J1153" s="330"/>
      <c r="K1153" s="330"/>
      <c r="L1153" s="330"/>
      <c r="M1153" s="330"/>
      <c r="N1153" s="330"/>
      <c r="O1153" s="330"/>
      <c r="P1153" s="330"/>
      <c r="Q1153" s="330"/>
      <c r="R1153" s="330"/>
      <c r="S1153" s="330"/>
      <c r="T1153" s="330"/>
      <c r="U1153" s="338"/>
      <c r="V1153" s="330"/>
      <c r="W1153" s="330"/>
      <c r="X1153" s="330"/>
      <c r="Y1153" s="330"/>
      <c r="Z1153" s="330"/>
    </row>
    <row r="1154" spans="1:26" ht="12.5">
      <c r="A1154" s="330"/>
      <c r="B1154" s="330"/>
      <c r="C1154" s="330"/>
      <c r="D1154" s="330"/>
      <c r="E1154" s="330"/>
      <c r="F1154" s="330"/>
      <c r="G1154" s="330"/>
      <c r="H1154" s="330"/>
      <c r="I1154" s="327"/>
      <c r="J1154" s="330"/>
      <c r="K1154" s="330"/>
      <c r="L1154" s="330"/>
      <c r="M1154" s="330"/>
      <c r="N1154" s="330"/>
      <c r="O1154" s="330"/>
      <c r="P1154" s="330"/>
      <c r="Q1154" s="330"/>
      <c r="R1154" s="330"/>
      <c r="S1154" s="330"/>
      <c r="T1154" s="330"/>
      <c r="U1154" s="338"/>
      <c r="V1154" s="330"/>
      <c r="W1154" s="330"/>
      <c r="X1154" s="330"/>
      <c r="Y1154" s="330"/>
      <c r="Z1154" s="330"/>
    </row>
    <row r="1155" spans="1:26" ht="12.5">
      <c r="A1155" s="330"/>
      <c r="B1155" s="330"/>
      <c r="C1155" s="330"/>
      <c r="D1155" s="330"/>
      <c r="E1155" s="330"/>
      <c r="F1155" s="330"/>
      <c r="G1155" s="330"/>
      <c r="H1155" s="330"/>
      <c r="I1155" s="327"/>
      <c r="J1155" s="330"/>
      <c r="K1155" s="330"/>
      <c r="L1155" s="330"/>
      <c r="M1155" s="330"/>
      <c r="N1155" s="330"/>
      <c r="O1155" s="330"/>
      <c r="P1155" s="330"/>
      <c r="Q1155" s="330"/>
      <c r="R1155" s="330"/>
      <c r="S1155" s="330"/>
      <c r="T1155" s="330"/>
      <c r="U1155" s="338"/>
      <c r="V1155" s="330"/>
      <c r="W1155" s="330"/>
      <c r="X1155" s="330"/>
      <c r="Y1155" s="330"/>
      <c r="Z1155" s="330"/>
    </row>
    <row r="1156" spans="1:26" ht="12.5">
      <c r="A1156" s="330"/>
      <c r="B1156" s="330"/>
      <c r="C1156" s="330"/>
      <c r="D1156" s="330"/>
      <c r="E1156" s="330"/>
      <c r="F1156" s="330"/>
      <c r="G1156" s="330"/>
      <c r="H1156" s="330"/>
      <c r="I1156" s="327"/>
      <c r="J1156" s="330"/>
      <c r="K1156" s="330"/>
      <c r="L1156" s="330"/>
      <c r="M1156" s="330"/>
      <c r="N1156" s="330"/>
      <c r="O1156" s="330"/>
      <c r="P1156" s="330"/>
      <c r="Q1156" s="330"/>
      <c r="R1156" s="330"/>
      <c r="S1156" s="330"/>
      <c r="T1156" s="330"/>
      <c r="U1156" s="338"/>
      <c r="V1156" s="330"/>
      <c r="W1156" s="330"/>
      <c r="X1156" s="330"/>
      <c r="Y1156" s="330"/>
      <c r="Z1156" s="330"/>
    </row>
    <row r="1157" spans="1:26" ht="12.5">
      <c r="A1157" s="330"/>
      <c r="B1157" s="330"/>
      <c r="C1157" s="330"/>
      <c r="D1157" s="330"/>
      <c r="E1157" s="330"/>
      <c r="F1157" s="330"/>
      <c r="G1157" s="330"/>
      <c r="H1157" s="330"/>
      <c r="I1157" s="327"/>
      <c r="J1157" s="330"/>
      <c r="K1157" s="330"/>
      <c r="L1157" s="330"/>
      <c r="M1157" s="330"/>
      <c r="N1157" s="330"/>
      <c r="O1157" s="330"/>
      <c r="P1157" s="330"/>
      <c r="Q1157" s="330"/>
      <c r="R1157" s="330"/>
      <c r="S1157" s="330"/>
      <c r="T1157" s="330"/>
      <c r="U1157" s="338"/>
      <c r="V1157" s="330"/>
      <c r="W1157" s="330"/>
      <c r="X1157" s="330"/>
      <c r="Y1157" s="330"/>
      <c r="Z1157" s="330"/>
    </row>
    <row r="1158" spans="1:26" ht="12.5">
      <c r="A1158" s="330"/>
      <c r="B1158" s="330"/>
      <c r="C1158" s="330"/>
      <c r="D1158" s="330"/>
      <c r="E1158" s="330"/>
      <c r="F1158" s="330"/>
      <c r="G1158" s="330"/>
      <c r="H1158" s="330"/>
      <c r="I1158" s="327"/>
      <c r="J1158" s="330"/>
      <c r="K1158" s="330"/>
      <c r="L1158" s="330"/>
      <c r="M1158" s="330"/>
      <c r="N1158" s="330"/>
      <c r="O1158" s="330"/>
      <c r="P1158" s="330"/>
      <c r="Q1158" s="330"/>
      <c r="R1158" s="330"/>
      <c r="S1158" s="330"/>
      <c r="T1158" s="330"/>
      <c r="U1158" s="338"/>
      <c r="V1158" s="330"/>
      <c r="W1158" s="330"/>
      <c r="X1158" s="330"/>
      <c r="Y1158" s="330"/>
      <c r="Z1158" s="330"/>
    </row>
    <row r="1159" spans="1:26" ht="12.5">
      <c r="A1159" s="330"/>
      <c r="B1159" s="330"/>
      <c r="C1159" s="330"/>
      <c r="D1159" s="330"/>
      <c r="E1159" s="330"/>
      <c r="F1159" s="330"/>
      <c r="G1159" s="330"/>
      <c r="H1159" s="330"/>
      <c r="I1159" s="327"/>
      <c r="J1159" s="330"/>
      <c r="K1159" s="330"/>
      <c r="L1159" s="330"/>
      <c r="M1159" s="330"/>
      <c r="N1159" s="330"/>
      <c r="O1159" s="330"/>
      <c r="P1159" s="330"/>
      <c r="Q1159" s="330"/>
      <c r="R1159" s="330"/>
      <c r="S1159" s="330"/>
      <c r="T1159" s="330"/>
      <c r="U1159" s="338"/>
      <c r="V1159" s="330"/>
      <c r="W1159" s="330"/>
      <c r="X1159" s="330"/>
      <c r="Y1159" s="330"/>
      <c r="Z1159" s="330"/>
    </row>
    <row r="1160" spans="1:26" ht="12.5">
      <c r="A1160" s="330"/>
      <c r="B1160" s="330"/>
      <c r="C1160" s="330"/>
      <c r="D1160" s="330"/>
      <c r="E1160" s="330"/>
      <c r="F1160" s="330"/>
      <c r="G1160" s="330"/>
      <c r="H1160" s="330"/>
      <c r="I1160" s="327"/>
      <c r="J1160" s="330"/>
      <c r="K1160" s="330"/>
      <c r="L1160" s="330"/>
      <c r="M1160" s="330"/>
      <c r="N1160" s="330"/>
      <c r="O1160" s="330"/>
      <c r="P1160" s="330"/>
      <c r="Q1160" s="330"/>
      <c r="R1160" s="330"/>
      <c r="S1160" s="330"/>
      <c r="T1160" s="330"/>
      <c r="U1160" s="338"/>
      <c r="V1160" s="330"/>
      <c r="W1160" s="330"/>
      <c r="X1160" s="330"/>
      <c r="Y1160" s="330"/>
      <c r="Z1160" s="330"/>
    </row>
    <row r="1161" spans="1:26" ht="12.5">
      <c r="A1161" s="330"/>
      <c r="B1161" s="330"/>
      <c r="C1161" s="330"/>
      <c r="D1161" s="330"/>
      <c r="E1161" s="330"/>
      <c r="F1161" s="330"/>
      <c r="G1161" s="330"/>
      <c r="H1161" s="330"/>
      <c r="I1161" s="327"/>
      <c r="J1161" s="330"/>
      <c r="K1161" s="330"/>
      <c r="L1161" s="330"/>
      <c r="M1161" s="330"/>
      <c r="N1161" s="330"/>
      <c r="O1161" s="330"/>
      <c r="P1161" s="330"/>
      <c r="Q1161" s="330"/>
      <c r="R1161" s="330"/>
      <c r="S1161" s="330"/>
      <c r="T1161" s="330"/>
      <c r="U1161" s="338"/>
      <c r="V1161" s="330"/>
      <c r="W1161" s="330"/>
      <c r="X1161" s="330"/>
      <c r="Y1161" s="330"/>
      <c r="Z1161" s="330"/>
    </row>
    <row r="1162" spans="1:26" ht="12.5">
      <c r="A1162" s="330"/>
      <c r="B1162" s="330"/>
      <c r="C1162" s="330"/>
      <c r="D1162" s="330"/>
      <c r="E1162" s="330"/>
      <c r="F1162" s="330"/>
      <c r="G1162" s="330"/>
      <c r="H1162" s="330"/>
      <c r="I1162" s="327"/>
      <c r="J1162" s="330"/>
      <c r="K1162" s="330"/>
      <c r="L1162" s="330"/>
      <c r="M1162" s="330"/>
      <c r="N1162" s="330"/>
      <c r="O1162" s="330"/>
      <c r="P1162" s="330"/>
      <c r="Q1162" s="330"/>
      <c r="R1162" s="330"/>
      <c r="S1162" s="330"/>
      <c r="T1162" s="330"/>
      <c r="U1162" s="338"/>
      <c r="V1162" s="330"/>
      <c r="W1162" s="330"/>
      <c r="X1162" s="330"/>
      <c r="Y1162" s="330"/>
      <c r="Z1162" s="330"/>
    </row>
    <row r="1163" spans="1:26" ht="12.5">
      <c r="A1163" s="330"/>
      <c r="B1163" s="330"/>
      <c r="C1163" s="330"/>
      <c r="D1163" s="330"/>
      <c r="E1163" s="330"/>
      <c r="F1163" s="330"/>
      <c r="G1163" s="330"/>
      <c r="H1163" s="330"/>
      <c r="I1163" s="327"/>
      <c r="J1163" s="330"/>
      <c r="K1163" s="330"/>
      <c r="L1163" s="330"/>
      <c r="M1163" s="330"/>
      <c r="N1163" s="330"/>
      <c r="O1163" s="330"/>
      <c r="P1163" s="330"/>
      <c r="Q1163" s="330"/>
      <c r="R1163" s="330"/>
      <c r="S1163" s="330"/>
      <c r="T1163" s="330"/>
      <c r="U1163" s="338"/>
      <c r="V1163" s="330"/>
      <c r="W1163" s="330"/>
      <c r="X1163" s="330"/>
      <c r="Y1163" s="330"/>
      <c r="Z1163" s="330"/>
    </row>
    <row r="1164" spans="1:26" ht="12.5">
      <c r="A1164" s="330"/>
      <c r="B1164" s="330"/>
      <c r="C1164" s="330"/>
      <c r="D1164" s="330"/>
      <c r="E1164" s="330"/>
      <c r="F1164" s="330"/>
      <c r="G1164" s="330"/>
      <c r="H1164" s="330"/>
      <c r="I1164" s="327"/>
      <c r="J1164" s="330"/>
      <c r="K1164" s="330"/>
      <c r="L1164" s="330"/>
      <c r="M1164" s="330"/>
      <c r="N1164" s="330"/>
      <c r="O1164" s="330"/>
      <c r="P1164" s="330"/>
      <c r="Q1164" s="330"/>
      <c r="R1164" s="330"/>
      <c r="S1164" s="330"/>
      <c r="T1164" s="330"/>
      <c r="U1164" s="338"/>
      <c r="V1164" s="330"/>
      <c r="W1164" s="330"/>
      <c r="X1164" s="330"/>
      <c r="Y1164" s="330"/>
      <c r="Z1164" s="330"/>
    </row>
    <row r="1165" spans="1:26" ht="12.5">
      <c r="A1165" s="330"/>
      <c r="B1165" s="330"/>
      <c r="C1165" s="330"/>
      <c r="D1165" s="330"/>
      <c r="E1165" s="330"/>
      <c r="F1165" s="330"/>
      <c r="G1165" s="330"/>
      <c r="H1165" s="330"/>
      <c r="I1165" s="327"/>
      <c r="J1165" s="330"/>
      <c r="K1165" s="330"/>
      <c r="L1165" s="330"/>
      <c r="M1165" s="330"/>
      <c r="N1165" s="330"/>
      <c r="O1165" s="330"/>
      <c r="P1165" s="330"/>
      <c r="Q1165" s="330"/>
      <c r="R1165" s="330"/>
      <c r="S1165" s="330"/>
      <c r="T1165" s="330"/>
      <c r="U1165" s="338"/>
      <c r="V1165" s="330"/>
      <c r="W1165" s="330"/>
      <c r="X1165" s="330"/>
      <c r="Y1165" s="330"/>
      <c r="Z1165" s="330"/>
    </row>
    <row r="1166" spans="1:26" ht="12.5">
      <c r="A1166" s="330"/>
      <c r="B1166" s="330"/>
      <c r="C1166" s="330"/>
      <c r="D1166" s="330"/>
      <c r="E1166" s="330"/>
      <c r="F1166" s="330"/>
      <c r="G1166" s="330"/>
      <c r="H1166" s="330"/>
      <c r="I1166" s="327"/>
      <c r="J1166" s="330"/>
      <c r="K1166" s="330"/>
      <c r="L1166" s="330"/>
      <c r="M1166" s="330"/>
      <c r="N1166" s="330"/>
      <c r="O1166" s="330"/>
      <c r="P1166" s="330"/>
      <c r="Q1166" s="330"/>
      <c r="R1166" s="330"/>
      <c r="S1166" s="330"/>
      <c r="T1166" s="330"/>
      <c r="U1166" s="338"/>
      <c r="V1166" s="330"/>
      <c r="W1166" s="330"/>
      <c r="X1166" s="330"/>
      <c r="Y1166" s="330"/>
      <c r="Z1166" s="330"/>
    </row>
    <row r="1167" spans="1:26" ht="12.5">
      <c r="A1167" s="330"/>
      <c r="B1167" s="330"/>
      <c r="C1167" s="330"/>
      <c r="D1167" s="330"/>
      <c r="E1167" s="330"/>
      <c r="F1167" s="330"/>
      <c r="G1167" s="330"/>
      <c r="H1167" s="330"/>
      <c r="I1167" s="327"/>
      <c r="J1167" s="330"/>
      <c r="K1167" s="330"/>
      <c r="L1167" s="330"/>
      <c r="M1167" s="330"/>
      <c r="N1167" s="330"/>
      <c r="O1167" s="330"/>
      <c r="P1167" s="330"/>
      <c r="Q1167" s="330"/>
      <c r="R1167" s="330"/>
      <c r="S1167" s="330"/>
      <c r="T1167" s="330"/>
      <c r="U1167" s="338"/>
      <c r="V1167" s="330"/>
      <c r="W1167" s="330"/>
      <c r="X1167" s="330"/>
      <c r="Y1167" s="330"/>
      <c r="Z1167" s="330"/>
    </row>
    <row r="1168" spans="1:26" ht="12.5">
      <c r="A1168" s="330"/>
      <c r="B1168" s="330"/>
      <c r="C1168" s="330"/>
      <c r="D1168" s="330"/>
      <c r="E1168" s="330"/>
      <c r="F1168" s="330"/>
      <c r="G1168" s="330"/>
      <c r="H1168" s="330"/>
      <c r="I1168" s="327"/>
      <c r="J1168" s="330"/>
      <c r="K1168" s="330"/>
      <c r="L1168" s="330"/>
      <c r="M1168" s="330"/>
      <c r="N1168" s="330"/>
      <c r="O1168" s="330"/>
      <c r="P1168" s="330"/>
      <c r="Q1168" s="330"/>
      <c r="R1168" s="330"/>
      <c r="S1168" s="330"/>
      <c r="T1168" s="330"/>
      <c r="U1168" s="338"/>
      <c r="V1168" s="330"/>
      <c r="W1168" s="330"/>
      <c r="X1168" s="330"/>
      <c r="Y1168" s="330"/>
      <c r="Z1168" s="330"/>
    </row>
    <row r="1169" spans="1:26" ht="12.5">
      <c r="A1169" s="330"/>
      <c r="B1169" s="330"/>
      <c r="C1169" s="330"/>
      <c r="D1169" s="330"/>
      <c r="E1169" s="330"/>
      <c r="F1169" s="330"/>
      <c r="G1169" s="330"/>
      <c r="H1169" s="330"/>
      <c r="I1169" s="327"/>
      <c r="J1169" s="330"/>
      <c r="K1169" s="330"/>
      <c r="L1169" s="330"/>
      <c r="M1169" s="330"/>
      <c r="N1169" s="330"/>
      <c r="O1169" s="330"/>
      <c r="P1169" s="330"/>
      <c r="Q1169" s="330"/>
      <c r="R1169" s="330"/>
      <c r="S1169" s="330"/>
      <c r="T1169" s="330"/>
      <c r="U1169" s="338"/>
      <c r="V1169" s="330"/>
      <c r="W1169" s="330"/>
      <c r="X1169" s="330"/>
      <c r="Y1169" s="330"/>
      <c r="Z1169" s="330"/>
    </row>
    <row r="1170" spans="1:26" ht="12.5">
      <c r="A1170" s="330"/>
      <c r="B1170" s="330"/>
      <c r="C1170" s="330"/>
      <c r="D1170" s="330"/>
      <c r="E1170" s="330"/>
      <c r="F1170" s="330"/>
      <c r="G1170" s="330"/>
      <c r="H1170" s="330"/>
      <c r="I1170" s="327"/>
      <c r="J1170" s="330"/>
      <c r="K1170" s="330"/>
      <c r="L1170" s="330"/>
      <c r="M1170" s="330"/>
      <c r="N1170" s="330"/>
      <c r="O1170" s="330"/>
      <c r="P1170" s="330"/>
      <c r="Q1170" s="330"/>
      <c r="R1170" s="330"/>
      <c r="S1170" s="330"/>
      <c r="T1170" s="330"/>
      <c r="U1170" s="338"/>
      <c r="V1170" s="330"/>
      <c r="W1170" s="330"/>
      <c r="X1170" s="330"/>
      <c r="Y1170" s="330"/>
      <c r="Z1170" s="330"/>
    </row>
    <row r="1171" spans="1:26" ht="12.5">
      <c r="A1171" s="330"/>
      <c r="B1171" s="330"/>
      <c r="C1171" s="330"/>
      <c r="D1171" s="330"/>
      <c r="E1171" s="330"/>
      <c r="F1171" s="330"/>
      <c r="G1171" s="330"/>
      <c r="H1171" s="330"/>
      <c r="I1171" s="327"/>
      <c r="J1171" s="330"/>
      <c r="K1171" s="330"/>
      <c r="L1171" s="330"/>
      <c r="M1171" s="330"/>
      <c r="N1171" s="330"/>
      <c r="O1171" s="330"/>
      <c r="P1171" s="330"/>
      <c r="Q1171" s="330"/>
      <c r="R1171" s="330"/>
      <c r="S1171" s="330"/>
      <c r="T1171" s="330"/>
      <c r="U1171" s="338"/>
      <c r="V1171" s="330"/>
      <c r="W1171" s="330"/>
      <c r="X1171" s="330"/>
      <c r="Y1171" s="330"/>
      <c r="Z1171" s="330"/>
    </row>
    <row r="1172" spans="1:26" ht="12.5">
      <c r="A1172" s="330"/>
      <c r="B1172" s="330"/>
      <c r="C1172" s="330"/>
      <c r="D1172" s="330"/>
      <c r="E1172" s="330"/>
      <c r="F1172" s="330"/>
      <c r="G1172" s="330"/>
      <c r="H1172" s="330"/>
      <c r="I1172" s="327"/>
      <c r="J1172" s="330"/>
      <c r="K1172" s="330"/>
      <c r="L1172" s="330"/>
      <c r="M1172" s="330"/>
      <c r="N1172" s="330"/>
      <c r="O1172" s="330"/>
      <c r="P1172" s="330"/>
      <c r="Q1172" s="330"/>
      <c r="R1172" s="330"/>
      <c r="S1172" s="330"/>
      <c r="T1172" s="330"/>
      <c r="U1172" s="338"/>
      <c r="V1172" s="330"/>
      <c r="W1172" s="330"/>
      <c r="X1172" s="330"/>
      <c r="Y1172" s="330"/>
      <c r="Z1172" s="330"/>
    </row>
    <row r="1173" spans="1:26" ht="12.5">
      <c r="A1173" s="330"/>
      <c r="B1173" s="330"/>
      <c r="C1173" s="330"/>
      <c r="D1173" s="330"/>
      <c r="E1173" s="330"/>
      <c r="F1173" s="330"/>
      <c r="G1173" s="330"/>
      <c r="H1173" s="330"/>
      <c r="I1173" s="327"/>
      <c r="J1173" s="330"/>
      <c r="K1173" s="330"/>
      <c r="L1173" s="330"/>
      <c r="M1173" s="330"/>
      <c r="N1173" s="330"/>
      <c r="O1173" s="330"/>
      <c r="P1173" s="330"/>
      <c r="Q1173" s="330"/>
      <c r="R1173" s="330"/>
      <c r="S1173" s="330"/>
      <c r="T1173" s="330"/>
      <c r="U1173" s="338"/>
      <c r="V1173" s="330"/>
      <c r="W1173" s="330"/>
      <c r="X1173" s="330"/>
      <c r="Y1173" s="330"/>
      <c r="Z1173" s="330"/>
    </row>
    <row r="1174" spans="1:26" ht="12.5">
      <c r="A1174" s="330"/>
      <c r="B1174" s="330"/>
      <c r="C1174" s="330"/>
      <c r="D1174" s="330"/>
      <c r="E1174" s="330"/>
      <c r="F1174" s="330"/>
      <c r="G1174" s="330"/>
      <c r="H1174" s="330"/>
      <c r="I1174" s="327"/>
      <c r="J1174" s="330"/>
      <c r="K1174" s="330"/>
      <c r="L1174" s="330"/>
      <c r="M1174" s="330"/>
      <c r="N1174" s="330"/>
      <c r="O1174" s="330"/>
      <c r="P1174" s="330"/>
      <c r="Q1174" s="330"/>
      <c r="R1174" s="330"/>
      <c r="S1174" s="330"/>
      <c r="T1174" s="330"/>
      <c r="U1174" s="338"/>
      <c r="V1174" s="330"/>
      <c r="W1174" s="330"/>
      <c r="X1174" s="330"/>
      <c r="Y1174" s="330"/>
      <c r="Z1174" s="330"/>
    </row>
    <row r="1175" spans="1:26" ht="12.5">
      <c r="A1175" s="330"/>
      <c r="B1175" s="330"/>
      <c r="C1175" s="330"/>
      <c r="D1175" s="330"/>
      <c r="E1175" s="330"/>
      <c r="F1175" s="330"/>
      <c r="G1175" s="330"/>
      <c r="H1175" s="330"/>
      <c r="I1175" s="327"/>
      <c r="J1175" s="330"/>
      <c r="K1175" s="330"/>
      <c r="L1175" s="330"/>
      <c r="M1175" s="330"/>
      <c r="N1175" s="330"/>
      <c r="O1175" s="330"/>
      <c r="P1175" s="330"/>
      <c r="Q1175" s="330"/>
      <c r="R1175" s="330"/>
      <c r="S1175" s="330"/>
      <c r="T1175" s="330"/>
      <c r="U1175" s="338"/>
      <c r="V1175" s="330"/>
      <c r="W1175" s="330"/>
      <c r="X1175" s="330"/>
      <c r="Y1175" s="330"/>
      <c r="Z1175" s="330"/>
    </row>
    <row r="1176" spans="1:26" ht="12.5">
      <c r="A1176" s="330"/>
      <c r="B1176" s="330"/>
      <c r="C1176" s="330"/>
      <c r="D1176" s="330"/>
      <c r="E1176" s="330"/>
      <c r="F1176" s="330"/>
      <c r="G1176" s="330"/>
      <c r="H1176" s="330"/>
      <c r="I1176" s="327"/>
      <c r="J1176" s="330"/>
      <c r="K1176" s="330"/>
      <c r="L1176" s="330"/>
      <c r="M1176" s="330"/>
      <c r="N1176" s="330"/>
      <c r="O1176" s="330"/>
      <c r="P1176" s="330"/>
      <c r="Q1176" s="330"/>
      <c r="R1176" s="330"/>
      <c r="S1176" s="330"/>
      <c r="T1176" s="330"/>
      <c r="U1176" s="338"/>
      <c r="V1176" s="330"/>
      <c r="W1176" s="330"/>
      <c r="X1176" s="330"/>
      <c r="Y1176" s="330"/>
      <c r="Z1176" s="330"/>
    </row>
    <row r="1177" spans="1:26" ht="12.5">
      <c r="A1177" s="330"/>
      <c r="B1177" s="330"/>
      <c r="C1177" s="330"/>
      <c r="D1177" s="330"/>
      <c r="E1177" s="330"/>
      <c r="F1177" s="330"/>
      <c r="G1177" s="330"/>
      <c r="H1177" s="330"/>
      <c r="I1177" s="327"/>
      <c r="J1177" s="330"/>
      <c r="K1177" s="330"/>
      <c r="L1177" s="330"/>
      <c r="M1177" s="330"/>
      <c r="N1177" s="330"/>
      <c r="O1177" s="330"/>
      <c r="P1177" s="330"/>
      <c r="Q1177" s="330"/>
      <c r="R1177" s="330"/>
      <c r="S1177" s="330"/>
      <c r="T1177" s="330"/>
      <c r="U1177" s="338"/>
      <c r="V1177" s="330"/>
      <c r="W1177" s="330"/>
      <c r="X1177" s="330"/>
      <c r="Y1177" s="330"/>
      <c r="Z1177" s="330"/>
    </row>
    <row r="1178" spans="1:26" ht="12.5">
      <c r="A1178" s="330"/>
      <c r="B1178" s="330"/>
      <c r="C1178" s="330"/>
      <c r="D1178" s="330"/>
      <c r="E1178" s="330"/>
      <c r="F1178" s="330"/>
      <c r="G1178" s="330"/>
      <c r="H1178" s="330"/>
      <c r="I1178" s="327"/>
      <c r="J1178" s="330"/>
      <c r="K1178" s="330"/>
      <c r="L1178" s="330"/>
      <c r="M1178" s="330"/>
      <c r="N1178" s="330"/>
      <c r="O1178" s="330"/>
      <c r="P1178" s="330"/>
      <c r="Q1178" s="330"/>
      <c r="R1178" s="330"/>
      <c r="S1178" s="330"/>
      <c r="T1178" s="330"/>
      <c r="U1178" s="338"/>
      <c r="V1178" s="330"/>
      <c r="W1178" s="330"/>
      <c r="X1178" s="330"/>
      <c r="Y1178" s="330"/>
      <c r="Z1178" s="330"/>
    </row>
    <row r="1179" spans="1:26" ht="12.5">
      <c r="A1179" s="330"/>
      <c r="B1179" s="330"/>
      <c r="C1179" s="330"/>
      <c r="D1179" s="330"/>
      <c r="E1179" s="330"/>
      <c r="F1179" s="330"/>
      <c r="G1179" s="330"/>
      <c r="H1179" s="330"/>
      <c r="I1179" s="327"/>
      <c r="J1179" s="330"/>
      <c r="K1179" s="330"/>
      <c r="L1179" s="330"/>
      <c r="M1179" s="330"/>
      <c r="N1179" s="330"/>
      <c r="O1179" s="330"/>
      <c r="P1179" s="330"/>
      <c r="Q1179" s="330"/>
      <c r="R1179" s="330"/>
      <c r="S1179" s="330"/>
      <c r="T1179" s="330"/>
      <c r="U1179" s="338"/>
      <c r="V1179" s="330"/>
      <c r="W1179" s="330"/>
      <c r="X1179" s="330"/>
      <c r="Y1179" s="330"/>
      <c r="Z1179" s="330"/>
    </row>
    <row r="1180" spans="1:26" ht="12.5">
      <c r="A1180" s="330"/>
      <c r="B1180" s="330"/>
      <c r="C1180" s="330"/>
      <c r="D1180" s="330"/>
      <c r="E1180" s="330"/>
      <c r="F1180" s="330"/>
      <c r="G1180" s="330"/>
      <c r="H1180" s="330"/>
      <c r="I1180" s="327"/>
      <c r="J1180" s="330"/>
      <c r="K1180" s="330"/>
      <c r="L1180" s="330"/>
      <c r="M1180" s="330"/>
      <c r="N1180" s="330"/>
      <c r="O1180" s="330"/>
      <c r="P1180" s="330"/>
      <c r="Q1180" s="330"/>
      <c r="R1180" s="330"/>
      <c r="S1180" s="330"/>
      <c r="T1180" s="330"/>
      <c r="U1180" s="338"/>
      <c r="V1180" s="330"/>
      <c r="W1180" s="330"/>
      <c r="X1180" s="330"/>
      <c r="Y1180" s="330"/>
      <c r="Z1180" s="330"/>
    </row>
    <row r="1181" spans="1:26" ht="12.5">
      <c r="A1181" s="330"/>
      <c r="B1181" s="330"/>
      <c r="C1181" s="330"/>
      <c r="D1181" s="330"/>
      <c r="E1181" s="330"/>
      <c r="F1181" s="330"/>
      <c r="G1181" s="330"/>
      <c r="H1181" s="330"/>
      <c r="I1181" s="327"/>
      <c r="J1181" s="330"/>
      <c r="K1181" s="330"/>
      <c r="L1181" s="330"/>
      <c r="M1181" s="330"/>
      <c r="N1181" s="330"/>
      <c r="O1181" s="330"/>
      <c r="P1181" s="330"/>
      <c r="Q1181" s="330"/>
      <c r="R1181" s="330"/>
      <c r="S1181" s="330"/>
      <c r="T1181" s="330"/>
      <c r="U1181" s="338"/>
      <c r="V1181" s="330"/>
      <c r="W1181" s="330"/>
      <c r="X1181" s="330"/>
      <c r="Y1181" s="330"/>
      <c r="Z1181" s="330"/>
    </row>
    <row r="1182" spans="1:26" ht="12.5">
      <c r="A1182" s="330"/>
      <c r="B1182" s="330"/>
      <c r="C1182" s="330"/>
      <c r="D1182" s="330"/>
      <c r="E1182" s="330"/>
      <c r="F1182" s="330"/>
      <c r="G1182" s="330"/>
      <c r="H1182" s="330"/>
      <c r="I1182" s="327"/>
      <c r="J1182" s="330"/>
      <c r="K1182" s="330"/>
      <c r="L1182" s="330"/>
      <c r="M1182" s="330"/>
      <c r="N1182" s="330"/>
      <c r="O1182" s="330"/>
      <c r="P1182" s="330"/>
      <c r="Q1182" s="330"/>
      <c r="R1182" s="330"/>
      <c r="S1182" s="330"/>
      <c r="T1182" s="330"/>
      <c r="U1182" s="338"/>
      <c r="V1182" s="330"/>
      <c r="W1182" s="330"/>
      <c r="X1182" s="330"/>
      <c r="Y1182" s="330"/>
      <c r="Z1182" s="330"/>
    </row>
    <row r="1183" spans="1:26" ht="12.5">
      <c r="A1183" s="330"/>
      <c r="B1183" s="330"/>
      <c r="C1183" s="330"/>
      <c r="D1183" s="330"/>
      <c r="E1183" s="330"/>
      <c r="F1183" s="330"/>
      <c r="G1183" s="330"/>
      <c r="H1183" s="330"/>
      <c r="I1183" s="327"/>
      <c r="J1183" s="330"/>
      <c r="K1183" s="330"/>
      <c r="L1183" s="330"/>
      <c r="M1183" s="330"/>
      <c r="N1183" s="330"/>
      <c r="O1183" s="330"/>
      <c r="P1183" s="330"/>
      <c r="Q1183" s="330"/>
      <c r="R1183" s="330"/>
      <c r="S1183" s="330"/>
      <c r="T1183" s="330"/>
      <c r="U1183" s="338"/>
      <c r="V1183" s="330"/>
      <c r="W1183" s="330"/>
      <c r="X1183" s="330"/>
      <c r="Y1183" s="330"/>
      <c r="Z1183" s="330"/>
    </row>
    <row r="1184" spans="1:26" ht="12.5">
      <c r="A1184" s="330"/>
      <c r="B1184" s="330"/>
      <c r="C1184" s="330"/>
      <c r="D1184" s="330"/>
      <c r="E1184" s="330"/>
      <c r="F1184" s="330"/>
      <c r="G1184" s="330"/>
      <c r="H1184" s="330"/>
      <c r="I1184" s="327"/>
      <c r="J1184" s="330"/>
      <c r="K1184" s="330"/>
      <c r="L1184" s="330"/>
      <c r="M1184" s="330"/>
      <c r="N1184" s="330"/>
      <c r="O1184" s="330"/>
      <c r="P1184" s="330"/>
      <c r="Q1184" s="330"/>
      <c r="R1184" s="330"/>
      <c r="S1184" s="330"/>
      <c r="T1184" s="330"/>
      <c r="U1184" s="338"/>
      <c r="V1184" s="330"/>
      <c r="W1184" s="330"/>
      <c r="X1184" s="330"/>
      <c r="Y1184" s="330"/>
      <c r="Z1184" s="330"/>
    </row>
    <row r="1185" spans="1:26" ht="12.5">
      <c r="A1185" s="330"/>
      <c r="B1185" s="330"/>
      <c r="C1185" s="330"/>
      <c r="D1185" s="330"/>
      <c r="E1185" s="330"/>
      <c r="F1185" s="330"/>
      <c r="G1185" s="330"/>
      <c r="H1185" s="330"/>
      <c r="I1185" s="327"/>
      <c r="J1185" s="330"/>
      <c r="K1185" s="330"/>
      <c r="L1185" s="330"/>
      <c r="M1185" s="330"/>
      <c r="N1185" s="330"/>
      <c r="O1185" s="330"/>
      <c r="P1185" s="330"/>
      <c r="Q1185" s="330"/>
      <c r="R1185" s="330"/>
      <c r="S1185" s="330"/>
      <c r="T1185" s="330"/>
      <c r="U1185" s="338"/>
      <c r="V1185" s="330"/>
      <c r="W1185" s="330"/>
      <c r="X1185" s="330"/>
      <c r="Y1185" s="330"/>
      <c r="Z1185" s="330"/>
    </row>
    <row r="1186" spans="1:26" ht="12.5">
      <c r="A1186" s="330"/>
      <c r="B1186" s="330"/>
      <c r="C1186" s="330"/>
      <c r="D1186" s="330"/>
      <c r="E1186" s="330"/>
      <c r="F1186" s="330"/>
      <c r="G1186" s="330"/>
      <c r="H1186" s="330"/>
      <c r="I1186" s="327"/>
      <c r="J1186" s="330"/>
      <c r="K1186" s="330"/>
      <c r="L1186" s="330"/>
      <c r="M1186" s="330"/>
      <c r="N1186" s="330"/>
      <c r="O1186" s="330"/>
      <c r="P1186" s="330"/>
      <c r="Q1186" s="330"/>
      <c r="R1186" s="330"/>
      <c r="S1186" s="330"/>
      <c r="T1186" s="330"/>
      <c r="U1186" s="338"/>
      <c r="V1186" s="330"/>
      <c r="W1186" s="330"/>
      <c r="X1186" s="330"/>
      <c r="Y1186" s="330"/>
      <c r="Z1186" s="330"/>
    </row>
    <row r="1187" spans="1:26" ht="12.5">
      <c r="A1187" s="330"/>
      <c r="B1187" s="330"/>
      <c r="C1187" s="330"/>
      <c r="D1187" s="330"/>
      <c r="E1187" s="330"/>
      <c r="F1187" s="330"/>
      <c r="G1187" s="330"/>
      <c r="H1187" s="330"/>
      <c r="I1187" s="327"/>
      <c r="J1187" s="330"/>
      <c r="K1187" s="330"/>
      <c r="L1187" s="330"/>
      <c r="M1187" s="330"/>
      <c r="N1187" s="330"/>
      <c r="O1187" s="330"/>
      <c r="P1187" s="330"/>
      <c r="Q1187" s="330"/>
      <c r="R1187" s="330"/>
      <c r="S1187" s="330"/>
      <c r="T1187" s="330"/>
      <c r="U1187" s="338"/>
      <c r="V1187" s="330"/>
      <c r="W1187" s="330"/>
      <c r="X1187" s="330"/>
      <c r="Y1187" s="330"/>
      <c r="Z1187" s="330"/>
    </row>
    <row r="1188" spans="1:26" ht="12.5">
      <c r="A1188" s="330"/>
      <c r="B1188" s="330"/>
      <c r="C1188" s="330"/>
      <c r="D1188" s="330"/>
      <c r="E1188" s="330"/>
      <c r="F1188" s="330"/>
      <c r="G1188" s="330"/>
      <c r="H1188" s="330"/>
      <c r="I1188" s="327"/>
      <c r="J1188" s="330"/>
      <c r="K1188" s="330"/>
      <c r="L1188" s="330"/>
      <c r="M1188" s="330"/>
      <c r="N1188" s="330"/>
      <c r="O1188" s="330"/>
      <c r="P1188" s="330"/>
      <c r="Q1188" s="330"/>
      <c r="R1188" s="330"/>
      <c r="S1188" s="330"/>
      <c r="T1188" s="330"/>
      <c r="U1188" s="338"/>
      <c r="V1188" s="330"/>
      <c r="W1188" s="330"/>
      <c r="X1188" s="330"/>
      <c r="Y1188" s="330"/>
      <c r="Z1188" s="330"/>
    </row>
    <row r="1189" spans="1:26" ht="12.5">
      <c r="A1189" s="330"/>
      <c r="B1189" s="330"/>
      <c r="C1189" s="330"/>
      <c r="D1189" s="330"/>
      <c r="E1189" s="330"/>
      <c r="F1189" s="330"/>
      <c r="G1189" s="330"/>
      <c r="H1189" s="330"/>
      <c r="I1189" s="327"/>
      <c r="J1189" s="330"/>
      <c r="K1189" s="330"/>
      <c r="L1189" s="330"/>
      <c r="M1189" s="330"/>
      <c r="N1189" s="330"/>
      <c r="O1189" s="330"/>
      <c r="P1189" s="330"/>
      <c r="Q1189" s="330"/>
      <c r="R1189" s="330"/>
      <c r="S1189" s="330"/>
      <c r="T1189" s="330"/>
      <c r="U1189" s="338"/>
      <c r="V1189" s="330"/>
      <c r="W1189" s="330"/>
      <c r="X1189" s="330"/>
      <c r="Y1189" s="330"/>
      <c r="Z1189" s="330"/>
    </row>
    <row r="1190" spans="1:26" ht="12.5">
      <c r="A1190" s="330"/>
      <c r="B1190" s="330"/>
      <c r="C1190" s="330"/>
      <c r="D1190" s="330"/>
      <c r="E1190" s="330"/>
      <c r="F1190" s="330"/>
      <c r="G1190" s="330"/>
      <c r="H1190" s="330"/>
      <c r="I1190" s="327"/>
      <c r="J1190" s="330"/>
      <c r="K1190" s="330"/>
      <c r="L1190" s="330"/>
      <c r="M1190" s="330"/>
      <c r="N1190" s="330"/>
      <c r="O1190" s="330"/>
      <c r="P1190" s="330"/>
      <c r="Q1190" s="330"/>
      <c r="R1190" s="330"/>
      <c r="S1190" s="330"/>
      <c r="T1190" s="330"/>
      <c r="U1190" s="338"/>
      <c r="V1190" s="330"/>
      <c r="W1190" s="330"/>
      <c r="X1190" s="330"/>
      <c r="Y1190" s="330"/>
      <c r="Z1190" s="330"/>
    </row>
    <row r="1191" spans="1:26" ht="12.5">
      <c r="A1191" s="330"/>
      <c r="B1191" s="330"/>
      <c r="C1191" s="330"/>
      <c r="D1191" s="330"/>
      <c r="E1191" s="330"/>
      <c r="F1191" s="330"/>
      <c r="G1191" s="330"/>
      <c r="H1191" s="330"/>
      <c r="I1191" s="327"/>
      <c r="J1191" s="330"/>
      <c r="K1191" s="330"/>
      <c r="L1191" s="330"/>
      <c r="M1191" s="330"/>
      <c r="N1191" s="330"/>
      <c r="O1191" s="330"/>
      <c r="P1191" s="330"/>
      <c r="Q1191" s="330"/>
      <c r="R1191" s="330"/>
      <c r="S1191" s="330"/>
      <c r="T1191" s="330"/>
      <c r="U1191" s="338"/>
      <c r="V1191" s="330"/>
      <c r="W1191" s="330"/>
      <c r="X1191" s="330"/>
      <c r="Y1191" s="330"/>
      <c r="Z1191" s="330"/>
    </row>
    <row r="1192" spans="1:26" ht="12.5">
      <c r="A1192" s="330"/>
      <c r="B1192" s="330"/>
      <c r="C1192" s="330"/>
      <c r="D1192" s="330"/>
      <c r="E1192" s="330"/>
      <c r="F1192" s="330"/>
      <c r="G1192" s="330"/>
      <c r="H1192" s="330"/>
      <c r="I1192" s="327"/>
      <c r="J1192" s="330"/>
      <c r="K1192" s="330"/>
      <c r="L1192" s="330"/>
      <c r="M1192" s="330"/>
      <c r="N1192" s="330"/>
      <c r="O1192" s="330"/>
      <c r="P1192" s="330"/>
      <c r="Q1192" s="330"/>
      <c r="R1192" s="330"/>
      <c r="S1192" s="330"/>
      <c r="T1192" s="330"/>
      <c r="U1192" s="338"/>
      <c r="V1192" s="330"/>
      <c r="W1192" s="330"/>
      <c r="X1192" s="330"/>
      <c r="Y1192" s="330"/>
      <c r="Z1192" s="330"/>
    </row>
    <row r="1193" spans="1:26" ht="12.5">
      <c r="A1193" s="330"/>
      <c r="B1193" s="330"/>
      <c r="C1193" s="330"/>
      <c r="D1193" s="330"/>
      <c r="E1193" s="330"/>
      <c r="F1193" s="330"/>
      <c r="G1193" s="330"/>
      <c r="H1193" s="330"/>
      <c r="I1193" s="327"/>
      <c r="J1193" s="330"/>
      <c r="K1193" s="330"/>
      <c r="L1193" s="330"/>
      <c r="M1193" s="330"/>
      <c r="N1193" s="330"/>
      <c r="O1193" s="330"/>
      <c r="P1193" s="330"/>
      <c r="Q1193" s="330"/>
      <c r="R1193" s="330"/>
      <c r="S1193" s="330"/>
      <c r="T1193" s="330"/>
      <c r="U1193" s="338"/>
      <c r="V1193" s="330"/>
      <c r="W1193" s="330"/>
      <c r="X1193" s="330"/>
      <c r="Y1193" s="330"/>
      <c r="Z1193" s="330"/>
    </row>
    <row r="1194" spans="1:26" ht="12.5">
      <c r="A1194" s="330"/>
      <c r="B1194" s="330"/>
      <c r="C1194" s="330"/>
      <c r="D1194" s="330"/>
      <c r="E1194" s="330"/>
      <c r="F1194" s="330"/>
      <c r="G1194" s="330"/>
      <c r="H1194" s="330"/>
      <c r="I1194" s="327"/>
      <c r="J1194" s="330"/>
      <c r="K1194" s="330"/>
      <c r="L1194" s="330"/>
      <c r="M1194" s="330"/>
      <c r="N1194" s="330"/>
      <c r="O1194" s="330"/>
      <c r="P1194" s="330"/>
      <c r="Q1194" s="330"/>
      <c r="R1194" s="330"/>
      <c r="S1194" s="330"/>
      <c r="T1194" s="330"/>
      <c r="U1194" s="338"/>
      <c r="V1194" s="330"/>
      <c r="W1194" s="330"/>
      <c r="X1194" s="330"/>
      <c r="Y1194" s="330"/>
      <c r="Z1194" s="330"/>
    </row>
    <row r="1195" spans="1:26" ht="12.5">
      <c r="A1195" s="330"/>
      <c r="B1195" s="330"/>
      <c r="C1195" s="330"/>
      <c r="D1195" s="330"/>
      <c r="E1195" s="330"/>
      <c r="F1195" s="330"/>
      <c r="G1195" s="330"/>
      <c r="H1195" s="330"/>
      <c r="I1195" s="327"/>
      <c r="J1195" s="330"/>
      <c r="K1195" s="330"/>
      <c r="L1195" s="330"/>
      <c r="M1195" s="330"/>
      <c r="N1195" s="330"/>
      <c r="O1195" s="330"/>
      <c r="P1195" s="330"/>
      <c r="Q1195" s="330"/>
      <c r="R1195" s="330"/>
      <c r="S1195" s="330"/>
      <c r="T1195" s="330"/>
      <c r="U1195" s="338"/>
      <c r="V1195" s="330"/>
      <c r="W1195" s="330"/>
      <c r="X1195" s="330"/>
      <c r="Y1195" s="330"/>
      <c r="Z1195" s="330"/>
    </row>
    <row r="1196" spans="1:26" ht="12.5">
      <c r="A1196" s="330"/>
      <c r="B1196" s="330"/>
      <c r="C1196" s="330"/>
      <c r="D1196" s="330"/>
      <c r="E1196" s="330"/>
      <c r="F1196" s="330"/>
      <c r="G1196" s="330"/>
      <c r="H1196" s="330"/>
      <c r="I1196" s="327"/>
      <c r="J1196" s="330"/>
      <c r="K1196" s="330"/>
      <c r="L1196" s="330"/>
      <c r="M1196" s="330"/>
      <c r="N1196" s="330"/>
      <c r="O1196" s="330"/>
      <c r="P1196" s="330"/>
      <c r="Q1196" s="330"/>
      <c r="R1196" s="330"/>
      <c r="S1196" s="330"/>
      <c r="T1196" s="330"/>
      <c r="U1196" s="338"/>
      <c r="V1196" s="330"/>
      <c r="W1196" s="330"/>
      <c r="X1196" s="330"/>
      <c r="Y1196" s="330"/>
      <c r="Z1196" s="330"/>
    </row>
    <row r="1197" spans="1:26" ht="12.5">
      <c r="A1197" s="330"/>
      <c r="B1197" s="330"/>
      <c r="C1197" s="330"/>
      <c r="D1197" s="330"/>
      <c r="E1197" s="330"/>
      <c r="F1197" s="330"/>
      <c r="G1197" s="330"/>
      <c r="H1197" s="330"/>
      <c r="I1197" s="327"/>
      <c r="J1197" s="330"/>
      <c r="K1197" s="330"/>
      <c r="L1197" s="330"/>
      <c r="M1197" s="330"/>
      <c r="N1197" s="330"/>
      <c r="O1197" s="330"/>
      <c r="P1197" s="330"/>
      <c r="Q1197" s="330"/>
      <c r="R1197" s="330"/>
      <c r="S1197" s="330"/>
      <c r="T1197" s="330"/>
      <c r="U1197" s="338"/>
      <c r="V1197" s="330"/>
      <c r="W1197" s="330"/>
      <c r="X1197" s="330"/>
      <c r="Y1197" s="330"/>
      <c r="Z1197" s="330"/>
    </row>
    <row r="1198" spans="1:26" ht="12.5">
      <c r="A1198" s="330"/>
      <c r="B1198" s="330"/>
      <c r="C1198" s="330"/>
      <c r="D1198" s="330"/>
      <c r="E1198" s="330"/>
      <c r="F1198" s="330"/>
      <c r="G1198" s="330"/>
      <c r="H1198" s="330"/>
      <c r="I1198" s="327"/>
      <c r="J1198" s="330"/>
      <c r="K1198" s="330"/>
      <c r="L1198" s="330"/>
      <c r="M1198" s="330"/>
      <c r="N1198" s="330"/>
      <c r="O1198" s="330"/>
      <c r="P1198" s="330"/>
      <c r="Q1198" s="330"/>
      <c r="R1198" s="330"/>
      <c r="S1198" s="330"/>
      <c r="T1198" s="330"/>
      <c r="U1198" s="338"/>
      <c r="V1198" s="330"/>
      <c r="W1198" s="330"/>
      <c r="X1198" s="330"/>
      <c r="Y1198" s="330"/>
      <c r="Z1198" s="330"/>
    </row>
    <row r="1199" spans="1:26" ht="12.5">
      <c r="A1199" s="330"/>
      <c r="B1199" s="330"/>
      <c r="C1199" s="330"/>
      <c r="D1199" s="330"/>
      <c r="E1199" s="330"/>
      <c r="F1199" s="330"/>
      <c r="G1199" s="330"/>
      <c r="H1199" s="330"/>
      <c r="I1199" s="327"/>
      <c r="J1199" s="330"/>
      <c r="K1199" s="330"/>
      <c r="L1199" s="330"/>
      <c r="M1199" s="330"/>
      <c r="N1199" s="330"/>
      <c r="O1199" s="330"/>
      <c r="P1199" s="330"/>
      <c r="Q1199" s="330"/>
      <c r="R1199" s="330"/>
      <c r="S1199" s="330"/>
      <c r="T1199" s="330"/>
      <c r="U1199" s="338"/>
      <c r="V1199" s="330"/>
      <c r="W1199" s="330"/>
      <c r="X1199" s="330"/>
      <c r="Y1199" s="330"/>
      <c r="Z1199" s="330"/>
    </row>
    <row r="1200" spans="1:26" ht="12.5">
      <c r="A1200" s="330"/>
      <c r="B1200" s="330"/>
      <c r="C1200" s="330"/>
      <c r="D1200" s="330"/>
      <c r="E1200" s="330"/>
      <c r="F1200" s="330"/>
      <c r="G1200" s="330"/>
      <c r="H1200" s="330"/>
      <c r="I1200" s="327"/>
      <c r="J1200" s="330"/>
      <c r="K1200" s="330"/>
      <c r="L1200" s="330"/>
      <c r="M1200" s="330"/>
      <c r="N1200" s="330"/>
      <c r="O1200" s="330"/>
      <c r="P1200" s="330"/>
      <c r="Q1200" s="330"/>
      <c r="R1200" s="330"/>
      <c r="S1200" s="330"/>
      <c r="T1200" s="330"/>
      <c r="U1200" s="338"/>
      <c r="V1200" s="330"/>
      <c r="W1200" s="330"/>
      <c r="X1200" s="330"/>
      <c r="Y1200" s="330"/>
      <c r="Z1200" s="330"/>
    </row>
    <row r="1201" spans="1:26" ht="12.5">
      <c r="A1201" s="330"/>
      <c r="B1201" s="330"/>
      <c r="C1201" s="330"/>
      <c r="D1201" s="330"/>
      <c r="E1201" s="330"/>
      <c r="F1201" s="330"/>
      <c r="G1201" s="330"/>
      <c r="H1201" s="330"/>
      <c r="I1201" s="327"/>
      <c r="J1201" s="330"/>
      <c r="K1201" s="330"/>
      <c r="L1201" s="330"/>
      <c r="M1201" s="330"/>
      <c r="N1201" s="330"/>
      <c r="O1201" s="330"/>
      <c r="P1201" s="330"/>
      <c r="Q1201" s="330"/>
      <c r="R1201" s="330"/>
      <c r="S1201" s="330"/>
      <c r="T1201" s="330"/>
      <c r="U1201" s="338"/>
      <c r="V1201" s="330"/>
      <c r="W1201" s="330"/>
      <c r="X1201" s="330"/>
      <c r="Y1201" s="330"/>
      <c r="Z1201" s="330"/>
    </row>
    <row r="1202" spans="1:26" ht="12.5">
      <c r="A1202" s="330"/>
      <c r="B1202" s="330"/>
      <c r="C1202" s="330"/>
      <c r="D1202" s="330"/>
      <c r="E1202" s="330"/>
      <c r="F1202" s="330"/>
      <c r="G1202" s="330"/>
      <c r="H1202" s="330"/>
      <c r="I1202" s="327"/>
      <c r="J1202" s="330"/>
      <c r="K1202" s="330"/>
      <c r="L1202" s="330"/>
      <c r="M1202" s="330"/>
      <c r="N1202" s="330"/>
      <c r="O1202" s="330"/>
      <c r="P1202" s="330"/>
      <c r="Q1202" s="330"/>
      <c r="R1202" s="330"/>
      <c r="S1202" s="330"/>
      <c r="T1202" s="330"/>
      <c r="U1202" s="338"/>
      <c r="V1202" s="330"/>
      <c r="W1202" s="330"/>
      <c r="X1202" s="330"/>
      <c r="Y1202" s="330"/>
      <c r="Z1202" s="330"/>
    </row>
    <row r="1203" spans="1:26" ht="12.5">
      <c r="A1203" s="330"/>
      <c r="B1203" s="330"/>
      <c r="C1203" s="330"/>
      <c r="D1203" s="330"/>
      <c r="E1203" s="330"/>
      <c r="F1203" s="330"/>
      <c r="G1203" s="330"/>
      <c r="H1203" s="330"/>
      <c r="I1203" s="327"/>
      <c r="J1203" s="330"/>
      <c r="K1203" s="330"/>
      <c r="L1203" s="330"/>
      <c r="M1203" s="330"/>
      <c r="N1203" s="330"/>
      <c r="O1203" s="330"/>
      <c r="P1203" s="330"/>
      <c r="Q1203" s="330"/>
      <c r="R1203" s="330"/>
      <c r="S1203" s="330"/>
      <c r="T1203" s="330"/>
      <c r="U1203" s="338"/>
      <c r="V1203" s="330"/>
      <c r="W1203" s="330"/>
      <c r="X1203" s="330"/>
      <c r="Y1203" s="330"/>
      <c r="Z1203" s="330"/>
    </row>
    <row r="1204" spans="1:26" ht="12.5">
      <c r="A1204" s="330"/>
      <c r="B1204" s="330"/>
      <c r="C1204" s="330"/>
      <c r="D1204" s="330"/>
      <c r="E1204" s="330"/>
      <c r="F1204" s="330"/>
      <c r="G1204" s="330"/>
      <c r="H1204" s="330"/>
      <c r="I1204" s="327"/>
      <c r="J1204" s="330"/>
      <c r="K1204" s="330"/>
      <c r="L1204" s="330"/>
      <c r="M1204" s="330"/>
      <c r="N1204" s="330"/>
      <c r="O1204" s="330"/>
      <c r="P1204" s="330"/>
      <c r="Q1204" s="330"/>
      <c r="R1204" s="330"/>
      <c r="S1204" s="330"/>
      <c r="T1204" s="330"/>
      <c r="U1204" s="338"/>
      <c r="V1204" s="330"/>
      <c r="W1204" s="330"/>
      <c r="X1204" s="330"/>
      <c r="Y1204" s="330"/>
      <c r="Z1204" s="330"/>
    </row>
    <row r="1205" spans="1:26" ht="12.5">
      <c r="A1205" s="330"/>
      <c r="B1205" s="330"/>
      <c r="C1205" s="330"/>
      <c r="D1205" s="330"/>
      <c r="E1205" s="330"/>
      <c r="F1205" s="330"/>
      <c r="G1205" s="330"/>
      <c r="H1205" s="330"/>
      <c r="I1205" s="327"/>
      <c r="J1205" s="330"/>
      <c r="K1205" s="330"/>
      <c r="L1205" s="330"/>
      <c r="M1205" s="330"/>
      <c r="N1205" s="330"/>
      <c r="O1205" s="330"/>
      <c r="P1205" s="330"/>
      <c r="Q1205" s="330"/>
      <c r="R1205" s="330"/>
      <c r="S1205" s="330"/>
      <c r="T1205" s="330"/>
      <c r="U1205" s="338"/>
      <c r="V1205" s="330"/>
      <c r="W1205" s="330"/>
      <c r="X1205" s="330"/>
      <c r="Y1205" s="330"/>
      <c r="Z1205" s="330"/>
    </row>
    <row r="1206" spans="1:26" ht="12.5">
      <c r="A1206" s="330"/>
      <c r="B1206" s="330"/>
      <c r="C1206" s="330"/>
      <c r="D1206" s="330"/>
      <c r="E1206" s="330"/>
      <c r="F1206" s="330"/>
      <c r="G1206" s="330"/>
      <c r="H1206" s="330"/>
      <c r="I1206" s="327"/>
      <c r="J1206" s="330"/>
      <c r="K1206" s="330"/>
      <c r="L1206" s="330"/>
      <c r="M1206" s="330"/>
      <c r="N1206" s="330"/>
      <c r="O1206" s="330"/>
      <c r="P1206" s="330"/>
      <c r="Q1206" s="330"/>
      <c r="R1206" s="330"/>
      <c r="S1206" s="330"/>
      <c r="T1206" s="330"/>
      <c r="U1206" s="338"/>
      <c r="V1206" s="330"/>
      <c r="W1206" s="330"/>
      <c r="X1206" s="330"/>
      <c r="Y1206" s="330"/>
      <c r="Z1206" s="330"/>
    </row>
    <row r="1207" spans="1:26" ht="12.5">
      <c r="A1207" s="330"/>
      <c r="B1207" s="330"/>
      <c r="C1207" s="330"/>
      <c r="D1207" s="330"/>
      <c r="E1207" s="330"/>
      <c r="F1207" s="330"/>
      <c r="G1207" s="330"/>
      <c r="H1207" s="330"/>
      <c r="I1207" s="327"/>
      <c r="J1207" s="330"/>
      <c r="K1207" s="330"/>
      <c r="L1207" s="330"/>
      <c r="M1207" s="330"/>
      <c r="N1207" s="330"/>
      <c r="O1207" s="330"/>
      <c r="P1207" s="330"/>
      <c r="Q1207" s="330"/>
      <c r="R1207" s="330"/>
      <c r="S1207" s="330"/>
      <c r="T1207" s="330"/>
      <c r="U1207" s="338"/>
      <c r="V1207" s="330"/>
      <c r="W1207" s="330"/>
      <c r="X1207" s="330"/>
      <c r="Y1207" s="330"/>
      <c r="Z1207" s="330"/>
    </row>
    <row r="1208" spans="1:26" ht="12.5">
      <c r="A1208" s="330"/>
      <c r="B1208" s="330"/>
      <c r="C1208" s="330"/>
      <c r="D1208" s="330"/>
      <c r="E1208" s="330"/>
      <c r="F1208" s="330"/>
      <c r="G1208" s="330"/>
      <c r="H1208" s="330"/>
      <c r="I1208" s="327"/>
      <c r="J1208" s="330"/>
      <c r="K1208" s="330"/>
      <c r="L1208" s="330"/>
      <c r="M1208" s="330"/>
      <c r="N1208" s="330"/>
      <c r="O1208" s="330"/>
      <c r="P1208" s="330"/>
      <c r="Q1208" s="330"/>
      <c r="R1208" s="330"/>
      <c r="S1208" s="330"/>
      <c r="T1208" s="330"/>
      <c r="U1208" s="338"/>
      <c r="V1208" s="330"/>
      <c r="W1208" s="330"/>
      <c r="X1208" s="330"/>
      <c r="Y1208" s="330"/>
      <c r="Z1208" s="330"/>
    </row>
    <row r="1209" spans="1:26" ht="12.5">
      <c r="A1209" s="330"/>
      <c r="B1209" s="330"/>
      <c r="C1209" s="330"/>
      <c r="D1209" s="330"/>
      <c r="E1209" s="330"/>
      <c r="F1209" s="330"/>
      <c r="G1209" s="330"/>
      <c r="H1209" s="330"/>
      <c r="I1209" s="327"/>
      <c r="J1209" s="330"/>
      <c r="K1209" s="330"/>
      <c r="L1209" s="330"/>
      <c r="M1209" s="330"/>
      <c r="N1209" s="330"/>
      <c r="O1209" s="330"/>
      <c r="P1209" s="330"/>
      <c r="Q1209" s="330"/>
      <c r="R1209" s="330"/>
      <c r="S1209" s="330"/>
      <c r="T1209" s="330"/>
      <c r="U1209" s="338"/>
      <c r="V1209" s="330"/>
      <c r="W1209" s="330"/>
      <c r="X1209" s="330"/>
      <c r="Y1209" s="330"/>
      <c r="Z1209" s="330"/>
    </row>
    <row r="1210" spans="1:26" ht="12.5">
      <c r="A1210" s="330"/>
      <c r="B1210" s="330"/>
      <c r="C1210" s="330"/>
      <c r="D1210" s="330"/>
      <c r="E1210" s="330"/>
      <c r="F1210" s="330"/>
      <c r="G1210" s="330"/>
      <c r="H1210" s="330"/>
      <c r="I1210" s="327"/>
      <c r="J1210" s="330"/>
      <c r="K1210" s="330"/>
      <c r="L1210" s="330"/>
      <c r="M1210" s="330"/>
      <c r="N1210" s="330"/>
      <c r="O1210" s="330"/>
      <c r="P1210" s="330"/>
      <c r="Q1210" s="330"/>
      <c r="R1210" s="330"/>
      <c r="S1210" s="330"/>
      <c r="T1210" s="330"/>
      <c r="U1210" s="338"/>
      <c r="V1210" s="330"/>
      <c r="W1210" s="330"/>
      <c r="X1210" s="330"/>
      <c r="Y1210" s="330"/>
      <c r="Z1210" s="330"/>
    </row>
    <row r="1211" spans="1:26" ht="12.5">
      <c r="A1211" s="330"/>
      <c r="B1211" s="330"/>
      <c r="C1211" s="330"/>
      <c r="D1211" s="330"/>
      <c r="E1211" s="330"/>
      <c r="F1211" s="330"/>
      <c r="G1211" s="330"/>
      <c r="H1211" s="330"/>
      <c r="I1211" s="327"/>
      <c r="J1211" s="330"/>
      <c r="K1211" s="330"/>
      <c r="L1211" s="330"/>
      <c r="M1211" s="330"/>
      <c r="N1211" s="330"/>
      <c r="O1211" s="330"/>
      <c r="P1211" s="330"/>
      <c r="Q1211" s="330"/>
      <c r="R1211" s="330"/>
      <c r="S1211" s="330"/>
      <c r="T1211" s="330"/>
      <c r="U1211" s="338"/>
      <c r="V1211" s="330"/>
      <c r="W1211" s="330"/>
      <c r="X1211" s="330"/>
      <c r="Y1211" s="330"/>
      <c r="Z1211" s="330"/>
    </row>
    <row r="1212" spans="1:26" ht="12.5">
      <c r="A1212" s="330"/>
      <c r="B1212" s="330"/>
      <c r="C1212" s="330"/>
      <c r="D1212" s="330"/>
      <c r="E1212" s="330"/>
      <c r="F1212" s="330"/>
      <c r="G1212" s="330"/>
      <c r="H1212" s="330"/>
      <c r="I1212" s="327"/>
      <c r="J1212" s="330"/>
      <c r="K1212" s="330"/>
      <c r="L1212" s="330"/>
      <c r="M1212" s="330"/>
      <c r="N1212" s="330"/>
      <c r="O1212" s="330"/>
      <c r="P1212" s="330"/>
      <c r="Q1212" s="330"/>
      <c r="R1212" s="330"/>
      <c r="S1212" s="330"/>
      <c r="T1212" s="330"/>
      <c r="U1212" s="338"/>
      <c r="V1212" s="330"/>
      <c r="W1212" s="330"/>
      <c r="X1212" s="330"/>
      <c r="Y1212" s="330"/>
      <c r="Z1212" s="330"/>
    </row>
    <row r="1213" spans="1:26" ht="12.5">
      <c r="A1213" s="330"/>
      <c r="B1213" s="330"/>
      <c r="C1213" s="330"/>
      <c r="D1213" s="330"/>
      <c r="E1213" s="330"/>
      <c r="F1213" s="330"/>
      <c r="G1213" s="330"/>
      <c r="H1213" s="330"/>
      <c r="I1213" s="327"/>
      <c r="J1213" s="330"/>
      <c r="K1213" s="330"/>
      <c r="L1213" s="330"/>
      <c r="M1213" s="330"/>
      <c r="N1213" s="330"/>
      <c r="O1213" s="330"/>
      <c r="P1213" s="330"/>
      <c r="Q1213" s="330"/>
      <c r="R1213" s="330"/>
      <c r="S1213" s="330"/>
      <c r="T1213" s="330"/>
      <c r="U1213" s="338"/>
      <c r="V1213" s="330"/>
      <c r="W1213" s="330"/>
      <c r="X1213" s="330"/>
      <c r="Y1213" s="330"/>
      <c r="Z1213" s="330"/>
    </row>
    <row r="1214" spans="1:26" ht="12.5">
      <c r="A1214" s="330"/>
      <c r="B1214" s="330"/>
      <c r="C1214" s="330"/>
      <c r="D1214" s="330"/>
      <c r="E1214" s="330"/>
      <c r="F1214" s="330"/>
      <c r="G1214" s="330"/>
      <c r="H1214" s="330"/>
      <c r="I1214" s="327"/>
      <c r="J1214" s="330"/>
      <c r="K1214" s="330"/>
      <c r="L1214" s="330"/>
      <c r="M1214" s="330"/>
      <c r="N1214" s="330"/>
      <c r="O1214" s="330"/>
      <c r="P1214" s="330"/>
      <c r="Q1214" s="330"/>
      <c r="R1214" s="330"/>
      <c r="S1214" s="330"/>
      <c r="T1214" s="330"/>
      <c r="U1214" s="338"/>
      <c r="V1214" s="330"/>
      <c r="W1214" s="330"/>
      <c r="X1214" s="330"/>
      <c r="Y1214" s="330"/>
      <c r="Z1214" s="330"/>
    </row>
    <row r="1215" spans="1:26" ht="12.5">
      <c r="A1215" s="330"/>
      <c r="B1215" s="330"/>
      <c r="C1215" s="330"/>
      <c r="D1215" s="330"/>
      <c r="E1215" s="330"/>
      <c r="F1215" s="330"/>
      <c r="G1215" s="330"/>
      <c r="H1215" s="330"/>
      <c r="I1215" s="327"/>
      <c r="J1215" s="330"/>
      <c r="K1215" s="330"/>
      <c r="L1215" s="330"/>
      <c r="M1215" s="330"/>
      <c r="N1215" s="330"/>
      <c r="O1215" s="330"/>
      <c r="P1215" s="330"/>
      <c r="Q1215" s="330"/>
      <c r="R1215" s="330"/>
      <c r="S1215" s="330"/>
      <c r="T1215" s="330"/>
      <c r="U1215" s="338"/>
      <c r="V1215" s="330"/>
      <c r="W1215" s="330"/>
      <c r="X1215" s="330"/>
      <c r="Y1215" s="330"/>
      <c r="Z1215" s="330"/>
    </row>
    <row r="1216" spans="1:26" ht="12.5">
      <c r="A1216" s="330"/>
      <c r="B1216" s="330"/>
      <c r="C1216" s="330"/>
      <c r="D1216" s="330"/>
      <c r="E1216" s="330"/>
      <c r="F1216" s="330"/>
      <c r="G1216" s="330"/>
      <c r="H1216" s="330"/>
      <c r="I1216" s="327"/>
      <c r="J1216" s="330"/>
      <c r="K1216" s="330"/>
      <c r="L1216" s="330"/>
      <c r="M1216" s="330"/>
      <c r="N1216" s="330"/>
      <c r="O1216" s="330"/>
      <c r="P1216" s="330"/>
      <c r="Q1216" s="330"/>
      <c r="R1216" s="330"/>
      <c r="S1216" s="330"/>
      <c r="T1216" s="330"/>
      <c r="U1216" s="338"/>
      <c r="V1216" s="330"/>
      <c r="W1216" s="330"/>
      <c r="X1216" s="330"/>
      <c r="Y1216" s="330"/>
      <c r="Z1216" s="330"/>
    </row>
    <row r="1217" spans="1:26" ht="12.5">
      <c r="A1217" s="330"/>
      <c r="B1217" s="330"/>
      <c r="C1217" s="330"/>
      <c r="D1217" s="330"/>
      <c r="E1217" s="330"/>
      <c r="F1217" s="330"/>
      <c r="G1217" s="330"/>
      <c r="H1217" s="330"/>
      <c r="I1217" s="327"/>
      <c r="J1217" s="330"/>
      <c r="K1217" s="330"/>
      <c r="L1217" s="330"/>
      <c r="M1217" s="330"/>
      <c r="N1217" s="330"/>
      <c r="O1217" s="330"/>
      <c r="P1217" s="330"/>
      <c r="Q1217" s="330"/>
      <c r="R1217" s="330"/>
      <c r="S1217" s="330"/>
      <c r="T1217" s="330"/>
      <c r="U1217" s="338"/>
      <c r="V1217" s="330"/>
      <c r="W1217" s="330"/>
      <c r="X1217" s="330"/>
      <c r="Y1217" s="330"/>
      <c r="Z1217" s="330"/>
    </row>
    <row r="1218" spans="1:26" ht="12.5">
      <c r="A1218" s="330"/>
      <c r="B1218" s="330"/>
      <c r="C1218" s="330"/>
      <c r="D1218" s="330"/>
      <c r="E1218" s="330"/>
      <c r="F1218" s="330"/>
      <c r="G1218" s="330"/>
      <c r="H1218" s="330"/>
      <c r="I1218" s="327"/>
      <c r="J1218" s="330"/>
      <c r="K1218" s="330"/>
      <c r="L1218" s="330"/>
      <c r="M1218" s="330"/>
      <c r="N1218" s="330"/>
      <c r="O1218" s="330"/>
      <c r="P1218" s="330"/>
      <c r="Q1218" s="330"/>
      <c r="R1218" s="330"/>
      <c r="S1218" s="330"/>
      <c r="T1218" s="330"/>
      <c r="U1218" s="338"/>
      <c r="V1218" s="330"/>
      <c r="W1218" s="330"/>
      <c r="X1218" s="330"/>
      <c r="Y1218" s="330"/>
      <c r="Z1218" s="330"/>
    </row>
    <row r="1219" spans="1:26" ht="12.5">
      <c r="A1219" s="330"/>
      <c r="B1219" s="330"/>
      <c r="C1219" s="330"/>
      <c r="D1219" s="330"/>
      <c r="E1219" s="330"/>
      <c r="F1219" s="330"/>
      <c r="G1219" s="330"/>
      <c r="H1219" s="330"/>
      <c r="I1219" s="327"/>
      <c r="J1219" s="330"/>
      <c r="K1219" s="330"/>
      <c r="L1219" s="330"/>
      <c r="M1219" s="330"/>
      <c r="N1219" s="330"/>
      <c r="O1219" s="330"/>
      <c r="P1219" s="330"/>
      <c r="Q1219" s="330"/>
      <c r="R1219" s="330"/>
      <c r="S1219" s="330"/>
      <c r="T1219" s="330"/>
      <c r="U1219" s="338"/>
      <c r="V1219" s="330"/>
      <c r="W1219" s="330"/>
      <c r="X1219" s="330"/>
      <c r="Y1219" s="330"/>
      <c r="Z1219" s="330"/>
    </row>
    <row r="1220" spans="1:26" ht="12.5">
      <c r="A1220" s="330"/>
      <c r="B1220" s="330"/>
      <c r="C1220" s="330"/>
      <c r="D1220" s="330"/>
      <c r="E1220" s="330"/>
      <c r="F1220" s="330"/>
      <c r="G1220" s="330"/>
      <c r="H1220" s="330"/>
      <c r="I1220" s="327"/>
      <c r="J1220" s="330"/>
      <c r="K1220" s="330"/>
      <c r="L1220" s="330"/>
      <c r="M1220" s="330"/>
      <c r="N1220" s="330"/>
      <c r="O1220" s="330"/>
      <c r="P1220" s="330"/>
      <c r="Q1220" s="330"/>
      <c r="R1220" s="330"/>
      <c r="S1220" s="330"/>
      <c r="T1220" s="330"/>
      <c r="U1220" s="338"/>
      <c r="V1220" s="330"/>
      <c r="W1220" s="330"/>
      <c r="X1220" s="330"/>
      <c r="Y1220" s="330"/>
      <c r="Z1220" s="330"/>
    </row>
    <row r="1221" spans="1:26" ht="12.5">
      <c r="A1221" s="330"/>
      <c r="B1221" s="330"/>
      <c r="C1221" s="330"/>
      <c r="D1221" s="330"/>
      <c r="E1221" s="330"/>
      <c r="F1221" s="330"/>
      <c r="G1221" s="330"/>
      <c r="H1221" s="330"/>
      <c r="I1221" s="327"/>
      <c r="J1221" s="330"/>
      <c r="K1221" s="330"/>
      <c r="L1221" s="330"/>
      <c r="M1221" s="330"/>
      <c r="N1221" s="330"/>
      <c r="O1221" s="330"/>
      <c r="P1221" s="330"/>
      <c r="Q1221" s="330"/>
      <c r="R1221" s="330"/>
      <c r="S1221" s="330"/>
      <c r="T1221" s="330"/>
      <c r="U1221" s="338"/>
      <c r="V1221" s="330"/>
      <c r="W1221" s="330"/>
      <c r="X1221" s="330"/>
      <c r="Y1221" s="330"/>
      <c r="Z1221" s="330"/>
    </row>
    <row r="1222" spans="1:26" ht="12.5">
      <c r="A1222" s="330"/>
      <c r="B1222" s="330"/>
      <c r="C1222" s="330"/>
      <c r="D1222" s="330"/>
      <c r="E1222" s="330"/>
      <c r="F1222" s="330"/>
      <c r="G1222" s="330"/>
      <c r="H1222" s="330"/>
      <c r="I1222" s="327"/>
      <c r="J1222" s="330"/>
      <c r="K1222" s="330"/>
      <c r="L1222" s="330"/>
      <c r="M1222" s="330"/>
      <c r="N1222" s="330"/>
      <c r="O1222" s="330"/>
      <c r="P1222" s="330"/>
      <c r="Q1222" s="330"/>
      <c r="R1222" s="330"/>
      <c r="S1222" s="330"/>
      <c r="T1222" s="330"/>
      <c r="U1222" s="338"/>
      <c r="V1222" s="330"/>
      <c r="W1222" s="330"/>
      <c r="X1222" s="330"/>
      <c r="Y1222" s="330"/>
      <c r="Z1222" s="330"/>
    </row>
    <row r="1223" spans="1:26" ht="12.5">
      <c r="A1223" s="330"/>
      <c r="B1223" s="330"/>
      <c r="C1223" s="330"/>
      <c r="D1223" s="330"/>
      <c r="E1223" s="330"/>
      <c r="F1223" s="330"/>
      <c r="G1223" s="330"/>
      <c r="H1223" s="330"/>
      <c r="I1223" s="327"/>
      <c r="J1223" s="330"/>
      <c r="K1223" s="330"/>
      <c r="L1223" s="330"/>
      <c r="M1223" s="330"/>
      <c r="N1223" s="330"/>
      <c r="O1223" s="330"/>
      <c r="P1223" s="330"/>
      <c r="Q1223" s="330"/>
      <c r="R1223" s="330"/>
      <c r="S1223" s="330"/>
      <c r="T1223" s="330"/>
      <c r="U1223" s="338"/>
      <c r="V1223" s="330"/>
      <c r="W1223" s="330"/>
      <c r="X1223" s="330"/>
      <c r="Y1223" s="330"/>
      <c r="Z1223" s="330"/>
    </row>
    <row r="1224" spans="1:26" ht="12.5">
      <c r="A1224" s="330"/>
      <c r="B1224" s="330"/>
      <c r="C1224" s="330"/>
      <c r="D1224" s="330"/>
      <c r="E1224" s="330"/>
      <c r="F1224" s="330"/>
      <c r="G1224" s="330"/>
      <c r="H1224" s="330"/>
      <c r="I1224" s="327"/>
      <c r="J1224" s="330"/>
      <c r="K1224" s="330"/>
      <c r="L1224" s="330"/>
      <c r="M1224" s="330"/>
      <c r="N1224" s="330"/>
      <c r="O1224" s="330"/>
      <c r="P1224" s="330"/>
      <c r="Q1224" s="330"/>
      <c r="R1224" s="330"/>
      <c r="S1224" s="330"/>
      <c r="T1224" s="330"/>
      <c r="U1224" s="338"/>
      <c r="V1224" s="330"/>
      <c r="W1224" s="330"/>
      <c r="X1224" s="330"/>
      <c r="Y1224" s="330"/>
      <c r="Z1224" s="330"/>
    </row>
    <row r="1225" spans="1:26" ht="12.5">
      <c r="A1225" s="330"/>
      <c r="B1225" s="330"/>
      <c r="C1225" s="330"/>
      <c r="D1225" s="330"/>
      <c r="E1225" s="330"/>
      <c r="F1225" s="330"/>
      <c r="G1225" s="330"/>
      <c r="H1225" s="330"/>
      <c r="I1225" s="327"/>
      <c r="J1225" s="330"/>
      <c r="K1225" s="330"/>
      <c r="L1225" s="330"/>
      <c r="M1225" s="330"/>
      <c r="N1225" s="330"/>
      <c r="O1225" s="330"/>
      <c r="P1225" s="330"/>
      <c r="Q1225" s="330"/>
      <c r="R1225" s="330"/>
      <c r="S1225" s="330"/>
      <c r="T1225" s="330"/>
      <c r="U1225" s="338"/>
      <c r="V1225" s="330"/>
      <c r="W1225" s="330"/>
      <c r="X1225" s="330"/>
      <c r="Y1225" s="330"/>
      <c r="Z1225" s="330"/>
    </row>
    <row r="1226" spans="1:26" ht="12.5">
      <c r="A1226" s="330"/>
      <c r="B1226" s="330"/>
      <c r="C1226" s="330"/>
      <c r="D1226" s="330"/>
      <c r="E1226" s="330"/>
      <c r="F1226" s="330"/>
      <c r="G1226" s="330"/>
      <c r="H1226" s="330"/>
      <c r="I1226" s="327"/>
      <c r="J1226" s="330"/>
      <c r="K1226" s="330"/>
      <c r="L1226" s="330"/>
      <c r="M1226" s="330"/>
      <c r="N1226" s="330"/>
      <c r="O1226" s="330"/>
      <c r="P1226" s="330"/>
      <c r="Q1226" s="330"/>
      <c r="R1226" s="330"/>
      <c r="S1226" s="330"/>
      <c r="T1226" s="330"/>
      <c r="U1226" s="338"/>
      <c r="V1226" s="330"/>
      <c r="W1226" s="330"/>
      <c r="X1226" s="330"/>
      <c r="Y1226" s="330"/>
      <c r="Z1226" s="330"/>
    </row>
    <row r="1227" spans="1:26" ht="12.5">
      <c r="A1227" s="330"/>
      <c r="B1227" s="330"/>
      <c r="C1227" s="330"/>
      <c r="D1227" s="330"/>
      <c r="E1227" s="330"/>
      <c r="F1227" s="330"/>
      <c r="G1227" s="330"/>
      <c r="H1227" s="330"/>
      <c r="I1227" s="327"/>
      <c r="J1227" s="330"/>
      <c r="K1227" s="330"/>
      <c r="L1227" s="330"/>
      <c r="M1227" s="330"/>
      <c r="N1227" s="330"/>
      <c r="O1227" s="330"/>
      <c r="P1227" s="330"/>
      <c r="Q1227" s="330"/>
      <c r="R1227" s="330"/>
      <c r="S1227" s="330"/>
      <c r="T1227" s="330"/>
      <c r="U1227" s="338"/>
      <c r="V1227" s="330"/>
      <c r="W1227" s="330"/>
      <c r="X1227" s="330"/>
      <c r="Y1227" s="330"/>
      <c r="Z1227" s="330"/>
    </row>
    <row r="1228" spans="1:26" ht="12.5">
      <c r="A1228" s="330"/>
      <c r="B1228" s="330"/>
      <c r="C1228" s="330"/>
      <c r="D1228" s="330"/>
      <c r="E1228" s="330"/>
      <c r="F1228" s="330"/>
      <c r="G1228" s="330"/>
      <c r="H1228" s="330"/>
      <c r="I1228" s="327"/>
      <c r="J1228" s="330"/>
      <c r="K1228" s="330"/>
      <c r="L1228" s="330"/>
      <c r="M1228" s="330"/>
      <c r="N1228" s="330"/>
      <c r="O1228" s="330"/>
      <c r="P1228" s="330"/>
      <c r="Q1228" s="330"/>
      <c r="R1228" s="330"/>
      <c r="S1228" s="330"/>
      <c r="T1228" s="330"/>
      <c r="U1228" s="338"/>
      <c r="V1228" s="330"/>
      <c r="W1228" s="330"/>
      <c r="X1228" s="330"/>
      <c r="Y1228" s="330"/>
      <c r="Z1228" s="330"/>
    </row>
    <row r="1229" spans="1:26" ht="12.5">
      <c r="A1229" s="330"/>
      <c r="B1229" s="330"/>
      <c r="C1229" s="330"/>
      <c r="D1229" s="330"/>
      <c r="E1229" s="330"/>
      <c r="F1229" s="330"/>
      <c r="G1229" s="330"/>
      <c r="H1229" s="330"/>
      <c r="I1229" s="327"/>
      <c r="J1229" s="330"/>
      <c r="K1229" s="330"/>
      <c r="L1229" s="330"/>
      <c r="M1229" s="330"/>
      <c r="N1229" s="330"/>
      <c r="O1229" s="330"/>
      <c r="P1229" s="330"/>
      <c r="Q1229" s="330"/>
      <c r="R1229" s="330"/>
      <c r="S1229" s="330"/>
      <c r="T1229" s="330"/>
      <c r="U1229" s="338"/>
      <c r="V1229" s="330"/>
      <c r="W1229" s="330"/>
      <c r="X1229" s="330"/>
      <c r="Y1229" s="330"/>
      <c r="Z1229" s="330"/>
    </row>
    <row r="1230" spans="1:26" ht="12.5">
      <c r="A1230" s="330"/>
      <c r="B1230" s="330"/>
      <c r="C1230" s="330"/>
      <c r="D1230" s="330"/>
      <c r="E1230" s="330"/>
      <c r="F1230" s="330"/>
      <c r="G1230" s="330"/>
      <c r="H1230" s="330"/>
      <c r="I1230" s="327"/>
      <c r="J1230" s="330"/>
      <c r="K1230" s="330"/>
      <c r="L1230" s="330"/>
      <c r="M1230" s="330"/>
      <c r="N1230" s="330"/>
      <c r="O1230" s="330"/>
      <c r="P1230" s="330"/>
      <c r="Q1230" s="330"/>
      <c r="R1230" s="330"/>
      <c r="S1230" s="330"/>
      <c r="T1230" s="330"/>
      <c r="U1230" s="338"/>
      <c r="V1230" s="330"/>
      <c r="W1230" s="330"/>
      <c r="X1230" s="330"/>
      <c r="Y1230" s="330"/>
      <c r="Z1230" s="330"/>
    </row>
    <row r="1231" spans="1:26" ht="12.5">
      <c r="A1231" s="330"/>
      <c r="B1231" s="330"/>
      <c r="C1231" s="330"/>
      <c r="D1231" s="330"/>
      <c r="E1231" s="330"/>
      <c r="F1231" s="330"/>
      <c r="G1231" s="330"/>
      <c r="H1231" s="330"/>
      <c r="I1231" s="327"/>
      <c r="J1231" s="330"/>
      <c r="K1231" s="330"/>
      <c r="L1231" s="330"/>
      <c r="M1231" s="330"/>
      <c r="N1231" s="330"/>
      <c r="O1231" s="330"/>
      <c r="P1231" s="330"/>
      <c r="Q1231" s="330"/>
      <c r="R1231" s="330"/>
      <c r="S1231" s="330"/>
      <c r="T1231" s="330"/>
      <c r="U1231" s="338"/>
      <c r="V1231" s="330"/>
      <c r="W1231" s="330"/>
      <c r="X1231" s="330"/>
      <c r="Y1231" s="330"/>
      <c r="Z1231" s="330"/>
    </row>
    <row r="1232" spans="1:26" ht="12.5">
      <c r="A1232" s="330"/>
      <c r="B1232" s="330"/>
      <c r="C1232" s="330"/>
      <c r="D1232" s="330"/>
      <c r="E1232" s="330"/>
      <c r="F1232" s="330"/>
      <c r="G1232" s="330"/>
      <c r="H1232" s="330"/>
      <c r="I1232" s="327"/>
      <c r="J1232" s="330"/>
      <c r="K1232" s="330"/>
      <c r="L1232" s="330"/>
      <c r="M1232" s="330"/>
      <c r="N1232" s="330"/>
      <c r="O1232" s="330"/>
      <c r="P1232" s="330"/>
      <c r="Q1232" s="330"/>
      <c r="R1232" s="330"/>
      <c r="S1232" s="330"/>
      <c r="T1232" s="330"/>
      <c r="U1232" s="338"/>
      <c r="V1232" s="330"/>
      <c r="W1232" s="330"/>
      <c r="X1232" s="330"/>
      <c r="Y1232" s="330"/>
      <c r="Z1232" s="330"/>
    </row>
    <row r="1233" spans="1:26" ht="12.5">
      <c r="A1233" s="330"/>
      <c r="B1233" s="330"/>
      <c r="C1233" s="330"/>
      <c r="D1233" s="330"/>
      <c r="E1233" s="330"/>
      <c r="F1233" s="330"/>
      <c r="G1233" s="330"/>
      <c r="H1233" s="330"/>
      <c r="I1233" s="327"/>
      <c r="J1233" s="330"/>
      <c r="K1233" s="330"/>
      <c r="L1233" s="330"/>
      <c r="M1233" s="330"/>
      <c r="N1233" s="330"/>
      <c r="O1233" s="330"/>
      <c r="P1233" s="330"/>
      <c r="Q1233" s="330"/>
      <c r="R1233" s="330"/>
      <c r="S1233" s="330"/>
      <c r="T1233" s="330"/>
      <c r="U1233" s="338"/>
      <c r="V1233" s="330"/>
      <c r="W1233" s="330"/>
      <c r="X1233" s="330"/>
      <c r="Y1233" s="330"/>
      <c r="Z1233" s="330"/>
    </row>
    <row r="1234" spans="1:26" ht="12.5">
      <c r="A1234" s="330"/>
      <c r="B1234" s="330"/>
      <c r="C1234" s="330"/>
      <c r="D1234" s="330"/>
      <c r="E1234" s="330"/>
      <c r="F1234" s="330"/>
      <c r="G1234" s="330"/>
      <c r="H1234" s="330"/>
      <c r="I1234" s="327"/>
      <c r="J1234" s="330"/>
      <c r="K1234" s="330"/>
      <c r="L1234" s="330"/>
      <c r="M1234" s="330"/>
      <c r="N1234" s="330"/>
      <c r="O1234" s="330"/>
      <c r="P1234" s="330"/>
      <c r="Q1234" s="330"/>
      <c r="R1234" s="330"/>
      <c r="S1234" s="330"/>
      <c r="T1234" s="330"/>
      <c r="U1234" s="338"/>
      <c r="V1234" s="330"/>
      <c r="W1234" s="330"/>
      <c r="X1234" s="330"/>
      <c r="Y1234" s="330"/>
      <c r="Z1234" s="330"/>
    </row>
    <row r="1235" spans="1:26" ht="12.5">
      <c r="A1235" s="330"/>
      <c r="B1235" s="330"/>
      <c r="C1235" s="330"/>
      <c r="D1235" s="330"/>
      <c r="E1235" s="330"/>
      <c r="F1235" s="330"/>
      <c r="G1235" s="330"/>
      <c r="H1235" s="330"/>
      <c r="I1235" s="327"/>
      <c r="J1235" s="330"/>
      <c r="K1235" s="330"/>
      <c r="L1235" s="330"/>
      <c r="M1235" s="330"/>
      <c r="N1235" s="330"/>
      <c r="O1235" s="330"/>
      <c r="P1235" s="330"/>
      <c r="Q1235" s="330"/>
      <c r="R1235" s="330"/>
      <c r="S1235" s="330"/>
      <c r="T1235" s="330"/>
      <c r="U1235" s="338"/>
      <c r="V1235" s="330"/>
      <c r="W1235" s="330"/>
      <c r="X1235" s="330"/>
      <c r="Y1235" s="330"/>
      <c r="Z1235" s="330"/>
    </row>
    <row r="1236" spans="1:26" ht="12.5">
      <c r="A1236" s="330"/>
      <c r="B1236" s="330"/>
      <c r="C1236" s="330"/>
      <c r="D1236" s="330"/>
      <c r="E1236" s="330"/>
      <c r="F1236" s="330"/>
      <c r="G1236" s="330"/>
      <c r="H1236" s="330"/>
      <c r="I1236" s="327"/>
      <c r="J1236" s="330"/>
      <c r="K1236" s="330"/>
      <c r="L1236" s="330"/>
      <c r="M1236" s="330"/>
      <c r="N1236" s="330"/>
      <c r="O1236" s="330"/>
      <c r="P1236" s="330"/>
      <c r="Q1236" s="330"/>
      <c r="R1236" s="330"/>
      <c r="S1236" s="330"/>
      <c r="T1236" s="330"/>
      <c r="U1236" s="338"/>
      <c r="V1236" s="330"/>
      <c r="W1236" s="330"/>
      <c r="X1236" s="330"/>
      <c r="Y1236" s="330"/>
      <c r="Z1236" s="330"/>
    </row>
    <row r="1237" spans="1:26" ht="12.5">
      <c r="A1237" s="330"/>
      <c r="B1237" s="330"/>
      <c r="C1237" s="330"/>
      <c r="D1237" s="330"/>
      <c r="E1237" s="330"/>
      <c r="F1237" s="330"/>
      <c r="G1237" s="330"/>
      <c r="H1237" s="330"/>
      <c r="I1237" s="327"/>
      <c r="J1237" s="330"/>
      <c r="K1237" s="330"/>
      <c r="L1237" s="330"/>
      <c r="M1237" s="330"/>
      <c r="N1237" s="330"/>
      <c r="O1237" s="330"/>
      <c r="P1237" s="330"/>
      <c r="Q1237" s="330"/>
      <c r="R1237" s="330"/>
      <c r="S1237" s="330"/>
      <c r="T1237" s="330"/>
      <c r="U1237" s="338"/>
      <c r="V1237" s="330"/>
      <c r="W1237" s="330"/>
      <c r="X1237" s="330"/>
      <c r="Y1237" s="330"/>
      <c r="Z1237" s="330"/>
    </row>
    <row r="1238" spans="1:26" ht="12.5">
      <c r="A1238" s="330"/>
      <c r="B1238" s="330"/>
      <c r="C1238" s="330"/>
      <c r="D1238" s="330"/>
      <c r="E1238" s="330"/>
      <c r="F1238" s="330"/>
      <c r="G1238" s="330"/>
      <c r="H1238" s="330"/>
      <c r="I1238" s="327"/>
      <c r="J1238" s="330"/>
      <c r="K1238" s="330"/>
      <c r="L1238" s="330"/>
      <c r="M1238" s="330"/>
      <c r="N1238" s="330"/>
      <c r="O1238" s="330"/>
      <c r="P1238" s="330"/>
      <c r="Q1238" s="330"/>
      <c r="R1238" s="330"/>
      <c r="S1238" s="330"/>
      <c r="T1238" s="330"/>
      <c r="U1238" s="338"/>
      <c r="V1238" s="330"/>
      <c r="W1238" s="330"/>
      <c r="X1238" s="330"/>
      <c r="Y1238" s="330"/>
      <c r="Z1238" s="330"/>
    </row>
    <row r="1239" spans="1:26" ht="12.5">
      <c r="A1239" s="330"/>
      <c r="B1239" s="330"/>
      <c r="C1239" s="330"/>
      <c r="D1239" s="330"/>
      <c r="E1239" s="330"/>
      <c r="F1239" s="330"/>
      <c r="G1239" s="330"/>
      <c r="H1239" s="330"/>
      <c r="I1239" s="327"/>
      <c r="J1239" s="330"/>
      <c r="K1239" s="330"/>
      <c r="L1239" s="330"/>
      <c r="M1239" s="330"/>
      <c r="N1239" s="330"/>
      <c r="O1239" s="330"/>
      <c r="P1239" s="330"/>
      <c r="Q1239" s="330"/>
      <c r="R1239" s="330"/>
      <c r="S1239" s="330"/>
      <c r="T1239" s="330"/>
      <c r="U1239" s="338"/>
      <c r="V1239" s="330"/>
      <c r="W1239" s="330"/>
      <c r="X1239" s="330"/>
      <c r="Y1239" s="330"/>
      <c r="Z1239" s="330"/>
    </row>
    <row r="1240" spans="1:26" ht="12.5">
      <c r="A1240" s="330"/>
      <c r="B1240" s="330"/>
      <c r="C1240" s="330"/>
      <c r="D1240" s="330"/>
      <c r="E1240" s="330"/>
      <c r="F1240" s="330"/>
      <c r="G1240" s="330"/>
      <c r="H1240" s="330"/>
      <c r="I1240" s="327"/>
      <c r="J1240" s="330"/>
      <c r="K1240" s="330"/>
      <c r="L1240" s="330"/>
      <c r="M1240" s="330"/>
      <c r="N1240" s="330"/>
      <c r="O1240" s="330"/>
      <c r="P1240" s="330"/>
      <c r="Q1240" s="330"/>
      <c r="R1240" s="330"/>
      <c r="S1240" s="330"/>
      <c r="T1240" s="330"/>
      <c r="U1240" s="338"/>
      <c r="V1240" s="330"/>
      <c r="W1240" s="330"/>
      <c r="X1240" s="330"/>
      <c r="Y1240" s="330"/>
      <c r="Z1240" s="330"/>
    </row>
    <row r="1241" spans="1:26" ht="12.5">
      <c r="A1241" s="330"/>
      <c r="B1241" s="330"/>
      <c r="C1241" s="330"/>
      <c r="D1241" s="330"/>
      <c r="E1241" s="330"/>
      <c r="F1241" s="330"/>
      <c r="G1241" s="330"/>
      <c r="H1241" s="330"/>
      <c r="I1241" s="327"/>
      <c r="J1241" s="330"/>
      <c r="K1241" s="330"/>
      <c r="L1241" s="330"/>
      <c r="M1241" s="330"/>
      <c r="N1241" s="330"/>
      <c r="O1241" s="330"/>
      <c r="P1241" s="330"/>
      <c r="Q1241" s="330"/>
      <c r="R1241" s="330"/>
      <c r="S1241" s="330"/>
      <c r="T1241" s="330"/>
      <c r="U1241" s="338"/>
      <c r="V1241" s="330"/>
      <c r="W1241" s="330"/>
      <c r="X1241" s="330"/>
      <c r="Y1241" s="330"/>
      <c r="Z1241" s="330"/>
    </row>
    <row r="1242" spans="1:26" ht="12.5">
      <c r="A1242" s="330"/>
      <c r="B1242" s="330"/>
      <c r="C1242" s="330"/>
      <c r="D1242" s="330"/>
      <c r="E1242" s="330"/>
      <c r="F1242" s="330"/>
      <c r="G1242" s="330"/>
      <c r="H1242" s="330"/>
      <c r="I1242" s="327"/>
      <c r="J1242" s="330"/>
      <c r="K1242" s="330"/>
      <c r="L1242" s="330"/>
      <c r="M1242" s="330"/>
      <c r="N1242" s="330"/>
      <c r="O1242" s="330"/>
      <c r="P1242" s="330"/>
      <c r="Q1242" s="330"/>
      <c r="R1242" s="330"/>
      <c r="S1242" s="330"/>
      <c r="T1242" s="330"/>
      <c r="U1242" s="338"/>
      <c r="V1242" s="330"/>
      <c r="W1242" s="330"/>
      <c r="X1242" s="330"/>
      <c r="Y1242" s="330"/>
      <c r="Z1242" s="330"/>
    </row>
    <row r="1243" spans="1:26" ht="12.5">
      <c r="A1243" s="330"/>
      <c r="B1243" s="330"/>
      <c r="C1243" s="330"/>
      <c r="D1243" s="330"/>
      <c r="E1243" s="330"/>
      <c r="F1243" s="330"/>
      <c r="G1243" s="330"/>
      <c r="H1243" s="330"/>
      <c r="I1243" s="327"/>
      <c r="J1243" s="330"/>
      <c r="K1243" s="330"/>
      <c r="L1243" s="330"/>
      <c r="M1243" s="330"/>
      <c r="N1243" s="330"/>
      <c r="O1243" s="330"/>
      <c r="P1243" s="330"/>
      <c r="Q1243" s="330"/>
      <c r="R1243" s="330"/>
      <c r="S1243" s="330"/>
      <c r="T1243" s="330"/>
      <c r="U1243" s="338"/>
      <c r="V1243" s="330"/>
      <c r="W1243" s="330"/>
      <c r="X1243" s="330"/>
      <c r="Y1243" s="330"/>
      <c r="Z1243" s="330"/>
    </row>
    <row r="1244" spans="1:26" ht="12.5">
      <c r="A1244" s="330"/>
      <c r="B1244" s="330"/>
      <c r="C1244" s="330"/>
      <c r="D1244" s="330"/>
      <c r="E1244" s="330"/>
      <c r="F1244" s="330"/>
      <c r="G1244" s="330"/>
      <c r="H1244" s="330"/>
      <c r="I1244" s="327"/>
      <c r="J1244" s="330"/>
      <c r="K1244" s="330"/>
      <c r="L1244" s="330"/>
      <c r="M1244" s="330"/>
      <c r="N1244" s="330"/>
      <c r="O1244" s="330"/>
      <c r="P1244" s="330"/>
      <c r="Q1244" s="330"/>
      <c r="R1244" s="330"/>
      <c r="S1244" s="330"/>
      <c r="T1244" s="330"/>
      <c r="U1244" s="338"/>
      <c r="V1244" s="330"/>
      <c r="W1244" s="330"/>
      <c r="X1244" s="330"/>
      <c r="Y1244" s="330"/>
      <c r="Z1244" s="330"/>
    </row>
    <row r="1245" spans="1:26" ht="12.5">
      <c r="A1245" s="330"/>
      <c r="B1245" s="330"/>
      <c r="C1245" s="330"/>
      <c r="D1245" s="330"/>
      <c r="E1245" s="330"/>
      <c r="F1245" s="330"/>
      <c r="G1245" s="330"/>
      <c r="H1245" s="330"/>
      <c r="I1245" s="327"/>
      <c r="J1245" s="330"/>
      <c r="K1245" s="330"/>
      <c r="L1245" s="330"/>
      <c r="M1245" s="330"/>
      <c r="N1245" s="330"/>
      <c r="O1245" s="330"/>
      <c r="P1245" s="330"/>
      <c r="Q1245" s="330"/>
      <c r="R1245" s="330"/>
      <c r="S1245" s="330"/>
      <c r="T1245" s="330"/>
      <c r="U1245" s="338"/>
      <c r="V1245" s="330"/>
      <c r="W1245" s="330"/>
      <c r="X1245" s="330"/>
      <c r="Y1245" s="330"/>
      <c r="Z1245" s="330"/>
    </row>
    <row r="1246" spans="1:26" ht="12.5">
      <c r="A1246" s="330"/>
      <c r="B1246" s="330"/>
      <c r="C1246" s="330"/>
      <c r="D1246" s="330"/>
      <c r="E1246" s="330"/>
      <c r="F1246" s="330"/>
      <c r="G1246" s="330"/>
      <c r="H1246" s="330"/>
      <c r="I1246" s="327"/>
      <c r="J1246" s="330"/>
      <c r="K1246" s="330"/>
      <c r="L1246" s="330"/>
      <c r="M1246" s="330"/>
      <c r="N1246" s="330"/>
      <c r="O1246" s="330"/>
      <c r="P1246" s="330"/>
      <c r="Q1246" s="330"/>
      <c r="R1246" s="330"/>
      <c r="S1246" s="330"/>
      <c r="T1246" s="330"/>
      <c r="U1246" s="338"/>
      <c r="V1246" s="330"/>
      <c r="W1246" s="330"/>
      <c r="X1246" s="330"/>
      <c r="Y1246" s="330"/>
      <c r="Z1246" s="330"/>
    </row>
    <row r="1247" spans="1:26" ht="12.5">
      <c r="A1247" s="330"/>
      <c r="B1247" s="330"/>
      <c r="C1247" s="330"/>
      <c r="D1247" s="330"/>
      <c r="E1247" s="330"/>
      <c r="F1247" s="330"/>
      <c r="G1247" s="330"/>
      <c r="H1247" s="330"/>
      <c r="I1247" s="327"/>
      <c r="J1247" s="330"/>
      <c r="K1247" s="330"/>
      <c r="L1247" s="330"/>
      <c r="M1247" s="330"/>
      <c r="N1247" s="330"/>
      <c r="O1247" s="330"/>
      <c r="P1247" s="330"/>
      <c r="Q1247" s="330"/>
      <c r="R1247" s="330"/>
      <c r="S1247" s="330"/>
      <c r="T1247" s="330"/>
      <c r="U1247" s="338"/>
      <c r="V1247" s="330"/>
      <c r="W1247" s="330"/>
      <c r="X1247" s="330"/>
      <c r="Y1247" s="330"/>
      <c r="Z1247" s="330"/>
    </row>
    <row r="1248" spans="1:26" ht="12.5">
      <c r="A1248" s="330"/>
      <c r="B1248" s="330"/>
      <c r="C1248" s="330"/>
      <c r="D1248" s="330"/>
      <c r="E1248" s="330"/>
      <c r="F1248" s="330"/>
      <c r="G1248" s="330"/>
      <c r="H1248" s="330"/>
      <c r="I1248" s="327"/>
      <c r="J1248" s="330"/>
      <c r="K1248" s="330"/>
      <c r="L1248" s="330"/>
      <c r="M1248" s="330"/>
      <c r="N1248" s="330"/>
      <c r="O1248" s="330"/>
      <c r="P1248" s="330"/>
      <c r="Q1248" s="330"/>
      <c r="R1248" s="330"/>
      <c r="S1248" s="330"/>
      <c r="T1248" s="330"/>
      <c r="U1248" s="338"/>
      <c r="V1248" s="330"/>
      <c r="W1248" s="330"/>
      <c r="X1248" s="330"/>
      <c r="Y1248" s="330"/>
      <c r="Z1248" s="330"/>
    </row>
    <row r="1249" spans="1:26" ht="12.5">
      <c r="A1249" s="330"/>
      <c r="B1249" s="330"/>
      <c r="C1249" s="330"/>
      <c r="D1249" s="330"/>
      <c r="E1249" s="330"/>
      <c r="F1249" s="330"/>
      <c r="G1249" s="330"/>
      <c r="H1249" s="330"/>
      <c r="I1249" s="327"/>
      <c r="J1249" s="330"/>
      <c r="K1249" s="330"/>
      <c r="L1249" s="330"/>
      <c r="M1249" s="330"/>
      <c r="N1249" s="330"/>
      <c r="O1249" s="330"/>
      <c r="P1249" s="330"/>
      <c r="Q1249" s="330"/>
      <c r="R1249" s="330"/>
      <c r="S1249" s="330"/>
      <c r="T1249" s="330"/>
      <c r="U1249" s="338"/>
      <c r="V1249" s="330"/>
      <c r="W1249" s="330"/>
      <c r="X1249" s="330"/>
      <c r="Y1249" s="330"/>
      <c r="Z1249" s="330"/>
    </row>
    <row r="1250" spans="1:26" ht="12.5">
      <c r="A1250" s="330"/>
      <c r="B1250" s="330"/>
      <c r="C1250" s="330"/>
      <c r="D1250" s="330"/>
      <c r="E1250" s="330"/>
      <c r="F1250" s="330"/>
      <c r="G1250" s="330"/>
      <c r="H1250" s="330"/>
      <c r="I1250" s="327"/>
      <c r="J1250" s="330"/>
      <c r="K1250" s="330"/>
      <c r="L1250" s="330"/>
      <c r="M1250" s="330"/>
      <c r="N1250" s="330"/>
      <c r="O1250" s="330"/>
      <c r="P1250" s="330"/>
      <c r="Q1250" s="330"/>
      <c r="R1250" s="330"/>
      <c r="S1250" s="330"/>
      <c r="T1250" s="330"/>
      <c r="U1250" s="338"/>
      <c r="V1250" s="330"/>
      <c r="W1250" s="330"/>
      <c r="X1250" s="330"/>
      <c r="Y1250" s="330"/>
      <c r="Z1250" s="330"/>
    </row>
    <row r="1251" spans="1:26" ht="12.5">
      <c r="A1251" s="330"/>
      <c r="B1251" s="330"/>
      <c r="C1251" s="330"/>
      <c r="D1251" s="330"/>
      <c r="E1251" s="330"/>
      <c r="F1251" s="330"/>
      <c r="G1251" s="330"/>
      <c r="H1251" s="330"/>
      <c r="I1251" s="327"/>
      <c r="J1251" s="330"/>
      <c r="K1251" s="330"/>
      <c r="L1251" s="330"/>
      <c r="M1251" s="330"/>
      <c r="N1251" s="330"/>
      <c r="O1251" s="330"/>
      <c r="P1251" s="330"/>
      <c r="Q1251" s="330"/>
      <c r="R1251" s="330"/>
      <c r="S1251" s="330"/>
      <c r="T1251" s="330"/>
      <c r="U1251" s="338"/>
      <c r="V1251" s="330"/>
      <c r="W1251" s="330"/>
      <c r="X1251" s="330"/>
      <c r="Y1251" s="330"/>
      <c r="Z1251" s="330"/>
    </row>
    <row r="1252" spans="1:26" ht="12.5">
      <c r="A1252" s="330"/>
      <c r="B1252" s="330"/>
      <c r="C1252" s="330"/>
      <c r="D1252" s="330"/>
      <c r="E1252" s="330"/>
      <c r="F1252" s="330"/>
      <c r="G1252" s="330"/>
      <c r="H1252" s="330"/>
      <c r="I1252" s="327"/>
      <c r="J1252" s="330"/>
      <c r="K1252" s="330"/>
      <c r="L1252" s="330"/>
      <c r="M1252" s="330"/>
      <c r="N1252" s="330"/>
      <c r="O1252" s="330"/>
      <c r="P1252" s="330"/>
      <c r="Q1252" s="330"/>
      <c r="R1252" s="330"/>
      <c r="S1252" s="330"/>
      <c r="T1252" s="330"/>
      <c r="U1252" s="338"/>
      <c r="V1252" s="330"/>
      <c r="W1252" s="330"/>
      <c r="X1252" s="330"/>
      <c r="Y1252" s="330"/>
      <c r="Z1252" s="330"/>
    </row>
    <row r="1253" spans="1:26" ht="12.5">
      <c r="A1253" s="330"/>
      <c r="B1253" s="330"/>
      <c r="C1253" s="330"/>
      <c r="D1253" s="330"/>
      <c r="E1253" s="330"/>
      <c r="F1253" s="330"/>
      <c r="G1253" s="330"/>
      <c r="H1253" s="330"/>
      <c r="I1253" s="327"/>
      <c r="J1253" s="330"/>
      <c r="K1253" s="330"/>
      <c r="L1253" s="330"/>
      <c r="M1253" s="330"/>
      <c r="N1253" s="330"/>
      <c r="O1253" s="330"/>
      <c r="P1253" s="330"/>
      <c r="Q1253" s="330"/>
      <c r="R1253" s="330"/>
      <c r="S1253" s="330"/>
      <c r="T1253" s="330"/>
      <c r="U1253" s="338"/>
      <c r="V1253" s="330"/>
      <c r="W1253" s="330"/>
      <c r="X1253" s="330"/>
      <c r="Y1253" s="330"/>
      <c r="Z1253" s="330"/>
    </row>
    <row r="1254" spans="1:26" ht="12.5">
      <c r="A1254" s="330"/>
      <c r="B1254" s="330"/>
      <c r="C1254" s="330"/>
      <c r="D1254" s="330"/>
      <c r="E1254" s="330"/>
      <c r="F1254" s="330"/>
      <c r="G1254" s="330"/>
      <c r="H1254" s="330"/>
      <c r="I1254" s="327"/>
      <c r="J1254" s="330"/>
      <c r="K1254" s="330"/>
      <c r="L1254" s="330"/>
      <c r="M1254" s="330"/>
      <c r="N1254" s="330"/>
      <c r="O1254" s="330"/>
      <c r="P1254" s="330"/>
      <c r="Q1254" s="330"/>
      <c r="R1254" s="330"/>
      <c r="S1254" s="330"/>
      <c r="T1254" s="330"/>
      <c r="U1254" s="338"/>
      <c r="V1254" s="330"/>
      <c r="W1254" s="330"/>
      <c r="X1254" s="330"/>
      <c r="Y1254" s="330"/>
      <c r="Z1254" s="330"/>
    </row>
    <row r="1255" spans="1:26" ht="12.5">
      <c r="A1255" s="330"/>
      <c r="B1255" s="330"/>
      <c r="C1255" s="330"/>
      <c r="D1255" s="330"/>
      <c r="E1255" s="330"/>
      <c r="F1255" s="330"/>
      <c r="G1255" s="330"/>
      <c r="H1255" s="330"/>
      <c r="I1255" s="327"/>
      <c r="J1255" s="330"/>
      <c r="K1255" s="330"/>
      <c r="L1255" s="330"/>
      <c r="M1255" s="330"/>
      <c r="N1255" s="330"/>
      <c r="O1255" s="330"/>
      <c r="P1255" s="330"/>
      <c r="Q1255" s="330"/>
      <c r="R1255" s="330"/>
      <c r="S1255" s="330"/>
      <c r="T1255" s="330"/>
      <c r="U1255" s="338"/>
      <c r="V1255" s="330"/>
      <c r="W1255" s="330"/>
      <c r="X1255" s="330"/>
      <c r="Y1255" s="330"/>
      <c r="Z1255" s="330"/>
    </row>
    <row r="1256" spans="1:26" ht="12.5">
      <c r="A1256" s="330"/>
      <c r="B1256" s="330"/>
      <c r="C1256" s="330"/>
      <c r="D1256" s="330"/>
      <c r="E1256" s="330"/>
      <c r="F1256" s="330"/>
      <c r="G1256" s="330"/>
      <c r="H1256" s="330"/>
      <c r="I1256" s="327"/>
      <c r="J1256" s="330"/>
      <c r="K1256" s="330"/>
      <c r="L1256" s="330"/>
      <c r="M1256" s="330"/>
      <c r="N1256" s="330"/>
      <c r="O1256" s="330"/>
      <c r="P1256" s="330"/>
      <c r="Q1256" s="330"/>
      <c r="R1256" s="330"/>
      <c r="S1256" s="330"/>
      <c r="T1256" s="330"/>
      <c r="U1256" s="338"/>
      <c r="V1256" s="330"/>
      <c r="W1256" s="330"/>
      <c r="X1256" s="330"/>
      <c r="Y1256" s="330"/>
      <c r="Z1256" s="330"/>
    </row>
    <row r="1257" spans="1:26" ht="12.5">
      <c r="A1257" s="330"/>
      <c r="B1257" s="330"/>
      <c r="C1257" s="330"/>
      <c r="D1257" s="330"/>
      <c r="E1257" s="330"/>
      <c r="F1257" s="330"/>
      <c r="G1257" s="330"/>
      <c r="H1257" s="330"/>
      <c r="I1257" s="327"/>
      <c r="J1257" s="330"/>
      <c r="K1257" s="330"/>
      <c r="L1257" s="330"/>
      <c r="M1257" s="330"/>
      <c r="N1257" s="330"/>
      <c r="O1257" s="330"/>
      <c r="P1257" s="330"/>
      <c r="Q1257" s="330"/>
      <c r="R1257" s="330"/>
      <c r="S1257" s="330"/>
      <c r="T1257" s="330"/>
      <c r="U1257" s="338"/>
      <c r="V1257" s="330"/>
      <c r="W1257" s="330"/>
      <c r="X1257" s="330"/>
      <c r="Y1257" s="330"/>
      <c r="Z1257" s="330"/>
    </row>
    <row r="1258" spans="1:26" ht="12.5">
      <c r="A1258" s="330"/>
      <c r="B1258" s="330"/>
      <c r="C1258" s="330"/>
      <c r="D1258" s="330"/>
      <c r="E1258" s="330"/>
      <c r="F1258" s="330"/>
      <c r="G1258" s="330"/>
      <c r="H1258" s="330"/>
      <c r="I1258" s="327"/>
      <c r="J1258" s="330"/>
      <c r="K1258" s="330"/>
      <c r="L1258" s="330"/>
      <c r="M1258" s="330"/>
      <c r="N1258" s="330"/>
      <c r="O1258" s="330"/>
      <c r="P1258" s="330"/>
      <c r="Q1258" s="330"/>
      <c r="R1258" s="330"/>
      <c r="S1258" s="330"/>
      <c r="T1258" s="330"/>
      <c r="U1258" s="338"/>
      <c r="V1258" s="330"/>
      <c r="W1258" s="330"/>
      <c r="X1258" s="330"/>
      <c r="Y1258" s="330"/>
      <c r="Z1258" s="330"/>
    </row>
    <row r="1259" spans="1:26" ht="12.5">
      <c r="A1259" s="330"/>
      <c r="B1259" s="330"/>
      <c r="C1259" s="330"/>
      <c r="D1259" s="330"/>
      <c r="E1259" s="330"/>
      <c r="F1259" s="330"/>
      <c r="G1259" s="330"/>
      <c r="H1259" s="330"/>
      <c r="I1259" s="327"/>
      <c r="J1259" s="330"/>
      <c r="K1259" s="330"/>
      <c r="L1259" s="330"/>
      <c r="M1259" s="330"/>
      <c r="N1259" s="330"/>
      <c r="O1259" s="330"/>
      <c r="P1259" s="330"/>
      <c r="Q1259" s="330"/>
      <c r="R1259" s="330"/>
      <c r="S1259" s="330"/>
      <c r="T1259" s="330"/>
      <c r="U1259" s="338"/>
      <c r="V1259" s="330"/>
      <c r="W1259" s="330"/>
      <c r="X1259" s="330"/>
      <c r="Y1259" s="330"/>
      <c r="Z1259" s="330"/>
    </row>
    <row r="1260" spans="1:26" ht="12.5">
      <c r="A1260" s="330"/>
      <c r="B1260" s="330"/>
      <c r="C1260" s="330"/>
      <c r="D1260" s="330"/>
      <c r="E1260" s="330"/>
      <c r="F1260" s="330"/>
      <c r="G1260" s="330"/>
      <c r="H1260" s="330"/>
      <c r="I1260" s="327"/>
      <c r="J1260" s="330"/>
      <c r="K1260" s="330"/>
      <c r="L1260" s="330"/>
      <c r="M1260" s="330"/>
      <c r="N1260" s="330"/>
      <c r="O1260" s="330"/>
      <c r="P1260" s="330"/>
      <c r="Q1260" s="330"/>
      <c r="R1260" s="330"/>
      <c r="S1260" s="330"/>
      <c r="T1260" s="330"/>
      <c r="U1260" s="338"/>
      <c r="V1260" s="330"/>
      <c r="W1260" s="330"/>
      <c r="X1260" s="330"/>
      <c r="Y1260" s="330"/>
      <c r="Z1260" s="330"/>
    </row>
    <row r="1261" spans="1:26" ht="12.5">
      <c r="A1261" s="330"/>
      <c r="B1261" s="330"/>
      <c r="C1261" s="330"/>
      <c r="D1261" s="330"/>
      <c r="E1261" s="330"/>
      <c r="F1261" s="330"/>
      <c r="G1261" s="330"/>
      <c r="H1261" s="330"/>
      <c r="I1261" s="327"/>
      <c r="J1261" s="330"/>
      <c r="K1261" s="330"/>
      <c r="L1261" s="330"/>
      <c r="M1261" s="330"/>
      <c r="N1261" s="330"/>
      <c r="O1261" s="330"/>
      <c r="P1261" s="330"/>
      <c r="Q1261" s="330"/>
      <c r="R1261" s="330"/>
      <c r="S1261" s="330"/>
      <c r="T1261" s="330"/>
      <c r="U1261" s="338"/>
      <c r="V1261" s="330"/>
      <c r="W1261" s="330"/>
      <c r="X1261" s="330"/>
      <c r="Y1261" s="330"/>
      <c r="Z1261" s="330"/>
    </row>
    <row r="1262" spans="1:26" ht="12.5">
      <c r="A1262" s="330"/>
      <c r="B1262" s="330"/>
      <c r="C1262" s="330"/>
      <c r="D1262" s="330"/>
      <c r="E1262" s="330"/>
      <c r="F1262" s="330"/>
      <c r="G1262" s="330"/>
      <c r="H1262" s="330"/>
      <c r="I1262" s="327"/>
      <c r="J1262" s="330"/>
      <c r="K1262" s="330"/>
      <c r="L1262" s="330"/>
      <c r="M1262" s="330"/>
      <c r="N1262" s="330"/>
      <c r="O1262" s="330"/>
      <c r="P1262" s="330"/>
      <c r="Q1262" s="330"/>
      <c r="R1262" s="330"/>
      <c r="S1262" s="330"/>
      <c r="T1262" s="330"/>
      <c r="U1262" s="338"/>
      <c r="V1262" s="330"/>
      <c r="W1262" s="330"/>
      <c r="X1262" s="330"/>
      <c r="Y1262" s="330"/>
      <c r="Z1262" s="330"/>
    </row>
    <row r="1263" spans="1:26" ht="12.5">
      <c r="A1263" s="330"/>
      <c r="B1263" s="330"/>
      <c r="C1263" s="330"/>
      <c r="D1263" s="330"/>
      <c r="E1263" s="330"/>
      <c r="F1263" s="330"/>
      <c r="G1263" s="330"/>
      <c r="H1263" s="330"/>
      <c r="I1263" s="327"/>
      <c r="J1263" s="330"/>
      <c r="K1263" s="330"/>
      <c r="L1263" s="330"/>
      <c r="M1263" s="330"/>
      <c r="N1263" s="330"/>
      <c r="O1263" s="330"/>
      <c r="P1263" s="330"/>
      <c r="Q1263" s="330"/>
      <c r="R1263" s="330"/>
      <c r="S1263" s="330"/>
      <c r="T1263" s="330"/>
      <c r="U1263" s="338"/>
      <c r="V1263" s="330"/>
      <c r="W1263" s="330"/>
      <c r="X1263" s="330"/>
      <c r="Y1263" s="330"/>
      <c r="Z1263" s="330"/>
    </row>
    <row r="1264" spans="1:26" ht="12.5">
      <c r="A1264" s="330"/>
      <c r="B1264" s="330"/>
      <c r="C1264" s="330"/>
      <c r="D1264" s="330"/>
      <c r="E1264" s="330"/>
      <c r="F1264" s="330"/>
      <c r="G1264" s="330"/>
      <c r="H1264" s="330"/>
      <c r="I1264" s="327"/>
      <c r="J1264" s="330"/>
      <c r="K1264" s="330"/>
      <c r="L1264" s="330"/>
      <c r="M1264" s="330"/>
      <c r="N1264" s="330"/>
      <c r="O1264" s="330"/>
      <c r="P1264" s="330"/>
      <c r="Q1264" s="330"/>
      <c r="R1264" s="330"/>
      <c r="S1264" s="330"/>
      <c r="T1264" s="330"/>
      <c r="U1264" s="338"/>
      <c r="V1264" s="330"/>
      <c r="W1264" s="330"/>
      <c r="X1264" s="330"/>
      <c r="Y1264" s="330"/>
      <c r="Z1264" s="330"/>
    </row>
    <row r="1265" spans="1:26" ht="12.5">
      <c r="A1265" s="330"/>
      <c r="B1265" s="330"/>
      <c r="C1265" s="330"/>
      <c r="D1265" s="330"/>
      <c r="E1265" s="330"/>
      <c r="F1265" s="330"/>
      <c r="G1265" s="330"/>
      <c r="H1265" s="330"/>
      <c r="I1265" s="327"/>
      <c r="J1265" s="330"/>
      <c r="K1265" s="330"/>
      <c r="L1265" s="330"/>
      <c r="M1265" s="330"/>
      <c r="N1265" s="330"/>
      <c r="O1265" s="330"/>
      <c r="P1265" s="330"/>
      <c r="Q1265" s="330"/>
      <c r="R1265" s="330"/>
      <c r="S1265" s="330"/>
      <c r="T1265" s="330"/>
      <c r="U1265" s="338"/>
      <c r="V1265" s="330"/>
      <c r="W1265" s="330"/>
      <c r="X1265" s="330"/>
      <c r="Y1265" s="330"/>
      <c r="Z1265" s="330"/>
    </row>
    <row r="1266" spans="1:26" ht="12.5">
      <c r="A1266" s="330"/>
      <c r="B1266" s="330"/>
      <c r="C1266" s="330"/>
      <c r="D1266" s="330"/>
      <c r="E1266" s="330"/>
      <c r="F1266" s="330"/>
      <c r="G1266" s="330"/>
      <c r="H1266" s="330"/>
      <c r="I1266" s="327"/>
      <c r="J1266" s="330"/>
      <c r="K1266" s="330"/>
      <c r="L1266" s="330"/>
      <c r="M1266" s="330"/>
      <c r="N1266" s="330"/>
      <c r="O1266" s="330"/>
      <c r="P1266" s="330"/>
      <c r="Q1266" s="330"/>
      <c r="R1266" s="330"/>
      <c r="S1266" s="330"/>
      <c r="T1266" s="330"/>
      <c r="U1266" s="338"/>
      <c r="V1266" s="330"/>
      <c r="W1266" s="330"/>
      <c r="X1266" s="330"/>
      <c r="Y1266" s="330"/>
      <c r="Z1266" s="330"/>
    </row>
    <row r="1267" spans="1:26" ht="12.5">
      <c r="A1267" s="330"/>
      <c r="B1267" s="330"/>
      <c r="C1267" s="330"/>
      <c r="D1267" s="330"/>
      <c r="E1267" s="330"/>
      <c r="F1267" s="330"/>
      <c r="G1267" s="330"/>
      <c r="H1267" s="330"/>
      <c r="I1267" s="327"/>
      <c r="J1267" s="330"/>
      <c r="K1267" s="330"/>
      <c r="L1267" s="330"/>
      <c r="M1267" s="330"/>
      <c r="N1267" s="330"/>
      <c r="O1267" s="330"/>
      <c r="P1267" s="330"/>
      <c r="Q1267" s="330"/>
      <c r="R1267" s="330"/>
      <c r="S1267" s="330"/>
      <c r="T1267" s="330"/>
      <c r="U1267" s="338"/>
      <c r="V1267" s="330"/>
      <c r="W1267" s="330"/>
      <c r="X1267" s="330"/>
      <c r="Y1267" s="330"/>
      <c r="Z1267" s="330"/>
    </row>
    <row r="1268" spans="1:26" ht="12.5">
      <c r="A1268" s="330"/>
      <c r="B1268" s="330"/>
      <c r="C1268" s="330"/>
      <c r="D1268" s="330"/>
      <c r="E1268" s="330"/>
      <c r="F1268" s="330"/>
      <c r="G1268" s="330"/>
      <c r="H1268" s="330"/>
      <c r="I1268" s="327"/>
      <c r="J1268" s="330"/>
      <c r="K1268" s="330"/>
      <c r="L1268" s="330"/>
      <c r="M1268" s="330"/>
      <c r="N1268" s="330"/>
      <c r="O1268" s="330"/>
      <c r="P1268" s="330"/>
      <c r="Q1268" s="330"/>
      <c r="R1268" s="330"/>
      <c r="S1268" s="330"/>
      <c r="T1268" s="330"/>
      <c r="U1268" s="338"/>
      <c r="V1268" s="330"/>
      <c r="W1268" s="330"/>
      <c r="X1268" s="330"/>
      <c r="Y1268" s="330"/>
      <c r="Z1268" s="330"/>
    </row>
    <row r="1269" spans="1:26" ht="12.5">
      <c r="A1269" s="330"/>
      <c r="B1269" s="330"/>
      <c r="C1269" s="330"/>
      <c r="D1269" s="330"/>
      <c r="E1269" s="330"/>
      <c r="F1269" s="330"/>
      <c r="G1269" s="330"/>
      <c r="H1269" s="330"/>
      <c r="I1269" s="327"/>
      <c r="J1269" s="330"/>
      <c r="K1269" s="330"/>
      <c r="L1269" s="330"/>
      <c r="M1269" s="330"/>
      <c r="N1269" s="330"/>
      <c r="O1269" s="330"/>
      <c r="P1269" s="330"/>
      <c r="Q1269" s="330"/>
      <c r="R1269" s="330"/>
      <c r="S1269" s="330"/>
      <c r="T1269" s="330"/>
      <c r="U1269" s="338"/>
      <c r="V1269" s="330"/>
      <c r="W1269" s="330"/>
      <c r="X1269" s="330"/>
      <c r="Y1269" s="330"/>
      <c r="Z1269" s="330"/>
    </row>
    <row r="1270" spans="1:26" ht="12.5">
      <c r="A1270" s="330"/>
      <c r="B1270" s="330"/>
      <c r="C1270" s="330"/>
      <c r="D1270" s="330"/>
      <c r="E1270" s="330"/>
      <c r="F1270" s="330"/>
      <c r="G1270" s="330"/>
      <c r="H1270" s="330"/>
      <c r="I1270" s="327"/>
      <c r="J1270" s="330"/>
      <c r="K1270" s="330"/>
      <c r="L1270" s="330"/>
      <c r="M1270" s="330"/>
      <c r="N1270" s="330"/>
      <c r="O1270" s="330"/>
      <c r="P1270" s="330"/>
      <c r="Q1270" s="330"/>
      <c r="R1270" s="330"/>
      <c r="S1270" s="330"/>
      <c r="T1270" s="330"/>
      <c r="U1270" s="338"/>
      <c r="V1270" s="330"/>
      <c r="W1270" s="330"/>
      <c r="X1270" s="330"/>
      <c r="Y1270" s="330"/>
      <c r="Z1270" s="330"/>
    </row>
    <row r="1271" spans="1:26" ht="12.5">
      <c r="A1271" s="330"/>
      <c r="B1271" s="330"/>
      <c r="C1271" s="330"/>
      <c r="D1271" s="330"/>
      <c r="E1271" s="330"/>
      <c r="F1271" s="330"/>
      <c r="G1271" s="330"/>
      <c r="H1271" s="330"/>
      <c r="I1271" s="327"/>
      <c r="J1271" s="330"/>
      <c r="K1271" s="330"/>
      <c r="L1271" s="330"/>
      <c r="M1271" s="330"/>
      <c r="N1271" s="330"/>
      <c r="O1271" s="330"/>
      <c r="P1271" s="330"/>
      <c r="Q1271" s="330"/>
      <c r="R1271" s="330"/>
      <c r="S1271" s="330"/>
      <c r="T1271" s="330"/>
      <c r="U1271" s="338"/>
      <c r="V1271" s="330"/>
      <c r="W1271" s="330"/>
      <c r="X1271" s="330"/>
      <c r="Y1271" s="330"/>
      <c r="Z1271" s="330"/>
    </row>
    <row r="1272" spans="1:26" ht="12.5">
      <c r="A1272" s="330"/>
      <c r="B1272" s="330"/>
      <c r="C1272" s="330"/>
      <c r="D1272" s="330"/>
      <c r="E1272" s="330"/>
      <c r="F1272" s="330"/>
      <c r="G1272" s="330"/>
      <c r="H1272" s="330"/>
      <c r="I1272" s="327"/>
      <c r="J1272" s="330"/>
      <c r="K1272" s="330"/>
      <c r="L1272" s="330"/>
      <c r="M1272" s="330"/>
      <c r="N1272" s="330"/>
      <c r="O1272" s="330"/>
      <c r="P1272" s="330"/>
      <c r="Q1272" s="330"/>
      <c r="R1272" s="330"/>
      <c r="S1272" s="330"/>
      <c r="T1272" s="330"/>
      <c r="U1272" s="338"/>
      <c r="V1272" s="330"/>
      <c r="W1272" s="330"/>
      <c r="X1272" s="330"/>
      <c r="Y1272" s="330"/>
      <c r="Z1272" s="330"/>
    </row>
    <row r="1273" spans="1:26" ht="12.5">
      <c r="A1273" s="330"/>
      <c r="B1273" s="330"/>
      <c r="C1273" s="330"/>
      <c r="D1273" s="330"/>
      <c r="E1273" s="330"/>
      <c r="F1273" s="330"/>
      <c r="G1273" s="330"/>
      <c r="H1273" s="330"/>
      <c r="I1273" s="327"/>
      <c r="J1273" s="330"/>
      <c r="K1273" s="330"/>
      <c r="L1273" s="330"/>
      <c r="M1273" s="330"/>
      <c r="N1273" s="330"/>
      <c r="O1273" s="330"/>
      <c r="P1273" s="330"/>
      <c r="Q1273" s="330"/>
      <c r="R1273" s="330"/>
      <c r="S1273" s="330"/>
      <c r="T1273" s="330"/>
      <c r="U1273" s="338"/>
      <c r="V1273" s="330"/>
      <c r="W1273" s="330"/>
      <c r="X1273" s="330"/>
      <c r="Y1273" s="330"/>
      <c r="Z1273" s="330"/>
    </row>
    <row r="1274" spans="1:26" ht="12.5">
      <c r="A1274" s="330"/>
      <c r="B1274" s="330"/>
      <c r="C1274" s="330"/>
      <c r="D1274" s="330"/>
      <c r="E1274" s="330"/>
      <c r="F1274" s="330"/>
      <c r="G1274" s="330"/>
      <c r="H1274" s="330"/>
      <c r="I1274" s="327"/>
      <c r="J1274" s="330"/>
      <c r="K1274" s="330"/>
      <c r="L1274" s="330"/>
      <c r="M1274" s="330"/>
      <c r="N1274" s="330"/>
      <c r="O1274" s="330"/>
      <c r="P1274" s="330"/>
      <c r="Q1274" s="330"/>
      <c r="R1274" s="330"/>
      <c r="S1274" s="330"/>
      <c r="T1274" s="330"/>
      <c r="U1274" s="338"/>
      <c r="V1274" s="330"/>
      <c r="W1274" s="330"/>
      <c r="X1274" s="330"/>
      <c r="Y1274" s="330"/>
      <c r="Z1274" s="330"/>
    </row>
    <row r="1275" spans="1:26" ht="12.5">
      <c r="A1275" s="330"/>
      <c r="B1275" s="330"/>
      <c r="C1275" s="330"/>
      <c r="D1275" s="330"/>
      <c r="E1275" s="330"/>
      <c r="F1275" s="330"/>
      <c r="G1275" s="330"/>
      <c r="H1275" s="330"/>
      <c r="I1275" s="327"/>
      <c r="J1275" s="330"/>
      <c r="K1275" s="330"/>
      <c r="L1275" s="330"/>
      <c r="M1275" s="330"/>
      <c r="N1275" s="330"/>
      <c r="O1275" s="330"/>
      <c r="P1275" s="330"/>
      <c r="Q1275" s="330"/>
      <c r="R1275" s="330"/>
      <c r="S1275" s="330"/>
      <c r="T1275" s="330"/>
      <c r="U1275" s="338"/>
      <c r="V1275" s="330"/>
      <c r="W1275" s="330"/>
      <c r="X1275" s="330"/>
      <c r="Y1275" s="330"/>
      <c r="Z1275" s="330"/>
    </row>
    <row r="1276" spans="1:26" ht="12.5">
      <c r="A1276" s="330"/>
      <c r="B1276" s="330"/>
      <c r="C1276" s="330"/>
      <c r="D1276" s="330"/>
      <c r="E1276" s="330"/>
      <c r="F1276" s="330"/>
      <c r="G1276" s="330"/>
      <c r="H1276" s="330"/>
      <c r="I1276" s="327"/>
      <c r="J1276" s="330"/>
      <c r="K1276" s="330"/>
      <c r="L1276" s="330"/>
      <c r="M1276" s="330"/>
      <c r="N1276" s="330"/>
      <c r="O1276" s="330"/>
      <c r="P1276" s="330"/>
      <c r="Q1276" s="330"/>
      <c r="R1276" s="330"/>
      <c r="S1276" s="330"/>
      <c r="T1276" s="330"/>
      <c r="U1276" s="338"/>
      <c r="V1276" s="330"/>
      <c r="W1276" s="330"/>
      <c r="X1276" s="330"/>
      <c r="Y1276" s="330"/>
      <c r="Z1276" s="330"/>
    </row>
    <row r="1277" spans="1:26" ht="12.5">
      <c r="A1277" s="330"/>
      <c r="B1277" s="330"/>
      <c r="C1277" s="330"/>
      <c r="D1277" s="330"/>
      <c r="E1277" s="330"/>
      <c r="F1277" s="330"/>
      <c r="G1277" s="330"/>
      <c r="H1277" s="330"/>
      <c r="I1277" s="327"/>
      <c r="J1277" s="330"/>
      <c r="K1277" s="330"/>
      <c r="L1277" s="330"/>
      <c r="M1277" s="330"/>
      <c r="N1277" s="330"/>
      <c r="O1277" s="330"/>
      <c r="P1277" s="330"/>
      <c r="Q1277" s="330"/>
      <c r="R1277" s="330"/>
      <c r="S1277" s="330"/>
      <c r="T1277" s="330"/>
      <c r="U1277" s="338"/>
      <c r="V1277" s="330"/>
      <c r="W1277" s="330"/>
      <c r="X1277" s="330"/>
      <c r="Y1277" s="330"/>
      <c r="Z1277" s="330"/>
    </row>
    <row r="1278" spans="1:26" ht="12.5">
      <c r="A1278" s="330"/>
      <c r="B1278" s="330"/>
      <c r="C1278" s="330"/>
      <c r="D1278" s="330"/>
      <c r="E1278" s="330"/>
      <c r="F1278" s="330"/>
      <c r="G1278" s="330"/>
      <c r="H1278" s="330"/>
      <c r="I1278" s="327"/>
      <c r="J1278" s="330"/>
      <c r="K1278" s="330"/>
      <c r="L1278" s="330"/>
      <c r="M1278" s="330"/>
      <c r="N1278" s="330"/>
      <c r="O1278" s="330"/>
      <c r="P1278" s="330"/>
      <c r="Q1278" s="330"/>
      <c r="R1278" s="330"/>
      <c r="S1278" s="330"/>
      <c r="T1278" s="330"/>
      <c r="U1278" s="338"/>
      <c r="V1278" s="330"/>
      <c r="W1278" s="330"/>
      <c r="X1278" s="330"/>
      <c r="Y1278" s="330"/>
      <c r="Z1278" s="330"/>
    </row>
    <row r="1279" spans="1:26" ht="12.5">
      <c r="A1279" s="330"/>
      <c r="B1279" s="330"/>
      <c r="C1279" s="330"/>
      <c r="D1279" s="330"/>
      <c r="E1279" s="330"/>
      <c r="F1279" s="330"/>
      <c r="G1279" s="330"/>
      <c r="H1279" s="330"/>
      <c r="I1279" s="327"/>
      <c r="J1279" s="330"/>
      <c r="K1279" s="330"/>
      <c r="L1279" s="330"/>
      <c r="M1279" s="330"/>
      <c r="N1279" s="330"/>
      <c r="O1279" s="330"/>
      <c r="P1279" s="330"/>
      <c r="Q1279" s="330"/>
      <c r="R1279" s="330"/>
      <c r="S1279" s="330"/>
      <c r="T1279" s="330"/>
      <c r="U1279" s="338"/>
      <c r="V1279" s="330"/>
      <c r="W1279" s="330"/>
      <c r="X1279" s="330"/>
      <c r="Y1279" s="330"/>
      <c r="Z1279" s="330"/>
    </row>
    <row r="1280" spans="1:26" ht="12.5">
      <c r="A1280" s="330"/>
      <c r="B1280" s="330"/>
      <c r="C1280" s="330"/>
      <c r="D1280" s="330"/>
      <c r="E1280" s="330"/>
      <c r="F1280" s="330"/>
      <c r="G1280" s="330"/>
      <c r="H1280" s="330"/>
      <c r="I1280" s="327"/>
      <c r="J1280" s="330"/>
      <c r="K1280" s="330"/>
      <c r="L1280" s="330"/>
      <c r="M1280" s="330"/>
      <c r="N1280" s="330"/>
      <c r="O1280" s="330"/>
      <c r="P1280" s="330"/>
      <c r="Q1280" s="330"/>
      <c r="R1280" s="330"/>
      <c r="S1280" s="330"/>
      <c r="T1280" s="330"/>
      <c r="U1280" s="338"/>
      <c r="V1280" s="330"/>
      <c r="W1280" s="330"/>
      <c r="X1280" s="330"/>
      <c r="Y1280" s="330"/>
      <c r="Z1280" s="330"/>
    </row>
    <row r="1281" spans="1:26" ht="12.5">
      <c r="A1281" s="330"/>
      <c r="B1281" s="330"/>
      <c r="C1281" s="330"/>
      <c r="D1281" s="330"/>
      <c r="E1281" s="330"/>
      <c r="F1281" s="330"/>
      <c r="G1281" s="330"/>
      <c r="H1281" s="330"/>
      <c r="I1281" s="327"/>
      <c r="J1281" s="330"/>
      <c r="K1281" s="330"/>
      <c r="L1281" s="330"/>
      <c r="M1281" s="330"/>
      <c r="N1281" s="330"/>
      <c r="O1281" s="330"/>
      <c r="P1281" s="330"/>
      <c r="Q1281" s="330"/>
      <c r="R1281" s="330"/>
      <c r="S1281" s="330"/>
      <c r="T1281" s="330"/>
      <c r="U1281" s="338"/>
      <c r="V1281" s="330"/>
      <c r="W1281" s="330"/>
      <c r="X1281" s="330"/>
      <c r="Y1281" s="330"/>
      <c r="Z1281" s="330"/>
    </row>
    <row r="1282" spans="1:26" ht="12.5">
      <c r="A1282" s="330"/>
      <c r="B1282" s="330"/>
      <c r="C1282" s="330"/>
      <c r="D1282" s="330"/>
      <c r="E1282" s="330"/>
      <c r="F1282" s="330"/>
      <c r="G1282" s="330"/>
      <c r="H1282" s="330"/>
      <c r="I1282" s="327"/>
      <c r="J1282" s="330"/>
      <c r="K1282" s="330"/>
      <c r="L1282" s="330"/>
      <c r="M1282" s="330"/>
      <c r="N1282" s="330"/>
      <c r="O1282" s="330"/>
      <c r="P1282" s="330"/>
      <c r="Q1282" s="330"/>
      <c r="R1282" s="330"/>
      <c r="S1282" s="330"/>
      <c r="T1282" s="330"/>
      <c r="U1282" s="338"/>
      <c r="V1282" s="330"/>
      <c r="W1282" s="330"/>
      <c r="X1282" s="330"/>
      <c r="Y1282" s="330"/>
      <c r="Z1282" s="330"/>
    </row>
    <row r="1283" spans="1:26" ht="12.5">
      <c r="A1283" s="330"/>
      <c r="B1283" s="330"/>
      <c r="C1283" s="330"/>
      <c r="D1283" s="330"/>
      <c r="E1283" s="330"/>
      <c r="F1283" s="330"/>
      <c r="G1283" s="330"/>
      <c r="H1283" s="330"/>
      <c r="I1283" s="327"/>
      <c r="J1283" s="330"/>
      <c r="K1283" s="330"/>
      <c r="L1283" s="330"/>
      <c r="M1283" s="330"/>
      <c r="N1283" s="330"/>
      <c r="O1283" s="330"/>
      <c r="P1283" s="330"/>
      <c r="Q1283" s="330"/>
      <c r="R1283" s="330"/>
      <c r="S1283" s="330"/>
      <c r="T1283" s="330"/>
      <c r="U1283" s="338"/>
      <c r="V1283" s="330"/>
      <c r="W1283" s="330"/>
      <c r="X1283" s="330"/>
      <c r="Y1283" s="330"/>
      <c r="Z1283" s="330"/>
    </row>
    <row r="1284" spans="1:26" ht="12.5">
      <c r="A1284" s="330"/>
      <c r="B1284" s="330"/>
      <c r="C1284" s="330"/>
      <c r="D1284" s="330"/>
      <c r="E1284" s="330"/>
      <c r="F1284" s="330"/>
      <c r="G1284" s="330"/>
      <c r="H1284" s="330"/>
      <c r="I1284" s="327"/>
      <c r="J1284" s="330"/>
      <c r="K1284" s="330"/>
      <c r="L1284" s="330"/>
      <c r="M1284" s="330"/>
      <c r="N1284" s="330"/>
      <c r="O1284" s="330"/>
      <c r="P1284" s="330"/>
      <c r="Q1284" s="330"/>
      <c r="R1284" s="330"/>
      <c r="S1284" s="330"/>
      <c r="T1284" s="330"/>
      <c r="U1284" s="338"/>
      <c r="V1284" s="330"/>
      <c r="W1284" s="330"/>
      <c r="X1284" s="330"/>
      <c r="Y1284" s="330"/>
      <c r="Z1284" s="330"/>
    </row>
    <row r="1285" spans="1:26" ht="12.5">
      <c r="A1285" s="330"/>
      <c r="B1285" s="330"/>
      <c r="C1285" s="330"/>
      <c r="D1285" s="330"/>
      <c r="E1285" s="330"/>
      <c r="F1285" s="330"/>
      <c r="G1285" s="330"/>
      <c r="H1285" s="330"/>
      <c r="I1285" s="327"/>
      <c r="J1285" s="330"/>
      <c r="K1285" s="330"/>
      <c r="L1285" s="330"/>
      <c r="M1285" s="330"/>
      <c r="N1285" s="330"/>
      <c r="O1285" s="330"/>
      <c r="P1285" s="330"/>
      <c r="Q1285" s="330"/>
      <c r="R1285" s="330"/>
      <c r="S1285" s="330"/>
      <c r="T1285" s="330"/>
      <c r="U1285" s="338"/>
      <c r="V1285" s="330"/>
      <c r="W1285" s="330"/>
      <c r="X1285" s="330"/>
      <c r="Y1285" s="330"/>
      <c r="Z1285" s="330"/>
    </row>
    <row r="1286" spans="1:26" ht="12.5">
      <c r="A1286" s="330"/>
      <c r="B1286" s="330"/>
      <c r="C1286" s="330"/>
      <c r="D1286" s="330"/>
      <c r="E1286" s="330"/>
      <c r="F1286" s="330"/>
      <c r="G1286" s="330"/>
      <c r="H1286" s="330"/>
      <c r="I1286" s="327"/>
      <c r="J1286" s="330"/>
      <c r="K1286" s="330"/>
      <c r="L1286" s="330"/>
      <c r="M1286" s="330"/>
      <c r="N1286" s="330"/>
      <c r="O1286" s="330"/>
      <c r="P1286" s="330"/>
      <c r="Q1286" s="330"/>
      <c r="R1286" s="330"/>
      <c r="S1286" s="330"/>
      <c r="T1286" s="330"/>
      <c r="U1286" s="338"/>
      <c r="V1286" s="330"/>
      <c r="W1286" s="330"/>
      <c r="X1286" s="330"/>
      <c r="Y1286" s="330"/>
      <c r="Z1286" s="330"/>
    </row>
    <row r="1287" spans="1:26" ht="12.5">
      <c r="A1287" s="330"/>
      <c r="B1287" s="330"/>
      <c r="C1287" s="330"/>
      <c r="D1287" s="330"/>
      <c r="E1287" s="330"/>
      <c r="F1287" s="330"/>
      <c r="G1287" s="330"/>
      <c r="H1287" s="330"/>
      <c r="I1287" s="327"/>
      <c r="J1287" s="330"/>
      <c r="K1287" s="330"/>
      <c r="L1287" s="330"/>
      <c r="M1287" s="330"/>
      <c r="N1287" s="330"/>
      <c r="O1287" s="330"/>
      <c r="P1287" s="330"/>
      <c r="Q1287" s="330"/>
      <c r="R1287" s="330"/>
      <c r="S1287" s="330"/>
      <c r="T1287" s="330"/>
      <c r="U1287" s="338"/>
      <c r="V1287" s="330"/>
      <c r="W1287" s="330"/>
      <c r="X1287" s="330"/>
      <c r="Y1287" s="330"/>
      <c r="Z1287" s="330"/>
    </row>
    <row r="1288" spans="1:26" ht="12.5">
      <c r="A1288" s="330"/>
      <c r="B1288" s="330"/>
      <c r="C1288" s="330"/>
      <c r="D1288" s="330"/>
      <c r="E1288" s="330"/>
      <c r="F1288" s="330"/>
      <c r="G1288" s="330"/>
      <c r="H1288" s="330"/>
      <c r="I1288" s="327"/>
      <c r="J1288" s="330"/>
      <c r="K1288" s="330"/>
      <c r="L1288" s="330"/>
      <c r="M1288" s="330"/>
      <c r="N1288" s="330"/>
      <c r="O1288" s="330"/>
      <c r="P1288" s="330"/>
      <c r="Q1288" s="330"/>
      <c r="R1288" s="330"/>
      <c r="S1288" s="330"/>
      <c r="T1288" s="330"/>
      <c r="U1288" s="338"/>
      <c r="V1288" s="330"/>
      <c r="W1288" s="330"/>
      <c r="X1288" s="330"/>
      <c r="Y1288" s="330"/>
      <c r="Z1288" s="330"/>
    </row>
    <row r="1289" spans="1:26" ht="12.5">
      <c r="A1289" s="330"/>
      <c r="B1289" s="330"/>
      <c r="C1289" s="330"/>
      <c r="D1289" s="330"/>
      <c r="E1289" s="330"/>
      <c r="F1289" s="330"/>
      <c r="G1289" s="330"/>
      <c r="H1289" s="330"/>
      <c r="I1289" s="327"/>
      <c r="J1289" s="330"/>
      <c r="K1289" s="330"/>
      <c r="L1289" s="330"/>
      <c r="M1289" s="330"/>
      <c r="N1289" s="330"/>
      <c r="O1289" s="330"/>
      <c r="P1289" s="330"/>
      <c r="Q1289" s="330"/>
      <c r="R1289" s="330"/>
      <c r="S1289" s="330"/>
      <c r="T1289" s="330"/>
      <c r="U1289" s="338"/>
      <c r="V1289" s="330"/>
      <c r="W1289" s="330"/>
      <c r="X1289" s="330"/>
      <c r="Y1289" s="330"/>
      <c r="Z1289" s="330"/>
    </row>
    <row r="1290" spans="1:26" ht="12.5">
      <c r="A1290" s="330"/>
      <c r="B1290" s="330"/>
      <c r="C1290" s="330"/>
      <c r="D1290" s="330"/>
      <c r="E1290" s="330"/>
      <c r="F1290" s="330"/>
      <c r="G1290" s="330"/>
      <c r="H1290" s="330"/>
      <c r="I1290" s="327"/>
      <c r="J1290" s="330"/>
      <c r="K1290" s="330"/>
      <c r="L1290" s="330"/>
      <c r="M1290" s="330"/>
      <c r="N1290" s="330"/>
      <c r="O1290" s="330"/>
      <c r="P1290" s="330"/>
      <c r="Q1290" s="330"/>
      <c r="R1290" s="330"/>
      <c r="S1290" s="330"/>
      <c r="T1290" s="330"/>
      <c r="U1290" s="338"/>
      <c r="V1290" s="330"/>
      <c r="W1290" s="330"/>
      <c r="X1290" s="330"/>
      <c r="Y1290" s="330"/>
      <c r="Z1290" s="330"/>
    </row>
    <row r="1291" spans="1:26" ht="12.5">
      <c r="A1291" s="330"/>
      <c r="B1291" s="330"/>
      <c r="C1291" s="330"/>
      <c r="D1291" s="330"/>
      <c r="E1291" s="330"/>
      <c r="F1291" s="330"/>
      <c r="G1291" s="330"/>
      <c r="H1291" s="330"/>
      <c r="I1291" s="327"/>
      <c r="J1291" s="330"/>
      <c r="K1291" s="330"/>
      <c r="L1291" s="330"/>
      <c r="M1291" s="330"/>
      <c r="N1291" s="330"/>
      <c r="O1291" s="330"/>
      <c r="P1291" s="330"/>
      <c r="Q1291" s="330"/>
      <c r="R1291" s="330"/>
      <c r="S1291" s="330"/>
      <c r="T1291" s="330"/>
      <c r="U1291" s="338"/>
      <c r="V1291" s="330"/>
      <c r="W1291" s="330"/>
      <c r="X1291" s="330"/>
      <c r="Y1291" s="330"/>
      <c r="Z1291" s="330"/>
    </row>
    <row r="1292" spans="1:26" ht="12.5">
      <c r="A1292" s="330"/>
      <c r="B1292" s="330"/>
      <c r="C1292" s="330"/>
      <c r="D1292" s="330"/>
      <c r="E1292" s="330"/>
      <c r="F1292" s="330"/>
      <c r="G1292" s="330"/>
      <c r="H1292" s="330"/>
      <c r="I1292" s="327"/>
      <c r="J1292" s="330"/>
      <c r="K1292" s="330"/>
      <c r="L1292" s="330"/>
      <c r="M1292" s="330"/>
      <c r="N1292" s="330"/>
      <c r="O1292" s="330"/>
      <c r="P1292" s="330"/>
      <c r="Q1292" s="330"/>
      <c r="R1292" s="330"/>
      <c r="S1292" s="330"/>
      <c r="T1292" s="330"/>
      <c r="U1292" s="338"/>
      <c r="V1292" s="330"/>
      <c r="W1292" s="330"/>
      <c r="X1292" s="330"/>
      <c r="Y1292" s="330"/>
      <c r="Z1292" s="330"/>
    </row>
    <row r="1293" spans="1:26" ht="12.5">
      <c r="A1293" s="330"/>
      <c r="B1293" s="330"/>
      <c r="C1293" s="330"/>
      <c r="D1293" s="330"/>
      <c r="E1293" s="330"/>
      <c r="F1293" s="330"/>
      <c r="G1293" s="330"/>
      <c r="H1293" s="330"/>
      <c r="I1293" s="327"/>
      <c r="J1293" s="330"/>
      <c r="K1293" s="330"/>
      <c r="L1293" s="330"/>
      <c r="M1293" s="330"/>
      <c r="N1293" s="330"/>
      <c r="O1293" s="330"/>
      <c r="P1293" s="330"/>
      <c r="Q1293" s="330"/>
      <c r="R1293" s="330"/>
      <c r="S1293" s="330"/>
      <c r="T1293" s="330"/>
      <c r="U1293" s="338"/>
      <c r="V1293" s="330"/>
      <c r="W1293" s="330"/>
      <c r="X1293" s="330"/>
      <c r="Y1293" s="330"/>
      <c r="Z1293" s="330"/>
    </row>
    <row r="1294" spans="1:26" ht="12.5">
      <c r="A1294" s="330"/>
      <c r="B1294" s="330"/>
      <c r="C1294" s="330"/>
      <c r="D1294" s="330"/>
      <c r="E1294" s="330"/>
      <c r="F1294" s="330"/>
      <c r="G1294" s="330"/>
      <c r="H1294" s="330"/>
      <c r="I1294" s="327"/>
      <c r="J1294" s="330"/>
      <c r="K1294" s="330"/>
      <c r="L1294" s="330"/>
      <c r="M1294" s="330"/>
      <c r="N1294" s="330"/>
      <c r="O1294" s="330"/>
      <c r="P1294" s="330"/>
      <c r="Q1294" s="330"/>
      <c r="R1294" s="330"/>
      <c r="S1294" s="330"/>
      <c r="T1294" s="330"/>
      <c r="U1294" s="338"/>
      <c r="V1294" s="330"/>
      <c r="W1294" s="330"/>
      <c r="X1294" s="330"/>
      <c r="Y1294" s="330"/>
      <c r="Z1294" s="330"/>
    </row>
    <row r="1295" spans="1:26" ht="12.5">
      <c r="A1295" s="330"/>
      <c r="B1295" s="330"/>
      <c r="C1295" s="330"/>
      <c r="D1295" s="330"/>
      <c r="E1295" s="330"/>
      <c r="F1295" s="330"/>
      <c r="G1295" s="330"/>
      <c r="H1295" s="330"/>
      <c r="I1295" s="327"/>
      <c r="J1295" s="330"/>
      <c r="K1295" s="330"/>
      <c r="L1295" s="330"/>
      <c r="M1295" s="330"/>
      <c r="N1295" s="330"/>
      <c r="O1295" s="330"/>
      <c r="P1295" s="330"/>
      <c r="Q1295" s="330"/>
      <c r="R1295" s="330"/>
      <c r="S1295" s="330"/>
      <c r="T1295" s="330"/>
      <c r="U1295" s="338"/>
      <c r="V1295" s="330"/>
      <c r="W1295" s="330"/>
      <c r="X1295" s="330"/>
      <c r="Y1295" s="330"/>
      <c r="Z1295" s="330"/>
    </row>
    <row r="1296" spans="1:26" ht="12.5">
      <c r="A1296" s="330"/>
      <c r="B1296" s="330"/>
      <c r="C1296" s="330"/>
      <c r="D1296" s="330"/>
      <c r="E1296" s="330"/>
      <c r="F1296" s="330"/>
      <c r="G1296" s="330"/>
      <c r="H1296" s="330"/>
      <c r="I1296" s="327"/>
      <c r="J1296" s="330"/>
      <c r="K1296" s="330"/>
      <c r="L1296" s="330"/>
      <c r="M1296" s="330"/>
      <c r="N1296" s="330"/>
      <c r="O1296" s="330"/>
      <c r="P1296" s="330"/>
      <c r="Q1296" s="330"/>
      <c r="R1296" s="330"/>
      <c r="S1296" s="330"/>
      <c r="T1296" s="330"/>
      <c r="U1296" s="338"/>
      <c r="V1296" s="330"/>
      <c r="W1296" s="330"/>
      <c r="X1296" s="330"/>
      <c r="Y1296" s="330"/>
      <c r="Z1296" s="330"/>
    </row>
    <row r="1297" spans="1:26" ht="12.5">
      <c r="A1297" s="330"/>
      <c r="B1297" s="330"/>
      <c r="C1297" s="330"/>
      <c r="D1297" s="330"/>
      <c r="E1297" s="330"/>
      <c r="F1297" s="330"/>
      <c r="G1297" s="330"/>
      <c r="H1297" s="330"/>
      <c r="I1297" s="327"/>
      <c r="J1297" s="330"/>
      <c r="K1297" s="330"/>
      <c r="L1297" s="330"/>
      <c r="M1297" s="330"/>
      <c r="N1297" s="330"/>
      <c r="O1297" s="330"/>
      <c r="P1297" s="330"/>
      <c r="Q1297" s="330"/>
      <c r="R1297" s="330"/>
      <c r="S1297" s="330"/>
      <c r="T1297" s="330"/>
      <c r="U1297" s="338"/>
      <c r="V1297" s="330"/>
      <c r="W1297" s="330"/>
      <c r="X1297" s="330"/>
      <c r="Y1297" s="330"/>
      <c r="Z1297" s="330"/>
    </row>
  </sheetData>
  <autoFilter ref="A7:U656">
    <filterColumn colId="17">
      <filters>
        <filter val="LAM"/>
        <filter val="QUAN"/>
        <filter val="Than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45"/>
  <sheetViews>
    <sheetView workbookViewId="0"/>
  </sheetViews>
  <sheetFormatPr defaultColWidth="12.6328125" defaultRowHeight="15" customHeight="1"/>
  <cols>
    <col min="1" max="1" width="24.08984375" customWidth="1"/>
    <col min="2" max="2" width="22" customWidth="1"/>
  </cols>
  <sheetData>
    <row r="1" spans="1:3" ht="15" customHeight="1">
      <c r="A1" s="108" t="str">
        <f ca="1">IFERROR(__xludf.DUMMYFUNCTION("IMPORTRANGE(""[https://docs.google.com/spreadsheets/d/187-YYbipN2LNDJnripWi4_Nwdk9k3RiVvHiNha54jYw](https://docs.google.com/spreadsheets/d/187-YYbipN2LNDJnripWi4_Nwdk9k3RiVvHiNha54jYw)"", ""Câu trả lời biểu mẫu 1!A:C"")"),"#REF!")</f>
        <v>#REF!</v>
      </c>
      <c r="B1" s="108"/>
      <c r="C1" s="108"/>
    </row>
    <row r="2" spans="1:3" ht="15" customHeight="1">
      <c r="A2" s="108"/>
      <c r="B2" s="108"/>
      <c r="C2" s="108"/>
    </row>
    <row r="3" spans="1:3" ht="15" customHeight="1">
      <c r="A3" s="108"/>
      <c r="B3" s="108"/>
      <c r="C3" s="108"/>
    </row>
    <row r="4" spans="1:3" ht="15" customHeight="1">
      <c r="A4" s="108"/>
      <c r="B4" s="108"/>
      <c r="C4" s="108"/>
    </row>
    <row r="5" spans="1:3" ht="15" customHeight="1">
      <c r="A5" s="108"/>
      <c r="B5" s="108"/>
      <c r="C5" s="108"/>
    </row>
    <row r="6" spans="1:3" ht="15" customHeight="1">
      <c r="A6" s="108"/>
      <c r="B6" s="108"/>
      <c r="C6" s="108"/>
    </row>
    <row r="7" spans="1:3" ht="15" customHeight="1">
      <c r="A7" s="108"/>
      <c r="B7" s="108"/>
      <c r="C7" s="108"/>
    </row>
    <row r="8" spans="1:3" ht="15" customHeight="1">
      <c r="A8" s="108"/>
      <c r="B8" s="108"/>
      <c r="C8" s="108"/>
    </row>
    <row r="9" spans="1:3" ht="15" customHeight="1">
      <c r="A9" s="108"/>
      <c r="B9" s="108"/>
      <c r="C9" s="108"/>
    </row>
    <row r="10" spans="1:3" ht="15" customHeight="1">
      <c r="A10" s="108"/>
      <c r="B10" s="108"/>
      <c r="C10" s="108"/>
    </row>
    <row r="11" spans="1:3" ht="15" customHeight="1">
      <c r="A11" s="108"/>
      <c r="B11" s="108"/>
      <c r="C11" s="108"/>
    </row>
    <row r="12" spans="1:3" ht="15" customHeight="1">
      <c r="A12" s="108"/>
      <c r="B12" s="108"/>
      <c r="C12" s="108"/>
    </row>
    <row r="13" spans="1:3" ht="15" customHeight="1">
      <c r="A13" s="108"/>
      <c r="B13" s="108"/>
      <c r="C13" s="108"/>
    </row>
    <row r="14" spans="1:3" ht="15" customHeight="1">
      <c r="A14" s="108"/>
      <c r="B14" s="108"/>
      <c r="C14" s="108"/>
    </row>
    <row r="15" spans="1:3" ht="15" customHeight="1">
      <c r="A15" s="108"/>
      <c r="B15" s="108"/>
      <c r="C15" s="108"/>
    </row>
    <row r="16" spans="1:3" ht="15" customHeight="1">
      <c r="A16" s="108"/>
      <c r="B16" s="108"/>
      <c r="C16" s="108"/>
    </row>
    <row r="17" spans="1:5" ht="15" customHeight="1">
      <c r="A17" s="108"/>
      <c r="B17" s="108"/>
      <c r="C17" s="108"/>
    </row>
    <row r="18" spans="1:5" ht="15" customHeight="1">
      <c r="A18" s="108"/>
      <c r="B18" s="108"/>
      <c r="C18" s="108"/>
    </row>
    <row r="19" spans="1:5" ht="15" customHeight="1">
      <c r="A19" s="108"/>
      <c r="B19" s="108"/>
      <c r="C19" s="108"/>
    </row>
    <row r="20" spans="1:5" ht="15" customHeight="1">
      <c r="A20" s="108"/>
      <c r="B20" s="108"/>
      <c r="C20" s="108"/>
    </row>
    <row r="21" spans="1:5" ht="15" customHeight="1">
      <c r="A21" s="108"/>
      <c r="B21" s="108"/>
      <c r="C21" s="108"/>
    </row>
    <row r="22" spans="1:5" ht="15" customHeight="1">
      <c r="A22" s="108"/>
      <c r="B22" s="108"/>
      <c r="C22" s="108"/>
    </row>
    <row r="23" spans="1:5" ht="12.5">
      <c r="A23" s="108"/>
      <c r="B23" s="108"/>
      <c r="C23" s="108"/>
    </row>
    <row r="24" spans="1:5" ht="12.5">
      <c r="A24" s="108"/>
      <c r="B24" s="108"/>
      <c r="C24" s="108"/>
    </row>
    <row r="25" spans="1:5" ht="12.5">
      <c r="A25" s="108"/>
      <c r="B25" s="108"/>
      <c r="C25" s="108"/>
    </row>
    <row r="26" spans="1:5" ht="12.5">
      <c r="A26" s="108"/>
      <c r="B26" s="108"/>
      <c r="C26" s="108"/>
    </row>
    <row r="27" spans="1:5" ht="12.5">
      <c r="A27" s="108"/>
      <c r="B27" s="108"/>
      <c r="C27" s="108"/>
    </row>
    <row r="28" spans="1:5" ht="12.5">
      <c r="A28" s="108"/>
      <c r="B28" s="108"/>
      <c r="C28" s="108"/>
    </row>
    <row r="29" spans="1:5" ht="12.5">
      <c r="A29" s="391">
        <v>46119.727831493059</v>
      </c>
      <c r="B29" s="392">
        <v>70109110001</v>
      </c>
      <c r="C29" s="392" t="s">
        <v>3132</v>
      </c>
      <c r="D29" s="392" t="s">
        <v>5137</v>
      </c>
      <c r="E29" s="392" t="s">
        <v>4556</v>
      </c>
    </row>
    <row r="30" spans="1:5" ht="12.5">
      <c r="A30" s="391">
        <v>46119.738351597218</v>
      </c>
      <c r="B30" s="392">
        <v>302099902801001</v>
      </c>
      <c r="C30" s="392" t="s">
        <v>1670</v>
      </c>
      <c r="D30" s="392" t="s">
        <v>5138</v>
      </c>
      <c r="E30" s="392" t="s">
        <v>4556</v>
      </c>
    </row>
    <row r="31" spans="1:5" ht="12.5">
      <c r="A31" s="391">
        <v>46119.748609317132</v>
      </c>
      <c r="B31" s="392">
        <v>70109110001</v>
      </c>
      <c r="C31" s="392" t="s">
        <v>3132</v>
      </c>
      <c r="D31" s="392" t="s">
        <v>5139</v>
      </c>
      <c r="E31" s="392" t="s">
        <v>3262</v>
      </c>
    </row>
    <row r="32" spans="1:5" ht="12.5">
      <c r="A32" s="391">
        <v>46119.751255613424</v>
      </c>
      <c r="B32" s="392">
        <v>30411193004</v>
      </c>
      <c r="C32" s="392" t="s">
        <v>3047</v>
      </c>
      <c r="D32" s="392" t="s">
        <v>5140</v>
      </c>
      <c r="E32" s="392" t="s">
        <v>5141</v>
      </c>
    </row>
    <row r="33" spans="1:6" ht="12.5">
      <c r="A33" s="391">
        <v>46119.757098622686</v>
      </c>
      <c r="B33" s="392">
        <v>70109110001</v>
      </c>
      <c r="C33" s="392" t="s">
        <v>3132</v>
      </c>
      <c r="D33" s="392" t="s">
        <v>5142</v>
      </c>
      <c r="E33" s="392" t="s">
        <v>3262</v>
      </c>
    </row>
    <row r="34" spans="1:6" ht="12.5">
      <c r="A34" s="391">
        <v>46119.757755335653</v>
      </c>
      <c r="B34" s="392">
        <v>3020999002002</v>
      </c>
      <c r="C34" s="392" t="s">
        <v>1342</v>
      </c>
      <c r="D34" s="392" t="s">
        <v>5143</v>
      </c>
      <c r="E34" s="392" t="s">
        <v>5144</v>
      </c>
    </row>
    <row r="35" spans="1:6" ht="12.5">
      <c r="A35" s="391">
        <v>46119.762023958334</v>
      </c>
      <c r="B35" s="392" t="s">
        <v>516</v>
      </c>
      <c r="C35" s="392" t="s">
        <v>517</v>
      </c>
      <c r="D35" s="392" t="s">
        <v>5145</v>
      </c>
      <c r="E35" s="392" t="s">
        <v>1310</v>
      </c>
    </row>
    <row r="36" spans="1:6" ht="12.5">
      <c r="A36" s="391">
        <v>46119.818445694444</v>
      </c>
      <c r="B36" s="392">
        <v>3010101158002</v>
      </c>
      <c r="C36" s="392" t="s">
        <v>525</v>
      </c>
      <c r="D36" s="392" t="s">
        <v>5146</v>
      </c>
      <c r="E36" s="392" t="s">
        <v>5147</v>
      </c>
    </row>
    <row r="37" spans="1:6" ht="12.5">
      <c r="A37" s="391">
        <v>46119.849335150459</v>
      </c>
      <c r="B37" s="392" t="s">
        <v>528</v>
      </c>
      <c r="C37" s="392" t="s">
        <v>529</v>
      </c>
      <c r="D37" s="392" t="s">
        <v>5148</v>
      </c>
      <c r="E37" s="392" t="s">
        <v>4566</v>
      </c>
    </row>
    <row r="38" spans="1:6" ht="12.5">
      <c r="A38" s="391">
        <v>46120.9567441088</v>
      </c>
      <c r="B38" s="392">
        <v>3010101157003</v>
      </c>
      <c r="C38" s="392" t="s">
        <v>493</v>
      </c>
      <c r="D38" s="392" t="s">
        <v>5149</v>
      </c>
      <c r="E38" s="392" t="s">
        <v>5150</v>
      </c>
    </row>
    <row r="39" spans="1:6" ht="12.5">
      <c r="A39" s="391">
        <v>46120.961657581021</v>
      </c>
      <c r="B39" s="392">
        <v>3010101064002</v>
      </c>
      <c r="C39" s="392" t="s">
        <v>34</v>
      </c>
      <c r="D39" s="392" t="s">
        <v>5151</v>
      </c>
      <c r="E39" s="392" t="s">
        <v>4556</v>
      </c>
    </row>
    <row r="40" spans="1:6" ht="12.5">
      <c r="A40" s="391">
        <v>46120.965940983791</v>
      </c>
      <c r="B40" s="392">
        <v>3010101064002</v>
      </c>
      <c r="C40" s="392" t="s">
        <v>34</v>
      </c>
      <c r="D40" s="392" t="s">
        <v>5150</v>
      </c>
      <c r="E40" s="392" t="s">
        <v>5150</v>
      </c>
    </row>
    <row r="41" spans="1:6" ht="12.5">
      <c r="A41" s="391">
        <v>46120.969448321761</v>
      </c>
      <c r="B41" s="392">
        <v>3010101064002</v>
      </c>
      <c r="C41" s="392" t="s">
        <v>34</v>
      </c>
      <c r="D41" s="392" t="s">
        <v>5152</v>
      </c>
      <c r="E41" s="392" t="s">
        <v>141</v>
      </c>
    </row>
    <row r="42" spans="1:6" ht="12.5">
      <c r="A42" s="391">
        <v>46120.976422106483</v>
      </c>
      <c r="B42" s="392">
        <v>3010101064002</v>
      </c>
      <c r="C42" s="392" t="s">
        <v>34</v>
      </c>
      <c r="D42" s="392" t="s">
        <v>5153</v>
      </c>
      <c r="E42" s="392" t="s">
        <v>5154</v>
      </c>
    </row>
    <row r="43" spans="1:6" ht="12.5">
      <c r="A43" s="391">
        <v>46121.001793634263</v>
      </c>
      <c r="B43" s="392" t="s">
        <v>528</v>
      </c>
      <c r="C43" s="392" t="s">
        <v>529</v>
      </c>
      <c r="D43" s="392" t="s">
        <v>5155</v>
      </c>
      <c r="E43" s="392" t="s">
        <v>3262</v>
      </c>
      <c r="F43" s="392" t="s">
        <v>5156</v>
      </c>
    </row>
    <row r="44" spans="1:6" ht="12.5">
      <c r="A44" s="391">
        <v>46121.008783564816</v>
      </c>
      <c r="B44" s="392">
        <v>3010102337034</v>
      </c>
      <c r="C44" s="392" t="s">
        <v>3371</v>
      </c>
      <c r="D44" s="392" t="s">
        <v>5139</v>
      </c>
      <c r="E44" s="392" t="s">
        <v>4556</v>
      </c>
      <c r="F44" s="392" t="s">
        <v>5157</v>
      </c>
    </row>
    <row r="45" spans="1:6" ht="12.5">
      <c r="A45" s="391">
        <v>46121.035836689814</v>
      </c>
      <c r="B45" s="392">
        <v>3010101086001</v>
      </c>
      <c r="C45" s="392" t="s">
        <v>54</v>
      </c>
      <c r="D45" s="392" t="s">
        <v>5158</v>
      </c>
      <c r="E45" s="392" t="s">
        <v>5159</v>
      </c>
      <c r="F45" s="392" t="s">
        <v>5156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95"/>
  <sheetViews>
    <sheetView workbookViewId="0"/>
  </sheetViews>
  <sheetFormatPr defaultColWidth="12.6328125" defaultRowHeight="15" customHeight="1"/>
  <cols>
    <col min="1" max="1" width="8.453125" customWidth="1"/>
    <col min="2" max="2" width="23.26953125" hidden="1" customWidth="1"/>
    <col min="3" max="3" width="9.90625" customWidth="1"/>
    <col min="4" max="4" width="20" hidden="1" customWidth="1"/>
    <col min="5" max="5" width="23.453125" customWidth="1"/>
    <col min="6" max="6" width="43.453125" customWidth="1"/>
    <col min="7" max="7" width="12.08984375" customWidth="1"/>
    <col min="8" max="8" width="6.90625" customWidth="1"/>
    <col min="9" max="9" width="4" customWidth="1"/>
    <col min="10" max="10" width="14.26953125" customWidth="1"/>
    <col min="11" max="11" width="7.08984375" customWidth="1"/>
    <col min="12" max="12" width="10" customWidth="1"/>
    <col min="13" max="13" width="22.90625" customWidth="1"/>
    <col min="14" max="14" width="13.453125" customWidth="1"/>
    <col min="15" max="25" width="8" customWidth="1"/>
  </cols>
  <sheetData>
    <row r="1" spans="1:25" ht="12.75" customHeight="1">
      <c r="A1" s="1"/>
      <c r="B1" s="2"/>
      <c r="C1" s="1" t="s">
        <v>0</v>
      </c>
      <c r="D1" s="2"/>
      <c r="E1" s="2"/>
      <c r="F1" s="4"/>
      <c r="G1" s="2"/>
      <c r="H1" s="2"/>
      <c r="I1" s="2"/>
      <c r="J1" s="5"/>
      <c r="K1" s="1"/>
      <c r="L1" s="1"/>
      <c r="M1" s="6"/>
      <c r="N1" s="6"/>
      <c r="O1" s="2"/>
      <c r="P1" s="2"/>
      <c r="Q1" s="2"/>
      <c r="R1" s="2"/>
      <c r="S1" s="2"/>
      <c r="T1" s="2"/>
      <c r="U1" s="2"/>
      <c r="V1" s="2"/>
      <c r="W1" s="2"/>
      <c r="X1" s="2"/>
      <c r="Y1" s="2"/>
    </row>
    <row r="2" spans="1:25" ht="12.75" customHeight="1">
      <c r="A2" s="1"/>
      <c r="B2" s="2"/>
      <c r="C2" s="1" t="s">
        <v>1</v>
      </c>
      <c r="D2" s="2"/>
      <c r="E2" s="2"/>
      <c r="F2" s="4"/>
      <c r="G2" s="2"/>
      <c r="H2" s="2"/>
      <c r="I2" s="2"/>
      <c r="J2" s="5"/>
      <c r="K2" s="1"/>
      <c r="L2" s="1"/>
      <c r="M2" s="6"/>
      <c r="N2" s="6"/>
      <c r="O2" s="2"/>
      <c r="P2" s="2"/>
      <c r="Q2" s="2"/>
      <c r="R2" s="2"/>
      <c r="S2" s="2"/>
      <c r="T2" s="2"/>
      <c r="U2" s="2"/>
      <c r="V2" s="2"/>
      <c r="W2" s="2"/>
      <c r="X2" s="2"/>
      <c r="Y2" s="2"/>
    </row>
    <row r="3" spans="1:25" ht="12.75" customHeight="1">
      <c r="A3" s="1"/>
      <c r="B3" s="2"/>
      <c r="C3" s="8"/>
      <c r="D3" s="2"/>
      <c r="E3" s="2"/>
      <c r="F3" s="4"/>
      <c r="G3" s="2"/>
      <c r="H3" s="2"/>
      <c r="I3" s="2"/>
      <c r="J3" s="5"/>
      <c r="K3" s="1"/>
      <c r="L3" s="1"/>
      <c r="M3" s="6"/>
      <c r="N3" s="6"/>
      <c r="O3" s="2"/>
      <c r="P3" s="2"/>
      <c r="Q3" s="2"/>
      <c r="R3" s="2"/>
      <c r="S3" s="2"/>
      <c r="T3" s="2"/>
      <c r="U3" s="2"/>
      <c r="V3" s="2"/>
      <c r="W3" s="2"/>
      <c r="X3" s="2"/>
      <c r="Y3" s="2"/>
    </row>
    <row r="4" spans="1:25" ht="18" customHeight="1">
      <c r="A4" s="1"/>
      <c r="B4" s="2"/>
      <c r="C4" s="8"/>
      <c r="D4" s="2"/>
      <c r="E4" s="2"/>
      <c r="F4" s="9" t="s">
        <v>2</v>
      </c>
      <c r="G4" s="2"/>
      <c r="H4" s="2"/>
      <c r="I4" s="2"/>
      <c r="J4" s="5"/>
      <c r="K4" s="1"/>
      <c r="L4" s="1"/>
      <c r="M4" s="6"/>
      <c r="N4" s="6"/>
      <c r="O4" s="2"/>
      <c r="P4" s="2"/>
      <c r="Q4" s="2"/>
      <c r="R4" s="2"/>
      <c r="S4" s="2"/>
      <c r="T4" s="2"/>
      <c r="U4" s="2"/>
      <c r="V4" s="2"/>
      <c r="W4" s="2"/>
      <c r="X4" s="2"/>
      <c r="Y4" s="2"/>
    </row>
    <row r="5" spans="1:25" ht="12.75" customHeight="1">
      <c r="A5" s="1"/>
      <c r="B5" s="2"/>
      <c r="C5" s="8"/>
      <c r="D5" s="2"/>
      <c r="E5" s="2"/>
      <c r="F5" s="4"/>
      <c r="G5" s="2"/>
      <c r="H5" s="2"/>
      <c r="I5" s="2"/>
      <c r="J5" s="5"/>
      <c r="K5" s="1"/>
      <c r="L5" s="1"/>
      <c r="M5" s="6"/>
      <c r="N5" s="6"/>
      <c r="O5" s="2"/>
      <c r="P5" s="2"/>
      <c r="Q5" s="2"/>
      <c r="R5" s="2"/>
      <c r="S5" s="2"/>
      <c r="T5" s="2"/>
      <c r="U5" s="2"/>
      <c r="V5" s="2"/>
      <c r="W5" s="2"/>
      <c r="X5" s="2"/>
      <c r="Y5" s="2"/>
    </row>
    <row r="6" spans="1:25" ht="12.75" customHeight="1">
      <c r="A6" s="10" t="s">
        <v>3</v>
      </c>
      <c r="B6" s="11" t="s">
        <v>4</v>
      </c>
      <c r="C6" s="12" t="s">
        <v>5</v>
      </c>
      <c r="D6" s="11" t="s">
        <v>6</v>
      </c>
      <c r="E6" s="11" t="s">
        <v>7</v>
      </c>
      <c r="F6" s="14" t="s">
        <v>8</v>
      </c>
      <c r="G6" s="11" t="s">
        <v>9</v>
      </c>
      <c r="H6" s="11" t="s">
        <v>10</v>
      </c>
      <c r="I6" s="11" t="s">
        <v>11</v>
      </c>
      <c r="J6" s="15" t="s">
        <v>12</v>
      </c>
      <c r="K6" s="10" t="s">
        <v>13</v>
      </c>
      <c r="L6" s="10" t="s">
        <v>14</v>
      </c>
      <c r="M6" s="16" t="s">
        <v>15</v>
      </c>
      <c r="N6" s="393"/>
      <c r="O6" s="2"/>
      <c r="P6" s="2"/>
      <c r="Q6" s="2"/>
      <c r="R6" s="2"/>
      <c r="S6" s="2"/>
      <c r="T6" s="2"/>
      <c r="U6" s="2"/>
      <c r="V6" s="2"/>
      <c r="W6" s="2"/>
      <c r="X6" s="2"/>
      <c r="Y6" s="2"/>
    </row>
    <row r="7" spans="1:25" ht="25.5" customHeight="1">
      <c r="A7" s="26">
        <v>3</v>
      </c>
      <c r="B7" s="27" t="s">
        <v>32</v>
      </c>
      <c r="C7" s="28">
        <v>40178</v>
      </c>
      <c r="D7" s="27"/>
      <c r="E7" s="27" t="s">
        <v>33</v>
      </c>
      <c r="F7" s="29" t="s">
        <v>34</v>
      </c>
      <c r="G7" s="27" t="s">
        <v>35</v>
      </c>
      <c r="H7" s="27" t="s">
        <v>19</v>
      </c>
      <c r="I7" s="27">
        <v>1</v>
      </c>
      <c r="J7" s="30">
        <v>224486622</v>
      </c>
      <c r="K7" s="26" t="s">
        <v>36</v>
      </c>
      <c r="L7" s="26" t="s">
        <v>37</v>
      </c>
      <c r="M7" s="31" t="s">
        <v>38</v>
      </c>
      <c r="N7" s="6"/>
      <c r="O7" s="2"/>
      <c r="P7" s="2"/>
      <c r="Q7" s="2"/>
      <c r="R7" s="2"/>
      <c r="S7" s="2"/>
      <c r="T7" s="2"/>
      <c r="U7" s="2"/>
      <c r="V7" s="2"/>
      <c r="W7" s="2"/>
      <c r="X7" s="2"/>
      <c r="Y7" s="2"/>
    </row>
    <row r="8" spans="1:25" ht="12.75" customHeight="1">
      <c r="A8" s="26" t="s">
        <v>39</v>
      </c>
      <c r="B8" s="27"/>
      <c r="C8" s="28"/>
      <c r="D8" s="27"/>
      <c r="E8" s="27" t="s">
        <v>40</v>
      </c>
      <c r="F8" s="29" t="s">
        <v>41</v>
      </c>
      <c r="G8" s="27"/>
      <c r="H8" s="27"/>
      <c r="I8" s="27">
        <v>1</v>
      </c>
      <c r="J8" s="30">
        <v>0</v>
      </c>
      <c r="K8" s="26" t="s">
        <v>36</v>
      </c>
      <c r="L8" s="26" t="s">
        <v>37</v>
      </c>
      <c r="M8" s="31"/>
      <c r="N8" s="6"/>
      <c r="O8" s="2"/>
      <c r="P8" s="2"/>
      <c r="Q8" s="2"/>
      <c r="R8" s="2"/>
      <c r="S8" s="2"/>
      <c r="T8" s="2"/>
      <c r="U8" s="2"/>
      <c r="V8" s="2"/>
      <c r="W8" s="2"/>
      <c r="X8" s="2"/>
      <c r="Y8" s="2"/>
    </row>
    <row r="9" spans="1:25" ht="63.75" customHeight="1">
      <c r="A9" s="26">
        <v>5</v>
      </c>
      <c r="B9" s="27" t="s">
        <v>52</v>
      </c>
      <c r="C9" s="28">
        <v>40875</v>
      </c>
      <c r="D9" s="27"/>
      <c r="E9" s="27" t="s">
        <v>53</v>
      </c>
      <c r="F9" s="29" t="s">
        <v>54</v>
      </c>
      <c r="G9" s="27" t="s">
        <v>55</v>
      </c>
      <c r="H9" s="27" t="s">
        <v>19</v>
      </c>
      <c r="I9" s="27">
        <v>1</v>
      </c>
      <c r="J9" s="30">
        <v>367831511</v>
      </c>
      <c r="K9" s="26" t="s">
        <v>36</v>
      </c>
      <c r="L9" s="26" t="s">
        <v>56</v>
      </c>
      <c r="M9" s="31" t="s">
        <v>57</v>
      </c>
      <c r="N9" s="6"/>
      <c r="O9" s="2"/>
      <c r="P9" s="2"/>
      <c r="Q9" s="2"/>
      <c r="R9" s="2"/>
      <c r="S9" s="2"/>
      <c r="T9" s="2"/>
      <c r="U9" s="2"/>
      <c r="V9" s="2"/>
      <c r="W9" s="2"/>
      <c r="X9" s="2"/>
      <c r="Y9" s="2"/>
    </row>
    <row r="10" spans="1:25" ht="25.5" customHeight="1">
      <c r="A10" s="26">
        <v>6</v>
      </c>
      <c r="B10" s="27" t="s">
        <v>52</v>
      </c>
      <c r="C10" s="28">
        <v>40875</v>
      </c>
      <c r="D10" s="27"/>
      <c r="E10" s="27" t="s">
        <v>58</v>
      </c>
      <c r="F10" s="29" t="s">
        <v>59</v>
      </c>
      <c r="G10" s="27"/>
      <c r="H10" s="27" t="s">
        <v>19</v>
      </c>
      <c r="I10" s="27">
        <v>1</v>
      </c>
      <c r="J10" s="30">
        <v>317721303</v>
      </c>
      <c r="K10" s="26" t="s">
        <v>36</v>
      </c>
      <c r="L10" s="26" t="s">
        <v>56</v>
      </c>
      <c r="M10" s="31" t="s">
        <v>60</v>
      </c>
      <c r="N10" s="6"/>
      <c r="O10" s="2"/>
      <c r="P10" s="2"/>
      <c r="Q10" s="2"/>
      <c r="R10" s="2"/>
      <c r="S10" s="2"/>
      <c r="T10" s="2"/>
      <c r="U10" s="2"/>
      <c r="V10" s="2"/>
      <c r="W10" s="2"/>
      <c r="X10" s="2"/>
      <c r="Y10" s="2"/>
    </row>
    <row r="11" spans="1:25" ht="51" customHeight="1">
      <c r="A11" s="26" t="s">
        <v>61</v>
      </c>
      <c r="B11" s="27"/>
      <c r="C11" s="28"/>
      <c r="D11" s="27"/>
      <c r="E11" s="27" t="s">
        <v>62</v>
      </c>
      <c r="F11" s="29" t="s">
        <v>63</v>
      </c>
      <c r="G11" s="27"/>
      <c r="H11" s="27"/>
      <c r="I11" s="27">
        <v>1</v>
      </c>
      <c r="J11" s="30">
        <v>243712689</v>
      </c>
      <c r="K11" s="26" t="s">
        <v>36</v>
      </c>
      <c r="L11" s="26" t="s">
        <v>56</v>
      </c>
      <c r="M11" s="31"/>
      <c r="N11" s="6"/>
      <c r="O11" s="2"/>
      <c r="P11" s="2"/>
      <c r="Q11" s="2"/>
      <c r="R11" s="2"/>
      <c r="S11" s="2"/>
      <c r="T11" s="2"/>
      <c r="U11" s="2"/>
      <c r="V11" s="2"/>
      <c r="W11" s="2"/>
      <c r="X11" s="2"/>
      <c r="Y11" s="2"/>
    </row>
    <row r="12" spans="1:25" ht="12.75" customHeight="1">
      <c r="A12" s="26" t="s">
        <v>64</v>
      </c>
      <c r="B12" s="27"/>
      <c r="C12" s="28"/>
      <c r="D12" s="27"/>
      <c r="E12" s="27" t="s">
        <v>65</v>
      </c>
      <c r="F12" s="34" t="s">
        <v>66</v>
      </c>
      <c r="G12" s="27"/>
      <c r="H12" s="27"/>
      <c r="I12" s="27">
        <v>1</v>
      </c>
      <c r="J12" s="30">
        <v>8407751</v>
      </c>
      <c r="K12" s="26" t="s">
        <v>36</v>
      </c>
      <c r="L12" s="26" t="s">
        <v>56</v>
      </c>
      <c r="M12" s="31"/>
      <c r="N12" s="6"/>
      <c r="O12" s="2"/>
      <c r="P12" s="2"/>
      <c r="Q12" s="2"/>
      <c r="R12" s="2"/>
      <c r="S12" s="2"/>
      <c r="T12" s="2"/>
      <c r="U12" s="2"/>
      <c r="V12" s="2"/>
      <c r="W12" s="2"/>
      <c r="X12" s="2"/>
      <c r="Y12" s="2"/>
    </row>
    <row r="13" spans="1:25" ht="12.75" customHeight="1">
      <c r="A13" s="26">
        <v>7</v>
      </c>
      <c r="B13" s="27" t="s">
        <v>52</v>
      </c>
      <c r="C13" s="28">
        <v>40875</v>
      </c>
      <c r="D13" s="27"/>
      <c r="E13" s="27" t="s">
        <v>67</v>
      </c>
      <c r="F13" s="29" t="s">
        <v>68</v>
      </c>
      <c r="G13" s="27"/>
      <c r="H13" s="27" t="s">
        <v>19</v>
      </c>
      <c r="I13" s="27">
        <v>1</v>
      </c>
      <c r="J13" s="30">
        <v>339581457</v>
      </c>
      <c r="K13" s="26" t="s">
        <v>36</v>
      </c>
      <c r="L13" s="26" t="s">
        <v>56</v>
      </c>
      <c r="M13" s="31" t="s">
        <v>69</v>
      </c>
      <c r="N13" s="6"/>
      <c r="O13" s="2"/>
      <c r="P13" s="2"/>
      <c r="Q13" s="2"/>
      <c r="R13" s="2"/>
      <c r="S13" s="2"/>
      <c r="T13" s="2"/>
      <c r="U13" s="2"/>
      <c r="V13" s="2"/>
      <c r="W13" s="2"/>
      <c r="X13" s="2"/>
      <c r="Y13" s="2"/>
    </row>
    <row r="14" spans="1:25" ht="12.75" customHeight="1">
      <c r="A14" s="26" t="s">
        <v>70</v>
      </c>
      <c r="B14" s="27"/>
      <c r="C14" s="28"/>
      <c r="D14" s="27"/>
      <c r="E14" s="27" t="s">
        <v>71</v>
      </c>
      <c r="F14" s="29" t="s">
        <v>72</v>
      </c>
      <c r="G14" s="27"/>
      <c r="H14" s="27"/>
      <c r="I14" s="27">
        <v>1</v>
      </c>
      <c r="J14" s="30">
        <v>14573436</v>
      </c>
      <c r="K14" s="26" t="s">
        <v>36</v>
      </c>
      <c r="L14" s="26" t="s">
        <v>56</v>
      </c>
      <c r="M14" s="31"/>
      <c r="N14" s="6"/>
      <c r="O14" s="2"/>
      <c r="P14" s="2"/>
      <c r="Q14" s="2"/>
      <c r="R14" s="2"/>
      <c r="S14" s="2"/>
      <c r="T14" s="2"/>
      <c r="U14" s="2"/>
      <c r="V14" s="2"/>
      <c r="W14" s="2"/>
      <c r="X14" s="2"/>
      <c r="Y14" s="2"/>
    </row>
    <row r="15" spans="1:25" ht="38.25" customHeight="1">
      <c r="A15" s="26" t="s">
        <v>73</v>
      </c>
      <c r="B15" s="27"/>
      <c r="C15" s="28"/>
      <c r="D15" s="27"/>
      <c r="E15" s="27" t="s">
        <v>74</v>
      </c>
      <c r="F15" s="29" t="s">
        <v>75</v>
      </c>
      <c r="G15" s="27"/>
      <c r="H15" s="27"/>
      <c r="I15" s="27">
        <v>1</v>
      </c>
      <c r="J15" s="30">
        <v>166361375</v>
      </c>
      <c r="K15" s="26" t="s">
        <v>36</v>
      </c>
      <c r="L15" s="26" t="s">
        <v>56</v>
      </c>
      <c r="M15" s="31"/>
      <c r="N15" s="6"/>
      <c r="O15" s="2"/>
      <c r="P15" s="2"/>
      <c r="Q15" s="2"/>
      <c r="R15" s="2"/>
      <c r="S15" s="2"/>
      <c r="T15" s="2"/>
      <c r="U15" s="2"/>
      <c r="V15" s="2"/>
      <c r="W15" s="2"/>
      <c r="X15" s="2"/>
      <c r="Y15" s="2"/>
    </row>
    <row r="16" spans="1:25" ht="12.75" customHeight="1">
      <c r="A16" s="26">
        <v>8</v>
      </c>
      <c r="B16" s="27" t="s">
        <v>52</v>
      </c>
      <c r="C16" s="28">
        <v>40875</v>
      </c>
      <c r="D16" s="27"/>
      <c r="E16" s="27" t="s">
        <v>76</v>
      </c>
      <c r="F16" s="29" t="s">
        <v>68</v>
      </c>
      <c r="G16" s="27"/>
      <c r="H16" s="27" t="s">
        <v>19</v>
      </c>
      <c r="I16" s="27">
        <v>1</v>
      </c>
      <c r="J16" s="30">
        <v>339581457</v>
      </c>
      <c r="K16" s="26" t="s">
        <v>36</v>
      </c>
      <c r="L16" s="26" t="s">
        <v>56</v>
      </c>
      <c r="M16" s="31" t="s">
        <v>77</v>
      </c>
      <c r="N16" s="6"/>
      <c r="O16" s="2"/>
      <c r="P16" s="2"/>
      <c r="Q16" s="2"/>
      <c r="R16" s="2"/>
      <c r="S16" s="2"/>
      <c r="T16" s="2"/>
      <c r="U16" s="2"/>
      <c r="V16" s="2"/>
      <c r="W16" s="2"/>
      <c r="X16" s="2"/>
      <c r="Y16" s="2"/>
    </row>
    <row r="17" spans="1:25" ht="12.75" customHeight="1">
      <c r="A17" s="26" t="s">
        <v>78</v>
      </c>
      <c r="B17" s="27"/>
      <c r="C17" s="28"/>
      <c r="D17" s="27"/>
      <c r="E17" s="27" t="s">
        <v>79</v>
      </c>
      <c r="F17" s="29" t="s">
        <v>80</v>
      </c>
      <c r="G17" s="27"/>
      <c r="H17" s="27"/>
      <c r="I17" s="27">
        <v>1</v>
      </c>
      <c r="J17" s="30">
        <v>14573436</v>
      </c>
      <c r="K17" s="26" t="s">
        <v>36</v>
      </c>
      <c r="L17" s="26" t="s">
        <v>56</v>
      </c>
      <c r="M17" s="31"/>
      <c r="N17" s="6"/>
      <c r="O17" s="2"/>
      <c r="P17" s="2"/>
      <c r="Q17" s="2"/>
      <c r="R17" s="2"/>
      <c r="S17" s="2"/>
      <c r="T17" s="2"/>
      <c r="U17" s="2"/>
      <c r="V17" s="2"/>
      <c r="W17" s="2"/>
      <c r="X17" s="2"/>
      <c r="Y17" s="2"/>
    </row>
    <row r="18" spans="1:25" ht="38.25" customHeight="1">
      <c r="A18" s="26" t="s">
        <v>81</v>
      </c>
      <c r="B18" s="27"/>
      <c r="C18" s="28"/>
      <c r="D18" s="27"/>
      <c r="E18" s="27" t="s">
        <v>82</v>
      </c>
      <c r="F18" s="29" t="s">
        <v>83</v>
      </c>
      <c r="G18" s="27"/>
      <c r="H18" s="27"/>
      <c r="I18" s="27">
        <v>1</v>
      </c>
      <c r="J18" s="30">
        <v>166361375</v>
      </c>
      <c r="K18" s="26" t="s">
        <v>36</v>
      </c>
      <c r="L18" s="26" t="s">
        <v>56</v>
      </c>
      <c r="M18" s="31"/>
      <c r="N18" s="6"/>
      <c r="O18" s="2"/>
      <c r="P18" s="2"/>
      <c r="Q18" s="2"/>
      <c r="R18" s="2"/>
      <c r="S18" s="2"/>
      <c r="T18" s="2"/>
      <c r="U18" s="2"/>
      <c r="V18" s="2"/>
      <c r="W18" s="2"/>
      <c r="X18" s="2"/>
      <c r="Y18" s="2"/>
    </row>
    <row r="19" spans="1:25" ht="25.5" customHeight="1">
      <c r="A19" s="26">
        <v>9</v>
      </c>
      <c r="B19" s="27" t="s">
        <v>52</v>
      </c>
      <c r="C19" s="28">
        <v>40875</v>
      </c>
      <c r="D19" s="27"/>
      <c r="E19" s="27" t="s">
        <v>84</v>
      </c>
      <c r="F19" s="29" t="s">
        <v>85</v>
      </c>
      <c r="G19" s="27"/>
      <c r="H19" s="27" t="s">
        <v>19</v>
      </c>
      <c r="I19" s="27">
        <v>1</v>
      </c>
      <c r="J19" s="30">
        <v>209765774</v>
      </c>
      <c r="K19" s="26" t="s">
        <v>36</v>
      </c>
      <c r="L19" s="26" t="s">
        <v>56</v>
      </c>
      <c r="M19" s="31" t="s">
        <v>86</v>
      </c>
      <c r="N19" s="6"/>
      <c r="O19" s="2"/>
      <c r="P19" s="2"/>
      <c r="Q19" s="2"/>
      <c r="R19" s="2"/>
      <c r="S19" s="2"/>
      <c r="T19" s="2"/>
      <c r="U19" s="2"/>
      <c r="V19" s="2"/>
      <c r="W19" s="2"/>
      <c r="X19" s="2"/>
      <c r="Y19" s="2"/>
    </row>
    <row r="20" spans="1:25" ht="63.75" customHeight="1">
      <c r="A20" s="26" t="s">
        <v>87</v>
      </c>
      <c r="B20" s="27"/>
      <c r="C20" s="28"/>
      <c r="D20" s="27"/>
      <c r="E20" s="27" t="s">
        <v>88</v>
      </c>
      <c r="F20" s="34" t="s">
        <v>89</v>
      </c>
      <c r="G20" s="27"/>
      <c r="H20" s="27"/>
      <c r="I20" s="27">
        <v>1</v>
      </c>
      <c r="J20" s="30">
        <v>129591475</v>
      </c>
      <c r="K20" s="26" t="s">
        <v>36</v>
      </c>
      <c r="L20" s="26" t="s">
        <v>56</v>
      </c>
      <c r="M20" s="31"/>
      <c r="N20" s="6"/>
      <c r="O20" s="2"/>
      <c r="P20" s="2"/>
      <c r="Q20" s="2"/>
      <c r="R20" s="2"/>
      <c r="S20" s="2"/>
      <c r="T20" s="2"/>
      <c r="U20" s="2"/>
      <c r="V20" s="2"/>
      <c r="W20" s="2"/>
      <c r="X20" s="2"/>
      <c r="Y20" s="2"/>
    </row>
    <row r="21" spans="1:25" ht="12.75" customHeight="1">
      <c r="A21" s="26" t="s">
        <v>90</v>
      </c>
      <c r="B21" s="27"/>
      <c r="C21" s="28"/>
      <c r="D21" s="27"/>
      <c r="E21" s="27" t="s">
        <v>91</v>
      </c>
      <c r="F21" s="29" t="s">
        <v>92</v>
      </c>
      <c r="G21" s="27"/>
      <c r="H21" s="27"/>
      <c r="I21" s="27">
        <v>1</v>
      </c>
      <c r="J21" s="30">
        <v>14573436</v>
      </c>
      <c r="K21" s="26" t="s">
        <v>36</v>
      </c>
      <c r="L21" s="26" t="s">
        <v>56</v>
      </c>
      <c r="M21" s="31"/>
      <c r="N21" s="6"/>
      <c r="O21" s="2"/>
      <c r="P21" s="2"/>
      <c r="Q21" s="2"/>
      <c r="R21" s="2"/>
      <c r="S21" s="2"/>
      <c r="T21" s="2"/>
      <c r="U21" s="2"/>
      <c r="V21" s="2"/>
      <c r="W21" s="2"/>
      <c r="X21" s="2"/>
      <c r="Y21" s="2"/>
    </row>
    <row r="22" spans="1:25" ht="12.75" customHeight="1">
      <c r="A22" s="26">
        <v>10</v>
      </c>
      <c r="B22" s="27" t="s">
        <v>52</v>
      </c>
      <c r="C22" s="28">
        <v>40875</v>
      </c>
      <c r="D22" s="27"/>
      <c r="E22" s="27" t="s">
        <v>93</v>
      </c>
      <c r="F22" s="29" t="s">
        <v>85</v>
      </c>
      <c r="G22" s="27"/>
      <c r="H22" s="27" t="s">
        <v>19</v>
      </c>
      <c r="I22" s="27">
        <v>1</v>
      </c>
      <c r="J22" s="30">
        <v>209765774</v>
      </c>
      <c r="K22" s="26" t="s">
        <v>36</v>
      </c>
      <c r="L22" s="26" t="s">
        <v>56</v>
      </c>
      <c r="M22" s="31" t="s">
        <v>94</v>
      </c>
      <c r="N22" s="6"/>
      <c r="O22" s="2"/>
      <c r="P22" s="2"/>
      <c r="Q22" s="2"/>
      <c r="R22" s="2"/>
      <c r="S22" s="2"/>
      <c r="T22" s="2"/>
      <c r="U22" s="2"/>
      <c r="V22" s="2"/>
      <c r="W22" s="2"/>
      <c r="X22" s="2"/>
      <c r="Y22" s="2"/>
    </row>
    <row r="23" spans="1:25" ht="63.75" customHeight="1">
      <c r="A23" s="26" t="s">
        <v>95</v>
      </c>
      <c r="B23" s="27"/>
      <c r="C23" s="28"/>
      <c r="D23" s="27"/>
      <c r="E23" s="27" t="s">
        <v>96</v>
      </c>
      <c r="F23" s="34" t="s">
        <v>97</v>
      </c>
      <c r="G23" s="27"/>
      <c r="H23" s="27"/>
      <c r="I23" s="27">
        <v>1</v>
      </c>
      <c r="J23" s="30">
        <v>129591475</v>
      </c>
      <c r="K23" s="26" t="s">
        <v>36</v>
      </c>
      <c r="L23" s="26" t="s">
        <v>56</v>
      </c>
      <c r="M23" s="31"/>
      <c r="N23" s="6"/>
      <c r="O23" s="2"/>
      <c r="P23" s="2"/>
      <c r="Q23" s="2"/>
      <c r="R23" s="2"/>
      <c r="S23" s="2"/>
      <c r="T23" s="2"/>
      <c r="U23" s="2"/>
      <c r="V23" s="2"/>
      <c r="W23" s="2"/>
      <c r="X23" s="2"/>
      <c r="Y23" s="2"/>
    </row>
    <row r="24" spans="1:25" ht="12.75" customHeight="1">
      <c r="A24" s="26" t="s">
        <v>98</v>
      </c>
      <c r="B24" s="27"/>
      <c r="C24" s="28"/>
      <c r="D24" s="27"/>
      <c r="E24" s="27" t="s">
        <v>99</v>
      </c>
      <c r="F24" s="29" t="s">
        <v>100</v>
      </c>
      <c r="G24" s="27"/>
      <c r="H24" s="27"/>
      <c r="I24" s="27">
        <v>1</v>
      </c>
      <c r="J24" s="30">
        <v>14573436</v>
      </c>
      <c r="K24" s="26" t="s">
        <v>36</v>
      </c>
      <c r="L24" s="26" t="s">
        <v>56</v>
      </c>
      <c r="M24" s="31"/>
      <c r="N24" s="6"/>
      <c r="O24" s="2"/>
      <c r="P24" s="2"/>
      <c r="Q24" s="2"/>
      <c r="R24" s="2"/>
      <c r="S24" s="2"/>
      <c r="T24" s="2"/>
      <c r="U24" s="2"/>
      <c r="V24" s="2"/>
      <c r="W24" s="2"/>
      <c r="X24" s="2"/>
      <c r="Y24" s="2"/>
    </row>
    <row r="25" spans="1:25" ht="12.75" customHeight="1">
      <c r="A25" s="26">
        <v>11</v>
      </c>
      <c r="B25" s="27" t="s">
        <v>52</v>
      </c>
      <c r="C25" s="28">
        <v>40875</v>
      </c>
      <c r="D25" s="27"/>
      <c r="E25" s="27" t="s">
        <v>101</v>
      </c>
      <c r="F25" s="29" t="s">
        <v>85</v>
      </c>
      <c r="G25" s="27"/>
      <c r="H25" s="27" t="s">
        <v>19</v>
      </c>
      <c r="I25" s="27">
        <v>1</v>
      </c>
      <c r="J25" s="30">
        <v>209765774</v>
      </c>
      <c r="K25" s="26" t="s">
        <v>36</v>
      </c>
      <c r="L25" s="26" t="s">
        <v>56</v>
      </c>
      <c r="M25" s="31" t="s">
        <v>102</v>
      </c>
      <c r="N25" s="6"/>
      <c r="O25" s="2"/>
      <c r="P25" s="2"/>
      <c r="Q25" s="2"/>
      <c r="R25" s="2"/>
      <c r="S25" s="2"/>
      <c r="T25" s="2"/>
      <c r="U25" s="2"/>
      <c r="V25" s="2"/>
      <c r="W25" s="2"/>
      <c r="X25" s="2"/>
      <c r="Y25" s="2"/>
    </row>
    <row r="26" spans="1:25" ht="63.75" customHeight="1">
      <c r="A26" s="26" t="s">
        <v>103</v>
      </c>
      <c r="B26" s="27"/>
      <c r="C26" s="28"/>
      <c r="D26" s="27"/>
      <c r="E26" s="27" t="s">
        <v>104</v>
      </c>
      <c r="F26" s="34" t="s">
        <v>105</v>
      </c>
      <c r="G26" s="27"/>
      <c r="H26" s="27"/>
      <c r="I26" s="27">
        <v>1</v>
      </c>
      <c r="J26" s="30">
        <v>129591475</v>
      </c>
      <c r="K26" s="26" t="s">
        <v>36</v>
      </c>
      <c r="L26" s="26" t="s">
        <v>56</v>
      </c>
      <c r="M26" s="31"/>
      <c r="N26" s="6"/>
      <c r="O26" s="2"/>
      <c r="P26" s="2"/>
      <c r="Q26" s="2"/>
      <c r="R26" s="2"/>
      <c r="S26" s="2"/>
      <c r="T26" s="2"/>
      <c r="U26" s="2"/>
      <c r="V26" s="2"/>
      <c r="W26" s="2"/>
      <c r="X26" s="2"/>
      <c r="Y26" s="2"/>
    </row>
    <row r="27" spans="1:25" ht="12.75" customHeight="1">
      <c r="A27" s="26" t="s">
        <v>106</v>
      </c>
      <c r="B27" s="27"/>
      <c r="C27" s="28"/>
      <c r="D27" s="27"/>
      <c r="E27" s="27" t="s">
        <v>107</v>
      </c>
      <c r="F27" s="29" t="s">
        <v>108</v>
      </c>
      <c r="G27" s="27"/>
      <c r="H27" s="27"/>
      <c r="I27" s="27">
        <v>1</v>
      </c>
      <c r="J27" s="30">
        <v>14573436</v>
      </c>
      <c r="K27" s="26" t="s">
        <v>36</v>
      </c>
      <c r="L27" s="26" t="s">
        <v>56</v>
      </c>
      <c r="M27" s="31"/>
      <c r="N27" s="6"/>
      <c r="O27" s="2"/>
      <c r="P27" s="2"/>
      <c r="Q27" s="2"/>
      <c r="R27" s="2"/>
      <c r="S27" s="2"/>
      <c r="T27" s="2"/>
      <c r="U27" s="2"/>
      <c r="V27" s="2"/>
      <c r="W27" s="2"/>
      <c r="X27" s="2"/>
      <c r="Y27" s="2"/>
    </row>
    <row r="28" spans="1:25" ht="12.75" customHeight="1">
      <c r="A28" s="26">
        <v>12</v>
      </c>
      <c r="B28" s="27" t="s">
        <v>52</v>
      </c>
      <c r="C28" s="28">
        <v>40875</v>
      </c>
      <c r="D28" s="27"/>
      <c r="E28" s="27" t="s">
        <v>109</v>
      </c>
      <c r="F28" s="29" t="s">
        <v>85</v>
      </c>
      <c r="G28" s="27"/>
      <c r="H28" s="27" t="s">
        <v>19</v>
      </c>
      <c r="I28" s="27">
        <v>1</v>
      </c>
      <c r="J28" s="30">
        <v>209765774</v>
      </c>
      <c r="K28" s="26" t="s">
        <v>36</v>
      </c>
      <c r="L28" s="26" t="s">
        <v>56</v>
      </c>
      <c r="M28" s="31" t="s">
        <v>110</v>
      </c>
      <c r="N28" s="6"/>
      <c r="O28" s="2"/>
      <c r="P28" s="2"/>
      <c r="Q28" s="2"/>
      <c r="R28" s="2"/>
      <c r="S28" s="2"/>
      <c r="T28" s="2"/>
      <c r="U28" s="2"/>
      <c r="V28" s="2"/>
      <c r="W28" s="2"/>
      <c r="X28" s="2"/>
      <c r="Y28" s="2"/>
    </row>
    <row r="29" spans="1:25" ht="63.75" customHeight="1">
      <c r="A29" s="26" t="s">
        <v>111</v>
      </c>
      <c r="B29" s="27"/>
      <c r="C29" s="28"/>
      <c r="D29" s="27"/>
      <c r="E29" s="27" t="s">
        <v>112</v>
      </c>
      <c r="F29" s="34" t="s">
        <v>113</v>
      </c>
      <c r="G29" s="27"/>
      <c r="H29" s="27"/>
      <c r="I29" s="27">
        <v>1</v>
      </c>
      <c r="J29" s="30">
        <v>129591475</v>
      </c>
      <c r="K29" s="26" t="s">
        <v>36</v>
      </c>
      <c r="L29" s="26" t="s">
        <v>56</v>
      </c>
      <c r="M29" s="31"/>
      <c r="N29" s="6"/>
      <c r="O29" s="2"/>
      <c r="P29" s="2"/>
      <c r="Q29" s="2"/>
      <c r="R29" s="2"/>
      <c r="S29" s="2"/>
      <c r="T29" s="2"/>
      <c r="U29" s="2"/>
      <c r="V29" s="2"/>
      <c r="W29" s="2"/>
      <c r="X29" s="2"/>
      <c r="Y29" s="2"/>
    </row>
    <row r="30" spans="1:25" ht="12.75" customHeight="1">
      <c r="A30" s="26">
        <v>13</v>
      </c>
      <c r="B30" s="27" t="s">
        <v>52</v>
      </c>
      <c r="C30" s="28">
        <v>40875</v>
      </c>
      <c r="D30" s="27"/>
      <c r="E30" s="27" t="s">
        <v>114</v>
      </c>
      <c r="F30" s="29" t="s">
        <v>85</v>
      </c>
      <c r="G30" s="27"/>
      <c r="H30" s="27" t="s">
        <v>19</v>
      </c>
      <c r="I30" s="27">
        <v>1</v>
      </c>
      <c r="J30" s="30">
        <v>209765775</v>
      </c>
      <c r="K30" s="26" t="s">
        <v>36</v>
      </c>
      <c r="L30" s="26" t="s">
        <v>56</v>
      </c>
      <c r="M30" s="31" t="s">
        <v>110</v>
      </c>
      <c r="N30" s="6"/>
      <c r="O30" s="2"/>
      <c r="P30" s="2"/>
      <c r="Q30" s="2"/>
      <c r="R30" s="2"/>
      <c r="S30" s="2"/>
      <c r="T30" s="2"/>
      <c r="U30" s="2"/>
      <c r="V30" s="2"/>
      <c r="W30" s="2"/>
      <c r="X30" s="2"/>
      <c r="Y30" s="2"/>
    </row>
    <row r="31" spans="1:25" ht="63.75" customHeight="1">
      <c r="A31" s="26" t="s">
        <v>115</v>
      </c>
      <c r="B31" s="27"/>
      <c r="C31" s="28"/>
      <c r="D31" s="27"/>
      <c r="E31" s="27" t="s">
        <v>116</v>
      </c>
      <c r="F31" s="34" t="s">
        <v>117</v>
      </c>
      <c r="G31" s="27"/>
      <c r="H31" s="27"/>
      <c r="I31" s="27">
        <v>1</v>
      </c>
      <c r="J31" s="30">
        <v>129591475</v>
      </c>
      <c r="K31" s="26" t="s">
        <v>36</v>
      </c>
      <c r="L31" s="26" t="s">
        <v>56</v>
      </c>
      <c r="M31" s="31"/>
      <c r="N31" s="6"/>
      <c r="O31" s="2"/>
      <c r="P31" s="2"/>
      <c r="Q31" s="2"/>
      <c r="R31" s="2"/>
      <c r="S31" s="2"/>
      <c r="T31" s="2"/>
      <c r="U31" s="2"/>
      <c r="V31" s="2"/>
      <c r="W31" s="2"/>
      <c r="X31" s="2"/>
      <c r="Y31" s="2"/>
    </row>
    <row r="32" spans="1:25" ht="12.75" customHeight="1">
      <c r="A32" s="26">
        <v>14</v>
      </c>
      <c r="B32" s="27" t="s">
        <v>52</v>
      </c>
      <c r="C32" s="28">
        <v>40875</v>
      </c>
      <c r="D32" s="27"/>
      <c r="E32" s="27" t="s">
        <v>118</v>
      </c>
      <c r="F32" s="29" t="s">
        <v>85</v>
      </c>
      <c r="G32" s="27"/>
      <c r="H32" s="27" t="s">
        <v>19</v>
      </c>
      <c r="I32" s="27">
        <v>1</v>
      </c>
      <c r="J32" s="30">
        <v>105621760</v>
      </c>
      <c r="K32" s="26" t="s">
        <v>36</v>
      </c>
      <c r="L32" s="26" t="s">
        <v>56</v>
      </c>
      <c r="M32" s="31" t="s">
        <v>119</v>
      </c>
      <c r="N32" s="6"/>
      <c r="O32" s="2"/>
      <c r="P32" s="2"/>
      <c r="Q32" s="2"/>
      <c r="R32" s="2"/>
      <c r="S32" s="2"/>
      <c r="T32" s="2"/>
      <c r="U32" s="2"/>
      <c r="V32" s="2"/>
      <c r="W32" s="2"/>
      <c r="X32" s="2"/>
      <c r="Y32" s="2"/>
    </row>
    <row r="33" spans="1:25" ht="51" customHeight="1">
      <c r="A33" s="26" t="s">
        <v>120</v>
      </c>
      <c r="B33" s="27"/>
      <c r="C33" s="28"/>
      <c r="D33" s="27"/>
      <c r="E33" s="27" t="s">
        <v>121</v>
      </c>
      <c r="F33" s="29" t="s">
        <v>122</v>
      </c>
      <c r="G33" s="27"/>
      <c r="H33" s="27"/>
      <c r="I33" s="27">
        <v>1</v>
      </c>
      <c r="J33" s="30">
        <v>31613146</v>
      </c>
      <c r="K33" s="26" t="s">
        <v>36</v>
      </c>
      <c r="L33" s="26" t="s">
        <v>56</v>
      </c>
      <c r="M33" s="31"/>
      <c r="N33" s="6"/>
      <c r="O33" s="2"/>
      <c r="P33" s="2"/>
      <c r="Q33" s="2"/>
      <c r="R33" s="2"/>
      <c r="S33" s="2"/>
      <c r="T33" s="2"/>
      <c r="U33" s="2"/>
      <c r="V33" s="2"/>
      <c r="W33" s="2"/>
      <c r="X33" s="2"/>
      <c r="Y33" s="2"/>
    </row>
    <row r="34" spans="1:25" ht="25.5" customHeight="1">
      <c r="A34" s="26">
        <v>15</v>
      </c>
      <c r="B34" s="27" t="s">
        <v>52</v>
      </c>
      <c r="C34" s="28">
        <v>40875</v>
      </c>
      <c r="D34" s="27"/>
      <c r="E34" s="27" t="s">
        <v>123</v>
      </c>
      <c r="F34" s="29" t="s">
        <v>85</v>
      </c>
      <c r="G34" s="27"/>
      <c r="H34" s="27" t="s">
        <v>19</v>
      </c>
      <c r="I34" s="27">
        <v>1</v>
      </c>
      <c r="J34" s="30">
        <v>105621760</v>
      </c>
      <c r="K34" s="26" t="s">
        <v>36</v>
      </c>
      <c r="L34" s="26" t="s">
        <v>56</v>
      </c>
      <c r="M34" s="31" t="s">
        <v>124</v>
      </c>
      <c r="N34" s="6"/>
      <c r="O34" s="2"/>
      <c r="P34" s="2"/>
      <c r="Q34" s="2"/>
      <c r="R34" s="2"/>
      <c r="S34" s="2"/>
      <c r="T34" s="2"/>
      <c r="U34" s="2"/>
      <c r="V34" s="2"/>
      <c r="W34" s="2"/>
      <c r="X34" s="2"/>
      <c r="Y34" s="2"/>
    </row>
    <row r="35" spans="1:25" ht="51" customHeight="1">
      <c r="A35" s="26" t="s">
        <v>125</v>
      </c>
      <c r="B35" s="27"/>
      <c r="C35" s="28"/>
      <c r="D35" s="27"/>
      <c r="E35" s="27" t="s">
        <v>126</v>
      </c>
      <c r="F35" s="29" t="s">
        <v>127</v>
      </c>
      <c r="G35" s="27"/>
      <c r="H35" s="27"/>
      <c r="I35" s="27">
        <v>1</v>
      </c>
      <c r="J35" s="30">
        <v>31613146</v>
      </c>
      <c r="K35" s="26" t="s">
        <v>36</v>
      </c>
      <c r="L35" s="26" t="s">
        <v>56</v>
      </c>
      <c r="M35" s="31"/>
      <c r="N35" s="6"/>
      <c r="O35" s="2"/>
      <c r="P35" s="2"/>
      <c r="Q35" s="2"/>
      <c r="R35" s="2"/>
      <c r="S35" s="2"/>
      <c r="T35" s="2"/>
      <c r="U35" s="2"/>
      <c r="V35" s="2"/>
      <c r="W35" s="2"/>
      <c r="X35" s="2"/>
      <c r="Y35" s="2"/>
    </row>
    <row r="36" spans="1:25" ht="12.75" customHeight="1">
      <c r="A36" s="26" t="s">
        <v>128</v>
      </c>
      <c r="B36" s="27"/>
      <c r="C36" s="28"/>
      <c r="D36" s="27"/>
      <c r="E36" s="27" t="s">
        <v>129</v>
      </c>
      <c r="F36" s="34" t="s">
        <v>130</v>
      </c>
      <c r="G36" s="27"/>
      <c r="H36" s="27"/>
      <c r="I36" s="27">
        <v>1</v>
      </c>
      <c r="J36" s="30">
        <v>8407752</v>
      </c>
      <c r="K36" s="26" t="s">
        <v>36</v>
      </c>
      <c r="L36" s="26" t="s">
        <v>56</v>
      </c>
      <c r="M36" s="31"/>
      <c r="N36" s="6"/>
      <c r="O36" s="2"/>
      <c r="P36" s="2"/>
      <c r="Q36" s="2"/>
      <c r="R36" s="2"/>
      <c r="S36" s="2"/>
      <c r="T36" s="2"/>
      <c r="U36" s="2"/>
      <c r="V36" s="2"/>
      <c r="W36" s="2"/>
      <c r="X36" s="2"/>
      <c r="Y36" s="2"/>
    </row>
    <row r="37" spans="1:25" ht="12.75" customHeight="1">
      <c r="A37" s="26">
        <v>16</v>
      </c>
      <c r="B37" s="27" t="s">
        <v>52</v>
      </c>
      <c r="C37" s="28">
        <v>40875</v>
      </c>
      <c r="D37" s="27"/>
      <c r="E37" s="27" t="s">
        <v>131</v>
      </c>
      <c r="F37" s="29" t="s">
        <v>132</v>
      </c>
      <c r="G37" s="27"/>
      <c r="H37" s="27" t="s">
        <v>19</v>
      </c>
      <c r="I37" s="27">
        <v>1</v>
      </c>
      <c r="J37" s="30">
        <v>40020897</v>
      </c>
      <c r="K37" s="26" t="s">
        <v>36</v>
      </c>
      <c r="L37" s="26" t="s">
        <v>56</v>
      </c>
      <c r="M37" s="31" t="s">
        <v>133</v>
      </c>
      <c r="N37" s="6"/>
      <c r="O37" s="2"/>
      <c r="P37" s="2"/>
      <c r="Q37" s="2"/>
      <c r="R37" s="2"/>
      <c r="S37" s="2"/>
      <c r="T37" s="2"/>
      <c r="U37" s="2"/>
      <c r="V37" s="2"/>
      <c r="W37" s="2"/>
      <c r="X37" s="2"/>
      <c r="Y37" s="2"/>
    </row>
    <row r="38" spans="1:25" ht="51" customHeight="1">
      <c r="A38" s="26" t="s">
        <v>134</v>
      </c>
      <c r="B38" s="27"/>
      <c r="C38" s="28"/>
      <c r="D38" s="27"/>
      <c r="E38" s="27" t="s">
        <v>135</v>
      </c>
      <c r="F38" s="29" t="s">
        <v>136</v>
      </c>
      <c r="G38" s="27"/>
      <c r="H38" s="27"/>
      <c r="I38" s="27">
        <v>1</v>
      </c>
      <c r="J38" s="30">
        <v>31613145</v>
      </c>
      <c r="K38" s="26" t="s">
        <v>36</v>
      </c>
      <c r="L38" s="26" t="s">
        <v>56</v>
      </c>
      <c r="M38" s="31"/>
      <c r="N38" s="6"/>
      <c r="O38" s="2"/>
      <c r="P38" s="2"/>
      <c r="Q38" s="2"/>
      <c r="R38" s="2"/>
      <c r="S38" s="2"/>
      <c r="T38" s="2"/>
      <c r="U38" s="2"/>
      <c r="V38" s="2"/>
      <c r="W38" s="2"/>
      <c r="X38" s="2"/>
      <c r="Y38" s="2"/>
    </row>
    <row r="39" spans="1:25" ht="12.75" customHeight="1">
      <c r="A39" s="26" t="s">
        <v>137</v>
      </c>
      <c r="B39" s="27"/>
      <c r="C39" s="28"/>
      <c r="D39" s="27"/>
      <c r="E39" s="27" t="s">
        <v>138</v>
      </c>
      <c r="F39" s="34" t="s">
        <v>139</v>
      </c>
      <c r="G39" s="27"/>
      <c r="H39" s="27"/>
      <c r="I39" s="27">
        <v>1</v>
      </c>
      <c r="J39" s="30">
        <v>8407752</v>
      </c>
      <c r="K39" s="26" t="s">
        <v>36</v>
      </c>
      <c r="L39" s="26" t="s">
        <v>56</v>
      </c>
      <c r="M39" s="31"/>
      <c r="N39" s="6"/>
      <c r="O39" s="2"/>
      <c r="P39" s="2"/>
      <c r="Q39" s="2"/>
      <c r="R39" s="2"/>
      <c r="S39" s="2"/>
      <c r="T39" s="2"/>
      <c r="U39" s="2"/>
      <c r="V39" s="2"/>
      <c r="W39" s="2"/>
      <c r="X39" s="2"/>
      <c r="Y39" s="2"/>
    </row>
    <row r="40" spans="1:25" ht="12.75" customHeight="1">
      <c r="A40" s="26">
        <v>17</v>
      </c>
      <c r="B40" s="27" t="s">
        <v>52</v>
      </c>
      <c r="C40" s="28">
        <v>40875</v>
      </c>
      <c r="D40" s="27"/>
      <c r="E40" s="27" t="s">
        <v>140</v>
      </c>
      <c r="F40" s="29" t="s">
        <v>132</v>
      </c>
      <c r="G40" s="27"/>
      <c r="H40" s="27" t="s">
        <v>19</v>
      </c>
      <c r="I40" s="27">
        <v>1</v>
      </c>
      <c r="J40" s="30">
        <v>105621760</v>
      </c>
      <c r="K40" s="26" t="s">
        <v>36</v>
      </c>
      <c r="L40" s="26" t="s">
        <v>141</v>
      </c>
      <c r="M40" s="31" t="s">
        <v>110</v>
      </c>
      <c r="N40" s="6"/>
      <c r="O40" s="2"/>
      <c r="P40" s="2"/>
      <c r="Q40" s="2"/>
      <c r="R40" s="2"/>
      <c r="S40" s="2"/>
      <c r="T40" s="2"/>
      <c r="U40" s="2"/>
      <c r="V40" s="2"/>
      <c r="W40" s="2"/>
      <c r="X40" s="2"/>
      <c r="Y40" s="2"/>
    </row>
    <row r="41" spans="1:25" ht="51" customHeight="1">
      <c r="A41" s="26" t="s">
        <v>142</v>
      </c>
      <c r="B41" s="27"/>
      <c r="C41" s="28"/>
      <c r="D41" s="27"/>
      <c r="E41" s="27" t="s">
        <v>143</v>
      </c>
      <c r="F41" s="29" t="s">
        <v>144</v>
      </c>
      <c r="G41" s="27"/>
      <c r="H41" s="27"/>
      <c r="I41" s="27">
        <v>1</v>
      </c>
      <c r="J41" s="30">
        <v>31613145</v>
      </c>
      <c r="K41" s="26" t="s">
        <v>36</v>
      </c>
      <c r="L41" s="26" t="s">
        <v>141</v>
      </c>
      <c r="M41" s="31"/>
      <c r="N41" s="6"/>
      <c r="O41" s="2"/>
      <c r="P41" s="2"/>
      <c r="Q41" s="2"/>
      <c r="R41" s="2"/>
      <c r="S41" s="2"/>
      <c r="T41" s="2"/>
      <c r="U41" s="2"/>
      <c r="V41" s="2"/>
      <c r="W41" s="2"/>
      <c r="X41" s="2"/>
      <c r="Y41" s="2"/>
    </row>
    <row r="42" spans="1:25" ht="12.75" customHeight="1">
      <c r="A42" s="26" t="s">
        <v>145</v>
      </c>
      <c r="B42" s="27"/>
      <c r="C42" s="28"/>
      <c r="D42" s="27"/>
      <c r="E42" s="27" t="s">
        <v>146</v>
      </c>
      <c r="F42" s="34" t="s">
        <v>147</v>
      </c>
      <c r="G42" s="27"/>
      <c r="H42" s="27"/>
      <c r="I42" s="27">
        <v>1</v>
      </c>
      <c r="J42" s="30">
        <v>8407752</v>
      </c>
      <c r="K42" s="26" t="s">
        <v>36</v>
      </c>
      <c r="L42" s="26" t="s">
        <v>141</v>
      </c>
      <c r="M42" s="31"/>
      <c r="N42" s="6"/>
      <c r="O42" s="2"/>
      <c r="P42" s="2"/>
      <c r="Q42" s="2"/>
      <c r="R42" s="2"/>
      <c r="S42" s="2"/>
      <c r="T42" s="2"/>
      <c r="U42" s="2"/>
      <c r="V42" s="2"/>
      <c r="W42" s="2"/>
      <c r="X42" s="2"/>
      <c r="Y42" s="2"/>
    </row>
    <row r="43" spans="1:25" ht="12.75" customHeight="1">
      <c r="A43" s="26">
        <v>18</v>
      </c>
      <c r="B43" s="27" t="s">
        <v>52</v>
      </c>
      <c r="C43" s="28">
        <v>40875</v>
      </c>
      <c r="D43" s="27"/>
      <c r="E43" s="27" t="s">
        <v>148</v>
      </c>
      <c r="F43" s="29" t="s">
        <v>132</v>
      </c>
      <c r="G43" s="27"/>
      <c r="H43" s="27" t="s">
        <v>19</v>
      </c>
      <c r="I43" s="27">
        <v>1</v>
      </c>
      <c r="J43" s="30">
        <v>40020897</v>
      </c>
      <c r="K43" s="26" t="s">
        <v>36</v>
      </c>
      <c r="L43" s="26" t="s">
        <v>141</v>
      </c>
      <c r="M43" s="31" t="s">
        <v>102</v>
      </c>
      <c r="N43" s="6"/>
      <c r="O43" s="2"/>
      <c r="P43" s="2"/>
      <c r="Q43" s="2"/>
      <c r="R43" s="2"/>
      <c r="S43" s="2"/>
      <c r="T43" s="2"/>
      <c r="U43" s="2"/>
      <c r="V43" s="2"/>
      <c r="W43" s="2"/>
      <c r="X43" s="2"/>
      <c r="Y43" s="2"/>
    </row>
    <row r="44" spans="1:25" ht="51" customHeight="1">
      <c r="A44" s="26" t="s">
        <v>149</v>
      </c>
      <c r="B44" s="27"/>
      <c r="C44" s="28"/>
      <c r="D44" s="27"/>
      <c r="E44" s="27" t="s">
        <v>150</v>
      </c>
      <c r="F44" s="29" t="s">
        <v>151</v>
      </c>
      <c r="G44" s="27"/>
      <c r="H44" s="27"/>
      <c r="I44" s="27">
        <v>1</v>
      </c>
      <c r="J44" s="30">
        <v>31613145</v>
      </c>
      <c r="K44" s="26" t="s">
        <v>36</v>
      </c>
      <c r="L44" s="26" t="s">
        <v>141</v>
      </c>
      <c r="M44" s="31"/>
      <c r="N44" s="6"/>
      <c r="O44" s="2"/>
      <c r="P44" s="2"/>
      <c r="Q44" s="2"/>
      <c r="R44" s="2"/>
      <c r="S44" s="2"/>
      <c r="T44" s="2"/>
      <c r="U44" s="2"/>
      <c r="V44" s="2"/>
      <c r="W44" s="2"/>
      <c r="X44" s="2"/>
      <c r="Y44" s="2"/>
    </row>
    <row r="45" spans="1:25" ht="12.75" customHeight="1">
      <c r="A45" s="26" t="s">
        <v>152</v>
      </c>
      <c r="B45" s="27"/>
      <c r="C45" s="28"/>
      <c r="D45" s="27"/>
      <c r="E45" s="27" t="s">
        <v>153</v>
      </c>
      <c r="F45" s="34" t="s">
        <v>154</v>
      </c>
      <c r="G45" s="27"/>
      <c r="H45" s="27"/>
      <c r="I45" s="27">
        <v>1</v>
      </c>
      <c r="J45" s="30">
        <v>8407752</v>
      </c>
      <c r="K45" s="26" t="s">
        <v>36</v>
      </c>
      <c r="L45" s="26" t="s">
        <v>141</v>
      </c>
      <c r="M45" s="31"/>
      <c r="N45" s="6"/>
      <c r="O45" s="2"/>
      <c r="P45" s="2"/>
      <c r="Q45" s="2"/>
      <c r="R45" s="2"/>
      <c r="S45" s="2"/>
      <c r="T45" s="2"/>
      <c r="U45" s="2"/>
      <c r="V45" s="2"/>
      <c r="W45" s="2"/>
      <c r="X45" s="2"/>
      <c r="Y45" s="2"/>
    </row>
    <row r="46" spans="1:25" ht="76.5" customHeight="1">
      <c r="A46" s="26">
        <v>19</v>
      </c>
      <c r="B46" s="27" t="s">
        <v>52</v>
      </c>
      <c r="C46" s="28">
        <v>40875</v>
      </c>
      <c r="D46" s="27"/>
      <c r="E46" s="27" t="s">
        <v>155</v>
      </c>
      <c r="F46" s="29" t="s">
        <v>156</v>
      </c>
      <c r="G46" s="27"/>
      <c r="H46" s="27" t="s">
        <v>157</v>
      </c>
      <c r="I46" s="27">
        <v>1</v>
      </c>
      <c r="J46" s="30">
        <v>4296111982</v>
      </c>
      <c r="K46" s="26" t="s">
        <v>36</v>
      </c>
      <c r="L46" s="26" t="s">
        <v>141</v>
      </c>
      <c r="M46" s="31" t="s">
        <v>158</v>
      </c>
      <c r="N46" s="6"/>
      <c r="O46" s="2"/>
      <c r="P46" s="2"/>
      <c r="Q46" s="2"/>
      <c r="R46" s="2"/>
      <c r="S46" s="2"/>
      <c r="T46" s="2"/>
      <c r="U46" s="2"/>
      <c r="V46" s="2"/>
      <c r="W46" s="2"/>
      <c r="X46" s="2"/>
      <c r="Y46" s="2"/>
    </row>
    <row r="47" spans="1:25" ht="12.75" customHeight="1">
      <c r="A47" s="26">
        <v>20</v>
      </c>
      <c r="B47" s="27" t="s">
        <v>52</v>
      </c>
      <c r="C47" s="28">
        <v>40875</v>
      </c>
      <c r="D47" s="27"/>
      <c r="E47" s="27" t="s">
        <v>159</v>
      </c>
      <c r="F47" s="29" t="s">
        <v>160</v>
      </c>
      <c r="G47" s="27"/>
      <c r="H47" s="27" t="s">
        <v>19</v>
      </c>
      <c r="I47" s="27">
        <v>1</v>
      </c>
      <c r="J47" s="30">
        <v>105621760</v>
      </c>
      <c r="K47" s="26" t="s">
        <v>36</v>
      </c>
      <c r="L47" s="26" t="s">
        <v>141</v>
      </c>
      <c r="M47" s="31" t="s">
        <v>161</v>
      </c>
      <c r="N47" s="6"/>
      <c r="O47" s="2"/>
      <c r="P47" s="2"/>
      <c r="Q47" s="2"/>
      <c r="R47" s="2"/>
      <c r="S47" s="2"/>
      <c r="T47" s="2"/>
      <c r="U47" s="2"/>
      <c r="V47" s="2"/>
      <c r="W47" s="2"/>
      <c r="X47" s="2"/>
      <c r="Y47" s="2"/>
    </row>
    <row r="48" spans="1:25" ht="51" customHeight="1">
      <c r="A48" s="26" t="s">
        <v>162</v>
      </c>
      <c r="B48" s="27"/>
      <c r="C48" s="28"/>
      <c r="D48" s="27"/>
      <c r="E48" s="27" t="s">
        <v>163</v>
      </c>
      <c r="F48" s="29" t="s">
        <v>164</v>
      </c>
      <c r="G48" s="27"/>
      <c r="H48" s="27"/>
      <c r="I48" s="27">
        <v>1</v>
      </c>
      <c r="J48" s="30">
        <v>31613145</v>
      </c>
      <c r="K48" s="26" t="s">
        <v>36</v>
      </c>
      <c r="L48" s="26" t="s">
        <v>141</v>
      </c>
      <c r="M48" s="31"/>
      <c r="N48" s="6"/>
      <c r="O48" s="2"/>
      <c r="P48" s="2"/>
      <c r="Q48" s="2"/>
      <c r="R48" s="2"/>
      <c r="S48" s="2"/>
      <c r="T48" s="2"/>
      <c r="U48" s="2"/>
      <c r="V48" s="2"/>
      <c r="W48" s="2"/>
      <c r="X48" s="2"/>
      <c r="Y48" s="2"/>
    </row>
    <row r="49" spans="1:25" ht="12.75" customHeight="1">
      <c r="A49" s="26" t="s">
        <v>165</v>
      </c>
      <c r="B49" s="27"/>
      <c r="C49" s="28"/>
      <c r="D49" s="27"/>
      <c r="E49" s="27" t="s">
        <v>166</v>
      </c>
      <c r="F49" s="34" t="s">
        <v>167</v>
      </c>
      <c r="G49" s="27"/>
      <c r="H49" s="27"/>
      <c r="I49" s="27">
        <v>1</v>
      </c>
      <c r="J49" s="30">
        <v>8407752</v>
      </c>
      <c r="K49" s="26" t="s">
        <v>36</v>
      </c>
      <c r="L49" s="26" t="s">
        <v>141</v>
      </c>
      <c r="M49" s="31"/>
      <c r="N49" s="6"/>
      <c r="O49" s="2"/>
      <c r="P49" s="2"/>
      <c r="Q49" s="2"/>
      <c r="R49" s="2"/>
      <c r="S49" s="2"/>
      <c r="T49" s="2"/>
      <c r="U49" s="2"/>
      <c r="V49" s="2"/>
      <c r="W49" s="2"/>
      <c r="X49" s="2"/>
      <c r="Y49" s="2"/>
    </row>
    <row r="50" spans="1:25" ht="25.5" customHeight="1">
      <c r="A50" s="26">
        <v>21</v>
      </c>
      <c r="B50" s="27" t="s">
        <v>52</v>
      </c>
      <c r="C50" s="28">
        <v>40875</v>
      </c>
      <c r="D50" s="27"/>
      <c r="E50" s="27" t="s">
        <v>168</v>
      </c>
      <c r="F50" s="29" t="s">
        <v>160</v>
      </c>
      <c r="G50" s="27"/>
      <c r="H50" s="27" t="s">
        <v>19</v>
      </c>
      <c r="I50" s="27">
        <v>1</v>
      </c>
      <c r="J50" s="30">
        <v>105621760</v>
      </c>
      <c r="K50" s="26" t="s">
        <v>36</v>
      </c>
      <c r="L50" s="26" t="s">
        <v>169</v>
      </c>
      <c r="M50" s="31" t="s">
        <v>170</v>
      </c>
      <c r="N50" s="6"/>
      <c r="O50" s="2"/>
      <c r="P50" s="2"/>
      <c r="Q50" s="2"/>
      <c r="R50" s="2"/>
      <c r="S50" s="2"/>
      <c r="T50" s="2"/>
      <c r="U50" s="2"/>
      <c r="V50" s="2"/>
      <c r="W50" s="2"/>
      <c r="X50" s="2"/>
      <c r="Y50" s="2"/>
    </row>
    <row r="51" spans="1:25" ht="51" customHeight="1">
      <c r="A51" s="26" t="s">
        <v>171</v>
      </c>
      <c r="B51" s="27"/>
      <c r="C51" s="28"/>
      <c r="D51" s="27"/>
      <c r="E51" s="27" t="s">
        <v>172</v>
      </c>
      <c r="F51" s="29" t="s">
        <v>173</v>
      </c>
      <c r="G51" s="27"/>
      <c r="H51" s="27"/>
      <c r="I51" s="27">
        <v>1</v>
      </c>
      <c r="J51" s="30">
        <v>31613145</v>
      </c>
      <c r="K51" s="26" t="s">
        <v>36</v>
      </c>
      <c r="L51" s="26" t="s">
        <v>169</v>
      </c>
      <c r="M51" s="31"/>
      <c r="N51" s="6"/>
      <c r="O51" s="2"/>
      <c r="P51" s="2"/>
      <c r="Q51" s="2"/>
      <c r="R51" s="2"/>
      <c r="S51" s="2"/>
      <c r="T51" s="2"/>
      <c r="U51" s="2"/>
      <c r="V51" s="2"/>
      <c r="W51" s="2"/>
      <c r="X51" s="2"/>
      <c r="Y51" s="2"/>
    </row>
    <row r="52" spans="1:25" ht="12.75" customHeight="1">
      <c r="A52" s="26" t="s">
        <v>174</v>
      </c>
      <c r="B52" s="27"/>
      <c r="C52" s="28"/>
      <c r="D52" s="27"/>
      <c r="E52" s="27" t="s">
        <v>175</v>
      </c>
      <c r="F52" s="34" t="s">
        <v>176</v>
      </c>
      <c r="G52" s="27"/>
      <c r="H52" s="27"/>
      <c r="I52" s="27">
        <v>1</v>
      </c>
      <c r="J52" s="30">
        <v>8407752</v>
      </c>
      <c r="K52" s="26" t="s">
        <v>36</v>
      </c>
      <c r="L52" s="26" t="s">
        <v>169</v>
      </c>
      <c r="M52" s="31"/>
      <c r="N52" s="6"/>
      <c r="O52" s="2"/>
      <c r="P52" s="2"/>
      <c r="Q52" s="2"/>
      <c r="R52" s="2"/>
      <c r="S52" s="2"/>
      <c r="T52" s="2"/>
      <c r="U52" s="2"/>
      <c r="V52" s="2"/>
      <c r="W52" s="2"/>
      <c r="X52" s="2"/>
      <c r="Y52" s="2"/>
    </row>
    <row r="53" spans="1:25" ht="12.75" customHeight="1">
      <c r="A53" s="26">
        <v>22</v>
      </c>
      <c r="B53" s="27" t="s">
        <v>52</v>
      </c>
      <c r="C53" s="28">
        <v>40875</v>
      </c>
      <c r="D53" s="27"/>
      <c r="E53" s="27" t="s">
        <v>177</v>
      </c>
      <c r="F53" s="29" t="s">
        <v>160</v>
      </c>
      <c r="G53" s="27"/>
      <c r="H53" s="27" t="s">
        <v>19</v>
      </c>
      <c r="I53" s="27">
        <v>1</v>
      </c>
      <c r="J53" s="30">
        <v>105621760</v>
      </c>
      <c r="K53" s="26" t="s">
        <v>36</v>
      </c>
      <c r="L53" s="26" t="s">
        <v>169</v>
      </c>
      <c r="M53" s="31" t="s">
        <v>178</v>
      </c>
      <c r="N53" s="6"/>
      <c r="O53" s="2"/>
      <c r="P53" s="2"/>
      <c r="Q53" s="2"/>
      <c r="R53" s="2"/>
      <c r="S53" s="2"/>
      <c r="T53" s="2"/>
      <c r="U53" s="2"/>
      <c r="V53" s="2"/>
      <c r="W53" s="2"/>
      <c r="X53" s="2"/>
      <c r="Y53" s="2"/>
    </row>
    <row r="54" spans="1:25" ht="51" customHeight="1">
      <c r="A54" s="26" t="s">
        <v>179</v>
      </c>
      <c r="B54" s="27"/>
      <c r="C54" s="28"/>
      <c r="D54" s="27"/>
      <c r="E54" s="27" t="s">
        <v>180</v>
      </c>
      <c r="F54" s="29" t="s">
        <v>181</v>
      </c>
      <c r="G54" s="27"/>
      <c r="H54" s="27"/>
      <c r="I54" s="27">
        <v>1</v>
      </c>
      <c r="J54" s="30">
        <v>31613145</v>
      </c>
      <c r="K54" s="26" t="s">
        <v>36</v>
      </c>
      <c r="L54" s="26" t="s">
        <v>169</v>
      </c>
      <c r="M54" s="31"/>
      <c r="N54" s="6"/>
      <c r="O54" s="2"/>
      <c r="P54" s="2"/>
      <c r="Q54" s="2"/>
      <c r="R54" s="2"/>
      <c r="S54" s="2"/>
      <c r="T54" s="2"/>
      <c r="U54" s="2"/>
      <c r="V54" s="2"/>
      <c r="W54" s="2"/>
      <c r="X54" s="2"/>
      <c r="Y54" s="2"/>
    </row>
    <row r="55" spans="1:25" ht="12.75" customHeight="1">
      <c r="A55" s="26">
        <v>23</v>
      </c>
      <c r="B55" s="27" t="s">
        <v>52</v>
      </c>
      <c r="C55" s="28">
        <v>40875</v>
      </c>
      <c r="D55" s="27"/>
      <c r="E55" s="27" t="s">
        <v>182</v>
      </c>
      <c r="F55" s="29" t="s">
        <v>160</v>
      </c>
      <c r="G55" s="27"/>
      <c r="H55" s="27" t="s">
        <v>19</v>
      </c>
      <c r="I55" s="27">
        <v>1</v>
      </c>
      <c r="J55" s="30">
        <v>105621760</v>
      </c>
      <c r="K55" s="26" t="s">
        <v>36</v>
      </c>
      <c r="L55" s="26" t="s">
        <v>169</v>
      </c>
      <c r="M55" s="31" t="s">
        <v>178</v>
      </c>
      <c r="N55" s="6"/>
      <c r="O55" s="2"/>
      <c r="P55" s="2"/>
      <c r="Q55" s="2"/>
      <c r="R55" s="2"/>
      <c r="S55" s="2"/>
      <c r="T55" s="2"/>
      <c r="U55" s="2"/>
      <c r="V55" s="2"/>
      <c r="W55" s="2"/>
      <c r="X55" s="2"/>
      <c r="Y55" s="2"/>
    </row>
    <row r="56" spans="1:25" ht="51" customHeight="1">
      <c r="A56" s="26" t="s">
        <v>183</v>
      </c>
      <c r="B56" s="27"/>
      <c r="C56" s="28"/>
      <c r="D56" s="27"/>
      <c r="E56" s="27" t="s">
        <v>184</v>
      </c>
      <c r="F56" s="29" t="s">
        <v>185</v>
      </c>
      <c r="G56" s="27"/>
      <c r="H56" s="27"/>
      <c r="I56" s="27">
        <v>1</v>
      </c>
      <c r="J56" s="30">
        <v>31613145</v>
      </c>
      <c r="K56" s="26" t="s">
        <v>36</v>
      </c>
      <c r="L56" s="26" t="s">
        <v>169</v>
      </c>
      <c r="M56" s="31"/>
      <c r="N56" s="6"/>
      <c r="O56" s="2"/>
      <c r="P56" s="2"/>
      <c r="Q56" s="2"/>
      <c r="R56" s="2"/>
      <c r="S56" s="2"/>
      <c r="T56" s="2"/>
      <c r="U56" s="2"/>
      <c r="V56" s="2"/>
      <c r="W56" s="2"/>
      <c r="X56" s="2"/>
      <c r="Y56" s="2"/>
    </row>
    <row r="57" spans="1:25" ht="12.75" customHeight="1">
      <c r="A57" s="26" t="s">
        <v>186</v>
      </c>
      <c r="B57" s="27"/>
      <c r="C57" s="28"/>
      <c r="D57" s="27"/>
      <c r="E57" s="27" t="s">
        <v>187</v>
      </c>
      <c r="F57" s="34" t="s">
        <v>188</v>
      </c>
      <c r="G57" s="27"/>
      <c r="H57" s="27"/>
      <c r="I57" s="27">
        <v>1</v>
      </c>
      <c r="J57" s="30">
        <v>8407752</v>
      </c>
      <c r="K57" s="26" t="s">
        <v>36</v>
      </c>
      <c r="L57" s="26" t="s">
        <v>169</v>
      </c>
      <c r="M57" s="31"/>
      <c r="N57" s="6"/>
      <c r="O57" s="2"/>
      <c r="P57" s="2"/>
      <c r="Q57" s="2"/>
      <c r="R57" s="2"/>
      <c r="S57" s="2"/>
      <c r="T57" s="2"/>
      <c r="U57" s="2"/>
      <c r="V57" s="2"/>
      <c r="W57" s="2"/>
      <c r="X57" s="2"/>
      <c r="Y57" s="2"/>
    </row>
    <row r="58" spans="1:25" ht="12.75" customHeight="1">
      <c r="A58" s="26">
        <v>24</v>
      </c>
      <c r="B58" s="27" t="s">
        <v>52</v>
      </c>
      <c r="C58" s="28">
        <v>40875</v>
      </c>
      <c r="D58" s="27"/>
      <c r="E58" s="27" t="s">
        <v>189</v>
      </c>
      <c r="F58" s="29" t="s">
        <v>160</v>
      </c>
      <c r="G58" s="27"/>
      <c r="H58" s="27" t="s">
        <v>19</v>
      </c>
      <c r="I58" s="27">
        <v>1</v>
      </c>
      <c r="J58" s="30">
        <v>105621760</v>
      </c>
      <c r="K58" s="26" t="s">
        <v>36</v>
      </c>
      <c r="L58" s="26" t="s">
        <v>169</v>
      </c>
      <c r="M58" s="31" t="s">
        <v>190</v>
      </c>
      <c r="N58" s="6"/>
      <c r="O58" s="2"/>
      <c r="P58" s="2"/>
      <c r="Q58" s="2"/>
      <c r="R58" s="2"/>
      <c r="S58" s="2"/>
      <c r="T58" s="2"/>
      <c r="U58" s="2"/>
      <c r="V58" s="2"/>
      <c r="W58" s="2"/>
      <c r="X58" s="2"/>
      <c r="Y58" s="2"/>
    </row>
    <row r="59" spans="1:25" ht="51" customHeight="1">
      <c r="A59" s="26" t="s">
        <v>191</v>
      </c>
      <c r="B59" s="27"/>
      <c r="C59" s="28"/>
      <c r="D59" s="27"/>
      <c r="E59" s="27" t="s">
        <v>192</v>
      </c>
      <c r="F59" s="29" t="s">
        <v>193</v>
      </c>
      <c r="G59" s="27"/>
      <c r="H59" s="27"/>
      <c r="I59" s="27">
        <v>1</v>
      </c>
      <c r="J59" s="30">
        <v>31613145</v>
      </c>
      <c r="K59" s="26" t="s">
        <v>36</v>
      </c>
      <c r="L59" s="26" t="s">
        <v>169</v>
      </c>
      <c r="M59" s="31"/>
      <c r="N59" s="6"/>
      <c r="O59" s="2"/>
      <c r="P59" s="2"/>
      <c r="Q59" s="2"/>
      <c r="R59" s="2"/>
      <c r="S59" s="2"/>
      <c r="T59" s="2"/>
      <c r="U59" s="2"/>
      <c r="V59" s="2"/>
      <c r="W59" s="2"/>
      <c r="X59" s="2"/>
      <c r="Y59" s="2"/>
    </row>
    <row r="60" spans="1:25" ht="12.75" customHeight="1">
      <c r="A60" s="26" t="s">
        <v>194</v>
      </c>
      <c r="B60" s="27"/>
      <c r="C60" s="28"/>
      <c r="D60" s="27"/>
      <c r="E60" s="27" t="s">
        <v>195</v>
      </c>
      <c r="F60" s="34" t="s">
        <v>196</v>
      </c>
      <c r="G60" s="27"/>
      <c r="H60" s="27"/>
      <c r="I60" s="27">
        <v>1</v>
      </c>
      <c r="J60" s="30">
        <v>8407752</v>
      </c>
      <c r="K60" s="26" t="s">
        <v>36</v>
      </c>
      <c r="L60" s="26" t="s">
        <v>169</v>
      </c>
      <c r="M60" s="31"/>
      <c r="N60" s="6"/>
      <c r="O60" s="2"/>
      <c r="P60" s="2"/>
      <c r="Q60" s="2"/>
      <c r="R60" s="2"/>
      <c r="S60" s="2"/>
      <c r="T60" s="2"/>
      <c r="U60" s="2"/>
      <c r="V60" s="2"/>
      <c r="W60" s="2"/>
      <c r="X60" s="2"/>
      <c r="Y60" s="2"/>
    </row>
    <row r="61" spans="1:25" ht="25.5" customHeight="1">
      <c r="A61" s="26">
        <v>25</v>
      </c>
      <c r="B61" s="27" t="s">
        <v>197</v>
      </c>
      <c r="C61" s="28">
        <v>40948</v>
      </c>
      <c r="D61" s="27"/>
      <c r="E61" s="27" t="s">
        <v>198</v>
      </c>
      <c r="F61" s="29" t="s">
        <v>199</v>
      </c>
      <c r="G61" s="27" t="s">
        <v>35</v>
      </c>
      <c r="H61" s="27" t="s">
        <v>19</v>
      </c>
      <c r="I61" s="27">
        <v>1</v>
      </c>
      <c r="J61" s="30">
        <v>180121617</v>
      </c>
      <c r="K61" s="26" t="s">
        <v>36</v>
      </c>
      <c r="L61" s="26" t="s">
        <v>169</v>
      </c>
      <c r="M61" s="31" t="s">
        <v>200</v>
      </c>
      <c r="N61" s="6"/>
      <c r="O61" s="2"/>
      <c r="P61" s="2"/>
      <c r="Q61" s="2"/>
      <c r="R61" s="2"/>
      <c r="S61" s="2"/>
      <c r="T61" s="2"/>
      <c r="U61" s="2"/>
      <c r="V61" s="2"/>
      <c r="W61" s="2"/>
      <c r="X61" s="2"/>
      <c r="Y61" s="2"/>
    </row>
    <row r="62" spans="1:25" ht="12.75" customHeight="1">
      <c r="A62" s="26" t="s">
        <v>201</v>
      </c>
      <c r="B62" s="27"/>
      <c r="C62" s="28"/>
      <c r="D62" s="27"/>
      <c r="E62" s="27" t="s">
        <v>202</v>
      </c>
      <c r="F62" s="29" t="s">
        <v>203</v>
      </c>
      <c r="G62" s="27"/>
      <c r="H62" s="27"/>
      <c r="I62" s="27">
        <v>1</v>
      </c>
      <c r="J62" s="30">
        <v>0</v>
      </c>
      <c r="K62" s="26" t="s">
        <v>36</v>
      </c>
      <c r="L62" s="26" t="s">
        <v>169</v>
      </c>
      <c r="M62" s="31"/>
      <c r="N62" s="6"/>
      <c r="O62" s="2"/>
      <c r="P62" s="2"/>
      <c r="Q62" s="2"/>
      <c r="R62" s="2"/>
      <c r="S62" s="2"/>
      <c r="T62" s="2"/>
      <c r="U62" s="2"/>
      <c r="V62" s="2"/>
      <c r="W62" s="2"/>
      <c r="X62" s="2"/>
      <c r="Y62" s="2"/>
    </row>
    <row r="63" spans="1:25" ht="12.75" customHeight="1">
      <c r="A63" s="26">
        <v>26</v>
      </c>
      <c r="B63" s="27" t="s">
        <v>197</v>
      </c>
      <c r="C63" s="28">
        <v>40948</v>
      </c>
      <c r="D63" s="27"/>
      <c r="E63" s="27" t="s">
        <v>204</v>
      </c>
      <c r="F63" s="29" t="s">
        <v>205</v>
      </c>
      <c r="G63" s="27" t="s">
        <v>35</v>
      </c>
      <c r="H63" s="27" t="s">
        <v>19</v>
      </c>
      <c r="I63" s="27">
        <v>1</v>
      </c>
      <c r="J63" s="30">
        <v>180121617</v>
      </c>
      <c r="K63" s="26" t="s">
        <v>206</v>
      </c>
      <c r="L63" s="26" t="s">
        <v>207</v>
      </c>
      <c r="M63" s="31" t="s">
        <v>208</v>
      </c>
      <c r="N63" s="6"/>
      <c r="O63" s="2"/>
      <c r="P63" s="2"/>
      <c r="Q63" s="2"/>
      <c r="R63" s="2"/>
      <c r="S63" s="2"/>
      <c r="T63" s="2"/>
      <c r="U63" s="2"/>
      <c r="V63" s="2"/>
      <c r="W63" s="2"/>
      <c r="X63" s="2"/>
      <c r="Y63" s="2"/>
    </row>
    <row r="64" spans="1:25" ht="12.75" customHeight="1">
      <c r="A64" s="26" t="s">
        <v>209</v>
      </c>
      <c r="B64" s="27"/>
      <c r="C64" s="28"/>
      <c r="D64" s="27"/>
      <c r="E64" s="27" t="s">
        <v>210</v>
      </c>
      <c r="F64" s="29" t="s">
        <v>211</v>
      </c>
      <c r="G64" s="27"/>
      <c r="H64" s="27"/>
      <c r="I64" s="27">
        <v>1</v>
      </c>
      <c r="J64" s="30">
        <v>0</v>
      </c>
      <c r="K64" s="26" t="s">
        <v>206</v>
      </c>
      <c r="L64" s="26" t="s">
        <v>207</v>
      </c>
      <c r="M64" s="31"/>
      <c r="N64" s="6"/>
      <c r="O64" s="2"/>
      <c r="P64" s="2"/>
      <c r="Q64" s="2"/>
      <c r="R64" s="2"/>
      <c r="S64" s="2"/>
      <c r="T64" s="2"/>
      <c r="U64" s="2"/>
      <c r="V64" s="2"/>
      <c r="W64" s="2"/>
      <c r="X64" s="2"/>
      <c r="Y64" s="2"/>
    </row>
    <row r="65" spans="1:25" ht="12.75" customHeight="1">
      <c r="A65" s="26">
        <v>27</v>
      </c>
      <c r="B65" s="27" t="s">
        <v>212</v>
      </c>
      <c r="C65" s="28">
        <v>41512</v>
      </c>
      <c r="D65" s="27"/>
      <c r="E65" s="27" t="s">
        <v>213</v>
      </c>
      <c r="F65" s="29" t="s">
        <v>214</v>
      </c>
      <c r="G65" s="27" t="s">
        <v>35</v>
      </c>
      <c r="H65" s="27" t="s">
        <v>19</v>
      </c>
      <c r="I65" s="27">
        <v>1</v>
      </c>
      <c r="J65" s="30">
        <v>175328000</v>
      </c>
      <c r="K65" s="26" t="s">
        <v>206</v>
      </c>
      <c r="L65" s="26" t="s">
        <v>207</v>
      </c>
      <c r="M65" s="31" t="s">
        <v>215</v>
      </c>
      <c r="N65" s="6"/>
      <c r="O65" s="2"/>
      <c r="P65" s="2"/>
      <c r="Q65" s="2"/>
      <c r="R65" s="2"/>
      <c r="S65" s="2"/>
      <c r="T65" s="2"/>
      <c r="U65" s="2"/>
      <c r="V65" s="2"/>
      <c r="W65" s="2"/>
      <c r="X65" s="2"/>
      <c r="Y65" s="2"/>
    </row>
    <row r="66" spans="1:25" ht="12.75" customHeight="1">
      <c r="A66" s="26" t="s">
        <v>216</v>
      </c>
      <c r="B66" s="27"/>
      <c r="C66" s="28"/>
      <c r="D66" s="27"/>
      <c r="E66" s="27" t="s">
        <v>217</v>
      </c>
      <c r="F66" s="29" t="s">
        <v>218</v>
      </c>
      <c r="G66" s="27"/>
      <c r="H66" s="27"/>
      <c r="I66" s="27">
        <v>1</v>
      </c>
      <c r="J66" s="30">
        <v>0</v>
      </c>
      <c r="K66" s="26" t="s">
        <v>206</v>
      </c>
      <c r="L66" s="26" t="s">
        <v>207</v>
      </c>
      <c r="M66" s="31"/>
      <c r="N66" s="6"/>
      <c r="O66" s="2"/>
      <c r="P66" s="2"/>
      <c r="Q66" s="2"/>
      <c r="R66" s="2"/>
      <c r="S66" s="2"/>
      <c r="T66" s="2"/>
      <c r="U66" s="2"/>
      <c r="V66" s="2"/>
      <c r="W66" s="2"/>
      <c r="X66" s="2"/>
      <c r="Y66" s="2"/>
    </row>
    <row r="67" spans="1:25" ht="12.75" customHeight="1">
      <c r="A67" s="26">
        <v>28</v>
      </c>
      <c r="B67" s="27" t="s">
        <v>219</v>
      </c>
      <c r="C67" s="28">
        <v>41635</v>
      </c>
      <c r="D67" s="27"/>
      <c r="E67" s="27" t="s">
        <v>220</v>
      </c>
      <c r="F67" s="29" t="s">
        <v>221</v>
      </c>
      <c r="G67" s="27" t="s">
        <v>35</v>
      </c>
      <c r="H67" s="27" t="s">
        <v>19</v>
      </c>
      <c r="I67" s="27">
        <v>1</v>
      </c>
      <c r="J67" s="30">
        <v>254478351</v>
      </c>
      <c r="K67" s="26" t="s">
        <v>206</v>
      </c>
      <c r="L67" s="26" t="s">
        <v>207</v>
      </c>
      <c r="M67" s="31" t="s">
        <v>222</v>
      </c>
      <c r="N67" s="6"/>
      <c r="O67" s="2"/>
      <c r="P67" s="2"/>
      <c r="Q67" s="2"/>
      <c r="R67" s="2"/>
      <c r="S67" s="2"/>
      <c r="T67" s="2"/>
      <c r="U67" s="2"/>
      <c r="V67" s="2"/>
      <c r="W67" s="2"/>
      <c r="X67" s="2"/>
      <c r="Y67" s="2"/>
    </row>
    <row r="68" spans="1:25" ht="38.25" customHeight="1">
      <c r="A68" s="26" t="s">
        <v>223</v>
      </c>
      <c r="B68" s="27"/>
      <c r="C68" s="28"/>
      <c r="D68" s="27"/>
      <c r="E68" s="27" t="s">
        <v>224</v>
      </c>
      <c r="F68" s="29" t="s">
        <v>225</v>
      </c>
      <c r="G68" s="27"/>
      <c r="H68" s="27"/>
      <c r="I68" s="27">
        <v>1</v>
      </c>
      <c r="J68" s="30">
        <v>0</v>
      </c>
      <c r="K68" s="26" t="s">
        <v>206</v>
      </c>
      <c r="L68" s="26" t="s">
        <v>207</v>
      </c>
      <c r="M68" s="35" t="s">
        <v>226</v>
      </c>
      <c r="N68" s="6"/>
      <c r="O68" s="2"/>
      <c r="P68" s="2"/>
      <c r="Q68" s="2"/>
      <c r="R68" s="2"/>
      <c r="S68" s="2"/>
      <c r="T68" s="2"/>
      <c r="U68" s="2"/>
      <c r="V68" s="2"/>
      <c r="W68" s="2"/>
      <c r="X68" s="2"/>
      <c r="Y68" s="2"/>
    </row>
    <row r="69" spans="1:25" ht="12.75" customHeight="1">
      <c r="A69" s="26">
        <v>29</v>
      </c>
      <c r="B69" s="27" t="s">
        <v>219</v>
      </c>
      <c r="C69" s="28">
        <v>41635</v>
      </c>
      <c r="D69" s="27"/>
      <c r="E69" s="27" t="s">
        <v>227</v>
      </c>
      <c r="F69" s="29" t="s">
        <v>228</v>
      </c>
      <c r="G69" s="27" t="s">
        <v>35</v>
      </c>
      <c r="H69" s="27" t="s">
        <v>19</v>
      </c>
      <c r="I69" s="27">
        <v>1</v>
      </c>
      <c r="J69" s="30">
        <v>254478351</v>
      </c>
      <c r="K69" s="26" t="s">
        <v>20</v>
      </c>
      <c r="L69" s="36" t="s">
        <v>229</v>
      </c>
      <c r="M69" s="31" t="s">
        <v>3070</v>
      </c>
      <c r="N69" s="6"/>
      <c r="O69" s="2"/>
      <c r="P69" s="2"/>
      <c r="Q69" s="2"/>
      <c r="R69" s="2"/>
      <c r="S69" s="2"/>
      <c r="T69" s="2"/>
      <c r="U69" s="2"/>
      <c r="V69" s="2"/>
      <c r="W69" s="2"/>
      <c r="X69" s="2"/>
      <c r="Y69" s="2"/>
    </row>
    <row r="70" spans="1:25" ht="25.5" customHeight="1">
      <c r="A70" s="26" t="s">
        <v>230</v>
      </c>
      <c r="B70" s="27"/>
      <c r="C70" s="28"/>
      <c r="D70" s="27"/>
      <c r="E70" s="27" t="s">
        <v>231</v>
      </c>
      <c r="F70" s="29" t="s">
        <v>232</v>
      </c>
      <c r="G70" s="27"/>
      <c r="H70" s="27"/>
      <c r="I70" s="27">
        <v>1</v>
      </c>
      <c r="J70" s="30">
        <v>0</v>
      </c>
      <c r="K70" s="26" t="s">
        <v>20</v>
      </c>
      <c r="L70" s="26" t="s">
        <v>233</v>
      </c>
      <c r="M70" s="31" t="s">
        <v>234</v>
      </c>
      <c r="N70" s="6"/>
      <c r="O70" s="2"/>
      <c r="P70" s="2"/>
      <c r="Q70" s="2"/>
      <c r="R70" s="2"/>
      <c r="S70" s="2"/>
      <c r="T70" s="2"/>
      <c r="U70" s="2"/>
      <c r="V70" s="2"/>
      <c r="W70" s="2"/>
      <c r="X70" s="2"/>
      <c r="Y70" s="2"/>
    </row>
    <row r="71" spans="1:25" ht="12.75" customHeight="1">
      <c r="A71" s="26">
        <v>30</v>
      </c>
      <c r="B71" s="27" t="s">
        <v>219</v>
      </c>
      <c r="C71" s="28">
        <v>41635</v>
      </c>
      <c r="D71" s="27"/>
      <c r="E71" s="27" t="s">
        <v>235</v>
      </c>
      <c r="F71" s="29" t="s">
        <v>236</v>
      </c>
      <c r="G71" s="27" t="s">
        <v>35</v>
      </c>
      <c r="H71" s="27" t="s">
        <v>19</v>
      </c>
      <c r="I71" s="27">
        <v>1</v>
      </c>
      <c r="J71" s="30">
        <v>254478351</v>
      </c>
      <c r="K71" s="26" t="s">
        <v>206</v>
      </c>
      <c r="L71" s="26" t="s">
        <v>207</v>
      </c>
      <c r="M71" s="31" t="s">
        <v>237</v>
      </c>
      <c r="N71" s="6"/>
      <c r="O71" s="2"/>
      <c r="P71" s="2"/>
      <c r="Q71" s="2"/>
      <c r="R71" s="2"/>
      <c r="S71" s="2"/>
      <c r="T71" s="2"/>
      <c r="U71" s="2"/>
      <c r="V71" s="2"/>
      <c r="W71" s="2"/>
      <c r="X71" s="2"/>
      <c r="Y71" s="2"/>
    </row>
    <row r="72" spans="1:25" ht="12.75" customHeight="1">
      <c r="A72" s="26" t="s">
        <v>238</v>
      </c>
      <c r="B72" s="27"/>
      <c r="C72" s="28"/>
      <c r="D72" s="27"/>
      <c r="E72" s="27" t="s">
        <v>239</v>
      </c>
      <c r="F72" s="29" t="s">
        <v>240</v>
      </c>
      <c r="G72" s="27"/>
      <c r="H72" s="27"/>
      <c r="I72" s="27">
        <v>1</v>
      </c>
      <c r="J72" s="30">
        <v>0</v>
      </c>
      <c r="K72" s="26" t="s">
        <v>206</v>
      </c>
      <c r="L72" s="26" t="s">
        <v>207</v>
      </c>
      <c r="M72" s="31"/>
      <c r="N72" s="6"/>
      <c r="O72" s="2"/>
      <c r="P72" s="2"/>
      <c r="Q72" s="2"/>
      <c r="R72" s="2"/>
      <c r="S72" s="2"/>
      <c r="T72" s="2"/>
      <c r="U72" s="2"/>
      <c r="V72" s="2"/>
      <c r="W72" s="2"/>
      <c r="X72" s="2"/>
      <c r="Y72" s="2"/>
    </row>
    <row r="73" spans="1:25" ht="25.5" customHeight="1">
      <c r="A73" s="26">
        <v>31</v>
      </c>
      <c r="B73" s="27" t="s">
        <v>241</v>
      </c>
      <c r="C73" s="28">
        <v>42726</v>
      </c>
      <c r="D73" s="27"/>
      <c r="E73" s="27" t="s">
        <v>242</v>
      </c>
      <c r="F73" s="29" t="s">
        <v>243</v>
      </c>
      <c r="G73" s="27" t="s">
        <v>35</v>
      </c>
      <c r="H73" s="27" t="s">
        <v>19</v>
      </c>
      <c r="I73" s="27">
        <v>1</v>
      </c>
      <c r="J73" s="30">
        <v>180900000</v>
      </c>
      <c r="K73" s="26" t="s">
        <v>206</v>
      </c>
      <c r="L73" s="26" t="s">
        <v>207</v>
      </c>
      <c r="M73" s="31" t="s">
        <v>244</v>
      </c>
      <c r="N73" s="6"/>
      <c r="O73" s="2"/>
      <c r="P73" s="2"/>
      <c r="Q73" s="2"/>
      <c r="R73" s="2"/>
      <c r="S73" s="2"/>
      <c r="T73" s="2"/>
      <c r="U73" s="2"/>
      <c r="V73" s="2"/>
      <c r="W73" s="2"/>
      <c r="X73" s="2"/>
      <c r="Y73" s="2"/>
    </row>
    <row r="74" spans="1:25" ht="12.75" customHeight="1">
      <c r="A74" s="26" t="s">
        <v>245</v>
      </c>
      <c r="B74" s="27"/>
      <c r="C74" s="28"/>
      <c r="D74" s="27"/>
      <c r="E74" s="27" t="s">
        <v>246</v>
      </c>
      <c r="F74" s="29" t="s">
        <v>247</v>
      </c>
      <c r="G74" s="27" t="s">
        <v>248</v>
      </c>
      <c r="H74" s="27" t="s">
        <v>249</v>
      </c>
      <c r="I74" s="27">
        <v>1</v>
      </c>
      <c r="J74" s="30">
        <v>0</v>
      </c>
      <c r="K74" s="26" t="s">
        <v>206</v>
      </c>
      <c r="L74" s="26" t="s">
        <v>207</v>
      </c>
      <c r="M74" s="31"/>
      <c r="N74" s="6"/>
      <c r="O74" s="2"/>
      <c r="P74" s="2"/>
      <c r="Q74" s="2"/>
      <c r="R74" s="2"/>
      <c r="S74" s="2"/>
      <c r="T74" s="2"/>
      <c r="U74" s="2"/>
      <c r="V74" s="2"/>
      <c r="W74" s="2"/>
      <c r="X74" s="2"/>
      <c r="Y74" s="2"/>
    </row>
    <row r="75" spans="1:25" ht="25.5" customHeight="1">
      <c r="A75" s="26">
        <v>32</v>
      </c>
      <c r="B75" s="27" t="s">
        <v>241</v>
      </c>
      <c r="C75" s="28">
        <v>42726</v>
      </c>
      <c r="D75" s="27"/>
      <c r="E75" s="27" t="s">
        <v>250</v>
      </c>
      <c r="F75" s="29" t="s">
        <v>251</v>
      </c>
      <c r="G75" s="27" t="s">
        <v>35</v>
      </c>
      <c r="H75" s="27" t="s">
        <v>19</v>
      </c>
      <c r="I75" s="27">
        <v>1</v>
      </c>
      <c r="J75" s="30">
        <v>180900000</v>
      </c>
      <c r="K75" s="26" t="s">
        <v>206</v>
      </c>
      <c r="L75" s="26" t="s">
        <v>207</v>
      </c>
      <c r="M75" s="31" t="s">
        <v>252</v>
      </c>
      <c r="N75" s="6"/>
      <c r="O75" s="2"/>
      <c r="P75" s="2"/>
      <c r="Q75" s="2"/>
      <c r="R75" s="2"/>
      <c r="S75" s="2"/>
      <c r="T75" s="2"/>
      <c r="U75" s="2"/>
      <c r="V75" s="2"/>
      <c r="W75" s="2"/>
      <c r="X75" s="2"/>
      <c r="Y75" s="2"/>
    </row>
    <row r="76" spans="1:25" ht="12.75" customHeight="1">
      <c r="A76" s="26" t="s">
        <v>253</v>
      </c>
      <c r="B76" s="27"/>
      <c r="C76" s="28"/>
      <c r="D76" s="27"/>
      <c r="E76" s="27" t="s">
        <v>254</v>
      </c>
      <c r="F76" s="29" t="s">
        <v>255</v>
      </c>
      <c r="G76" s="27" t="s">
        <v>248</v>
      </c>
      <c r="H76" s="27" t="s">
        <v>249</v>
      </c>
      <c r="I76" s="27">
        <v>1</v>
      </c>
      <c r="J76" s="30">
        <v>0</v>
      </c>
      <c r="K76" s="26" t="s">
        <v>206</v>
      </c>
      <c r="L76" s="26" t="s">
        <v>207</v>
      </c>
      <c r="M76" s="31"/>
      <c r="N76" s="6"/>
      <c r="O76" s="2"/>
      <c r="P76" s="2"/>
      <c r="Q76" s="2"/>
      <c r="R76" s="2"/>
      <c r="S76" s="2"/>
      <c r="T76" s="2"/>
      <c r="U76" s="2"/>
      <c r="V76" s="2"/>
      <c r="W76" s="2"/>
      <c r="X76" s="2"/>
      <c r="Y76" s="2"/>
    </row>
    <row r="77" spans="1:25" ht="25.5" customHeight="1">
      <c r="A77" s="26">
        <v>33</v>
      </c>
      <c r="B77" s="27" t="s">
        <v>241</v>
      </c>
      <c r="C77" s="28">
        <v>42726</v>
      </c>
      <c r="D77" s="27"/>
      <c r="E77" s="27" t="s">
        <v>256</v>
      </c>
      <c r="F77" s="29" t="s">
        <v>257</v>
      </c>
      <c r="G77" s="27" t="s">
        <v>35</v>
      </c>
      <c r="H77" s="27" t="s">
        <v>19</v>
      </c>
      <c r="I77" s="27">
        <v>1</v>
      </c>
      <c r="J77" s="30">
        <v>180900000</v>
      </c>
      <c r="K77" s="26" t="s">
        <v>206</v>
      </c>
      <c r="L77" s="26" t="s">
        <v>207</v>
      </c>
      <c r="M77" s="31" t="s">
        <v>258</v>
      </c>
      <c r="N77" s="6"/>
      <c r="O77" s="2"/>
      <c r="P77" s="2"/>
      <c r="Q77" s="2"/>
      <c r="R77" s="2"/>
      <c r="S77" s="2"/>
      <c r="T77" s="2"/>
      <c r="U77" s="2"/>
      <c r="V77" s="2"/>
      <c r="W77" s="2"/>
      <c r="X77" s="2"/>
      <c r="Y77" s="2"/>
    </row>
    <row r="78" spans="1:25" ht="12.75" customHeight="1">
      <c r="A78" s="26" t="s">
        <v>259</v>
      </c>
      <c r="B78" s="27"/>
      <c r="C78" s="28"/>
      <c r="D78" s="27"/>
      <c r="E78" s="27" t="s">
        <v>260</v>
      </c>
      <c r="F78" s="29" t="s">
        <v>261</v>
      </c>
      <c r="G78" s="27" t="s">
        <v>248</v>
      </c>
      <c r="H78" s="27" t="s">
        <v>249</v>
      </c>
      <c r="I78" s="27">
        <v>1</v>
      </c>
      <c r="J78" s="30">
        <v>0</v>
      </c>
      <c r="K78" s="26" t="s">
        <v>206</v>
      </c>
      <c r="L78" s="26" t="s">
        <v>207</v>
      </c>
      <c r="M78" s="31"/>
      <c r="N78" s="6"/>
      <c r="O78" s="2"/>
      <c r="P78" s="2"/>
      <c r="Q78" s="2"/>
      <c r="R78" s="2"/>
      <c r="S78" s="2"/>
      <c r="T78" s="2"/>
      <c r="U78" s="2"/>
      <c r="V78" s="2"/>
      <c r="W78" s="2"/>
      <c r="X78" s="2"/>
      <c r="Y78" s="2"/>
    </row>
    <row r="79" spans="1:25" ht="25.5" customHeight="1">
      <c r="A79" s="26">
        <v>34</v>
      </c>
      <c r="B79" s="27" t="s">
        <v>241</v>
      </c>
      <c r="C79" s="28">
        <v>42726</v>
      </c>
      <c r="D79" s="27"/>
      <c r="E79" s="27" t="s">
        <v>262</v>
      </c>
      <c r="F79" s="29" t="s">
        <v>263</v>
      </c>
      <c r="G79" s="27" t="s">
        <v>35</v>
      </c>
      <c r="H79" s="27" t="s">
        <v>19</v>
      </c>
      <c r="I79" s="27">
        <v>1</v>
      </c>
      <c r="J79" s="30">
        <v>180900000</v>
      </c>
      <c r="K79" s="26" t="s">
        <v>206</v>
      </c>
      <c r="L79" s="26" t="s">
        <v>207</v>
      </c>
      <c r="M79" s="31" t="s">
        <v>264</v>
      </c>
      <c r="N79" s="6"/>
      <c r="O79" s="2"/>
      <c r="P79" s="2"/>
      <c r="Q79" s="2"/>
      <c r="R79" s="2"/>
      <c r="S79" s="2"/>
      <c r="T79" s="2"/>
      <c r="U79" s="2"/>
      <c r="V79" s="2"/>
      <c r="W79" s="2"/>
      <c r="X79" s="2"/>
      <c r="Y79" s="2"/>
    </row>
    <row r="80" spans="1:25" ht="12.75" customHeight="1">
      <c r="A80" s="26" t="s">
        <v>265</v>
      </c>
      <c r="B80" s="27"/>
      <c r="C80" s="28"/>
      <c r="D80" s="27"/>
      <c r="E80" s="27" t="s">
        <v>266</v>
      </c>
      <c r="F80" s="29" t="s">
        <v>267</v>
      </c>
      <c r="G80" s="27" t="s">
        <v>248</v>
      </c>
      <c r="H80" s="27" t="s">
        <v>249</v>
      </c>
      <c r="I80" s="27">
        <v>1</v>
      </c>
      <c r="J80" s="30">
        <v>0</v>
      </c>
      <c r="K80" s="26" t="s">
        <v>206</v>
      </c>
      <c r="L80" s="26" t="s">
        <v>207</v>
      </c>
      <c r="M80" s="31"/>
      <c r="N80" s="6"/>
      <c r="O80" s="2"/>
      <c r="P80" s="2"/>
      <c r="Q80" s="2"/>
      <c r="R80" s="2"/>
      <c r="S80" s="2"/>
      <c r="T80" s="2"/>
      <c r="U80" s="2"/>
      <c r="V80" s="2"/>
      <c r="W80" s="2"/>
      <c r="X80" s="2"/>
      <c r="Y80" s="2"/>
    </row>
    <row r="81" spans="1:25" ht="25.5" customHeight="1">
      <c r="A81" s="26">
        <v>35</v>
      </c>
      <c r="B81" s="27" t="s">
        <v>241</v>
      </c>
      <c r="C81" s="28">
        <v>42726</v>
      </c>
      <c r="D81" s="27"/>
      <c r="E81" s="27" t="s">
        <v>268</v>
      </c>
      <c r="F81" s="29" t="s">
        <v>269</v>
      </c>
      <c r="G81" s="27" t="s">
        <v>35</v>
      </c>
      <c r="H81" s="27" t="s">
        <v>19</v>
      </c>
      <c r="I81" s="27">
        <v>1</v>
      </c>
      <c r="J81" s="30">
        <v>180900000</v>
      </c>
      <c r="K81" s="26" t="s">
        <v>206</v>
      </c>
      <c r="L81" s="26" t="s">
        <v>207</v>
      </c>
      <c r="M81" s="31" t="s">
        <v>270</v>
      </c>
      <c r="N81" s="6"/>
      <c r="O81" s="2"/>
      <c r="P81" s="2"/>
      <c r="Q81" s="2"/>
      <c r="R81" s="2"/>
      <c r="S81" s="2"/>
      <c r="T81" s="2"/>
      <c r="U81" s="2"/>
      <c r="V81" s="2"/>
      <c r="W81" s="2"/>
      <c r="X81" s="2"/>
      <c r="Y81" s="2"/>
    </row>
    <row r="82" spans="1:25" ht="12.75" customHeight="1">
      <c r="A82" s="26" t="s">
        <v>271</v>
      </c>
      <c r="B82" s="27"/>
      <c r="C82" s="28"/>
      <c r="D82" s="27"/>
      <c r="E82" s="27" t="s">
        <v>272</v>
      </c>
      <c r="F82" s="29" t="s">
        <v>273</v>
      </c>
      <c r="G82" s="27" t="s">
        <v>248</v>
      </c>
      <c r="H82" s="27" t="s">
        <v>249</v>
      </c>
      <c r="I82" s="27">
        <v>1</v>
      </c>
      <c r="J82" s="30">
        <v>0</v>
      </c>
      <c r="K82" s="26" t="s">
        <v>206</v>
      </c>
      <c r="L82" s="26" t="s">
        <v>207</v>
      </c>
      <c r="M82" s="31"/>
      <c r="N82" s="6"/>
      <c r="O82" s="2"/>
      <c r="P82" s="2"/>
      <c r="Q82" s="2"/>
      <c r="R82" s="2"/>
      <c r="S82" s="2"/>
      <c r="T82" s="2"/>
      <c r="U82" s="2"/>
      <c r="V82" s="2"/>
      <c r="W82" s="2"/>
      <c r="X82" s="2"/>
      <c r="Y82" s="2"/>
    </row>
    <row r="83" spans="1:25" ht="25.5" customHeight="1">
      <c r="A83" s="26">
        <v>36</v>
      </c>
      <c r="B83" s="27" t="s">
        <v>274</v>
      </c>
      <c r="C83" s="28">
        <v>41542</v>
      </c>
      <c r="D83" s="27"/>
      <c r="E83" s="27" t="s">
        <v>275</v>
      </c>
      <c r="F83" s="29" t="s">
        <v>276</v>
      </c>
      <c r="G83" s="27" t="s">
        <v>35</v>
      </c>
      <c r="H83" s="27" t="s">
        <v>19</v>
      </c>
      <c r="I83" s="27">
        <v>1</v>
      </c>
      <c r="J83" s="30">
        <v>59900000</v>
      </c>
      <c r="K83" s="26" t="s">
        <v>20</v>
      </c>
      <c r="L83" s="394" t="s">
        <v>229</v>
      </c>
      <c r="M83" s="31" t="s">
        <v>3286</v>
      </c>
      <c r="N83" s="6"/>
      <c r="O83" s="2"/>
      <c r="P83" s="2"/>
      <c r="Q83" s="2"/>
      <c r="R83" s="2"/>
      <c r="S83" s="2"/>
      <c r="T83" s="2"/>
      <c r="U83" s="2"/>
      <c r="V83" s="2"/>
      <c r="W83" s="2"/>
      <c r="X83" s="2"/>
      <c r="Y83" s="2"/>
    </row>
    <row r="84" spans="1:25" ht="25.5" customHeight="1">
      <c r="A84" s="26" t="s">
        <v>277</v>
      </c>
      <c r="B84" s="27"/>
      <c r="C84" s="28"/>
      <c r="D84" s="27"/>
      <c r="E84" s="27" t="s">
        <v>278</v>
      </c>
      <c r="F84" s="29" t="s">
        <v>279</v>
      </c>
      <c r="G84" s="27"/>
      <c r="H84" s="27"/>
      <c r="I84" s="27">
        <v>1</v>
      </c>
      <c r="J84" s="30">
        <v>0</v>
      </c>
      <c r="K84" s="37" t="s">
        <v>206</v>
      </c>
      <c r="L84" s="37" t="s">
        <v>207</v>
      </c>
      <c r="M84" s="35" t="s">
        <v>280</v>
      </c>
      <c r="N84" s="6"/>
      <c r="O84" s="2"/>
      <c r="P84" s="2"/>
      <c r="Q84" s="2"/>
      <c r="R84" s="2"/>
      <c r="S84" s="2"/>
      <c r="T84" s="2"/>
      <c r="U84" s="2"/>
      <c r="V84" s="2"/>
      <c r="W84" s="2"/>
      <c r="X84" s="2"/>
      <c r="Y84" s="2"/>
    </row>
    <row r="85" spans="1:25" ht="12.75" customHeight="1">
      <c r="A85" s="26">
        <v>37</v>
      </c>
      <c r="B85" s="27" t="s">
        <v>281</v>
      </c>
      <c r="C85" s="28">
        <v>41044</v>
      </c>
      <c r="D85" s="27"/>
      <c r="E85" s="27" t="s">
        <v>282</v>
      </c>
      <c r="F85" s="29" t="s">
        <v>283</v>
      </c>
      <c r="G85" s="27" t="s">
        <v>248</v>
      </c>
      <c r="H85" s="27" t="s">
        <v>19</v>
      </c>
      <c r="I85" s="27">
        <v>1</v>
      </c>
      <c r="J85" s="30">
        <v>320390000</v>
      </c>
      <c r="K85" s="26" t="s">
        <v>20</v>
      </c>
      <c r="L85" s="26" t="s">
        <v>284</v>
      </c>
      <c r="M85" s="31" t="s">
        <v>5160</v>
      </c>
      <c r="N85" s="6"/>
      <c r="O85" s="2"/>
      <c r="P85" s="2"/>
      <c r="Q85" s="2"/>
      <c r="R85" s="2"/>
      <c r="S85" s="2"/>
      <c r="T85" s="2"/>
      <c r="U85" s="2"/>
      <c r="V85" s="2"/>
      <c r="W85" s="2"/>
      <c r="X85" s="2"/>
      <c r="Y85" s="2"/>
    </row>
    <row r="86" spans="1:25" ht="25.5" customHeight="1">
      <c r="A86" s="26" t="s">
        <v>286</v>
      </c>
      <c r="B86" s="27"/>
      <c r="C86" s="28"/>
      <c r="D86" s="27"/>
      <c r="E86" s="27" t="s">
        <v>287</v>
      </c>
      <c r="F86" s="29" t="s">
        <v>288</v>
      </c>
      <c r="G86" s="27"/>
      <c r="H86" s="27"/>
      <c r="I86" s="27">
        <v>1</v>
      </c>
      <c r="J86" s="30">
        <v>0</v>
      </c>
      <c r="K86" s="26" t="s">
        <v>20</v>
      </c>
      <c r="L86" s="26" t="s">
        <v>284</v>
      </c>
      <c r="M86" s="31" t="s">
        <v>5161</v>
      </c>
      <c r="N86" s="6"/>
      <c r="O86" s="2"/>
      <c r="P86" s="2"/>
      <c r="Q86" s="2"/>
      <c r="R86" s="2"/>
      <c r="S86" s="2"/>
      <c r="T86" s="2"/>
      <c r="U86" s="2"/>
      <c r="V86" s="2"/>
      <c r="W86" s="2"/>
      <c r="X86" s="2"/>
      <c r="Y86" s="2"/>
    </row>
    <row r="87" spans="1:25" ht="12.75" customHeight="1">
      <c r="A87" s="26" t="s">
        <v>289</v>
      </c>
      <c r="B87" s="27"/>
      <c r="C87" s="28"/>
      <c r="D87" s="27"/>
      <c r="E87" s="27" t="s">
        <v>290</v>
      </c>
      <c r="F87" s="29" t="s">
        <v>291</v>
      </c>
      <c r="G87" s="27"/>
      <c r="H87" s="27"/>
      <c r="I87" s="27">
        <v>1</v>
      </c>
      <c r="J87" s="30">
        <v>0</v>
      </c>
      <c r="K87" s="26" t="s">
        <v>20</v>
      </c>
      <c r="L87" s="26" t="s">
        <v>284</v>
      </c>
      <c r="M87" s="31"/>
      <c r="N87" s="6"/>
      <c r="O87" s="2"/>
      <c r="P87" s="2"/>
      <c r="Q87" s="2"/>
      <c r="R87" s="2"/>
      <c r="S87" s="2"/>
      <c r="T87" s="2"/>
      <c r="U87" s="2"/>
      <c r="V87" s="2"/>
      <c r="W87" s="2"/>
      <c r="X87" s="2"/>
      <c r="Y87" s="2"/>
    </row>
    <row r="88" spans="1:25" ht="25.5" customHeight="1">
      <c r="A88" s="26">
        <v>38</v>
      </c>
      <c r="B88" s="27" t="s">
        <v>281</v>
      </c>
      <c r="C88" s="28">
        <v>41044</v>
      </c>
      <c r="D88" s="27"/>
      <c r="E88" s="27" t="s">
        <v>292</v>
      </c>
      <c r="F88" s="29" t="s">
        <v>293</v>
      </c>
      <c r="G88" s="27" t="s">
        <v>248</v>
      </c>
      <c r="H88" s="27" t="s">
        <v>19</v>
      </c>
      <c r="I88" s="27">
        <v>1</v>
      </c>
      <c r="J88" s="30">
        <v>320390000</v>
      </c>
      <c r="K88" s="26" t="s">
        <v>294</v>
      </c>
      <c r="L88" s="394" t="s">
        <v>295</v>
      </c>
      <c r="M88" s="31" t="s">
        <v>5162</v>
      </c>
      <c r="N88" s="6"/>
      <c r="O88" s="2"/>
      <c r="P88" s="2"/>
      <c r="Q88" s="2"/>
      <c r="R88" s="2"/>
      <c r="S88" s="2"/>
      <c r="T88" s="2"/>
      <c r="U88" s="2"/>
      <c r="V88" s="2"/>
      <c r="W88" s="2"/>
      <c r="X88" s="2"/>
      <c r="Y88" s="2"/>
    </row>
    <row r="89" spans="1:25" ht="25.5" customHeight="1">
      <c r="A89" s="26" t="s">
        <v>297</v>
      </c>
      <c r="B89" s="27"/>
      <c r="C89" s="28"/>
      <c r="D89" s="27"/>
      <c r="E89" s="27" t="s">
        <v>298</v>
      </c>
      <c r="F89" s="29" t="s">
        <v>299</v>
      </c>
      <c r="G89" s="27"/>
      <c r="H89" s="27"/>
      <c r="I89" s="27">
        <v>1</v>
      </c>
      <c r="J89" s="30">
        <v>0</v>
      </c>
      <c r="K89" s="26" t="s">
        <v>294</v>
      </c>
      <c r="L89" s="394" t="s">
        <v>295</v>
      </c>
      <c r="M89" s="31" t="s">
        <v>5162</v>
      </c>
      <c r="N89" s="6"/>
      <c r="O89" s="2"/>
      <c r="P89" s="2"/>
      <c r="Q89" s="2"/>
      <c r="R89" s="2"/>
      <c r="S89" s="2"/>
      <c r="T89" s="2"/>
      <c r="U89" s="2"/>
      <c r="V89" s="2"/>
      <c r="W89" s="2"/>
      <c r="X89" s="2"/>
      <c r="Y89" s="2"/>
    </row>
    <row r="90" spans="1:25" ht="38.25" customHeight="1">
      <c r="A90" s="26" t="s">
        <v>300</v>
      </c>
      <c r="B90" s="27"/>
      <c r="C90" s="28"/>
      <c r="D90" s="27"/>
      <c r="E90" s="27" t="s">
        <v>301</v>
      </c>
      <c r="F90" s="29" t="s">
        <v>302</v>
      </c>
      <c r="G90" s="27"/>
      <c r="H90" s="27"/>
      <c r="I90" s="27">
        <v>1</v>
      </c>
      <c r="J90" s="30">
        <v>0</v>
      </c>
      <c r="K90" s="26" t="s">
        <v>294</v>
      </c>
      <c r="L90" s="394" t="s">
        <v>295</v>
      </c>
      <c r="M90" s="31" t="s">
        <v>303</v>
      </c>
      <c r="N90" s="6"/>
      <c r="O90" s="2"/>
      <c r="P90" s="2"/>
      <c r="Q90" s="2"/>
      <c r="R90" s="2"/>
      <c r="S90" s="2"/>
      <c r="T90" s="2"/>
      <c r="U90" s="2"/>
      <c r="V90" s="2"/>
      <c r="W90" s="2"/>
      <c r="X90" s="2"/>
      <c r="Y90" s="2"/>
    </row>
    <row r="91" spans="1:25" ht="25.5" customHeight="1">
      <c r="A91" s="26">
        <v>39</v>
      </c>
      <c r="B91" s="27" t="s">
        <v>304</v>
      </c>
      <c r="C91" s="28">
        <v>41073</v>
      </c>
      <c r="D91" s="27"/>
      <c r="E91" s="27" t="s">
        <v>305</v>
      </c>
      <c r="F91" s="29" t="s">
        <v>306</v>
      </c>
      <c r="G91" s="27" t="s">
        <v>307</v>
      </c>
      <c r="H91" s="27" t="s">
        <v>19</v>
      </c>
      <c r="I91" s="27">
        <v>1</v>
      </c>
      <c r="J91" s="30">
        <v>199017590</v>
      </c>
      <c r="K91" s="26" t="s">
        <v>36</v>
      </c>
      <c r="L91" s="26" t="s">
        <v>169</v>
      </c>
      <c r="M91" s="31" t="s">
        <v>308</v>
      </c>
      <c r="N91" s="6"/>
      <c r="O91" s="2"/>
      <c r="P91" s="2"/>
      <c r="Q91" s="2"/>
      <c r="R91" s="2"/>
      <c r="S91" s="2"/>
      <c r="T91" s="2"/>
      <c r="U91" s="2"/>
      <c r="V91" s="2"/>
      <c r="W91" s="2"/>
      <c r="X91" s="2"/>
      <c r="Y91" s="2"/>
    </row>
    <row r="92" spans="1:25" ht="25.5" customHeight="1">
      <c r="A92" s="26">
        <v>40</v>
      </c>
      <c r="B92" s="27" t="s">
        <v>219</v>
      </c>
      <c r="C92" s="28">
        <v>41635</v>
      </c>
      <c r="D92" s="27"/>
      <c r="E92" s="27" t="s">
        <v>309</v>
      </c>
      <c r="F92" s="29" t="s">
        <v>310</v>
      </c>
      <c r="G92" s="27" t="s">
        <v>307</v>
      </c>
      <c r="H92" s="27" t="s">
        <v>19</v>
      </c>
      <c r="I92" s="27">
        <v>1</v>
      </c>
      <c r="J92" s="30">
        <v>236609694</v>
      </c>
      <c r="K92" s="26" t="s">
        <v>20</v>
      </c>
      <c r="L92" s="36" t="s">
        <v>229</v>
      </c>
      <c r="M92" s="31" t="s">
        <v>3287</v>
      </c>
      <c r="N92" s="6"/>
      <c r="O92" s="2"/>
      <c r="P92" s="2"/>
      <c r="Q92" s="2"/>
      <c r="R92" s="2"/>
      <c r="S92" s="2"/>
      <c r="T92" s="2"/>
      <c r="U92" s="2"/>
      <c r="V92" s="2"/>
      <c r="W92" s="2"/>
      <c r="X92" s="2"/>
      <c r="Y92" s="2"/>
    </row>
    <row r="93" spans="1:25" ht="12.75" customHeight="1">
      <c r="A93" s="26">
        <v>41</v>
      </c>
      <c r="B93" s="27" t="s">
        <v>314</v>
      </c>
      <c r="C93" s="28">
        <v>41107</v>
      </c>
      <c r="D93" s="27"/>
      <c r="E93" s="27" t="s">
        <v>315</v>
      </c>
      <c r="F93" s="29" t="s">
        <v>316</v>
      </c>
      <c r="G93" s="27" t="s">
        <v>35</v>
      </c>
      <c r="H93" s="27" t="s">
        <v>19</v>
      </c>
      <c r="I93" s="27">
        <v>1</v>
      </c>
      <c r="J93" s="30">
        <v>48500000</v>
      </c>
      <c r="K93" s="26" t="s">
        <v>206</v>
      </c>
      <c r="L93" s="26" t="s">
        <v>207</v>
      </c>
      <c r="M93" s="31" t="s">
        <v>317</v>
      </c>
      <c r="N93" s="6"/>
      <c r="O93" s="2"/>
      <c r="P93" s="2"/>
      <c r="Q93" s="2"/>
      <c r="R93" s="2"/>
      <c r="S93" s="2"/>
      <c r="T93" s="2"/>
      <c r="U93" s="2"/>
      <c r="V93" s="2"/>
      <c r="W93" s="2"/>
      <c r="X93" s="2"/>
      <c r="Y93" s="2"/>
    </row>
    <row r="94" spans="1:25" ht="76.5" customHeight="1">
      <c r="A94" s="26">
        <v>42</v>
      </c>
      <c r="B94" s="27" t="s">
        <v>318</v>
      </c>
      <c r="C94" s="28">
        <v>41193</v>
      </c>
      <c r="D94" s="27"/>
      <c r="E94" s="27" t="s">
        <v>319</v>
      </c>
      <c r="F94" s="29" t="s">
        <v>320</v>
      </c>
      <c r="G94" s="27" t="s">
        <v>307</v>
      </c>
      <c r="H94" s="27" t="s">
        <v>19</v>
      </c>
      <c r="I94" s="27">
        <v>1</v>
      </c>
      <c r="J94" s="30">
        <v>932830700</v>
      </c>
      <c r="K94" s="26" t="s">
        <v>20</v>
      </c>
      <c r="L94" s="36" t="s">
        <v>229</v>
      </c>
      <c r="M94" s="31" t="s">
        <v>3288</v>
      </c>
      <c r="N94" s="6"/>
      <c r="O94" s="2"/>
      <c r="P94" s="2"/>
      <c r="Q94" s="2"/>
      <c r="R94" s="2"/>
      <c r="S94" s="2"/>
      <c r="T94" s="2"/>
      <c r="U94" s="2"/>
      <c r="V94" s="2"/>
      <c r="W94" s="2"/>
      <c r="X94" s="2"/>
      <c r="Y94" s="2"/>
    </row>
    <row r="95" spans="1:25" ht="12.75" customHeight="1">
      <c r="A95" s="26" t="s">
        <v>321</v>
      </c>
      <c r="B95" s="27"/>
      <c r="C95" s="28"/>
      <c r="D95" s="27"/>
      <c r="E95" s="27" t="s">
        <v>322</v>
      </c>
      <c r="F95" s="29" t="s">
        <v>323</v>
      </c>
      <c r="G95" s="27"/>
      <c r="H95" s="27"/>
      <c r="I95" s="27">
        <v>1</v>
      </c>
      <c r="J95" s="30">
        <v>0</v>
      </c>
      <c r="K95" s="26" t="s">
        <v>20</v>
      </c>
      <c r="L95" s="26" t="s">
        <v>284</v>
      </c>
      <c r="M95" s="31" t="s">
        <v>324</v>
      </c>
      <c r="N95" s="6"/>
      <c r="O95" s="2"/>
      <c r="P95" s="2"/>
      <c r="Q95" s="2"/>
      <c r="R95" s="2"/>
      <c r="S95" s="2"/>
      <c r="T95" s="2"/>
      <c r="U95" s="2"/>
      <c r="V95" s="2"/>
      <c r="W95" s="2"/>
      <c r="X95" s="2"/>
      <c r="Y95" s="2"/>
    </row>
    <row r="96" spans="1:25" ht="25.5" customHeight="1">
      <c r="A96" s="26">
        <v>43</v>
      </c>
      <c r="B96" s="27" t="s">
        <v>219</v>
      </c>
      <c r="C96" s="28">
        <v>41635</v>
      </c>
      <c r="D96" s="27"/>
      <c r="E96" s="27" t="s">
        <v>325</v>
      </c>
      <c r="F96" s="29" t="s">
        <v>326</v>
      </c>
      <c r="G96" s="27" t="s">
        <v>307</v>
      </c>
      <c r="H96" s="27" t="s">
        <v>19</v>
      </c>
      <c r="I96" s="27">
        <v>1</v>
      </c>
      <c r="J96" s="30">
        <v>910947323</v>
      </c>
      <c r="K96" s="26" t="s">
        <v>20</v>
      </c>
      <c r="L96" s="26" t="s">
        <v>284</v>
      </c>
      <c r="M96" s="31" t="s">
        <v>327</v>
      </c>
      <c r="N96" s="6"/>
      <c r="O96" s="2"/>
      <c r="P96" s="2"/>
      <c r="Q96" s="2"/>
      <c r="R96" s="2"/>
      <c r="S96" s="2"/>
      <c r="T96" s="2"/>
      <c r="U96" s="2"/>
      <c r="V96" s="2"/>
      <c r="W96" s="2"/>
      <c r="X96" s="2"/>
      <c r="Y96" s="2"/>
    </row>
    <row r="97" spans="1:25" ht="89.25" customHeight="1">
      <c r="A97" s="26">
        <v>44</v>
      </c>
      <c r="B97" s="27" t="s">
        <v>318</v>
      </c>
      <c r="C97" s="28">
        <v>41193</v>
      </c>
      <c r="D97" s="27"/>
      <c r="E97" s="27" t="s">
        <v>331</v>
      </c>
      <c r="F97" s="29" t="s">
        <v>332</v>
      </c>
      <c r="G97" s="27" t="s">
        <v>307</v>
      </c>
      <c r="H97" s="27" t="s">
        <v>19</v>
      </c>
      <c r="I97" s="27">
        <v>1</v>
      </c>
      <c r="J97" s="30">
        <v>115933734</v>
      </c>
      <c r="K97" s="26" t="s">
        <v>20</v>
      </c>
      <c r="L97" s="36" t="s">
        <v>229</v>
      </c>
      <c r="M97" s="31" t="s">
        <v>3289</v>
      </c>
      <c r="N97" s="6"/>
      <c r="O97" s="2"/>
      <c r="P97" s="2"/>
      <c r="Q97" s="2"/>
      <c r="R97" s="2"/>
      <c r="S97" s="2"/>
      <c r="T97" s="2"/>
      <c r="U97" s="2"/>
      <c r="V97" s="2"/>
      <c r="W97" s="2"/>
      <c r="X97" s="2"/>
      <c r="Y97" s="2"/>
    </row>
    <row r="98" spans="1:25" ht="25.5" customHeight="1">
      <c r="A98" s="26">
        <v>45</v>
      </c>
      <c r="B98" s="27" t="s">
        <v>212</v>
      </c>
      <c r="C98" s="28">
        <v>41512</v>
      </c>
      <c r="D98" s="27"/>
      <c r="E98" s="27" t="s">
        <v>336</v>
      </c>
      <c r="F98" s="29" t="s">
        <v>337</v>
      </c>
      <c r="G98" s="27" t="s">
        <v>338</v>
      </c>
      <c r="H98" s="27" t="s">
        <v>19</v>
      </c>
      <c r="I98" s="27">
        <v>1</v>
      </c>
      <c r="J98" s="30">
        <v>102409248</v>
      </c>
      <c r="K98" s="26" t="s">
        <v>36</v>
      </c>
      <c r="L98" s="26" t="s">
        <v>141</v>
      </c>
      <c r="M98" s="31" t="s">
        <v>339</v>
      </c>
      <c r="N98" s="6"/>
      <c r="O98" s="2"/>
      <c r="P98" s="2"/>
      <c r="Q98" s="2"/>
      <c r="R98" s="2"/>
      <c r="S98" s="2"/>
      <c r="T98" s="2"/>
      <c r="U98" s="2"/>
      <c r="V98" s="2"/>
      <c r="W98" s="2"/>
      <c r="X98" s="2"/>
      <c r="Y98" s="2"/>
    </row>
    <row r="99" spans="1:25" ht="25.5" customHeight="1">
      <c r="A99" s="26">
        <v>46</v>
      </c>
      <c r="B99" s="27" t="s">
        <v>212</v>
      </c>
      <c r="C99" s="28">
        <v>41512</v>
      </c>
      <c r="D99" s="27"/>
      <c r="E99" s="27" t="s">
        <v>340</v>
      </c>
      <c r="F99" s="29" t="s">
        <v>341</v>
      </c>
      <c r="G99" s="27" t="s">
        <v>338</v>
      </c>
      <c r="H99" s="27" t="s">
        <v>19</v>
      </c>
      <c r="I99" s="27">
        <v>1</v>
      </c>
      <c r="J99" s="30">
        <v>102409247</v>
      </c>
      <c r="K99" s="26" t="s">
        <v>36</v>
      </c>
      <c r="L99" s="26" t="s">
        <v>141</v>
      </c>
      <c r="M99" s="31" t="s">
        <v>339</v>
      </c>
      <c r="N99" s="6"/>
      <c r="O99" s="2"/>
      <c r="P99" s="2"/>
      <c r="Q99" s="2"/>
      <c r="R99" s="2"/>
      <c r="S99" s="2"/>
      <c r="T99" s="2"/>
      <c r="U99" s="2"/>
      <c r="V99" s="2"/>
      <c r="W99" s="2"/>
      <c r="X99" s="2"/>
      <c r="Y99" s="2"/>
    </row>
    <row r="100" spans="1:25" ht="12.75" customHeight="1">
      <c r="A100" s="26">
        <v>47</v>
      </c>
      <c r="B100" s="27" t="s">
        <v>212</v>
      </c>
      <c r="C100" s="28">
        <v>41512</v>
      </c>
      <c r="D100" s="27"/>
      <c r="E100" s="27" t="s">
        <v>342</v>
      </c>
      <c r="F100" s="29" t="s">
        <v>343</v>
      </c>
      <c r="G100" s="27" t="s">
        <v>35</v>
      </c>
      <c r="H100" s="27" t="s">
        <v>19</v>
      </c>
      <c r="I100" s="27">
        <v>1</v>
      </c>
      <c r="J100" s="30">
        <v>140968000</v>
      </c>
      <c r="K100" s="26" t="s">
        <v>206</v>
      </c>
      <c r="L100" s="26" t="s">
        <v>207</v>
      </c>
      <c r="M100" s="31" t="s">
        <v>344</v>
      </c>
      <c r="N100" s="6"/>
      <c r="O100" s="2"/>
      <c r="P100" s="2"/>
      <c r="Q100" s="2"/>
      <c r="R100" s="2"/>
      <c r="S100" s="2"/>
      <c r="T100" s="2"/>
      <c r="U100" s="2"/>
      <c r="V100" s="2"/>
      <c r="W100" s="2"/>
      <c r="X100" s="2"/>
      <c r="Y100" s="2"/>
    </row>
    <row r="101" spans="1:25" ht="12.75" customHeight="1">
      <c r="A101" s="26" t="s">
        <v>345</v>
      </c>
      <c r="B101" s="27"/>
      <c r="C101" s="28"/>
      <c r="D101" s="27"/>
      <c r="E101" s="27" t="s">
        <v>346</v>
      </c>
      <c r="F101" s="29" t="s">
        <v>347</v>
      </c>
      <c r="G101" s="27"/>
      <c r="H101" s="27"/>
      <c r="I101" s="27">
        <v>1</v>
      </c>
      <c r="J101" s="30">
        <v>0</v>
      </c>
      <c r="K101" s="26" t="s">
        <v>206</v>
      </c>
      <c r="L101" s="26" t="s">
        <v>207</v>
      </c>
      <c r="M101" s="31"/>
      <c r="N101" s="6"/>
      <c r="O101" s="2"/>
      <c r="P101" s="2"/>
      <c r="Q101" s="2"/>
      <c r="R101" s="2"/>
      <c r="S101" s="2"/>
      <c r="T101" s="2"/>
      <c r="U101" s="2"/>
      <c r="V101" s="2"/>
      <c r="W101" s="2"/>
      <c r="X101" s="2"/>
      <c r="Y101" s="2"/>
    </row>
    <row r="102" spans="1:25" ht="12.75" customHeight="1">
      <c r="A102" s="26">
        <v>48</v>
      </c>
      <c r="B102" s="27" t="s">
        <v>212</v>
      </c>
      <c r="C102" s="28">
        <v>41512</v>
      </c>
      <c r="D102" s="27"/>
      <c r="E102" s="27" t="s">
        <v>348</v>
      </c>
      <c r="F102" s="29" t="s">
        <v>349</v>
      </c>
      <c r="G102" s="27" t="s">
        <v>35</v>
      </c>
      <c r="H102" s="27" t="s">
        <v>19</v>
      </c>
      <c r="I102" s="27">
        <v>1</v>
      </c>
      <c r="J102" s="30">
        <v>140968000</v>
      </c>
      <c r="K102" s="26" t="s">
        <v>206</v>
      </c>
      <c r="L102" s="26" t="s">
        <v>207</v>
      </c>
      <c r="M102" s="31" t="s">
        <v>350</v>
      </c>
      <c r="N102" s="6"/>
      <c r="O102" s="2"/>
      <c r="P102" s="2"/>
      <c r="Q102" s="2"/>
      <c r="R102" s="2"/>
      <c r="S102" s="2"/>
      <c r="T102" s="2"/>
      <c r="U102" s="2"/>
      <c r="V102" s="2"/>
      <c r="W102" s="2"/>
      <c r="X102" s="2"/>
      <c r="Y102" s="2"/>
    </row>
    <row r="103" spans="1:25" ht="12.75" customHeight="1">
      <c r="A103" s="26" t="s">
        <v>351</v>
      </c>
      <c r="B103" s="27"/>
      <c r="C103" s="28"/>
      <c r="D103" s="27"/>
      <c r="E103" s="27" t="s">
        <v>352</v>
      </c>
      <c r="F103" s="29" t="s">
        <v>353</v>
      </c>
      <c r="G103" s="27"/>
      <c r="H103" s="27"/>
      <c r="I103" s="27">
        <v>1</v>
      </c>
      <c r="J103" s="30">
        <v>0</v>
      </c>
      <c r="K103" s="26" t="s">
        <v>206</v>
      </c>
      <c r="L103" s="26" t="s">
        <v>207</v>
      </c>
      <c r="M103" s="31"/>
      <c r="N103" s="6"/>
      <c r="O103" s="2"/>
      <c r="P103" s="2"/>
      <c r="Q103" s="2"/>
      <c r="R103" s="2"/>
      <c r="S103" s="2"/>
      <c r="T103" s="2"/>
      <c r="U103" s="2"/>
      <c r="V103" s="2"/>
      <c r="W103" s="2"/>
      <c r="X103" s="2"/>
      <c r="Y103" s="2"/>
    </row>
    <row r="104" spans="1:25" ht="12.75" customHeight="1">
      <c r="A104" s="26">
        <v>49</v>
      </c>
      <c r="B104" s="27" t="s">
        <v>212</v>
      </c>
      <c r="C104" s="28">
        <v>41512</v>
      </c>
      <c r="D104" s="27"/>
      <c r="E104" s="27" t="s">
        <v>354</v>
      </c>
      <c r="F104" s="29" t="s">
        <v>355</v>
      </c>
      <c r="G104" s="27" t="s">
        <v>35</v>
      </c>
      <c r="H104" s="27" t="s">
        <v>19</v>
      </c>
      <c r="I104" s="27">
        <v>1</v>
      </c>
      <c r="J104" s="30">
        <v>140968000</v>
      </c>
      <c r="K104" s="26" t="s">
        <v>206</v>
      </c>
      <c r="L104" s="26" t="s">
        <v>207</v>
      </c>
      <c r="M104" s="31" t="s">
        <v>356</v>
      </c>
      <c r="N104" s="6"/>
      <c r="O104" s="2"/>
      <c r="P104" s="2"/>
      <c r="Q104" s="2"/>
      <c r="R104" s="2"/>
      <c r="S104" s="2"/>
      <c r="T104" s="2"/>
      <c r="U104" s="2"/>
      <c r="V104" s="2"/>
      <c r="W104" s="2"/>
      <c r="X104" s="2"/>
      <c r="Y104" s="2"/>
    </row>
    <row r="105" spans="1:25" ht="12.75" customHeight="1">
      <c r="A105" s="26" t="s">
        <v>357</v>
      </c>
      <c r="B105" s="27"/>
      <c r="C105" s="28"/>
      <c r="D105" s="27"/>
      <c r="E105" s="27" t="s">
        <v>358</v>
      </c>
      <c r="F105" s="29" t="s">
        <v>359</v>
      </c>
      <c r="G105" s="27"/>
      <c r="H105" s="27"/>
      <c r="I105" s="27">
        <v>1</v>
      </c>
      <c r="J105" s="30">
        <v>0</v>
      </c>
      <c r="K105" s="26" t="s">
        <v>206</v>
      </c>
      <c r="L105" s="26" t="s">
        <v>207</v>
      </c>
      <c r="M105" s="31"/>
      <c r="N105" s="6"/>
      <c r="O105" s="2"/>
      <c r="P105" s="2"/>
      <c r="Q105" s="2"/>
      <c r="R105" s="2"/>
      <c r="S105" s="2"/>
      <c r="T105" s="2"/>
      <c r="U105" s="2"/>
      <c r="V105" s="2"/>
      <c r="W105" s="2"/>
      <c r="X105" s="2"/>
      <c r="Y105" s="2"/>
    </row>
    <row r="106" spans="1:25" ht="12.75" customHeight="1">
      <c r="A106" s="38">
        <v>50</v>
      </c>
      <c r="B106" s="39" t="s">
        <v>212</v>
      </c>
      <c r="C106" s="40">
        <v>41512</v>
      </c>
      <c r="D106" s="39"/>
      <c r="E106" s="39" t="s">
        <v>360</v>
      </c>
      <c r="F106" s="41" t="s">
        <v>361</v>
      </c>
      <c r="G106" s="39" t="s">
        <v>35</v>
      </c>
      <c r="H106" s="39" t="s">
        <v>19</v>
      </c>
      <c r="I106" s="39">
        <v>1</v>
      </c>
      <c r="J106" s="42">
        <v>220034000</v>
      </c>
      <c r="K106" s="38" t="s">
        <v>206</v>
      </c>
      <c r="L106" s="38" t="s">
        <v>207</v>
      </c>
      <c r="M106" s="43" t="s">
        <v>362</v>
      </c>
      <c r="N106" s="6"/>
      <c r="O106" s="2"/>
      <c r="P106" s="2"/>
      <c r="Q106" s="2"/>
      <c r="R106" s="2"/>
      <c r="S106" s="2"/>
      <c r="T106" s="2"/>
      <c r="U106" s="2"/>
      <c r="V106" s="2"/>
      <c r="W106" s="2"/>
      <c r="X106" s="2"/>
      <c r="Y106" s="2"/>
    </row>
    <row r="107" spans="1:25" ht="12.75" customHeight="1">
      <c r="A107" s="38">
        <v>50.1</v>
      </c>
      <c r="B107" s="39"/>
      <c r="C107" s="40"/>
      <c r="D107" s="39"/>
      <c r="E107" s="39" t="s">
        <v>363</v>
      </c>
      <c r="F107" s="41" t="s">
        <v>364</v>
      </c>
      <c r="G107" s="39"/>
      <c r="H107" s="39"/>
      <c r="I107" s="39">
        <v>1</v>
      </c>
      <c r="J107" s="42">
        <v>0</v>
      </c>
      <c r="K107" s="38" t="s">
        <v>206</v>
      </c>
      <c r="L107" s="38" t="s">
        <v>207</v>
      </c>
      <c r="M107" s="43"/>
      <c r="N107" s="6"/>
      <c r="O107" s="2"/>
      <c r="P107" s="2"/>
      <c r="Q107" s="2"/>
      <c r="R107" s="2"/>
      <c r="S107" s="2"/>
      <c r="T107" s="2"/>
      <c r="U107" s="2"/>
      <c r="V107" s="2"/>
      <c r="W107" s="2"/>
      <c r="X107" s="2"/>
      <c r="Y107" s="2"/>
    </row>
    <row r="108" spans="1:25" ht="12.75" customHeight="1">
      <c r="A108" s="26">
        <v>51</v>
      </c>
      <c r="B108" s="27" t="s">
        <v>274</v>
      </c>
      <c r="C108" s="28">
        <v>41542</v>
      </c>
      <c r="D108" s="27"/>
      <c r="E108" s="27" t="s">
        <v>365</v>
      </c>
      <c r="F108" s="29" t="s">
        <v>366</v>
      </c>
      <c r="G108" s="27" t="s">
        <v>35</v>
      </c>
      <c r="H108" s="27" t="s">
        <v>19</v>
      </c>
      <c r="I108" s="27">
        <v>1</v>
      </c>
      <c r="J108" s="30">
        <v>327700776</v>
      </c>
      <c r="K108" s="26" t="s">
        <v>36</v>
      </c>
      <c r="L108" s="26" t="s">
        <v>141</v>
      </c>
      <c r="M108" s="31" t="s">
        <v>367</v>
      </c>
      <c r="N108" s="6"/>
      <c r="O108" s="2"/>
      <c r="P108" s="2"/>
      <c r="Q108" s="2"/>
      <c r="R108" s="2"/>
      <c r="S108" s="2"/>
      <c r="T108" s="2"/>
      <c r="U108" s="2"/>
      <c r="V108" s="2"/>
      <c r="W108" s="2"/>
      <c r="X108" s="2"/>
      <c r="Y108" s="2"/>
    </row>
    <row r="109" spans="1:25" ht="12.75" customHeight="1">
      <c r="A109" s="26" t="s">
        <v>368</v>
      </c>
      <c r="B109" s="27"/>
      <c r="C109" s="28"/>
      <c r="D109" s="27"/>
      <c r="E109" s="27" t="s">
        <v>369</v>
      </c>
      <c r="F109" s="29" t="s">
        <v>370</v>
      </c>
      <c r="G109" s="27"/>
      <c r="H109" s="27"/>
      <c r="I109" s="27">
        <v>1</v>
      </c>
      <c r="J109" s="30">
        <v>0</v>
      </c>
      <c r="K109" s="26" t="s">
        <v>36</v>
      </c>
      <c r="L109" s="26" t="s">
        <v>141</v>
      </c>
      <c r="M109" s="31"/>
      <c r="N109" s="6"/>
      <c r="O109" s="2"/>
      <c r="P109" s="2"/>
      <c r="Q109" s="2"/>
      <c r="R109" s="2"/>
      <c r="S109" s="2"/>
      <c r="T109" s="2"/>
      <c r="U109" s="2"/>
      <c r="V109" s="2"/>
      <c r="W109" s="2"/>
      <c r="X109" s="2"/>
      <c r="Y109" s="2"/>
    </row>
    <row r="110" spans="1:25" ht="12.75" customHeight="1">
      <c r="A110" s="26">
        <v>52</v>
      </c>
      <c r="B110" s="27" t="s">
        <v>274</v>
      </c>
      <c r="C110" s="28">
        <v>41542</v>
      </c>
      <c r="D110" s="27"/>
      <c r="E110" s="27" t="s">
        <v>371</v>
      </c>
      <c r="F110" s="29" t="s">
        <v>372</v>
      </c>
      <c r="G110" s="27" t="s">
        <v>35</v>
      </c>
      <c r="H110" s="27" t="s">
        <v>19</v>
      </c>
      <c r="I110" s="27">
        <v>1</v>
      </c>
      <c r="J110" s="30">
        <v>327700776</v>
      </c>
      <c r="K110" s="26" t="s">
        <v>36</v>
      </c>
      <c r="L110" s="26" t="s">
        <v>141</v>
      </c>
      <c r="M110" s="31" t="s">
        <v>339</v>
      </c>
      <c r="N110" s="6"/>
      <c r="O110" s="2"/>
      <c r="P110" s="2"/>
      <c r="Q110" s="2"/>
      <c r="R110" s="2"/>
      <c r="S110" s="2"/>
      <c r="T110" s="2"/>
      <c r="U110" s="2"/>
      <c r="V110" s="2"/>
      <c r="W110" s="2"/>
      <c r="X110" s="2"/>
      <c r="Y110" s="2"/>
    </row>
    <row r="111" spans="1:25" ht="12.75" customHeight="1">
      <c r="A111" s="26" t="s">
        <v>373</v>
      </c>
      <c r="B111" s="27"/>
      <c r="C111" s="28"/>
      <c r="D111" s="27"/>
      <c r="E111" s="27" t="s">
        <v>374</v>
      </c>
      <c r="F111" s="29" t="s">
        <v>375</v>
      </c>
      <c r="G111" s="27"/>
      <c r="H111" s="27"/>
      <c r="I111" s="27">
        <v>1</v>
      </c>
      <c r="J111" s="30">
        <v>0</v>
      </c>
      <c r="K111" s="26" t="s">
        <v>36</v>
      </c>
      <c r="L111" s="26" t="s">
        <v>141</v>
      </c>
      <c r="M111" s="31"/>
      <c r="N111" s="6"/>
      <c r="O111" s="2"/>
      <c r="P111" s="2"/>
      <c r="Q111" s="2"/>
      <c r="R111" s="2"/>
      <c r="S111" s="2"/>
      <c r="T111" s="2"/>
      <c r="U111" s="2"/>
      <c r="V111" s="2"/>
      <c r="W111" s="2"/>
      <c r="X111" s="2"/>
      <c r="Y111" s="2"/>
    </row>
    <row r="112" spans="1:25" ht="12.75" customHeight="1">
      <c r="A112" s="26">
        <v>53</v>
      </c>
      <c r="B112" s="27" t="s">
        <v>274</v>
      </c>
      <c r="C112" s="28">
        <v>41542</v>
      </c>
      <c r="D112" s="27"/>
      <c r="E112" s="27" t="s">
        <v>376</v>
      </c>
      <c r="F112" s="29" t="s">
        <v>377</v>
      </c>
      <c r="G112" s="27" t="s">
        <v>35</v>
      </c>
      <c r="H112" s="27" t="s">
        <v>19</v>
      </c>
      <c r="I112" s="27">
        <v>1</v>
      </c>
      <c r="J112" s="30">
        <v>154602654</v>
      </c>
      <c r="K112" s="26" t="s">
        <v>36</v>
      </c>
      <c r="L112" s="26" t="s">
        <v>141</v>
      </c>
      <c r="M112" s="31" t="s">
        <v>378</v>
      </c>
      <c r="N112" s="6"/>
      <c r="O112" s="2"/>
      <c r="P112" s="2"/>
      <c r="Q112" s="2"/>
      <c r="R112" s="2"/>
      <c r="S112" s="2"/>
      <c r="T112" s="2"/>
      <c r="U112" s="2"/>
      <c r="V112" s="2"/>
      <c r="W112" s="2"/>
      <c r="X112" s="2"/>
      <c r="Y112" s="2"/>
    </row>
    <row r="113" spans="1:25" ht="12.75" customHeight="1">
      <c r="A113" s="26" t="s">
        <v>379</v>
      </c>
      <c r="B113" s="27"/>
      <c r="C113" s="28"/>
      <c r="D113" s="27"/>
      <c r="E113" s="27" t="s">
        <v>380</v>
      </c>
      <c r="F113" s="29" t="s">
        <v>381</v>
      </c>
      <c r="G113" s="27"/>
      <c r="H113" s="27"/>
      <c r="I113" s="27">
        <v>1</v>
      </c>
      <c r="J113" s="30">
        <v>0</v>
      </c>
      <c r="K113" s="26" t="s">
        <v>36</v>
      </c>
      <c r="L113" s="26" t="s">
        <v>141</v>
      </c>
      <c r="M113" s="31"/>
      <c r="N113" s="6"/>
      <c r="O113" s="2"/>
      <c r="P113" s="2"/>
      <c r="Q113" s="2"/>
      <c r="R113" s="2"/>
      <c r="S113" s="2"/>
      <c r="T113" s="2"/>
      <c r="U113" s="2"/>
      <c r="V113" s="2"/>
      <c r="W113" s="2"/>
      <c r="X113" s="2"/>
      <c r="Y113" s="2"/>
    </row>
    <row r="114" spans="1:25" ht="12.75" customHeight="1">
      <c r="A114" s="26">
        <v>54</v>
      </c>
      <c r="B114" s="27" t="s">
        <v>274</v>
      </c>
      <c r="C114" s="28">
        <v>41542</v>
      </c>
      <c r="D114" s="27"/>
      <c r="E114" s="27" t="s">
        <v>382</v>
      </c>
      <c r="F114" s="29" t="s">
        <v>383</v>
      </c>
      <c r="G114" s="27" t="s">
        <v>35</v>
      </c>
      <c r="H114" s="27" t="s">
        <v>19</v>
      </c>
      <c r="I114" s="27">
        <v>1</v>
      </c>
      <c r="J114" s="30">
        <v>154602654</v>
      </c>
      <c r="K114" s="26" t="s">
        <v>36</v>
      </c>
      <c r="L114" s="45" t="s">
        <v>141</v>
      </c>
      <c r="M114" s="46" t="s">
        <v>384</v>
      </c>
      <c r="N114" s="6"/>
      <c r="O114" s="2"/>
      <c r="P114" s="2"/>
      <c r="Q114" s="2"/>
      <c r="R114" s="2"/>
      <c r="S114" s="2"/>
      <c r="T114" s="2"/>
      <c r="U114" s="2"/>
      <c r="V114" s="2"/>
      <c r="W114" s="2"/>
      <c r="X114" s="2"/>
      <c r="Y114" s="2"/>
    </row>
    <row r="115" spans="1:25" ht="12.75" customHeight="1">
      <c r="A115" s="26" t="s">
        <v>385</v>
      </c>
      <c r="B115" s="27"/>
      <c r="C115" s="28"/>
      <c r="D115" s="27"/>
      <c r="E115" s="27" t="s">
        <v>386</v>
      </c>
      <c r="F115" s="29" t="s">
        <v>387</v>
      </c>
      <c r="G115" s="27"/>
      <c r="H115" s="27"/>
      <c r="I115" s="27">
        <v>1</v>
      </c>
      <c r="J115" s="30">
        <v>0</v>
      </c>
      <c r="K115" s="26" t="s">
        <v>36</v>
      </c>
      <c r="L115" s="26" t="s">
        <v>141</v>
      </c>
      <c r="M115" s="31"/>
      <c r="N115" s="6"/>
      <c r="O115" s="2"/>
      <c r="P115" s="2"/>
      <c r="Q115" s="2"/>
      <c r="R115" s="2"/>
      <c r="S115" s="2"/>
      <c r="T115" s="2"/>
      <c r="U115" s="2"/>
      <c r="V115" s="2"/>
      <c r="W115" s="2"/>
      <c r="X115" s="2"/>
      <c r="Y115" s="2"/>
    </row>
    <row r="116" spans="1:25" ht="25.5" customHeight="1">
      <c r="A116" s="26">
        <v>55</v>
      </c>
      <c r="B116" s="27" t="s">
        <v>388</v>
      </c>
      <c r="C116" s="28">
        <v>41576</v>
      </c>
      <c r="D116" s="27"/>
      <c r="E116" s="27" t="s">
        <v>389</v>
      </c>
      <c r="F116" s="29" t="s">
        <v>390</v>
      </c>
      <c r="G116" s="27" t="s">
        <v>307</v>
      </c>
      <c r="H116" s="27" t="s">
        <v>19</v>
      </c>
      <c r="I116" s="27">
        <v>1</v>
      </c>
      <c r="J116" s="30">
        <v>181724537</v>
      </c>
      <c r="K116" s="26" t="s">
        <v>36</v>
      </c>
      <c r="L116" s="26" t="s">
        <v>141</v>
      </c>
      <c r="M116" s="31" t="s">
        <v>391</v>
      </c>
      <c r="N116" s="6"/>
      <c r="O116" s="2"/>
      <c r="P116" s="2"/>
      <c r="Q116" s="2"/>
      <c r="R116" s="2"/>
      <c r="S116" s="2"/>
      <c r="T116" s="2"/>
      <c r="U116" s="2"/>
      <c r="V116" s="2"/>
      <c r="W116" s="2"/>
      <c r="X116" s="2"/>
      <c r="Y116" s="2"/>
    </row>
    <row r="117" spans="1:25" ht="63.75" customHeight="1">
      <c r="A117" s="26">
        <v>56</v>
      </c>
      <c r="B117" s="27" t="s">
        <v>388</v>
      </c>
      <c r="C117" s="28">
        <v>41576</v>
      </c>
      <c r="D117" s="27"/>
      <c r="E117" s="27" t="s">
        <v>392</v>
      </c>
      <c r="F117" s="29" t="s">
        <v>393</v>
      </c>
      <c r="G117" s="27" t="s">
        <v>55</v>
      </c>
      <c r="H117" s="27" t="s">
        <v>19</v>
      </c>
      <c r="I117" s="27">
        <v>1</v>
      </c>
      <c r="J117" s="30">
        <v>1578228438</v>
      </c>
      <c r="K117" s="26" t="s">
        <v>36</v>
      </c>
      <c r="L117" s="26" t="s">
        <v>141</v>
      </c>
      <c r="M117" s="31" t="s">
        <v>394</v>
      </c>
      <c r="N117" s="6"/>
      <c r="O117" s="2"/>
      <c r="P117" s="2"/>
      <c r="Q117" s="2"/>
      <c r="R117" s="2"/>
      <c r="S117" s="2"/>
      <c r="T117" s="2"/>
      <c r="U117" s="2"/>
      <c r="V117" s="2"/>
      <c r="W117" s="2"/>
      <c r="X117" s="2"/>
      <c r="Y117" s="2"/>
    </row>
    <row r="118" spans="1:25" ht="12.75" customHeight="1">
      <c r="A118" s="26" t="s">
        <v>395</v>
      </c>
      <c r="B118" s="27"/>
      <c r="C118" s="28"/>
      <c r="D118" s="27"/>
      <c r="E118" s="27" t="s">
        <v>396</v>
      </c>
      <c r="F118" s="29" t="s">
        <v>397</v>
      </c>
      <c r="G118" s="27"/>
      <c r="H118" s="27"/>
      <c r="I118" s="27">
        <v>1</v>
      </c>
      <c r="J118" s="30">
        <v>0</v>
      </c>
      <c r="K118" s="26" t="s">
        <v>36</v>
      </c>
      <c r="L118" s="26" t="s">
        <v>141</v>
      </c>
      <c r="M118" s="31"/>
      <c r="N118" s="6"/>
      <c r="O118" s="2"/>
      <c r="P118" s="2"/>
      <c r="Q118" s="2"/>
      <c r="R118" s="2"/>
      <c r="S118" s="2"/>
      <c r="T118" s="2"/>
      <c r="U118" s="2"/>
      <c r="V118" s="2"/>
      <c r="W118" s="2"/>
      <c r="X118" s="2"/>
      <c r="Y118" s="2"/>
    </row>
    <row r="119" spans="1:25" ht="12.75" customHeight="1">
      <c r="A119" s="26" t="s">
        <v>398</v>
      </c>
      <c r="B119" s="27"/>
      <c r="C119" s="28"/>
      <c r="D119" s="27"/>
      <c r="E119" s="27" t="s">
        <v>399</v>
      </c>
      <c r="F119" s="29" t="s">
        <v>400</v>
      </c>
      <c r="G119" s="27"/>
      <c r="H119" s="27"/>
      <c r="I119" s="27">
        <v>1</v>
      </c>
      <c r="J119" s="30">
        <v>0</v>
      </c>
      <c r="K119" s="26" t="s">
        <v>36</v>
      </c>
      <c r="L119" s="26" t="s">
        <v>141</v>
      </c>
      <c r="M119" s="31"/>
      <c r="N119" s="6"/>
      <c r="O119" s="2"/>
      <c r="P119" s="2"/>
      <c r="Q119" s="2"/>
      <c r="R119" s="2"/>
      <c r="S119" s="2"/>
      <c r="T119" s="2"/>
      <c r="U119" s="2"/>
      <c r="V119" s="2"/>
      <c r="W119" s="2"/>
      <c r="X119" s="2"/>
      <c r="Y119" s="2"/>
    </row>
    <row r="120" spans="1:25" ht="25.5" customHeight="1">
      <c r="A120" s="26">
        <v>57</v>
      </c>
      <c r="B120" s="27" t="s">
        <v>388</v>
      </c>
      <c r="C120" s="28">
        <v>41576</v>
      </c>
      <c r="D120" s="27"/>
      <c r="E120" s="27" t="s">
        <v>401</v>
      </c>
      <c r="F120" s="29" t="s">
        <v>402</v>
      </c>
      <c r="G120" s="27" t="s">
        <v>55</v>
      </c>
      <c r="H120" s="27" t="s">
        <v>19</v>
      </c>
      <c r="I120" s="27">
        <v>1</v>
      </c>
      <c r="J120" s="30">
        <v>709294101</v>
      </c>
      <c r="K120" s="26" t="s">
        <v>36</v>
      </c>
      <c r="L120" s="26" t="s">
        <v>141</v>
      </c>
      <c r="M120" s="31" t="s">
        <v>394</v>
      </c>
      <c r="N120" s="6"/>
      <c r="O120" s="2"/>
      <c r="P120" s="2"/>
      <c r="Q120" s="2"/>
      <c r="R120" s="2"/>
      <c r="S120" s="2"/>
      <c r="T120" s="2"/>
      <c r="U120" s="2"/>
      <c r="V120" s="2"/>
      <c r="W120" s="2"/>
      <c r="X120" s="2"/>
      <c r="Y120" s="2"/>
    </row>
    <row r="121" spans="1:25" ht="25.5" customHeight="1">
      <c r="A121" s="26">
        <v>58</v>
      </c>
      <c r="B121" s="27" t="s">
        <v>388</v>
      </c>
      <c r="C121" s="28">
        <v>41576</v>
      </c>
      <c r="D121" s="27"/>
      <c r="E121" s="27" t="s">
        <v>403</v>
      </c>
      <c r="F121" s="29" t="s">
        <v>404</v>
      </c>
      <c r="G121" s="27" t="s">
        <v>55</v>
      </c>
      <c r="H121" s="27" t="s">
        <v>19</v>
      </c>
      <c r="I121" s="27">
        <v>1</v>
      </c>
      <c r="J121" s="30">
        <v>165083338</v>
      </c>
      <c r="K121" s="26" t="s">
        <v>36</v>
      </c>
      <c r="L121" s="26" t="s">
        <v>141</v>
      </c>
      <c r="M121" s="31" t="s">
        <v>394</v>
      </c>
      <c r="N121" s="6"/>
      <c r="O121" s="2"/>
      <c r="P121" s="2"/>
      <c r="Q121" s="2"/>
      <c r="R121" s="2"/>
      <c r="S121" s="2"/>
      <c r="T121" s="2"/>
      <c r="U121" s="2"/>
      <c r="V121" s="2"/>
      <c r="W121" s="2"/>
      <c r="X121" s="2"/>
      <c r="Y121" s="2"/>
    </row>
    <row r="122" spans="1:25" ht="25.5" customHeight="1">
      <c r="A122" s="26">
        <v>59</v>
      </c>
      <c r="B122" s="27" t="s">
        <v>388</v>
      </c>
      <c r="C122" s="28">
        <v>41576</v>
      </c>
      <c r="D122" s="27"/>
      <c r="E122" s="27" t="s">
        <v>405</v>
      </c>
      <c r="F122" s="29" t="s">
        <v>406</v>
      </c>
      <c r="G122" s="27" t="s">
        <v>407</v>
      </c>
      <c r="H122" s="27" t="s">
        <v>19</v>
      </c>
      <c r="I122" s="27">
        <v>1</v>
      </c>
      <c r="J122" s="30">
        <v>230680171</v>
      </c>
      <c r="K122" s="26" t="s">
        <v>36</v>
      </c>
      <c r="L122" s="26" t="s">
        <v>141</v>
      </c>
      <c r="M122" s="31" t="s">
        <v>394</v>
      </c>
      <c r="N122" s="6"/>
      <c r="O122" s="2"/>
      <c r="P122" s="2"/>
      <c r="Q122" s="2"/>
      <c r="R122" s="2"/>
      <c r="S122" s="2"/>
      <c r="T122" s="2"/>
      <c r="U122" s="2"/>
      <c r="V122" s="2"/>
      <c r="W122" s="2"/>
      <c r="X122" s="2"/>
      <c r="Y122" s="2"/>
    </row>
    <row r="123" spans="1:25" ht="12.75" customHeight="1">
      <c r="A123" s="26" t="s">
        <v>408</v>
      </c>
      <c r="B123" s="27"/>
      <c r="C123" s="28"/>
      <c r="D123" s="27"/>
      <c r="E123" s="27" t="s">
        <v>409</v>
      </c>
      <c r="F123" s="29" t="s">
        <v>410</v>
      </c>
      <c r="G123" s="27"/>
      <c r="H123" s="27"/>
      <c r="I123" s="27">
        <v>1</v>
      </c>
      <c r="J123" s="30">
        <v>0</v>
      </c>
      <c r="K123" s="26" t="s">
        <v>36</v>
      </c>
      <c r="L123" s="26" t="s">
        <v>141</v>
      </c>
      <c r="M123" s="31"/>
      <c r="N123" s="6"/>
      <c r="O123" s="2"/>
      <c r="P123" s="2"/>
      <c r="Q123" s="2"/>
      <c r="R123" s="2"/>
      <c r="S123" s="2"/>
      <c r="T123" s="2"/>
      <c r="U123" s="2"/>
      <c r="V123" s="2"/>
      <c r="W123" s="2"/>
      <c r="X123" s="2"/>
      <c r="Y123" s="2"/>
    </row>
    <row r="124" spans="1:25" ht="25.5" customHeight="1">
      <c r="A124" s="26" t="s">
        <v>417</v>
      </c>
      <c r="B124" s="27"/>
      <c r="C124" s="28"/>
      <c r="D124" s="27"/>
      <c r="E124" s="27" t="s">
        <v>418</v>
      </c>
      <c r="F124" s="29" t="s">
        <v>419</v>
      </c>
      <c r="G124" s="27"/>
      <c r="H124" s="27"/>
      <c r="I124" s="27">
        <v>1</v>
      </c>
      <c r="J124" s="30">
        <v>0</v>
      </c>
      <c r="K124" s="26" t="s">
        <v>20</v>
      </c>
      <c r="L124" s="36" t="s">
        <v>229</v>
      </c>
      <c r="M124" s="31" t="s">
        <v>5163</v>
      </c>
      <c r="N124" s="6"/>
      <c r="O124" s="2"/>
      <c r="P124" s="2"/>
      <c r="Q124" s="2"/>
      <c r="R124" s="2"/>
      <c r="S124" s="2"/>
      <c r="T124" s="2"/>
      <c r="U124" s="2"/>
      <c r="V124" s="2"/>
      <c r="W124" s="2"/>
      <c r="X124" s="2"/>
      <c r="Y124" s="2"/>
    </row>
    <row r="125" spans="1:25" ht="12.75" customHeight="1">
      <c r="A125" s="26" t="s">
        <v>420</v>
      </c>
      <c r="B125" s="27"/>
      <c r="C125" s="28"/>
      <c r="D125" s="27"/>
      <c r="E125" s="27" t="s">
        <v>421</v>
      </c>
      <c r="F125" s="29" t="s">
        <v>422</v>
      </c>
      <c r="G125" s="27"/>
      <c r="H125" s="27"/>
      <c r="I125" s="27">
        <v>1</v>
      </c>
      <c r="J125" s="30">
        <v>0</v>
      </c>
      <c r="K125" s="26" t="s">
        <v>20</v>
      </c>
      <c r="L125" s="26" t="s">
        <v>423</v>
      </c>
      <c r="M125" s="31" t="s">
        <v>5164</v>
      </c>
      <c r="N125" s="6"/>
      <c r="O125" s="2"/>
      <c r="P125" s="2"/>
      <c r="Q125" s="2"/>
      <c r="R125" s="2"/>
      <c r="S125" s="2"/>
      <c r="T125" s="2"/>
      <c r="U125" s="2"/>
      <c r="V125" s="2"/>
      <c r="W125" s="2"/>
      <c r="X125" s="2"/>
      <c r="Y125" s="2"/>
    </row>
    <row r="126" spans="1:25" ht="12.75" customHeight="1">
      <c r="A126" s="26">
        <v>61</v>
      </c>
      <c r="B126" s="27" t="s">
        <v>219</v>
      </c>
      <c r="C126" s="28">
        <v>41635</v>
      </c>
      <c r="D126" s="27"/>
      <c r="E126" s="27" t="s">
        <v>425</v>
      </c>
      <c r="F126" s="29" t="s">
        <v>426</v>
      </c>
      <c r="G126" s="27" t="s">
        <v>35</v>
      </c>
      <c r="H126" s="27" t="s">
        <v>19</v>
      </c>
      <c r="I126" s="27">
        <v>1</v>
      </c>
      <c r="J126" s="30">
        <v>254478352</v>
      </c>
      <c r="K126" s="26" t="s">
        <v>206</v>
      </c>
      <c r="L126" s="26" t="s">
        <v>207</v>
      </c>
      <c r="M126" s="31" t="s">
        <v>427</v>
      </c>
      <c r="N126" s="6"/>
      <c r="O126" s="2"/>
      <c r="P126" s="2"/>
      <c r="Q126" s="2"/>
      <c r="R126" s="2"/>
      <c r="S126" s="2"/>
      <c r="T126" s="2"/>
      <c r="U126" s="2"/>
      <c r="V126" s="2"/>
      <c r="W126" s="2"/>
      <c r="X126" s="2"/>
      <c r="Y126" s="2"/>
    </row>
    <row r="127" spans="1:25" ht="12.75" customHeight="1">
      <c r="A127" s="26" t="s">
        <v>428</v>
      </c>
      <c r="B127" s="27"/>
      <c r="C127" s="28"/>
      <c r="D127" s="27"/>
      <c r="E127" s="27" t="s">
        <v>429</v>
      </c>
      <c r="F127" s="29" t="s">
        <v>430</v>
      </c>
      <c r="G127" s="27"/>
      <c r="H127" s="27"/>
      <c r="I127" s="27">
        <v>1</v>
      </c>
      <c r="J127" s="30">
        <v>0</v>
      </c>
      <c r="K127" s="26" t="s">
        <v>206</v>
      </c>
      <c r="L127" s="26" t="s">
        <v>207</v>
      </c>
      <c r="M127" s="31"/>
      <c r="N127" s="6"/>
      <c r="O127" s="2"/>
      <c r="P127" s="2"/>
      <c r="Q127" s="2"/>
      <c r="R127" s="2"/>
      <c r="S127" s="2"/>
      <c r="T127" s="2"/>
      <c r="U127" s="2"/>
      <c r="V127" s="2"/>
      <c r="W127" s="2"/>
      <c r="X127" s="2"/>
      <c r="Y127" s="2"/>
    </row>
    <row r="128" spans="1:25" ht="12.75" customHeight="1">
      <c r="A128" s="26" t="s">
        <v>431</v>
      </c>
      <c r="B128" s="27"/>
      <c r="C128" s="28"/>
      <c r="D128" s="27"/>
      <c r="E128" s="27" t="s">
        <v>432</v>
      </c>
      <c r="F128" s="29" t="s">
        <v>433</v>
      </c>
      <c r="G128" s="27"/>
      <c r="H128" s="27"/>
      <c r="I128" s="27">
        <v>1</v>
      </c>
      <c r="J128" s="30">
        <v>0</v>
      </c>
      <c r="K128" s="26" t="s">
        <v>206</v>
      </c>
      <c r="L128" s="26" t="s">
        <v>207</v>
      </c>
      <c r="M128" s="31"/>
      <c r="N128" s="6"/>
      <c r="O128" s="2"/>
      <c r="P128" s="2"/>
      <c r="Q128" s="2"/>
      <c r="R128" s="2"/>
      <c r="S128" s="2"/>
      <c r="T128" s="2"/>
      <c r="U128" s="2"/>
      <c r="V128" s="2"/>
      <c r="W128" s="2"/>
      <c r="X128" s="2"/>
      <c r="Y128" s="2"/>
    </row>
    <row r="129" spans="1:25" ht="12.75" customHeight="1">
      <c r="A129" s="26" t="s">
        <v>434</v>
      </c>
      <c r="B129" s="27"/>
      <c r="C129" s="28"/>
      <c r="D129" s="27"/>
      <c r="E129" s="27" t="s">
        <v>435</v>
      </c>
      <c r="F129" s="29" t="s">
        <v>436</v>
      </c>
      <c r="G129" s="27"/>
      <c r="H129" s="27"/>
      <c r="I129" s="27">
        <v>1</v>
      </c>
      <c r="J129" s="30">
        <v>0</v>
      </c>
      <c r="K129" s="26" t="s">
        <v>206</v>
      </c>
      <c r="L129" s="26" t="s">
        <v>207</v>
      </c>
      <c r="M129" s="31"/>
      <c r="N129" s="6"/>
      <c r="O129" s="2"/>
      <c r="P129" s="2"/>
      <c r="Q129" s="2"/>
      <c r="R129" s="2"/>
      <c r="S129" s="2"/>
      <c r="T129" s="2"/>
      <c r="U129" s="2"/>
      <c r="V129" s="2"/>
      <c r="W129" s="2"/>
      <c r="X129" s="2"/>
      <c r="Y129" s="2"/>
    </row>
    <row r="130" spans="1:25" ht="12.75" customHeight="1">
      <c r="A130" s="26">
        <v>62</v>
      </c>
      <c r="B130" s="27" t="s">
        <v>219</v>
      </c>
      <c r="C130" s="28">
        <v>41635</v>
      </c>
      <c r="D130" s="27"/>
      <c r="E130" s="27" t="s">
        <v>437</v>
      </c>
      <c r="F130" s="29" t="s">
        <v>438</v>
      </c>
      <c r="G130" s="27" t="s">
        <v>35</v>
      </c>
      <c r="H130" s="27" t="s">
        <v>19</v>
      </c>
      <c r="I130" s="27">
        <v>1</v>
      </c>
      <c r="J130" s="30">
        <v>254478352</v>
      </c>
      <c r="K130" s="26" t="s">
        <v>206</v>
      </c>
      <c r="L130" s="26" t="s">
        <v>207</v>
      </c>
      <c r="M130" s="31" t="s">
        <v>439</v>
      </c>
      <c r="N130" s="6"/>
      <c r="O130" s="2"/>
      <c r="P130" s="2"/>
      <c r="Q130" s="2"/>
      <c r="R130" s="2"/>
      <c r="S130" s="2"/>
      <c r="T130" s="2"/>
      <c r="U130" s="2"/>
      <c r="V130" s="2"/>
      <c r="W130" s="2"/>
      <c r="X130" s="2"/>
      <c r="Y130" s="2"/>
    </row>
    <row r="131" spans="1:25" ht="12.75" customHeight="1">
      <c r="A131" s="26" t="s">
        <v>440</v>
      </c>
      <c r="B131" s="27"/>
      <c r="C131" s="28"/>
      <c r="D131" s="27"/>
      <c r="E131" s="27" t="s">
        <v>441</v>
      </c>
      <c r="F131" s="29" t="s">
        <v>442</v>
      </c>
      <c r="G131" s="27"/>
      <c r="H131" s="27"/>
      <c r="I131" s="27">
        <v>1</v>
      </c>
      <c r="J131" s="30">
        <v>0</v>
      </c>
      <c r="K131" s="26" t="s">
        <v>206</v>
      </c>
      <c r="L131" s="26" t="s">
        <v>207</v>
      </c>
      <c r="M131" s="31"/>
      <c r="N131" s="6"/>
      <c r="O131" s="2"/>
      <c r="P131" s="2"/>
      <c r="Q131" s="2"/>
      <c r="R131" s="2"/>
      <c r="S131" s="2"/>
      <c r="T131" s="2"/>
      <c r="U131" s="2"/>
      <c r="V131" s="2"/>
      <c r="W131" s="2"/>
      <c r="X131" s="2"/>
      <c r="Y131" s="2"/>
    </row>
    <row r="132" spans="1:25" ht="12.75" customHeight="1">
      <c r="A132" s="26" t="s">
        <v>443</v>
      </c>
      <c r="B132" s="27"/>
      <c r="C132" s="28"/>
      <c r="D132" s="27"/>
      <c r="E132" s="27" t="s">
        <v>444</v>
      </c>
      <c r="F132" s="29" t="s">
        <v>445</v>
      </c>
      <c r="G132" s="27"/>
      <c r="H132" s="27"/>
      <c r="I132" s="27">
        <v>1</v>
      </c>
      <c r="J132" s="30">
        <v>0</v>
      </c>
      <c r="K132" s="26" t="s">
        <v>206</v>
      </c>
      <c r="L132" s="26" t="s">
        <v>207</v>
      </c>
      <c r="M132" s="31"/>
      <c r="N132" s="6"/>
      <c r="O132" s="2"/>
      <c r="P132" s="2"/>
      <c r="Q132" s="2"/>
      <c r="R132" s="2"/>
      <c r="S132" s="2"/>
      <c r="T132" s="2"/>
      <c r="U132" s="2"/>
      <c r="V132" s="2"/>
      <c r="W132" s="2"/>
      <c r="X132" s="2"/>
      <c r="Y132" s="2"/>
    </row>
    <row r="133" spans="1:25" ht="12.75" customHeight="1">
      <c r="A133" s="26" t="s">
        <v>446</v>
      </c>
      <c r="B133" s="27"/>
      <c r="C133" s="28"/>
      <c r="D133" s="27"/>
      <c r="E133" s="27" t="s">
        <v>447</v>
      </c>
      <c r="F133" s="29" t="s">
        <v>448</v>
      </c>
      <c r="G133" s="27"/>
      <c r="H133" s="27"/>
      <c r="I133" s="27">
        <v>1</v>
      </c>
      <c r="J133" s="30">
        <v>0</v>
      </c>
      <c r="K133" s="26" t="s">
        <v>206</v>
      </c>
      <c r="L133" s="26" t="s">
        <v>207</v>
      </c>
      <c r="M133" s="31"/>
      <c r="N133" s="6"/>
      <c r="O133" s="2"/>
      <c r="P133" s="2"/>
      <c r="Q133" s="2"/>
      <c r="R133" s="2"/>
      <c r="S133" s="2"/>
      <c r="T133" s="2"/>
      <c r="U133" s="2"/>
      <c r="V133" s="2"/>
      <c r="W133" s="2"/>
      <c r="X133" s="2"/>
      <c r="Y133" s="2"/>
    </row>
    <row r="134" spans="1:25" ht="12.75" customHeight="1">
      <c r="A134" s="26">
        <v>63</v>
      </c>
      <c r="B134" s="27" t="s">
        <v>219</v>
      </c>
      <c r="C134" s="28">
        <v>41635</v>
      </c>
      <c r="D134" s="27"/>
      <c r="E134" s="27" t="s">
        <v>449</v>
      </c>
      <c r="F134" s="29" t="s">
        <v>450</v>
      </c>
      <c r="G134" s="27" t="s">
        <v>35</v>
      </c>
      <c r="H134" s="27" t="s">
        <v>19</v>
      </c>
      <c r="I134" s="27">
        <v>1</v>
      </c>
      <c r="J134" s="30">
        <v>254478352</v>
      </c>
      <c r="K134" s="26" t="s">
        <v>206</v>
      </c>
      <c r="L134" s="26" t="s">
        <v>207</v>
      </c>
      <c r="M134" s="31" t="s">
        <v>451</v>
      </c>
      <c r="N134" s="6"/>
      <c r="O134" s="2"/>
      <c r="P134" s="2"/>
      <c r="Q134" s="2"/>
      <c r="R134" s="2"/>
      <c r="S134" s="2"/>
      <c r="T134" s="2"/>
      <c r="U134" s="2"/>
      <c r="V134" s="2"/>
      <c r="W134" s="2"/>
      <c r="X134" s="2"/>
      <c r="Y134" s="2"/>
    </row>
    <row r="135" spans="1:25" ht="12.75" customHeight="1">
      <c r="A135" s="26" t="s">
        <v>452</v>
      </c>
      <c r="B135" s="27"/>
      <c r="C135" s="28"/>
      <c r="D135" s="27"/>
      <c r="E135" s="27" t="s">
        <v>453</v>
      </c>
      <c r="F135" s="29" t="s">
        <v>454</v>
      </c>
      <c r="G135" s="27"/>
      <c r="H135" s="27"/>
      <c r="I135" s="27">
        <v>1</v>
      </c>
      <c r="J135" s="30">
        <v>0</v>
      </c>
      <c r="K135" s="26" t="s">
        <v>206</v>
      </c>
      <c r="L135" s="26" t="s">
        <v>207</v>
      </c>
      <c r="M135" s="31"/>
      <c r="N135" s="6"/>
      <c r="O135" s="2"/>
      <c r="P135" s="2"/>
      <c r="Q135" s="2"/>
      <c r="R135" s="2"/>
      <c r="S135" s="2"/>
      <c r="T135" s="2"/>
      <c r="U135" s="2"/>
      <c r="V135" s="2"/>
      <c r="W135" s="2"/>
      <c r="X135" s="2"/>
      <c r="Y135" s="2"/>
    </row>
    <row r="136" spans="1:25" ht="12.75" customHeight="1">
      <c r="A136" s="26">
        <v>64</v>
      </c>
      <c r="B136" s="27" t="s">
        <v>219</v>
      </c>
      <c r="C136" s="28">
        <v>41635</v>
      </c>
      <c r="D136" s="27"/>
      <c r="E136" s="27" t="s">
        <v>455</v>
      </c>
      <c r="F136" s="29" t="s">
        <v>456</v>
      </c>
      <c r="G136" s="27" t="s">
        <v>35</v>
      </c>
      <c r="H136" s="27" t="s">
        <v>19</v>
      </c>
      <c r="I136" s="27">
        <v>1</v>
      </c>
      <c r="J136" s="30">
        <v>254478352</v>
      </c>
      <c r="K136" s="26" t="s">
        <v>206</v>
      </c>
      <c r="L136" s="26" t="s">
        <v>207</v>
      </c>
      <c r="M136" s="31" t="s">
        <v>457</v>
      </c>
      <c r="N136" s="6"/>
      <c r="O136" s="2"/>
      <c r="P136" s="2"/>
      <c r="Q136" s="2"/>
      <c r="R136" s="2"/>
      <c r="S136" s="2"/>
      <c r="T136" s="2"/>
      <c r="U136" s="2"/>
      <c r="V136" s="2"/>
      <c r="W136" s="2"/>
      <c r="X136" s="2"/>
      <c r="Y136" s="2"/>
    </row>
    <row r="137" spans="1:25" ht="12.75" customHeight="1">
      <c r="A137" s="26" t="s">
        <v>458</v>
      </c>
      <c r="B137" s="27"/>
      <c r="C137" s="28"/>
      <c r="D137" s="27"/>
      <c r="E137" s="27" t="s">
        <v>459</v>
      </c>
      <c r="F137" s="29" t="s">
        <v>460</v>
      </c>
      <c r="G137" s="27"/>
      <c r="H137" s="27"/>
      <c r="I137" s="27">
        <v>1</v>
      </c>
      <c r="J137" s="30">
        <v>0</v>
      </c>
      <c r="K137" s="26" t="s">
        <v>206</v>
      </c>
      <c r="L137" s="26" t="s">
        <v>207</v>
      </c>
      <c r="M137" s="31"/>
      <c r="N137" s="6"/>
      <c r="O137" s="2"/>
      <c r="P137" s="2"/>
      <c r="Q137" s="2"/>
      <c r="R137" s="2"/>
      <c r="S137" s="2"/>
      <c r="T137" s="2"/>
      <c r="U137" s="2"/>
      <c r="V137" s="2"/>
      <c r="W137" s="2"/>
      <c r="X137" s="2"/>
      <c r="Y137" s="2"/>
    </row>
    <row r="138" spans="1:25" ht="25.5" customHeight="1">
      <c r="A138" s="26">
        <v>65</v>
      </c>
      <c r="B138" s="27" t="s">
        <v>461</v>
      </c>
      <c r="C138" s="28">
        <v>41841</v>
      </c>
      <c r="D138" s="27" t="s">
        <v>462</v>
      </c>
      <c r="E138" s="27" t="s">
        <v>463</v>
      </c>
      <c r="F138" s="29" t="s">
        <v>464</v>
      </c>
      <c r="G138" s="27" t="s">
        <v>307</v>
      </c>
      <c r="H138" s="27" t="s">
        <v>19</v>
      </c>
      <c r="I138" s="27">
        <v>1</v>
      </c>
      <c r="J138" s="30">
        <v>424846675</v>
      </c>
      <c r="K138" s="26" t="s">
        <v>36</v>
      </c>
      <c r="L138" s="26" t="s">
        <v>141</v>
      </c>
      <c r="M138" s="31" t="s">
        <v>465</v>
      </c>
      <c r="N138" s="6"/>
      <c r="O138" s="2"/>
      <c r="P138" s="2"/>
      <c r="Q138" s="2"/>
      <c r="R138" s="2"/>
      <c r="S138" s="2"/>
      <c r="T138" s="2"/>
      <c r="U138" s="2"/>
      <c r="V138" s="2"/>
      <c r="W138" s="2"/>
      <c r="X138" s="2"/>
      <c r="Y138" s="2"/>
    </row>
    <row r="139" spans="1:25" ht="25.5" customHeight="1">
      <c r="A139" s="26">
        <v>66</v>
      </c>
      <c r="B139" s="27" t="s">
        <v>466</v>
      </c>
      <c r="C139" s="28">
        <v>42626</v>
      </c>
      <c r="D139" s="27"/>
      <c r="E139" s="27" t="s">
        <v>467</v>
      </c>
      <c r="F139" s="29" t="s">
        <v>468</v>
      </c>
      <c r="G139" s="27" t="s">
        <v>307</v>
      </c>
      <c r="H139" s="27" t="s">
        <v>19</v>
      </c>
      <c r="I139" s="27">
        <v>1</v>
      </c>
      <c r="J139" s="30">
        <v>214830723</v>
      </c>
      <c r="K139" s="26" t="s">
        <v>36</v>
      </c>
      <c r="L139" s="26" t="s">
        <v>141</v>
      </c>
      <c r="M139" s="31" t="s">
        <v>469</v>
      </c>
      <c r="N139" s="6"/>
      <c r="O139" s="2"/>
      <c r="P139" s="2"/>
      <c r="Q139" s="2"/>
      <c r="R139" s="2"/>
      <c r="S139" s="2"/>
      <c r="T139" s="2"/>
      <c r="U139" s="2"/>
      <c r="V139" s="2"/>
      <c r="W139" s="2"/>
      <c r="X139" s="2"/>
      <c r="Y139" s="2"/>
    </row>
    <row r="140" spans="1:25" ht="25.5" customHeight="1">
      <c r="A140" s="26">
        <v>67</v>
      </c>
      <c r="B140" s="27" t="s">
        <v>470</v>
      </c>
      <c r="C140" s="28">
        <v>41983</v>
      </c>
      <c r="D140" s="27"/>
      <c r="E140" s="27" t="s">
        <v>471</v>
      </c>
      <c r="F140" s="29" t="s">
        <v>472</v>
      </c>
      <c r="G140" s="27" t="s">
        <v>307</v>
      </c>
      <c r="H140" s="27" t="s">
        <v>19</v>
      </c>
      <c r="I140" s="27">
        <v>1</v>
      </c>
      <c r="J140" s="30">
        <v>30913163</v>
      </c>
      <c r="K140" s="26" t="s">
        <v>20</v>
      </c>
      <c r="L140" s="394" t="s">
        <v>295</v>
      </c>
      <c r="M140" s="31" t="s">
        <v>473</v>
      </c>
      <c r="N140" s="6"/>
      <c r="O140" s="2"/>
      <c r="P140" s="2"/>
      <c r="Q140" s="2"/>
      <c r="R140" s="2"/>
      <c r="S140" s="2"/>
      <c r="T140" s="2"/>
      <c r="U140" s="2"/>
      <c r="V140" s="2"/>
      <c r="W140" s="2"/>
      <c r="X140" s="2"/>
      <c r="Y140" s="2"/>
    </row>
    <row r="141" spans="1:25" ht="25.5" customHeight="1">
      <c r="A141" s="26" t="s">
        <v>474</v>
      </c>
      <c r="B141" s="27"/>
      <c r="C141" s="28"/>
      <c r="D141" s="27"/>
      <c r="E141" s="27" t="s">
        <v>475</v>
      </c>
      <c r="F141" s="29" t="s">
        <v>476</v>
      </c>
      <c r="G141" s="27" t="s">
        <v>248</v>
      </c>
      <c r="H141" s="27" t="s">
        <v>249</v>
      </c>
      <c r="I141" s="27">
        <v>1</v>
      </c>
      <c r="J141" s="30">
        <v>0</v>
      </c>
      <c r="K141" s="26" t="s">
        <v>20</v>
      </c>
      <c r="L141" s="26" t="s">
        <v>423</v>
      </c>
      <c r="M141" s="31" t="s">
        <v>5165</v>
      </c>
      <c r="N141" s="6"/>
      <c r="O141" s="2"/>
      <c r="P141" s="2"/>
      <c r="Q141" s="2"/>
      <c r="R141" s="2"/>
      <c r="S141" s="2"/>
      <c r="T141" s="2"/>
      <c r="U141" s="2"/>
      <c r="V141" s="2"/>
      <c r="W141" s="2"/>
      <c r="X141" s="2"/>
      <c r="Y141" s="2"/>
    </row>
    <row r="142" spans="1:25" ht="25.5" customHeight="1">
      <c r="A142" s="26">
        <v>68</v>
      </c>
      <c r="B142" s="27" t="s">
        <v>470</v>
      </c>
      <c r="C142" s="28">
        <v>41983</v>
      </c>
      <c r="D142" s="27"/>
      <c r="E142" s="27" t="s">
        <v>478</v>
      </c>
      <c r="F142" s="29" t="s">
        <v>479</v>
      </c>
      <c r="G142" s="27" t="s">
        <v>307</v>
      </c>
      <c r="H142" s="27" t="s">
        <v>19</v>
      </c>
      <c r="I142" s="27">
        <v>1</v>
      </c>
      <c r="J142" s="30">
        <v>30913163</v>
      </c>
      <c r="K142" s="26" t="s">
        <v>20</v>
      </c>
      <c r="L142" s="26" t="s">
        <v>233</v>
      </c>
      <c r="M142" s="31" t="s">
        <v>5166</v>
      </c>
      <c r="N142" s="6"/>
      <c r="O142" s="2"/>
      <c r="P142" s="2"/>
      <c r="Q142" s="2"/>
      <c r="R142" s="2"/>
      <c r="S142" s="2"/>
      <c r="T142" s="2"/>
      <c r="U142" s="2"/>
      <c r="V142" s="2"/>
      <c r="W142" s="2"/>
      <c r="X142" s="2"/>
      <c r="Y142" s="2"/>
    </row>
    <row r="143" spans="1:25" ht="25.5" customHeight="1">
      <c r="A143" s="26" t="s">
        <v>481</v>
      </c>
      <c r="B143" s="27"/>
      <c r="C143" s="28"/>
      <c r="D143" s="27"/>
      <c r="E143" s="27" t="s">
        <v>482</v>
      </c>
      <c r="F143" s="29" t="s">
        <v>483</v>
      </c>
      <c r="G143" s="27" t="s">
        <v>248</v>
      </c>
      <c r="H143" s="27" t="s">
        <v>249</v>
      </c>
      <c r="I143" s="27">
        <v>1</v>
      </c>
      <c r="J143" s="30">
        <v>0</v>
      </c>
      <c r="K143" s="26" t="s">
        <v>20</v>
      </c>
      <c r="L143" s="26" t="s">
        <v>423</v>
      </c>
      <c r="M143" s="48" t="s">
        <v>484</v>
      </c>
      <c r="N143" s="6"/>
      <c r="O143" s="2"/>
      <c r="P143" s="2"/>
      <c r="Q143" s="2"/>
      <c r="R143" s="2"/>
      <c r="S143" s="2"/>
      <c r="T143" s="2"/>
      <c r="U143" s="2"/>
      <c r="V143" s="2"/>
      <c r="W143" s="2"/>
      <c r="X143" s="2"/>
      <c r="Y143" s="2"/>
    </row>
    <row r="144" spans="1:25" ht="25.5" customHeight="1">
      <c r="A144" s="26">
        <v>69</v>
      </c>
      <c r="B144" s="27" t="s">
        <v>470</v>
      </c>
      <c r="C144" s="28">
        <v>41983</v>
      </c>
      <c r="D144" s="27"/>
      <c r="E144" s="27" t="s">
        <v>485</v>
      </c>
      <c r="F144" s="29" t="s">
        <v>486</v>
      </c>
      <c r="G144" s="27" t="s">
        <v>307</v>
      </c>
      <c r="H144" s="27" t="s">
        <v>19</v>
      </c>
      <c r="I144" s="27">
        <v>1</v>
      </c>
      <c r="J144" s="30">
        <v>30913163</v>
      </c>
      <c r="K144" s="26" t="s">
        <v>20</v>
      </c>
      <c r="L144" s="26" t="s">
        <v>423</v>
      </c>
      <c r="M144" s="31" t="s">
        <v>5167</v>
      </c>
      <c r="N144" s="6"/>
      <c r="O144" s="2"/>
      <c r="P144" s="2"/>
      <c r="Q144" s="2"/>
      <c r="R144" s="2"/>
      <c r="S144" s="2"/>
      <c r="T144" s="2"/>
      <c r="U144" s="2"/>
      <c r="V144" s="2"/>
      <c r="W144" s="2"/>
      <c r="X144" s="2"/>
      <c r="Y144" s="2"/>
    </row>
    <row r="145" spans="1:25" ht="12.75" customHeight="1">
      <c r="A145" s="26" t="s">
        <v>488</v>
      </c>
      <c r="B145" s="27"/>
      <c r="C145" s="28"/>
      <c r="D145" s="27"/>
      <c r="E145" s="27" t="s">
        <v>489</v>
      </c>
      <c r="F145" s="29" t="s">
        <v>490</v>
      </c>
      <c r="G145" s="27" t="s">
        <v>248</v>
      </c>
      <c r="H145" s="27" t="s">
        <v>249</v>
      </c>
      <c r="I145" s="27">
        <v>1</v>
      </c>
      <c r="J145" s="30">
        <v>0</v>
      </c>
      <c r="K145" s="26" t="s">
        <v>20</v>
      </c>
      <c r="L145" s="26" t="s">
        <v>423</v>
      </c>
      <c r="M145" s="31" t="s">
        <v>5168</v>
      </c>
      <c r="N145" s="6"/>
      <c r="O145" s="2"/>
      <c r="P145" s="2"/>
      <c r="Q145" s="2"/>
      <c r="R145" s="2"/>
      <c r="S145" s="2"/>
      <c r="T145" s="2"/>
      <c r="U145" s="2"/>
      <c r="V145" s="2"/>
      <c r="W145" s="2"/>
      <c r="X145" s="2"/>
      <c r="Y145" s="2"/>
    </row>
    <row r="146" spans="1:25" ht="25.5" customHeight="1">
      <c r="A146" s="26">
        <v>70</v>
      </c>
      <c r="B146" s="27" t="s">
        <v>470</v>
      </c>
      <c r="C146" s="28">
        <v>41983</v>
      </c>
      <c r="D146" s="27"/>
      <c r="E146" s="27" t="s">
        <v>492</v>
      </c>
      <c r="F146" s="29" t="s">
        <v>493</v>
      </c>
      <c r="G146" s="27" t="s">
        <v>45</v>
      </c>
      <c r="H146" s="27" t="s">
        <v>19</v>
      </c>
      <c r="I146" s="27">
        <v>1</v>
      </c>
      <c r="J146" s="30">
        <v>1138634839</v>
      </c>
      <c r="K146" s="26" t="s">
        <v>20</v>
      </c>
      <c r="L146" s="26" t="s">
        <v>423</v>
      </c>
      <c r="M146" s="31" t="s">
        <v>5169</v>
      </c>
      <c r="N146" s="6"/>
      <c r="O146" s="2"/>
      <c r="P146" s="2"/>
      <c r="Q146" s="2"/>
      <c r="R146" s="2"/>
      <c r="S146" s="2"/>
      <c r="T146" s="2"/>
      <c r="U146" s="2"/>
      <c r="V146" s="2"/>
      <c r="W146" s="2"/>
      <c r="X146" s="2"/>
      <c r="Y146" s="2"/>
    </row>
    <row r="147" spans="1:25" ht="12.75" customHeight="1">
      <c r="A147" s="26" t="s">
        <v>495</v>
      </c>
      <c r="B147" s="27"/>
      <c r="C147" s="28"/>
      <c r="D147" s="27"/>
      <c r="E147" s="27" t="s">
        <v>496</v>
      </c>
      <c r="F147" s="29" t="s">
        <v>497</v>
      </c>
      <c r="G147" s="27" t="s">
        <v>45</v>
      </c>
      <c r="H147" s="27" t="s">
        <v>19</v>
      </c>
      <c r="I147" s="27">
        <v>1</v>
      </c>
      <c r="J147" s="30">
        <v>0</v>
      </c>
      <c r="K147" s="26" t="s">
        <v>20</v>
      </c>
      <c r="L147" s="26" t="s">
        <v>423</v>
      </c>
      <c r="M147" s="48" t="s">
        <v>5170</v>
      </c>
      <c r="N147" s="6"/>
      <c r="O147" s="2"/>
      <c r="P147" s="2"/>
      <c r="Q147" s="2"/>
      <c r="R147" s="2"/>
      <c r="S147" s="2"/>
      <c r="T147" s="2"/>
      <c r="U147" s="2"/>
      <c r="V147" s="2"/>
      <c r="W147" s="2"/>
      <c r="X147" s="2"/>
      <c r="Y147" s="2"/>
    </row>
    <row r="148" spans="1:25" ht="25.5" customHeight="1">
      <c r="A148" s="26" t="s">
        <v>499</v>
      </c>
      <c r="B148" s="27"/>
      <c r="C148" s="28"/>
      <c r="D148" s="27"/>
      <c r="E148" s="27" t="s">
        <v>500</v>
      </c>
      <c r="F148" s="29" t="s">
        <v>501</v>
      </c>
      <c r="G148" s="27" t="s">
        <v>45</v>
      </c>
      <c r="H148" s="27" t="s">
        <v>19</v>
      </c>
      <c r="I148" s="27">
        <v>1</v>
      </c>
      <c r="J148" s="30">
        <v>0</v>
      </c>
      <c r="K148" s="26" t="s">
        <v>20</v>
      </c>
      <c r="L148" s="26" t="s">
        <v>423</v>
      </c>
      <c r="M148" s="48" t="s">
        <v>5171</v>
      </c>
      <c r="N148" s="6"/>
      <c r="O148" s="2"/>
      <c r="P148" s="2"/>
      <c r="Q148" s="2"/>
      <c r="R148" s="2"/>
      <c r="S148" s="2"/>
      <c r="T148" s="2"/>
      <c r="U148" s="2"/>
      <c r="V148" s="2"/>
      <c r="W148" s="2"/>
      <c r="X148" s="2"/>
      <c r="Y148" s="2"/>
    </row>
    <row r="149" spans="1:25" ht="25.5" customHeight="1">
      <c r="A149" s="26" t="s">
        <v>503</v>
      </c>
      <c r="B149" s="27"/>
      <c r="C149" s="28"/>
      <c r="D149" s="27"/>
      <c r="E149" s="27" t="s">
        <v>504</v>
      </c>
      <c r="F149" s="29" t="s">
        <v>505</v>
      </c>
      <c r="G149" s="27" t="s">
        <v>45</v>
      </c>
      <c r="H149" s="27" t="s">
        <v>19</v>
      </c>
      <c r="I149" s="27">
        <v>1</v>
      </c>
      <c r="J149" s="30">
        <v>0</v>
      </c>
      <c r="K149" s="26" t="s">
        <v>20</v>
      </c>
      <c r="L149" s="26" t="s">
        <v>423</v>
      </c>
      <c r="M149" s="48" t="s">
        <v>5172</v>
      </c>
      <c r="N149" s="6"/>
      <c r="O149" s="2"/>
      <c r="P149" s="2"/>
      <c r="Q149" s="2"/>
      <c r="R149" s="2"/>
      <c r="S149" s="2"/>
      <c r="T149" s="2"/>
      <c r="U149" s="2"/>
      <c r="V149" s="2"/>
      <c r="W149" s="2"/>
      <c r="X149" s="2"/>
      <c r="Y149" s="2"/>
    </row>
    <row r="150" spans="1:25" ht="12.75" customHeight="1">
      <c r="A150" s="26" t="s">
        <v>507</v>
      </c>
      <c r="B150" s="27"/>
      <c r="C150" s="28"/>
      <c r="D150" s="27"/>
      <c r="E150" s="27" t="s">
        <v>508</v>
      </c>
      <c r="F150" s="29" t="s">
        <v>509</v>
      </c>
      <c r="G150" s="27" t="s">
        <v>45</v>
      </c>
      <c r="H150" s="27" t="s">
        <v>19</v>
      </c>
      <c r="I150" s="27">
        <v>1</v>
      </c>
      <c r="J150" s="30">
        <v>0</v>
      </c>
      <c r="K150" s="26" t="s">
        <v>20</v>
      </c>
      <c r="L150" s="26" t="s">
        <v>423</v>
      </c>
      <c r="M150" s="48" t="s">
        <v>5173</v>
      </c>
      <c r="N150" s="6"/>
      <c r="O150" s="2"/>
      <c r="P150" s="2"/>
      <c r="Q150" s="2"/>
      <c r="R150" s="2"/>
      <c r="S150" s="2"/>
      <c r="T150" s="2"/>
      <c r="U150" s="2"/>
      <c r="V150" s="2"/>
      <c r="W150" s="2"/>
      <c r="X150" s="2"/>
      <c r="Y150" s="2"/>
    </row>
    <row r="151" spans="1:25" ht="12.75" customHeight="1">
      <c r="A151" s="26" t="s">
        <v>511</v>
      </c>
      <c r="B151" s="27"/>
      <c r="C151" s="28"/>
      <c r="D151" s="27"/>
      <c r="E151" s="27" t="s">
        <v>512</v>
      </c>
      <c r="F151" s="29" t="s">
        <v>513</v>
      </c>
      <c r="G151" s="27" t="s">
        <v>45</v>
      </c>
      <c r="H151" s="27" t="s">
        <v>19</v>
      </c>
      <c r="I151" s="27">
        <v>1</v>
      </c>
      <c r="J151" s="30">
        <v>0</v>
      </c>
      <c r="K151" s="26" t="s">
        <v>20</v>
      </c>
      <c r="L151" s="26" t="s">
        <v>423</v>
      </c>
      <c r="M151" s="48" t="s">
        <v>5174</v>
      </c>
      <c r="N151" s="6"/>
      <c r="O151" s="2"/>
      <c r="P151" s="2"/>
      <c r="Q151" s="2"/>
      <c r="R151" s="2"/>
      <c r="S151" s="2"/>
      <c r="T151" s="2"/>
      <c r="U151" s="2"/>
      <c r="V151" s="2"/>
      <c r="W151" s="2"/>
      <c r="X151" s="2"/>
      <c r="Y151" s="2"/>
    </row>
    <row r="152" spans="1:25" ht="38.25" customHeight="1">
      <c r="A152" s="26" t="s">
        <v>515</v>
      </c>
      <c r="B152" s="27"/>
      <c r="C152" s="28"/>
      <c r="D152" s="27"/>
      <c r="E152" s="27" t="s">
        <v>516</v>
      </c>
      <c r="F152" s="29" t="s">
        <v>517</v>
      </c>
      <c r="G152" s="27" t="s">
        <v>248</v>
      </c>
      <c r="H152" s="27" t="s">
        <v>19</v>
      </c>
      <c r="I152" s="27">
        <v>1</v>
      </c>
      <c r="J152" s="30">
        <v>0</v>
      </c>
      <c r="K152" s="26" t="s">
        <v>20</v>
      </c>
      <c r="L152" s="26" t="s">
        <v>423</v>
      </c>
      <c r="M152" s="31" t="s">
        <v>5175</v>
      </c>
      <c r="N152" s="6"/>
      <c r="O152" s="2"/>
      <c r="P152" s="2"/>
      <c r="Q152" s="2"/>
      <c r="R152" s="2"/>
      <c r="S152" s="2"/>
      <c r="T152" s="2"/>
      <c r="U152" s="2"/>
      <c r="V152" s="2"/>
      <c r="W152" s="2"/>
      <c r="X152" s="2"/>
      <c r="Y152" s="2"/>
    </row>
    <row r="153" spans="1:25" ht="12.75" customHeight="1">
      <c r="A153" s="26" t="s">
        <v>519</v>
      </c>
      <c r="B153" s="27"/>
      <c r="C153" s="28"/>
      <c r="D153" s="27"/>
      <c r="E153" s="27" t="s">
        <v>520</v>
      </c>
      <c r="F153" s="29" t="s">
        <v>521</v>
      </c>
      <c r="G153" s="27"/>
      <c r="H153" s="27" t="s">
        <v>522</v>
      </c>
      <c r="I153" s="27">
        <v>1</v>
      </c>
      <c r="J153" s="30">
        <v>0</v>
      </c>
      <c r="K153" s="26" t="s">
        <v>20</v>
      </c>
      <c r="L153" s="26" t="s">
        <v>423</v>
      </c>
      <c r="M153" s="31" t="s">
        <v>523</v>
      </c>
      <c r="N153" s="6"/>
      <c r="O153" s="2"/>
      <c r="P153" s="2"/>
      <c r="Q153" s="2"/>
      <c r="R153" s="2"/>
      <c r="S153" s="2"/>
      <c r="T153" s="2"/>
      <c r="U153" s="2"/>
      <c r="V153" s="2"/>
      <c r="W153" s="2"/>
      <c r="X153" s="2"/>
      <c r="Y153" s="2"/>
    </row>
    <row r="154" spans="1:25" ht="25.5" customHeight="1">
      <c r="A154" s="26">
        <v>71</v>
      </c>
      <c r="B154" s="27" t="s">
        <v>470</v>
      </c>
      <c r="C154" s="28">
        <v>41983</v>
      </c>
      <c r="D154" s="27"/>
      <c r="E154" s="27" t="s">
        <v>524</v>
      </c>
      <c r="F154" s="29" t="s">
        <v>525</v>
      </c>
      <c r="G154" s="27"/>
      <c r="H154" s="27"/>
      <c r="I154" s="27">
        <v>1</v>
      </c>
      <c r="J154" s="30">
        <v>849883068</v>
      </c>
      <c r="K154" s="26" t="s">
        <v>20</v>
      </c>
      <c r="L154" s="26" t="s">
        <v>423</v>
      </c>
      <c r="M154" s="31" t="s">
        <v>5176</v>
      </c>
      <c r="N154" s="6"/>
      <c r="O154" s="2"/>
      <c r="P154" s="2"/>
      <c r="Q154" s="2"/>
      <c r="R154" s="2"/>
      <c r="S154" s="2"/>
      <c r="T154" s="2"/>
      <c r="U154" s="2"/>
      <c r="V154" s="2"/>
      <c r="W154" s="2"/>
      <c r="X154" s="2"/>
      <c r="Y154" s="2"/>
    </row>
    <row r="155" spans="1:25" ht="63.75" customHeight="1">
      <c r="A155" s="26" t="s">
        <v>527</v>
      </c>
      <c r="B155" s="27"/>
      <c r="C155" s="28"/>
      <c r="D155" s="27"/>
      <c r="E155" s="27" t="s">
        <v>528</v>
      </c>
      <c r="F155" s="29" t="s">
        <v>529</v>
      </c>
      <c r="G155" s="27" t="s">
        <v>307</v>
      </c>
      <c r="H155" s="27" t="s">
        <v>249</v>
      </c>
      <c r="I155" s="27">
        <v>1</v>
      </c>
      <c r="J155" s="30">
        <v>0</v>
      </c>
      <c r="K155" s="26" t="s">
        <v>20</v>
      </c>
      <c r="L155" s="26" t="s">
        <v>423</v>
      </c>
      <c r="M155" s="31" t="s">
        <v>5177</v>
      </c>
      <c r="N155" s="6"/>
      <c r="O155" s="2"/>
      <c r="P155" s="2"/>
      <c r="Q155" s="2"/>
      <c r="R155" s="2"/>
      <c r="S155" s="2"/>
      <c r="T155" s="2"/>
      <c r="U155" s="2"/>
      <c r="V155" s="2"/>
      <c r="W155" s="2"/>
      <c r="X155" s="2"/>
      <c r="Y155" s="2"/>
    </row>
    <row r="156" spans="1:25" ht="12.75" customHeight="1">
      <c r="A156" s="26" t="s">
        <v>530</v>
      </c>
      <c r="B156" s="27"/>
      <c r="C156" s="28"/>
      <c r="D156" s="27"/>
      <c r="E156" s="27" t="s">
        <v>531</v>
      </c>
      <c r="F156" s="29" t="s">
        <v>532</v>
      </c>
      <c r="G156" s="27" t="s">
        <v>248</v>
      </c>
      <c r="H156" s="27" t="s">
        <v>249</v>
      </c>
      <c r="I156" s="27">
        <v>1</v>
      </c>
      <c r="J156" s="30">
        <v>0</v>
      </c>
      <c r="K156" s="26" t="s">
        <v>20</v>
      </c>
      <c r="L156" s="26" t="s">
        <v>423</v>
      </c>
      <c r="M156" s="31" t="s">
        <v>5178</v>
      </c>
      <c r="N156" s="6"/>
      <c r="O156" s="2"/>
      <c r="P156" s="2"/>
      <c r="Q156" s="2"/>
      <c r="R156" s="2"/>
      <c r="S156" s="2"/>
      <c r="T156" s="2"/>
      <c r="U156" s="2"/>
      <c r="V156" s="2"/>
      <c r="W156" s="2"/>
      <c r="X156" s="2"/>
      <c r="Y156" s="2"/>
    </row>
    <row r="157" spans="1:25" ht="51" customHeight="1">
      <c r="A157" s="26" t="s">
        <v>534</v>
      </c>
      <c r="B157" s="27"/>
      <c r="C157" s="28"/>
      <c r="D157" s="27"/>
      <c r="E157" s="27" t="s">
        <v>535</v>
      </c>
      <c r="F157" s="29" t="s">
        <v>536</v>
      </c>
      <c r="G157" s="27" t="s">
        <v>307</v>
      </c>
      <c r="H157" s="27" t="s">
        <v>249</v>
      </c>
      <c r="I157" s="27">
        <v>1</v>
      </c>
      <c r="J157" s="30">
        <v>0</v>
      </c>
      <c r="K157" s="26" t="s">
        <v>20</v>
      </c>
      <c r="L157" s="26" t="s">
        <v>423</v>
      </c>
      <c r="M157" s="31" t="s">
        <v>5179</v>
      </c>
      <c r="N157" s="6"/>
      <c r="O157" s="2"/>
      <c r="P157" s="2"/>
      <c r="Q157" s="2"/>
      <c r="R157" s="2"/>
      <c r="S157" s="2"/>
      <c r="T157" s="2"/>
      <c r="U157" s="2"/>
      <c r="V157" s="2"/>
      <c r="W157" s="2"/>
      <c r="X157" s="2"/>
      <c r="Y157" s="2"/>
    </row>
    <row r="158" spans="1:25" ht="25.5" customHeight="1">
      <c r="A158" s="26" t="s">
        <v>538</v>
      </c>
      <c r="B158" s="27"/>
      <c r="C158" s="28"/>
      <c r="D158" s="27"/>
      <c r="E158" s="27" t="s">
        <v>539</v>
      </c>
      <c r="F158" s="29" t="s">
        <v>540</v>
      </c>
      <c r="G158" s="27" t="s">
        <v>248</v>
      </c>
      <c r="H158" s="27" t="s">
        <v>249</v>
      </c>
      <c r="I158" s="27">
        <v>1</v>
      </c>
      <c r="J158" s="30">
        <v>0</v>
      </c>
      <c r="K158" s="26" t="s">
        <v>20</v>
      </c>
      <c r="L158" s="36" t="s">
        <v>229</v>
      </c>
      <c r="M158" s="31" t="s">
        <v>5180</v>
      </c>
      <c r="N158" s="6"/>
      <c r="O158" s="2"/>
      <c r="P158" s="2"/>
      <c r="Q158" s="2"/>
      <c r="R158" s="2"/>
      <c r="S158" s="2"/>
      <c r="T158" s="2"/>
      <c r="U158" s="2"/>
      <c r="V158" s="2"/>
      <c r="W158" s="2"/>
      <c r="X158" s="2"/>
      <c r="Y158" s="2"/>
    </row>
    <row r="159" spans="1:25" ht="25.5" customHeight="1">
      <c r="A159" s="26">
        <v>72</v>
      </c>
      <c r="B159" s="27" t="s">
        <v>470</v>
      </c>
      <c r="C159" s="28">
        <v>41983</v>
      </c>
      <c r="D159" s="27"/>
      <c r="E159" s="27" t="s">
        <v>541</v>
      </c>
      <c r="F159" s="29" t="s">
        <v>542</v>
      </c>
      <c r="G159" s="27" t="s">
        <v>35</v>
      </c>
      <c r="H159" s="27" t="s">
        <v>19</v>
      </c>
      <c r="I159" s="27">
        <v>1</v>
      </c>
      <c r="J159" s="30">
        <v>243687138</v>
      </c>
      <c r="K159" s="26" t="s">
        <v>20</v>
      </c>
      <c r="L159" s="26" t="s">
        <v>423</v>
      </c>
      <c r="M159" s="31" t="s">
        <v>5181</v>
      </c>
      <c r="N159" s="6"/>
      <c r="O159" s="2"/>
      <c r="P159" s="2"/>
      <c r="Q159" s="2"/>
      <c r="R159" s="2"/>
      <c r="S159" s="2"/>
      <c r="T159" s="2"/>
      <c r="U159" s="2"/>
      <c r="V159" s="2"/>
      <c r="W159" s="2"/>
      <c r="X159" s="2"/>
      <c r="Y159" s="2"/>
    </row>
    <row r="160" spans="1:25" ht="12.75" customHeight="1">
      <c r="A160" s="26" t="s">
        <v>544</v>
      </c>
      <c r="B160" s="27"/>
      <c r="C160" s="28"/>
      <c r="D160" s="27"/>
      <c r="E160" s="27" t="s">
        <v>545</v>
      </c>
      <c r="F160" s="29" t="s">
        <v>546</v>
      </c>
      <c r="G160" s="27" t="s">
        <v>35</v>
      </c>
      <c r="H160" s="27" t="s">
        <v>249</v>
      </c>
      <c r="I160" s="27">
        <v>1</v>
      </c>
      <c r="J160" s="30">
        <v>0</v>
      </c>
      <c r="K160" s="26" t="s">
        <v>20</v>
      </c>
      <c r="L160" s="26" t="s">
        <v>423</v>
      </c>
      <c r="M160" s="31" t="s">
        <v>5182</v>
      </c>
      <c r="N160" s="6"/>
      <c r="O160" s="2"/>
      <c r="P160" s="2"/>
      <c r="Q160" s="2"/>
      <c r="R160" s="2"/>
      <c r="S160" s="2"/>
      <c r="T160" s="2"/>
      <c r="U160" s="2"/>
      <c r="V160" s="2"/>
      <c r="W160" s="2"/>
      <c r="X160" s="2"/>
      <c r="Y160" s="2"/>
    </row>
    <row r="161" spans="1:25" ht="25.5" customHeight="1">
      <c r="A161" s="26">
        <v>73</v>
      </c>
      <c r="B161" s="27" t="s">
        <v>470</v>
      </c>
      <c r="C161" s="28">
        <v>41983</v>
      </c>
      <c r="D161" s="27"/>
      <c r="E161" s="27" t="s">
        <v>548</v>
      </c>
      <c r="F161" s="29" t="s">
        <v>549</v>
      </c>
      <c r="G161" s="27" t="s">
        <v>35</v>
      </c>
      <c r="H161" s="27" t="s">
        <v>19</v>
      </c>
      <c r="I161" s="27">
        <v>1</v>
      </c>
      <c r="J161" s="30">
        <v>243687138</v>
      </c>
      <c r="K161" s="26" t="s">
        <v>20</v>
      </c>
      <c r="L161" s="26" t="s">
        <v>423</v>
      </c>
      <c r="M161" s="31" t="s">
        <v>5183</v>
      </c>
      <c r="N161" s="6"/>
      <c r="O161" s="2"/>
      <c r="P161" s="2"/>
      <c r="Q161" s="2"/>
      <c r="R161" s="2"/>
      <c r="S161" s="2"/>
      <c r="T161" s="2"/>
      <c r="U161" s="2"/>
      <c r="V161" s="2"/>
      <c r="W161" s="2"/>
      <c r="X161" s="2"/>
      <c r="Y161" s="2"/>
    </row>
    <row r="162" spans="1:25" ht="12.75" customHeight="1">
      <c r="A162" s="26" t="s">
        <v>551</v>
      </c>
      <c r="B162" s="27"/>
      <c r="C162" s="28"/>
      <c r="D162" s="27"/>
      <c r="E162" s="27" t="s">
        <v>552</v>
      </c>
      <c r="F162" s="29" t="s">
        <v>553</v>
      </c>
      <c r="G162" s="27" t="s">
        <v>35</v>
      </c>
      <c r="H162" s="27" t="s">
        <v>249</v>
      </c>
      <c r="I162" s="27">
        <v>1</v>
      </c>
      <c r="J162" s="30">
        <v>0</v>
      </c>
      <c r="K162" s="26" t="s">
        <v>20</v>
      </c>
      <c r="L162" s="26" t="s">
        <v>423</v>
      </c>
      <c r="M162" s="31" t="s">
        <v>5184</v>
      </c>
      <c r="N162" s="6"/>
      <c r="O162" s="2"/>
      <c r="P162" s="2"/>
      <c r="Q162" s="2"/>
      <c r="R162" s="2"/>
      <c r="S162" s="2"/>
      <c r="T162" s="2"/>
      <c r="U162" s="2"/>
      <c r="V162" s="2"/>
      <c r="W162" s="2"/>
      <c r="X162" s="2"/>
      <c r="Y162" s="2"/>
    </row>
    <row r="163" spans="1:25" ht="25.5" customHeight="1">
      <c r="A163" s="26">
        <v>74</v>
      </c>
      <c r="B163" s="27" t="s">
        <v>470</v>
      </c>
      <c r="C163" s="28">
        <v>41983</v>
      </c>
      <c r="D163" s="27"/>
      <c r="E163" s="27" t="s">
        <v>555</v>
      </c>
      <c r="F163" s="29" t="s">
        <v>556</v>
      </c>
      <c r="G163" s="27" t="s">
        <v>35</v>
      </c>
      <c r="H163" s="27" t="s">
        <v>19</v>
      </c>
      <c r="I163" s="27">
        <v>1</v>
      </c>
      <c r="J163" s="30">
        <v>243687119</v>
      </c>
      <c r="K163" s="26" t="s">
        <v>20</v>
      </c>
      <c r="L163" s="26" t="s">
        <v>423</v>
      </c>
      <c r="M163" s="31" t="s">
        <v>5185</v>
      </c>
      <c r="N163" s="6"/>
      <c r="O163" s="2"/>
      <c r="P163" s="2"/>
      <c r="Q163" s="2"/>
      <c r="R163" s="2"/>
      <c r="S163" s="2"/>
      <c r="T163" s="2"/>
      <c r="U163" s="2"/>
      <c r="V163" s="2"/>
      <c r="W163" s="2"/>
      <c r="X163" s="2"/>
      <c r="Y163" s="2"/>
    </row>
    <row r="164" spans="1:25" ht="12.75" customHeight="1">
      <c r="A164" s="26" t="s">
        <v>558</v>
      </c>
      <c r="B164" s="27"/>
      <c r="C164" s="28"/>
      <c r="D164" s="27"/>
      <c r="E164" s="27" t="s">
        <v>559</v>
      </c>
      <c r="F164" s="29" t="s">
        <v>560</v>
      </c>
      <c r="G164" s="27" t="s">
        <v>35</v>
      </c>
      <c r="H164" s="27" t="s">
        <v>249</v>
      </c>
      <c r="I164" s="27">
        <v>1</v>
      </c>
      <c r="J164" s="30">
        <v>0</v>
      </c>
      <c r="K164" s="26" t="s">
        <v>20</v>
      </c>
      <c r="L164" s="26" t="s">
        <v>423</v>
      </c>
      <c r="M164" s="31" t="s">
        <v>5186</v>
      </c>
      <c r="N164" s="6"/>
      <c r="O164" s="2"/>
      <c r="P164" s="2"/>
      <c r="Q164" s="2"/>
      <c r="R164" s="2"/>
      <c r="S164" s="2"/>
      <c r="T164" s="2"/>
      <c r="U164" s="2"/>
      <c r="V164" s="2"/>
      <c r="W164" s="2"/>
      <c r="X164" s="2"/>
      <c r="Y164" s="2"/>
    </row>
    <row r="165" spans="1:25" ht="63.75" customHeight="1">
      <c r="A165" s="26">
        <v>75</v>
      </c>
      <c r="B165" s="27" t="s">
        <v>562</v>
      </c>
      <c r="C165" s="28">
        <v>42446</v>
      </c>
      <c r="D165" s="27"/>
      <c r="E165" s="27" t="s">
        <v>563</v>
      </c>
      <c r="F165" s="29" t="s">
        <v>564</v>
      </c>
      <c r="G165" s="27" t="s">
        <v>307</v>
      </c>
      <c r="H165" s="27" t="s">
        <v>19</v>
      </c>
      <c r="I165" s="27">
        <v>1</v>
      </c>
      <c r="J165" s="30">
        <v>693052012</v>
      </c>
      <c r="K165" s="26" t="s">
        <v>36</v>
      </c>
      <c r="L165" s="26" t="s">
        <v>141</v>
      </c>
      <c r="M165" s="31" t="s">
        <v>565</v>
      </c>
      <c r="N165" s="6"/>
      <c r="O165" s="2"/>
      <c r="P165" s="2"/>
      <c r="Q165" s="2"/>
      <c r="R165" s="2"/>
      <c r="S165" s="2"/>
      <c r="T165" s="2"/>
      <c r="U165" s="2"/>
      <c r="V165" s="2"/>
      <c r="W165" s="2"/>
      <c r="X165" s="2"/>
      <c r="Y165" s="2"/>
    </row>
    <row r="166" spans="1:25" ht="25.5" customHeight="1">
      <c r="A166" s="26" t="s">
        <v>566</v>
      </c>
      <c r="B166" s="27"/>
      <c r="C166" s="28"/>
      <c r="D166" s="27"/>
      <c r="E166" s="27" t="s">
        <v>567</v>
      </c>
      <c r="F166" s="29" t="s">
        <v>568</v>
      </c>
      <c r="G166" s="27" t="s">
        <v>338</v>
      </c>
      <c r="H166" s="27" t="s">
        <v>569</v>
      </c>
      <c r="I166" s="27">
        <v>1</v>
      </c>
      <c r="J166" s="30">
        <v>201217281</v>
      </c>
      <c r="K166" s="26" t="s">
        <v>36</v>
      </c>
      <c r="L166" s="26" t="s">
        <v>141</v>
      </c>
      <c r="M166" s="31"/>
      <c r="N166" s="6"/>
      <c r="O166" s="2"/>
      <c r="P166" s="2"/>
      <c r="Q166" s="2"/>
      <c r="R166" s="2"/>
      <c r="S166" s="2"/>
      <c r="T166" s="2"/>
      <c r="U166" s="2"/>
      <c r="V166" s="2"/>
      <c r="W166" s="2"/>
      <c r="X166" s="2"/>
      <c r="Y166" s="2"/>
    </row>
    <row r="167" spans="1:25" ht="12.75" customHeight="1">
      <c r="A167" s="26" t="s">
        <v>570</v>
      </c>
      <c r="B167" s="27"/>
      <c r="C167" s="28"/>
      <c r="D167" s="27"/>
      <c r="E167" s="27" t="s">
        <v>571</v>
      </c>
      <c r="F167" s="29" t="s">
        <v>572</v>
      </c>
      <c r="G167" s="27" t="s">
        <v>573</v>
      </c>
      <c r="H167" s="27" t="s">
        <v>522</v>
      </c>
      <c r="I167" s="27">
        <v>1</v>
      </c>
      <c r="J167" s="30">
        <v>113333333</v>
      </c>
      <c r="K167" s="26" t="s">
        <v>36</v>
      </c>
      <c r="L167" s="26" t="s">
        <v>141</v>
      </c>
      <c r="M167" s="31"/>
      <c r="N167" s="6"/>
      <c r="O167" s="2"/>
      <c r="P167" s="2"/>
      <c r="Q167" s="2"/>
      <c r="R167" s="2"/>
      <c r="S167" s="2"/>
      <c r="T167" s="2"/>
      <c r="U167" s="2"/>
      <c r="V167" s="2"/>
      <c r="W167" s="2"/>
      <c r="X167" s="2"/>
      <c r="Y167" s="2"/>
    </row>
    <row r="168" spans="1:25" ht="63.75" customHeight="1">
      <c r="A168" s="26">
        <v>76</v>
      </c>
      <c r="B168" s="27" t="s">
        <v>562</v>
      </c>
      <c r="C168" s="28">
        <v>42446</v>
      </c>
      <c r="D168" s="27"/>
      <c r="E168" s="27" t="s">
        <v>574</v>
      </c>
      <c r="F168" s="29" t="s">
        <v>575</v>
      </c>
      <c r="G168" s="27" t="s">
        <v>307</v>
      </c>
      <c r="H168" s="27" t="s">
        <v>19</v>
      </c>
      <c r="I168" s="27">
        <v>1</v>
      </c>
      <c r="J168" s="30">
        <v>648752012</v>
      </c>
      <c r="K168" s="26" t="s">
        <v>36</v>
      </c>
      <c r="L168" s="26" t="s">
        <v>141</v>
      </c>
      <c r="M168" s="31" t="s">
        <v>576</v>
      </c>
      <c r="N168" s="6"/>
      <c r="O168" s="2"/>
      <c r="P168" s="2"/>
      <c r="Q168" s="2"/>
      <c r="R168" s="2"/>
      <c r="S168" s="2"/>
      <c r="T168" s="2"/>
      <c r="U168" s="2"/>
      <c r="V168" s="2"/>
      <c r="W168" s="2"/>
      <c r="X168" s="2"/>
      <c r="Y168" s="2"/>
    </row>
    <row r="169" spans="1:25" ht="25.5" customHeight="1">
      <c r="A169" s="26" t="s">
        <v>577</v>
      </c>
      <c r="B169" s="27"/>
      <c r="C169" s="28"/>
      <c r="D169" s="27"/>
      <c r="E169" s="27" t="s">
        <v>578</v>
      </c>
      <c r="F169" s="29" t="s">
        <v>579</v>
      </c>
      <c r="G169" s="27" t="s">
        <v>338</v>
      </c>
      <c r="H169" s="27" t="s">
        <v>569</v>
      </c>
      <c r="I169" s="27">
        <v>1</v>
      </c>
      <c r="J169" s="30">
        <v>201217281</v>
      </c>
      <c r="K169" s="26" t="s">
        <v>36</v>
      </c>
      <c r="L169" s="26" t="s">
        <v>141</v>
      </c>
      <c r="M169" s="31"/>
      <c r="N169" s="6"/>
      <c r="O169" s="2"/>
      <c r="P169" s="2"/>
      <c r="Q169" s="2"/>
      <c r="R169" s="2"/>
      <c r="S169" s="2"/>
      <c r="T169" s="2"/>
      <c r="U169" s="2"/>
      <c r="V169" s="2"/>
      <c r="W169" s="2"/>
      <c r="X169" s="2"/>
      <c r="Y169" s="2"/>
    </row>
    <row r="170" spans="1:25" ht="12.75" customHeight="1">
      <c r="A170" s="26" t="s">
        <v>580</v>
      </c>
      <c r="B170" s="27"/>
      <c r="C170" s="28"/>
      <c r="D170" s="27"/>
      <c r="E170" s="27" t="s">
        <v>581</v>
      </c>
      <c r="F170" s="29" t="s">
        <v>572</v>
      </c>
      <c r="G170" s="27" t="s">
        <v>573</v>
      </c>
      <c r="H170" s="27" t="s">
        <v>522</v>
      </c>
      <c r="I170" s="27">
        <v>1</v>
      </c>
      <c r="J170" s="30">
        <v>113333333</v>
      </c>
      <c r="K170" s="26" t="s">
        <v>36</v>
      </c>
      <c r="L170" s="26" t="s">
        <v>141</v>
      </c>
      <c r="M170" s="31"/>
      <c r="N170" s="6"/>
      <c r="O170" s="2"/>
      <c r="P170" s="2"/>
      <c r="Q170" s="2"/>
      <c r="R170" s="2"/>
      <c r="S170" s="2"/>
      <c r="T170" s="2"/>
      <c r="U170" s="2"/>
      <c r="V170" s="2"/>
      <c r="W170" s="2"/>
      <c r="X170" s="2"/>
      <c r="Y170" s="2"/>
    </row>
    <row r="171" spans="1:25" ht="63.75" customHeight="1">
      <c r="A171" s="26">
        <v>77</v>
      </c>
      <c r="B171" s="27" t="s">
        <v>562</v>
      </c>
      <c r="C171" s="28">
        <v>42446</v>
      </c>
      <c r="D171" s="27"/>
      <c r="E171" s="27" t="s">
        <v>582</v>
      </c>
      <c r="F171" s="29" t="s">
        <v>583</v>
      </c>
      <c r="G171" s="27" t="s">
        <v>307</v>
      </c>
      <c r="H171" s="27" t="s">
        <v>19</v>
      </c>
      <c r="I171" s="27">
        <v>1</v>
      </c>
      <c r="J171" s="30">
        <v>635942013</v>
      </c>
      <c r="K171" s="26" t="s">
        <v>36</v>
      </c>
      <c r="L171" s="26" t="s">
        <v>141</v>
      </c>
      <c r="M171" s="31" t="s">
        <v>584</v>
      </c>
      <c r="N171" s="6"/>
      <c r="O171" s="2"/>
      <c r="P171" s="2"/>
      <c r="Q171" s="2"/>
      <c r="R171" s="2"/>
      <c r="S171" s="2"/>
      <c r="T171" s="2"/>
      <c r="U171" s="2"/>
      <c r="V171" s="2"/>
      <c r="W171" s="2"/>
      <c r="X171" s="2"/>
      <c r="Y171" s="2"/>
    </row>
    <row r="172" spans="1:25" ht="25.5" customHeight="1">
      <c r="A172" s="26" t="s">
        <v>585</v>
      </c>
      <c r="B172" s="27"/>
      <c r="C172" s="28"/>
      <c r="D172" s="27"/>
      <c r="E172" s="27" t="s">
        <v>586</v>
      </c>
      <c r="F172" s="29" t="s">
        <v>587</v>
      </c>
      <c r="G172" s="27" t="s">
        <v>338</v>
      </c>
      <c r="H172" s="27" t="s">
        <v>569</v>
      </c>
      <c r="I172" s="27">
        <v>1</v>
      </c>
      <c r="J172" s="30">
        <v>201217281</v>
      </c>
      <c r="K172" s="26" t="s">
        <v>36</v>
      </c>
      <c r="L172" s="26" t="s">
        <v>141</v>
      </c>
      <c r="M172" s="31"/>
      <c r="N172" s="6"/>
      <c r="O172" s="2"/>
      <c r="P172" s="2"/>
      <c r="Q172" s="2"/>
      <c r="R172" s="2"/>
      <c r="S172" s="2"/>
      <c r="T172" s="2"/>
      <c r="U172" s="2"/>
      <c r="V172" s="2"/>
      <c r="W172" s="2"/>
      <c r="X172" s="2"/>
      <c r="Y172" s="2"/>
    </row>
    <row r="173" spans="1:25" ht="12.75" customHeight="1">
      <c r="A173" s="26" t="s">
        <v>588</v>
      </c>
      <c r="B173" s="27"/>
      <c r="C173" s="28"/>
      <c r="D173" s="27"/>
      <c r="E173" s="27" t="s">
        <v>589</v>
      </c>
      <c r="F173" s="29" t="s">
        <v>572</v>
      </c>
      <c r="G173" s="27" t="s">
        <v>573</v>
      </c>
      <c r="H173" s="27" t="s">
        <v>522</v>
      </c>
      <c r="I173" s="27">
        <v>1</v>
      </c>
      <c r="J173" s="30">
        <v>113333334</v>
      </c>
      <c r="K173" s="26" t="s">
        <v>36</v>
      </c>
      <c r="L173" s="26" t="s">
        <v>141</v>
      </c>
      <c r="M173" s="31"/>
      <c r="N173" s="6"/>
      <c r="O173" s="2"/>
      <c r="P173" s="2"/>
      <c r="Q173" s="2"/>
      <c r="R173" s="2"/>
      <c r="S173" s="2"/>
      <c r="T173" s="2"/>
      <c r="U173" s="2"/>
      <c r="V173" s="2"/>
      <c r="W173" s="2"/>
      <c r="X173" s="2"/>
      <c r="Y173" s="2"/>
    </row>
    <row r="174" spans="1:25" ht="51" customHeight="1">
      <c r="A174" s="26">
        <v>78</v>
      </c>
      <c r="B174" s="27" t="s">
        <v>562</v>
      </c>
      <c r="C174" s="28">
        <v>42446</v>
      </c>
      <c r="D174" s="27"/>
      <c r="E174" s="27" t="s">
        <v>590</v>
      </c>
      <c r="F174" s="29" t="s">
        <v>591</v>
      </c>
      <c r="G174" s="27" t="s">
        <v>307</v>
      </c>
      <c r="H174" s="27" t="s">
        <v>19</v>
      </c>
      <c r="I174" s="27">
        <v>1</v>
      </c>
      <c r="J174" s="30">
        <v>185491376</v>
      </c>
      <c r="K174" s="26" t="s">
        <v>36</v>
      </c>
      <c r="L174" s="26" t="s">
        <v>141</v>
      </c>
      <c r="M174" s="31" t="s">
        <v>592</v>
      </c>
      <c r="N174" s="6"/>
      <c r="O174" s="2"/>
      <c r="P174" s="2"/>
      <c r="Q174" s="2"/>
      <c r="R174" s="2"/>
      <c r="S174" s="2"/>
      <c r="T174" s="2"/>
      <c r="U174" s="2"/>
      <c r="V174" s="2"/>
      <c r="W174" s="2"/>
      <c r="X174" s="2"/>
      <c r="Y174" s="2"/>
    </row>
    <row r="175" spans="1:25" ht="51" customHeight="1">
      <c r="A175" s="26">
        <v>79</v>
      </c>
      <c r="B175" s="27" t="s">
        <v>562</v>
      </c>
      <c r="C175" s="28">
        <v>42446</v>
      </c>
      <c r="D175" s="27"/>
      <c r="E175" s="27" t="s">
        <v>593</v>
      </c>
      <c r="F175" s="29" t="s">
        <v>594</v>
      </c>
      <c r="G175" s="27" t="s">
        <v>307</v>
      </c>
      <c r="H175" s="27" t="s">
        <v>19</v>
      </c>
      <c r="I175" s="27">
        <v>1</v>
      </c>
      <c r="J175" s="30">
        <v>185491377</v>
      </c>
      <c r="K175" s="26" t="s">
        <v>36</v>
      </c>
      <c r="L175" s="26" t="s">
        <v>141</v>
      </c>
      <c r="M175" s="31" t="s">
        <v>595</v>
      </c>
      <c r="N175" s="6"/>
      <c r="O175" s="2"/>
      <c r="P175" s="2"/>
      <c r="Q175" s="2"/>
      <c r="R175" s="2"/>
      <c r="S175" s="2"/>
      <c r="T175" s="2"/>
      <c r="U175" s="2"/>
      <c r="V175" s="2"/>
      <c r="W175" s="2"/>
      <c r="X175" s="2"/>
      <c r="Y175" s="2"/>
    </row>
    <row r="176" spans="1:25" ht="25.5" customHeight="1">
      <c r="A176" s="26">
        <v>80</v>
      </c>
      <c r="B176" s="27" t="s">
        <v>466</v>
      </c>
      <c r="C176" s="28">
        <v>42626</v>
      </c>
      <c r="D176" s="27"/>
      <c r="E176" s="27" t="s">
        <v>596</v>
      </c>
      <c r="F176" s="29" t="s">
        <v>597</v>
      </c>
      <c r="G176" s="27" t="s">
        <v>307</v>
      </c>
      <c r="H176" s="27" t="s">
        <v>19</v>
      </c>
      <c r="I176" s="27">
        <v>1</v>
      </c>
      <c r="J176" s="30">
        <v>756075014</v>
      </c>
      <c r="K176" s="26" t="s">
        <v>36</v>
      </c>
      <c r="L176" s="26" t="s">
        <v>141</v>
      </c>
      <c r="M176" s="31" t="s">
        <v>598</v>
      </c>
      <c r="N176" s="6"/>
      <c r="O176" s="2"/>
      <c r="P176" s="2"/>
      <c r="Q176" s="2"/>
      <c r="R176" s="2"/>
      <c r="S176" s="2"/>
      <c r="T176" s="2"/>
      <c r="U176" s="2"/>
      <c r="V176" s="2"/>
      <c r="W176" s="2"/>
      <c r="X176" s="2"/>
      <c r="Y176" s="2"/>
    </row>
    <row r="177" spans="1:25" ht="25.5" customHeight="1">
      <c r="A177" s="26">
        <v>81</v>
      </c>
      <c r="B177" s="27" t="s">
        <v>599</v>
      </c>
      <c r="C177" s="28">
        <v>42671</v>
      </c>
      <c r="D177" s="27"/>
      <c r="E177" s="27" t="s">
        <v>600</v>
      </c>
      <c r="F177" s="29" t="s">
        <v>601</v>
      </c>
      <c r="G177" s="27" t="s">
        <v>307</v>
      </c>
      <c r="H177" s="27" t="s">
        <v>19</v>
      </c>
      <c r="I177" s="27">
        <v>1</v>
      </c>
      <c r="J177" s="30">
        <v>167514034</v>
      </c>
      <c r="K177" s="26" t="s">
        <v>36</v>
      </c>
      <c r="L177" s="26" t="s">
        <v>141</v>
      </c>
      <c r="M177" s="31" t="s">
        <v>602</v>
      </c>
      <c r="N177" s="6"/>
      <c r="O177" s="2"/>
      <c r="P177" s="2"/>
      <c r="Q177" s="2"/>
      <c r="R177" s="2"/>
      <c r="S177" s="2"/>
      <c r="T177" s="2"/>
      <c r="U177" s="2"/>
      <c r="V177" s="2"/>
      <c r="W177" s="2"/>
      <c r="X177" s="2"/>
      <c r="Y177" s="2"/>
    </row>
    <row r="178" spans="1:25" ht="25.5" customHeight="1">
      <c r="A178" s="26">
        <v>82</v>
      </c>
      <c r="B178" s="27" t="s">
        <v>599</v>
      </c>
      <c r="C178" s="28">
        <v>42671</v>
      </c>
      <c r="D178" s="27"/>
      <c r="E178" s="27" t="s">
        <v>603</v>
      </c>
      <c r="F178" s="29" t="s">
        <v>604</v>
      </c>
      <c r="G178" s="27" t="s">
        <v>307</v>
      </c>
      <c r="H178" s="27" t="s">
        <v>19</v>
      </c>
      <c r="I178" s="27">
        <v>1</v>
      </c>
      <c r="J178" s="30">
        <v>167514034</v>
      </c>
      <c r="K178" s="26" t="s">
        <v>36</v>
      </c>
      <c r="L178" s="26" t="s">
        <v>141</v>
      </c>
      <c r="M178" s="31" t="s">
        <v>605</v>
      </c>
      <c r="N178" s="6"/>
      <c r="O178" s="2"/>
      <c r="P178" s="2"/>
      <c r="Q178" s="2"/>
      <c r="R178" s="2"/>
      <c r="S178" s="2"/>
      <c r="T178" s="2"/>
      <c r="U178" s="2"/>
      <c r="V178" s="2"/>
      <c r="W178" s="2"/>
      <c r="X178" s="2"/>
      <c r="Y178" s="2"/>
    </row>
    <row r="179" spans="1:25" ht="25.5" customHeight="1">
      <c r="A179" s="26">
        <v>83</v>
      </c>
      <c r="B179" s="27" t="s">
        <v>599</v>
      </c>
      <c r="C179" s="28">
        <v>42671</v>
      </c>
      <c r="D179" s="27"/>
      <c r="E179" s="27" t="s">
        <v>606</v>
      </c>
      <c r="F179" s="29" t="s">
        <v>607</v>
      </c>
      <c r="G179" s="27" t="s">
        <v>307</v>
      </c>
      <c r="H179" s="27" t="s">
        <v>19</v>
      </c>
      <c r="I179" s="27">
        <v>1</v>
      </c>
      <c r="J179" s="30">
        <v>167514034</v>
      </c>
      <c r="K179" s="26" t="s">
        <v>36</v>
      </c>
      <c r="L179" s="26" t="s">
        <v>141</v>
      </c>
      <c r="M179" s="31" t="s">
        <v>608</v>
      </c>
      <c r="N179" s="6"/>
      <c r="O179" s="2"/>
      <c r="P179" s="2"/>
      <c r="Q179" s="2"/>
      <c r="R179" s="2"/>
      <c r="S179" s="2"/>
      <c r="T179" s="2"/>
      <c r="U179" s="2"/>
      <c r="V179" s="2"/>
      <c r="W179" s="2"/>
      <c r="X179" s="2"/>
      <c r="Y179" s="2"/>
    </row>
    <row r="180" spans="1:25" ht="25.5" customHeight="1">
      <c r="A180" s="26">
        <v>84</v>
      </c>
      <c r="B180" s="27" t="s">
        <v>599</v>
      </c>
      <c r="C180" s="28">
        <v>42671</v>
      </c>
      <c r="D180" s="27"/>
      <c r="E180" s="27" t="s">
        <v>609</v>
      </c>
      <c r="F180" s="29" t="s">
        <v>610</v>
      </c>
      <c r="G180" s="27" t="s">
        <v>307</v>
      </c>
      <c r="H180" s="27" t="s">
        <v>19</v>
      </c>
      <c r="I180" s="27">
        <v>1</v>
      </c>
      <c r="J180" s="30">
        <v>406714034</v>
      </c>
      <c r="K180" s="26" t="s">
        <v>36</v>
      </c>
      <c r="L180" s="26" t="s">
        <v>141</v>
      </c>
      <c r="M180" s="31" t="s">
        <v>611</v>
      </c>
      <c r="N180" s="6"/>
      <c r="O180" s="2"/>
      <c r="P180" s="2"/>
      <c r="Q180" s="2"/>
      <c r="R180" s="2"/>
      <c r="S180" s="2"/>
      <c r="T180" s="2"/>
      <c r="U180" s="2"/>
      <c r="V180" s="2"/>
      <c r="W180" s="2"/>
      <c r="X180" s="2"/>
      <c r="Y180" s="2"/>
    </row>
    <row r="181" spans="1:25" ht="25.5" customHeight="1">
      <c r="A181" s="26">
        <v>85</v>
      </c>
      <c r="B181" s="27" t="s">
        <v>599</v>
      </c>
      <c r="C181" s="28">
        <v>42671</v>
      </c>
      <c r="D181" s="27"/>
      <c r="E181" s="27" t="s">
        <v>612</v>
      </c>
      <c r="F181" s="29" t="s">
        <v>613</v>
      </c>
      <c r="G181" s="27" t="s">
        <v>307</v>
      </c>
      <c r="H181" s="27" t="s">
        <v>19</v>
      </c>
      <c r="I181" s="27">
        <v>1</v>
      </c>
      <c r="J181" s="30">
        <v>204198541</v>
      </c>
      <c r="K181" s="26" t="s">
        <v>36</v>
      </c>
      <c r="L181" s="26" t="s">
        <v>141</v>
      </c>
      <c r="M181" s="31" t="s">
        <v>614</v>
      </c>
      <c r="N181" s="6"/>
      <c r="O181" s="2"/>
      <c r="P181" s="2"/>
      <c r="Q181" s="2"/>
      <c r="R181" s="2"/>
      <c r="S181" s="2"/>
      <c r="T181" s="2"/>
      <c r="U181" s="2"/>
      <c r="V181" s="2"/>
      <c r="W181" s="2"/>
      <c r="X181" s="2"/>
      <c r="Y181" s="2"/>
    </row>
    <row r="182" spans="1:25" ht="25.5" customHeight="1">
      <c r="A182" s="26">
        <v>86</v>
      </c>
      <c r="B182" s="27" t="s">
        <v>599</v>
      </c>
      <c r="C182" s="28">
        <v>42671</v>
      </c>
      <c r="D182" s="27"/>
      <c r="E182" s="27" t="s">
        <v>615</v>
      </c>
      <c r="F182" s="29" t="s">
        <v>616</v>
      </c>
      <c r="G182" s="27" t="s">
        <v>307</v>
      </c>
      <c r="H182" s="27" t="s">
        <v>19</v>
      </c>
      <c r="I182" s="27">
        <v>1</v>
      </c>
      <c r="J182" s="30">
        <v>204198541</v>
      </c>
      <c r="K182" s="26" t="s">
        <v>36</v>
      </c>
      <c r="L182" s="26" t="s">
        <v>141</v>
      </c>
      <c r="M182" s="31" t="s">
        <v>617</v>
      </c>
      <c r="N182" s="6"/>
      <c r="O182" s="2"/>
      <c r="P182" s="2"/>
      <c r="Q182" s="2"/>
      <c r="R182" s="2"/>
      <c r="S182" s="2"/>
      <c r="T182" s="2"/>
      <c r="U182" s="2"/>
      <c r="V182" s="2"/>
      <c r="W182" s="2"/>
      <c r="X182" s="2"/>
      <c r="Y182" s="2"/>
    </row>
    <row r="183" spans="1:25" ht="25.5" customHeight="1">
      <c r="A183" s="26">
        <v>87</v>
      </c>
      <c r="B183" s="27" t="s">
        <v>599</v>
      </c>
      <c r="C183" s="28">
        <v>42671</v>
      </c>
      <c r="D183" s="27"/>
      <c r="E183" s="27" t="s">
        <v>618</v>
      </c>
      <c r="F183" s="29" t="s">
        <v>619</v>
      </c>
      <c r="G183" s="27" t="s">
        <v>307</v>
      </c>
      <c r="H183" s="27" t="s">
        <v>19</v>
      </c>
      <c r="I183" s="27">
        <v>1</v>
      </c>
      <c r="J183" s="30">
        <v>48437792</v>
      </c>
      <c r="K183" s="26" t="s">
        <v>36</v>
      </c>
      <c r="L183" s="26" t="s">
        <v>56</v>
      </c>
      <c r="M183" s="31" t="s">
        <v>620</v>
      </c>
      <c r="N183" s="6"/>
      <c r="O183" s="2"/>
      <c r="P183" s="2"/>
      <c r="Q183" s="2"/>
      <c r="R183" s="2"/>
      <c r="S183" s="2"/>
      <c r="T183" s="2"/>
      <c r="U183" s="2"/>
      <c r="V183" s="2"/>
      <c r="W183" s="2"/>
      <c r="X183" s="2"/>
      <c r="Y183" s="2"/>
    </row>
    <row r="184" spans="1:25" ht="12.75" customHeight="1">
      <c r="A184" s="26" t="s">
        <v>621</v>
      </c>
      <c r="B184" s="27"/>
      <c r="C184" s="28"/>
      <c r="D184" s="27"/>
      <c r="E184" s="27" t="s">
        <v>622</v>
      </c>
      <c r="F184" s="29" t="s">
        <v>623</v>
      </c>
      <c r="G184" s="27" t="s">
        <v>248</v>
      </c>
      <c r="H184" s="27" t="s">
        <v>249</v>
      </c>
      <c r="I184" s="27">
        <v>1</v>
      </c>
      <c r="J184" s="30">
        <v>0</v>
      </c>
      <c r="K184" s="26" t="s">
        <v>36</v>
      </c>
      <c r="L184" s="26" t="s">
        <v>56</v>
      </c>
      <c r="M184" s="31"/>
      <c r="N184" s="6"/>
      <c r="O184" s="2"/>
      <c r="P184" s="2"/>
      <c r="Q184" s="2"/>
      <c r="R184" s="2"/>
      <c r="S184" s="2"/>
      <c r="T184" s="2"/>
      <c r="U184" s="2"/>
      <c r="V184" s="2"/>
      <c r="W184" s="2"/>
      <c r="X184" s="2"/>
      <c r="Y184" s="2"/>
    </row>
    <row r="185" spans="1:25" ht="25.5" customHeight="1">
      <c r="A185" s="26">
        <v>88</v>
      </c>
      <c r="B185" s="27" t="s">
        <v>599</v>
      </c>
      <c r="C185" s="28">
        <v>42671</v>
      </c>
      <c r="D185" s="27"/>
      <c r="E185" s="27" t="s">
        <v>624</v>
      </c>
      <c r="F185" s="29" t="s">
        <v>625</v>
      </c>
      <c r="G185" s="27" t="s">
        <v>307</v>
      </c>
      <c r="H185" s="27" t="s">
        <v>19</v>
      </c>
      <c r="I185" s="27">
        <v>1</v>
      </c>
      <c r="J185" s="30">
        <v>64437792</v>
      </c>
      <c r="K185" s="26" t="s">
        <v>36</v>
      </c>
      <c r="L185" s="26" t="s">
        <v>56</v>
      </c>
      <c r="M185" s="31" t="s">
        <v>626</v>
      </c>
      <c r="N185" s="6"/>
      <c r="O185" s="2"/>
      <c r="P185" s="2"/>
      <c r="Q185" s="2"/>
      <c r="R185" s="2"/>
      <c r="S185" s="2"/>
      <c r="T185" s="2"/>
      <c r="U185" s="2"/>
      <c r="V185" s="2"/>
      <c r="W185" s="2"/>
      <c r="X185" s="2"/>
      <c r="Y185" s="2"/>
    </row>
    <row r="186" spans="1:25" ht="12.75" customHeight="1">
      <c r="A186" s="26" t="s">
        <v>627</v>
      </c>
      <c r="B186" s="27"/>
      <c r="C186" s="28"/>
      <c r="D186" s="27"/>
      <c r="E186" s="27" t="s">
        <v>628</v>
      </c>
      <c r="F186" s="29" t="s">
        <v>629</v>
      </c>
      <c r="G186" s="27" t="s">
        <v>248</v>
      </c>
      <c r="H186" s="27" t="s">
        <v>249</v>
      </c>
      <c r="I186" s="27">
        <v>1</v>
      </c>
      <c r="J186" s="30">
        <v>0</v>
      </c>
      <c r="K186" s="26" t="s">
        <v>36</v>
      </c>
      <c r="L186" s="26" t="s">
        <v>56</v>
      </c>
      <c r="M186" s="31"/>
      <c r="N186" s="6"/>
      <c r="O186" s="2"/>
      <c r="P186" s="2"/>
      <c r="Q186" s="2"/>
      <c r="R186" s="2"/>
      <c r="S186" s="2"/>
      <c r="T186" s="2"/>
      <c r="U186" s="2"/>
      <c r="V186" s="2"/>
      <c r="W186" s="2"/>
      <c r="X186" s="2"/>
      <c r="Y186" s="2"/>
    </row>
    <row r="187" spans="1:25" ht="25.5" customHeight="1">
      <c r="A187" s="26">
        <v>89</v>
      </c>
      <c r="B187" s="27" t="s">
        <v>599</v>
      </c>
      <c r="C187" s="28">
        <v>42671</v>
      </c>
      <c r="D187" s="27"/>
      <c r="E187" s="27" t="s">
        <v>630</v>
      </c>
      <c r="F187" s="29" t="s">
        <v>631</v>
      </c>
      <c r="G187" s="27" t="s">
        <v>307</v>
      </c>
      <c r="H187" s="27" t="s">
        <v>19</v>
      </c>
      <c r="I187" s="27">
        <v>1</v>
      </c>
      <c r="J187" s="30">
        <v>48437792</v>
      </c>
      <c r="K187" s="26" t="s">
        <v>36</v>
      </c>
      <c r="L187" s="26" t="s">
        <v>56</v>
      </c>
      <c r="M187" s="31" t="s">
        <v>632</v>
      </c>
      <c r="N187" s="6"/>
      <c r="O187" s="2"/>
      <c r="P187" s="2"/>
      <c r="Q187" s="2"/>
      <c r="R187" s="2"/>
      <c r="S187" s="2"/>
      <c r="T187" s="2"/>
      <c r="U187" s="2"/>
      <c r="V187" s="2"/>
      <c r="W187" s="2"/>
      <c r="X187" s="2"/>
      <c r="Y187" s="2"/>
    </row>
    <row r="188" spans="1:25" ht="12.75" customHeight="1">
      <c r="A188" s="26" t="s">
        <v>633</v>
      </c>
      <c r="B188" s="27"/>
      <c r="C188" s="28"/>
      <c r="D188" s="27"/>
      <c r="E188" s="27" t="s">
        <v>634</v>
      </c>
      <c r="F188" s="29" t="s">
        <v>635</v>
      </c>
      <c r="G188" s="27" t="s">
        <v>248</v>
      </c>
      <c r="H188" s="27" t="s">
        <v>249</v>
      </c>
      <c r="I188" s="27">
        <v>1</v>
      </c>
      <c r="J188" s="30">
        <v>0</v>
      </c>
      <c r="K188" s="26" t="s">
        <v>36</v>
      </c>
      <c r="L188" s="26" t="s">
        <v>56</v>
      </c>
      <c r="M188" s="31"/>
      <c r="N188" s="6"/>
      <c r="O188" s="2"/>
      <c r="P188" s="2"/>
      <c r="Q188" s="2"/>
      <c r="R188" s="2"/>
      <c r="S188" s="2"/>
      <c r="T188" s="2"/>
      <c r="U188" s="2"/>
      <c r="V188" s="2"/>
      <c r="W188" s="2"/>
      <c r="X188" s="2"/>
      <c r="Y188" s="2"/>
    </row>
    <row r="189" spans="1:25" ht="25.5" customHeight="1">
      <c r="A189" s="26">
        <v>90</v>
      </c>
      <c r="B189" s="27" t="s">
        <v>599</v>
      </c>
      <c r="C189" s="28">
        <v>42671</v>
      </c>
      <c r="D189" s="27"/>
      <c r="E189" s="27" t="s">
        <v>636</v>
      </c>
      <c r="F189" s="29" t="s">
        <v>637</v>
      </c>
      <c r="G189" s="27" t="s">
        <v>307</v>
      </c>
      <c r="H189" s="27" t="s">
        <v>19</v>
      </c>
      <c r="I189" s="27">
        <v>1</v>
      </c>
      <c r="J189" s="30">
        <v>48437792</v>
      </c>
      <c r="K189" s="26" t="s">
        <v>36</v>
      </c>
      <c r="L189" s="26" t="s">
        <v>56</v>
      </c>
      <c r="M189" s="31" t="s">
        <v>638</v>
      </c>
      <c r="N189" s="6"/>
      <c r="O189" s="2"/>
      <c r="P189" s="2"/>
      <c r="Q189" s="2"/>
      <c r="R189" s="2"/>
      <c r="S189" s="2"/>
      <c r="T189" s="2"/>
      <c r="U189" s="2"/>
      <c r="V189" s="2"/>
      <c r="W189" s="2"/>
      <c r="X189" s="2"/>
      <c r="Y189" s="2"/>
    </row>
    <row r="190" spans="1:25" ht="12.75" customHeight="1">
      <c r="A190" s="26" t="s">
        <v>639</v>
      </c>
      <c r="B190" s="27"/>
      <c r="C190" s="28"/>
      <c r="D190" s="27"/>
      <c r="E190" s="27" t="s">
        <v>640</v>
      </c>
      <c r="F190" s="29" t="s">
        <v>641</v>
      </c>
      <c r="G190" s="27" t="s">
        <v>248</v>
      </c>
      <c r="H190" s="27" t="s">
        <v>249</v>
      </c>
      <c r="I190" s="27">
        <v>1</v>
      </c>
      <c r="J190" s="30">
        <v>0</v>
      </c>
      <c r="K190" s="26" t="s">
        <v>36</v>
      </c>
      <c r="L190" s="26" t="s">
        <v>56</v>
      </c>
      <c r="M190" s="31"/>
      <c r="N190" s="6"/>
      <c r="O190" s="2"/>
      <c r="P190" s="2"/>
      <c r="Q190" s="2"/>
      <c r="R190" s="2"/>
      <c r="S190" s="2"/>
      <c r="T190" s="2"/>
      <c r="U190" s="2"/>
      <c r="V190" s="2"/>
      <c r="W190" s="2"/>
      <c r="X190" s="2"/>
      <c r="Y190" s="2"/>
    </row>
    <row r="191" spans="1:25" ht="25.5" customHeight="1">
      <c r="A191" s="26">
        <v>91</v>
      </c>
      <c r="B191" s="27" t="s">
        <v>599</v>
      </c>
      <c r="C191" s="28">
        <v>42671</v>
      </c>
      <c r="D191" s="27"/>
      <c r="E191" s="27" t="s">
        <v>642</v>
      </c>
      <c r="F191" s="29" t="s">
        <v>643</v>
      </c>
      <c r="G191" s="27" t="s">
        <v>307</v>
      </c>
      <c r="H191" s="27" t="s">
        <v>19</v>
      </c>
      <c r="I191" s="27">
        <v>1</v>
      </c>
      <c r="J191" s="30">
        <v>48437794</v>
      </c>
      <c r="K191" s="26" t="s">
        <v>36</v>
      </c>
      <c r="L191" s="26" t="s">
        <v>56</v>
      </c>
      <c r="M191" s="31" t="s">
        <v>644</v>
      </c>
      <c r="N191" s="6"/>
      <c r="O191" s="2"/>
      <c r="P191" s="2"/>
      <c r="Q191" s="2"/>
      <c r="R191" s="2"/>
      <c r="S191" s="2"/>
      <c r="T191" s="2"/>
      <c r="U191" s="2"/>
      <c r="V191" s="2"/>
      <c r="W191" s="2"/>
      <c r="X191" s="2"/>
      <c r="Y191" s="2"/>
    </row>
    <row r="192" spans="1:25" ht="12.75" customHeight="1">
      <c r="A192" s="26" t="s">
        <v>645</v>
      </c>
      <c r="B192" s="27"/>
      <c r="C192" s="28"/>
      <c r="D192" s="27"/>
      <c r="E192" s="27" t="s">
        <v>646</v>
      </c>
      <c r="F192" s="29" t="s">
        <v>647</v>
      </c>
      <c r="G192" s="27" t="s">
        <v>248</v>
      </c>
      <c r="H192" s="27" t="s">
        <v>249</v>
      </c>
      <c r="I192" s="27">
        <v>1</v>
      </c>
      <c r="J192" s="30">
        <v>0</v>
      </c>
      <c r="K192" s="26" t="s">
        <v>36</v>
      </c>
      <c r="L192" s="26" t="s">
        <v>56</v>
      </c>
      <c r="M192" s="31"/>
      <c r="N192" s="6"/>
      <c r="O192" s="2"/>
      <c r="P192" s="2"/>
      <c r="Q192" s="2"/>
      <c r="R192" s="2"/>
      <c r="S192" s="2"/>
      <c r="T192" s="2"/>
      <c r="U192" s="2"/>
      <c r="V192" s="2"/>
      <c r="W192" s="2"/>
      <c r="X192" s="2"/>
      <c r="Y192" s="2"/>
    </row>
    <row r="193" spans="1:25" ht="25.5" customHeight="1">
      <c r="A193" s="26">
        <v>92</v>
      </c>
      <c r="B193" s="27" t="s">
        <v>599</v>
      </c>
      <c r="C193" s="28">
        <v>42671</v>
      </c>
      <c r="D193" s="27"/>
      <c r="E193" s="27" t="s">
        <v>648</v>
      </c>
      <c r="F193" s="29" t="s">
        <v>649</v>
      </c>
      <c r="G193" s="27" t="s">
        <v>307</v>
      </c>
      <c r="H193" s="27" t="s">
        <v>19</v>
      </c>
      <c r="I193" s="27">
        <v>1</v>
      </c>
      <c r="J193" s="30">
        <v>47131872</v>
      </c>
      <c r="K193" s="26" t="s">
        <v>36</v>
      </c>
      <c r="L193" s="45" t="s">
        <v>56</v>
      </c>
      <c r="M193" s="46" t="s">
        <v>650</v>
      </c>
      <c r="N193" s="6"/>
      <c r="O193" s="2"/>
      <c r="P193" s="2"/>
      <c r="Q193" s="2"/>
      <c r="R193" s="2"/>
      <c r="S193" s="2"/>
      <c r="T193" s="2"/>
      <c r="U193" s="2"/>
      <c r="V193" s="2"/>
      <c r="W193" s="2"/>
      <c r="X193" s="2"/>
      <c r="Y193" s="2"/>
    </row>
    <row r="194" spans="1:25" ht="12.75" customHeight="1">
      <c r="A194" s="26" t="s">
        <v>651</v>
      </c>
      <c r="B194" s="27"/>
      <c r="C194" s="28"/>
      <c r="D194" s="27"/>
      <c r="E194" s="27" t="s">
        <v>652</v>
      </c>
      <c r="F194" s="29" t="s">
        <v>653</v>
      </c>
      <c r="G194" s="27" t="s">
        <v>248</v>
      </c>
      <c r="H194" s="27" t="s">
        <v>249</v>
      </c>
      <c r="I194" s="27">
        <v>1</v>
      </c>
      <c r="J194" s="30">
        <v>0</v>
      </c>
      <c r="K194" s="26" t="s">
        <v>36</v>
      </c>
      <c r="L194" s="26" t="s">
        <v>56</v>
      </c>
      <c r="M194" s="31"/>
      <c r="N194" s="6"/>
      <c r="O194" s="2"/>
      <c r="P194" s="2"/>
      <c r="Q194" s="2"/>
      <c r="R194" s="2"/>
      <c r="S194" s="2"/>
      <c r="T194" s="2"/>
      <c r="U194" s="2"/>
      <c r="V194" s="2"/>
      <c r="W194" s="2"/>
      <c r="X194" s="2"/>
      <c r="Y194" s="2"/>
    </row>
    <row r="195" spans="1:25" ht="25.5" customHeight="1">
      <c r="A195" s="26">
        <v>93</v>
      </c>
      <c r="B195" s="27" t="s">
        <v>599</v>
      </c>
      <c r="C195" s="28">
        <v>42671</v>
      </c>
      <c r="D195" s="27"/>
      <c r="E195" s="27" t="s">
        <v>654</v>
      </c>
      <c r="F195" s="29" t="s">
        <v>655</v>
      </c>
      <c r="G195" s="27" t="s">
        <v>307</v>
      </c>
      <c r="H195" s="27" t="s">
        <v>19</v>
      </c>
      <c r="I195" s="27">
        <v>1</v>
      </c>
      <c r="J195" s="30">
        <v>47131872</v>
      </c>
      <c r="K195" s="26" t="s">
        <v>36</v>
      </c>
      <c r="L195" s="26" t="s">
        <v>56</v>
      </c>
      <c r="M195" s="31" t="s">
        <v>656</v>
      </c>
      <c r="N195" s="6"/>
      <c r="O195" s="2"/>
      <c r="P195" s="2"/>
      <c r="Q195" s="2"/>
      <c r="R195" s="2"/>
      <c r="S195" s="2"/>
      <c r="T195" s="2"/>
      <c r="U195" s="2"/>
      <c r="V195" s="2"/>
      <c r="W195" s="2"/>
      <c r="X195" s="2"/>
      <c r="Y195" s="2"/>
    </row>
    <row r="196" spans="1:25" ht="12.75" customHeight="1">
      <c r="A196" s="26" t="s">
        <v>657</v>
      </c>
      <c r="B196" s="27"/>
      <c r="C196" s="28"/>
      <c r="D196" s="27"/>
      <c r="E196" s="27" t="s">
        <v>658</v>
      </c>
      <c r="F196" s="29" t="s">
        <v>659</v>
      </c>
      <c r="G196" s="27" t="s">
        <v>248</v>
      </c>
      <c r="H196" s="27" t="s">
        <v>249</v>
      </c>
      <c r="I196" s="27">
        <v>1</v>
      </c>
      <c r="J196" s="30">
        <v>0</v>
      </c>
      <c r="K196" s="26" t="s">
        <v>36</v>
      </c>
      <c r="L196" s="26" t="s">
        <v>56</v>
      </c>
      <c r="M196" s="31"/>
      <c r="N196" s="6"/>
      <c r="O196" s="2"/>
      <c r="P196" s="2"/>
      <c r="Q196" s="2"/>
      <c r="R196" s="2"/>
      <c r="S196" s="2"/>
      <c r="T196" s="2"/>
      <c r="U196" s="2"/>
      <c r="V196" s="2"/>
      <c r="W196" s="2"/>
      <c r="X196" s="2"/>
      <c r="Y196" s="2"/>
    </row>
    <row r="197" spans="1:25" ht="25.5" customHeight="1">
      <c r="A197" s="26">
        <v>94</v>
      </c>
      <c r="B197" s="27" t="s">
        <v>599</v>
      </c>
      <c r="C197" s="28">
        <v>42671</v>
      </c>
      <c r="D197" s="27"/>
      <c r="E197" s="27" t="s">
        <v>660</v>
      </c>
      <c r="F197" s="29" t="s">
        <v>661</v>
      </c>
      <c r="G197" s="27" t="s">
        <v>307</v>
      </c>
      <c r="H197" s="27" t="s">
        <v>19</v>
      </c>
      <c r="I197" s="27">
        <v>1</v>
      </c>
      <c r="J197" s="30">
        <v>47131872</v>
      </c>
      <c r="K197" s="26" t="s">
        <v>36</v>
      </c>
      <c r="L197" s="26" t="s">
        <v>56</v>
      </c>
      <c r="M197" s="31" t="s">
        <v>662</v>
      </c>
      <c r="N197" s="6"/>
      <c r="O197" s="2"/>
      <c r="P197" s="2"/>
      <c r="Q197" s="2"/>
      <c r="R197" s="2"/>
      <c r="S197" s="2"/>
      <c r="T197" s="2"/>
      <c r="U197" s="2"/>
      <c r="V197" s="2"/>
      <c r="W197" s="2"/>
      <c r="X197" s="2"/>
      <c r="Y197" s="2"/>
    </row>
    <row r="198" spans="1:25" ht="12.75" customHeight="1">
      <c r="A198" s="26" t="s">
        <v>663</v>
      </c>
      <c r="B198" s="27"/>
      <c r="C198" s="28"/>
      <c r="D198" s="27"/>
      <c r="E198" s="27" t="s">
        <v>664</v>
      </c>
      <c r="F198" s="29" t="s">
        <v>665</v>
      </c>
      <c r="G198" s="27" t="s">
        <v>248</v>
      </c>
      <c r="H198" s="27" t="s">
        <v>249</v>
      </c>
      <c r="I198" s="27">
        <v>1</v>
      </c>
      <c r="J198" s="30">
        <v>0</v>
      </c>
      <c r="K198" s="26" t="s">
        <v>36</v>
      </c>
      <c r="L198" s="26" t="s">
        <v>56</v>
      </c>
      <c r="M198" s="31"/>
      <c r="N198" s="6"/>
      <c r="O198" s="2"/>
      <c r="P198" s="2"/>
      <c r="Q198" s="2"/>
      <c r="R198" s="2"/>
      <c r="S198" s="2"/>
      <c r="T198" s="2"/>
      <c r="U198" s="2"/>
      <c r="V198" s="2"/>
      <c r="W198" s="2"/>
      <c r="X198" s="2"/>
      <c r="Y198" s="2"/>
    </row>
    <row r="199" spans="1:25" ht="25.5" customHeight="1">
      <c r="A199" s="26">
        <v>95</v>
      </c>
      <c r="B199" s="27" t="s">
        <v>599</v>
      </c>
      <c r="C199" s="28">
        <v>42671</v>
      </c>
      <c r="D199" s="27"/>
      <c r="E199" s="27" t="s">
        <v>666</v>
      </c>
      <c r="F199" s="29" t="s">
        <v>667</v>
      </c>
      <c r="G199" s="27" t="s">
        <v>307</v>
      </c>
      <c r="H199" s="27" t="s">
        <v>19</v>
      </c>
      <c r="I199" s="27">
        <v>1</v>
      </c>
      <c r="J199" s="30">
        <v>47131872</v>
      </c>
      <c r="K199" s="26" t="s">
        <v>36</v>
      </c>
      <c r="L199" s="26" t="s">
        <v>56</v>
      </c>
      <c r="M199" s="31" t="s">
        <v>668</v>
      </c>
      <c r="N199" s="6"/>
      <c r="O199" s="2"/>
      <c r="P199" s="2"/>
      <c r="Q199" s="2"/>
      <c r="R199" s="2"/>
      <c r="S199" s="2"/>
      <c r="T199" s="2"/>
      <c r="U199" s="2"/>
      <c r="V199" s="2"/>
      <c r="W199" s="2"/>
      <c r="X199" s="2"/>
      <c r="Y199" s="2"/>
    </row>
    <row r="200" spans="1:25" ht="12.75" customHeight="1">
      <c r="A200" s="26" t="s">
        <v>669</v>
      </c>
      <c r="B200" s="27"/>
      <c r="C200" s="28"/>
      <c r="D200" s="27"/>
      <c r="E200" s="27" t="s">
        <v>670</v>
      </c>
      <c r="F200" s="29" t="s">
        <v>671</v>
      </c>
      <c r="G200" s="27" t="s">
        <v>248</v>
      </c>
      <c r="H200" s="27" t="s">
        <v>249</v>
      </c>
      <c r="I200" s="27">
        <v>1</v>
      </c>
      <c r="J200" s="30">
        <v>0</v>
      </c>
      <c r="K200" s="26" t="s">
        <v>36</v>
      </c>
      <c r="L200" s="26" t="s">
        <v>56</v>
      </c>
      <c r="M200" s="31"/>
      <c r="N200" s="6"/>
      <c r="O200" s="2"/>
      <c r="P200" s="2"/>
      <c r="Q200" s="2"/>
      <c r="R200" s="2"/>
      <c r="S200" s="2"/>
      <c r="T200" s="2"/>
      <c r="U200" s="2"/>
      <c r="V200" s="2"/>
      <c r="W200" s="2"/>
      <c r="X200" s="2"/>
      <c r="Y200" s="2"/>
    </row>
    <row r="201" spans="1:25" ht="25.5" customHeight="1">
      <c r="A201" s="26">
        <v>96</v>
      </c>
      <c r="B201" s="27" t="s">
        <v>599</v>
      </c>
      <c r="C201" s="28">
        <v>42671</v>
      </c>
      <c r="D201" s="27"/>
      <c r="E201" s="27" t="s">
        <v>672</v>
      </c>
      <c r="F201" s="29" t="s">
        <v>673</v>
      </c>
      <c r="G201" s="27" t="s">
        <v>307</v>
      </c>
      <c r="H201" s="27" t="s">
        <v>19</v>
      </c>
      <c r="I201" s="27">
        <v>1</v>
      </c>
      <c r="J201" s="30">
        <v>47131872</v>
      </c>
      <c r="K201" s="26" t="s">
        <v>36</v>
      </c>
      <c r="L201" s="26" t="s">
        <v>674</v>
      </c>
      <c r="M201" s="31" t="s">
        <v>675</v>
      </c>
      <c r="N201" s="6"/>
      <c r="O201" s="2"/>
      <c r="P201" s="2"/>
      <c r="Q201" s="2"/>
      <c r="R201" s="2"/>
      <c r="S201" s="2"/>
      <c r="T201" s="2"/>
      <c r="U201" s="2"/>
      <c r="V201" s="2"/>
      <c r="W201" s="2"/>
      <c r="X201" s="2"/>
      <c r="Y201" s="2"/>
    </row>
    <row r="202" spans="1:25" ht="12.75" customHeight="1">
      <c r="A202" s="26" t="s">
        <v>676</v>
      </c>
      <c r="B202" s="27"/>
      <c r="C202" s="28"/>
      <c r="D202" s="27"/>
      <c r="E202" s="27" t="s">
        <v>677</v>
      </c>
      <c r="F202" s="29" t="s">
        <v>678</v>
      </c>
      <c r="G202" s="27" t="s">
        <v>248</v>
      </c>
      <c r="H202" s="27" t="s">
        <v>249</v>
      </c>
      <c r="I202" s="27">
        <v>1</v>
      </c>
      <c r="J202" s="30">
        <v>0</v>
      </c>
      <c r="K202" s="26" t="s">
        <v>36</v>
      </c>
      <c r="L202" s="26" t="s">
        <v>674</v>
      </c>
      <c r="M202" s="31"/>
      <c r="N202" s="6"/>
      <c r="O202" s="2"/>
      <c r="P202" s="2"/>
      <c r="Q202" s="2"/>
      <c r="R202" s="2"/>
      <c r="S202" s="2"/>
      <c r="T202" s="2"/>
      <c r="U202" s="2"/>
      <c r="V202" s="2"/>
      <c r="W202" s="2"/>
      <c r="X202" s="2"/>
      <c r="Y202" s="2"/>
    </row>
    <row r="203" spans="1:25" ht="25.5" customHeight="1">
      <c r="A203" s="26">
        <v>97</v>
      </c>
      <c r="B203" s="27" t="s">
        <v>599</v>
      </c>
      <c r="C203" s="28">
        <v>42671</v>
      </c>
      <c r="D203" s="27"/>
      <c r="E203" s="27" t="s">
        <v>679</v>
      </c>
      <c r="F203" s="29" t="s">
        <v>680</v>
      </c>
      <c r="G203" s="27" t="s">
        <v>307</v>
      </c>
      <c r="H203" s="27" t="s">
        <v>19</v>
      </c>
      <c r="I203" s="27">
        <v>1</v>
      </c>
      <c r="J203" s="30">
        <v>47131872</v>
      </c>
      <c r="K203" s="26" t="s">
        <v>36</v>
      </c>
      <c r="L203" s="26" t="s">
        <v>674</v>
      </c>
      <c r="M203" s="31" t="s">
        <v>681</v>
      </c>
      <c r="N203" s="6"/>
      <c r="O203" s="2"/>
      <c r="P203" s="2"/>
      <c r="Q203" s="2"/>
      <c r="R203" s="2"/>
      <c r="S203" s="2"/>
      <c r="T203" s="2"/>
      <c r="U203" s="2"/>
      <c r="V203" s="2"/>
      <c r="W203" s="2"/>
      <c r="X203" s="2"/>
      <c r="Y203" s="2"/>
    </row>
    <row r="204" spans="1:25" ht="12.75" customHeight="1">
      <c r="A204" s="26" t="s">
        <v>682</v>
      </c>
      <c r="B204" s="27"/>
      <c r="C204" s="28"/>
      <c r="D204" s="27"/>
      <c r="E204" s="27" t="s">
        <v>683</v>
      </c>
      <c r="F204" s="29" t="s">
        <v>684</v>
      </c>
      <c r="G204" s="27" t="s">
        <v>248</v>
      </c>
      <c r="H204" s="27" t="s">
        <v>249</v>
      </c>
      <c r="I204" s="27">
        <v>1</v>
      </c>
      <c r="J204" s="30">
        <v>0</v>
      </c>
      <c r="K204" s="26" t="s">
        <v>36</v>
      </c>
      <c r="L204" s="26" t="s">
        <v>674</v>
      </c>
      <c r="M204" s="31"/>
      <c r="N204" s="6"/>
      <c r="O204" s="2"/>
      <c r="P204" s="2"/>
      <c r="Q204" s="2"/>
      <c r="R204" s="2"/>
      <c r="S204" s="2"/>
      <c r="T204" s="2"/>
      <c r="U204" s="2"/>
      <c r="V204" s="2"/>
      <c r="W204" s="2"/>
      <c r="X204" s="2"/>
      <c r="Y204" s="2"/>
    </row>
    <row r="205" spans="1:25" ht="25.5" customHeight="1">
      <c r="A205" s="26">
        <v>98</v>
      </c>
      <c r="B205" s="27" t="s">
        <v>599</v>
      </c>
      <c r="C205" s="28">
        <v>42671</v>
      </c>
      <c r="D205" s="27"/>
      <c r="E205" s="27" t="s">
        <v>685</v>
      </c>
      <c r="F205" s="29" t="s">
        <v>686</v>
      </c>
      <c r="G205" s="27" t="s">
        <v>307</v>
      </c>
      <c r="H205" s="27" t="s">
        <v>19</v>
      </c>
      <c r="I205" s="27">
        <v>1</v>
      </c>
      <c r="J205" s="30">
        <v>47131872</v>
      </c>
      <c r="K205" s="26" t="s">
        <v>36</v>
      </c>
      <c r="L205" s="26" t="s">
        <v>674</v>
      </c>
      <c r="M205" s="31" t="s">
        <v>687</v>
      </c>
      <c r="N205" s="6"/>
      <c r="O205" s="2"/>
      <c r="P205" s="2"/>
      <c r="Q205" s="2"/>
      <c r="R205" s="2"/>
      <c r="S205" s="2"/>
      <c r="T205" s="2"/>
      <c r="U205" s="2"/>
      <c r="V205" s="2"/>
      <c r="W205" s="2"/>
      <c r="X205" s="2"/>
      <c r="Y205" s="2"/>
    </row>
    <row r="206" spans="1:25" ht="12.75" customHeight="1">
      <c r="A206" s="26" t="s">
        <v>688</v>
      </c>
      <c r="B206" s="27"/>
      <c r="C206" s="28"/>
      <c r="D206" s="27"/>
      <c r="E206" s="27" t="s">
        <v>689</v>
      </c>
      <c r="F206" s="29" t="s">
        <v>690</v>
      </c>
      <c r="G206" s="27" t="s">
        <v>248</v>
      </c>
      <c r="H206" s="27" t="s">
        <v>249</v>
      </c>
      <c r="I206" s="27">
        <v>1</v>
      </c>
      <c r="J206" s="30">
        <v>0</v>
      </c>
      <c r="K206" s="26" t="s">
        <v>36</v>
      </c>
      <c r="L206" s="26" t="s">
        <v>674</v>
      </c>
      <c r="M206" s="31"/>
      <c r="N206" s="6"/>
      <c r="O206" s="2"/>
      <c r="P206" s="2"/>
      <c r="Q206" s="2"/>
      <c r="R206" s="2"/>
      <c r="S206" s="2"/>
      <c r="T206" s="2"/>
      <c r="U206" s="2"/>
      <c r="V206" s="2"/>
      <c r="W206" s="2"/>
      <c r="X206" s="2"/>
      <c r="Y206" s="2"/>
    </row>
    <row r="207" spans="1:25" ht="25.5" customHeight="1">
      <c r="A207" s="26">
        <v>99</v>
      </c>
      <c r="B207" s="27" t="s">
        <v>599</v>
      </c>
      <c r="C207" s="28">
        <v>42671</v>
      </c>
      <c r="D207" s="27"/>
      <c r="E207" s="27" t="s">
        <v>691</v>
      </c>
      <c r="F207" s="29" t="s">
        <v>692</v>
      </c>
      <c r="G207" s="27" t="s">
        <v>307</v>
      </c>
      <c r="H207" s="27" t="s">
        <v>19</v>
      </c>
      <c r="I207" s="27">
        <v>1</v>
      </c>
      <c r="J207" s="30">
        <v>47131872</v>
      </c>
      <c r="K207" s="26" t="s">
        <v>36</v>
      </c>
      <c r="L207" s="26" t="s">
        <v>674</v>
      </c>
      <c r="M207" s="31" t="s">
        <v>693</v>
      </c>
      <c r="N207" s="6"/>
      <c r="O207" s="2"/>
      <c r="P207" s="2"/>
      <c r="Q207" s="2"/>
      <c r="R207" s="2"/>
      <c r="S207" s="2"/>
      <c r="T207" s="2"/>
      <c r="U207" s="2"/>
      <c r="V207" s="2"/>
      <c r="W207" s="2"/>
      <c r="X207" s="2"/>
      <c r="Y207" s="2"/>
    </row>
    <row r="208" spans="1:25" ht="12.75" customHeight="1">
      <c r="A208" s="26" t="s">
        <v>694</v>
      </c>
      <c r="B208" s="27"/>
      <c r="C208" s="28"/>
      <c r="D208" s="27"/>
      <c r="E208" s="27" t="s">
        <v>695</v>
      </c>
      <c r="F208" s="29" t="s">
        <v>696</v>
      </c>
      <c r="G208" s="27" t="s">
        <v>248</v>
      </c>
      <c r="H208" s="27" t="s">
        <v>249</v>
      </c>
      <c r="I208" s="27">
        <v>1</v>
      </c>
      <c r="J208" s="30">
        <v>0</v>
      </c>
      <c r="K208" s="26" t="s">
        <v>36</v>
      </c>
      <c r="L208" s="26" t="s">
        <v>674</v>
      </c>
      <c r="M208" s="31"/>
      <c r="N208" s="6"/>
      <c r="O208" s="2"/>
      <c r="P208" s="2"/>
      <c r="Q208" s="2"/>
      <c r="R208" s="2"/>
      <c r="S208" s="2"/>
      <c r="T208" s="2"/>
      <c r="U208" s="2"/>
      <c r="V208" s="2"/>
      <c r="W208" s="2"/>
      <c r="X208" s="2"/>
      <c r="Y208" s="2"/>
    </row>
    <row r="209" spans="1:25" ht="25.5" customHeight="1">
      <c r="A209" s="26">
        <v>100</v>
      </c>
      <c r="B209" s="27" t="s">
        <v>599</v>
      </c>
      <c r="C209" s="28">
        <v>42671</v>
      </c>
      <c r="D209" s="27"/>
      <c r="E209" s="27" t="s">
        <v>697</v>
      </c>
      <c r="F209" s="29" t="s">
        <v>698</v>
      </c>
      <c r="G209" s="27" t="s">
        <v>307</v>
      </c>
      <c r="H209" s="27" t="s">
        <v>19</v>
      </c>
      <c r="I209" s="27">
        <v>1</v>
      </c>
      <c r="J209" s="30">
        <v>47131872</v>
      </c>
      <c r="K209" s="26" t="s">
        <v>36</v>
      </c>
      <c r="L209" s="26" t="s">
        <v>674</v>
      </c>
      <c r="M209" s="31" t="s">
        <v>699</v>
      </c>
      <c r="N209" s="6"/>
      <c r="O209" s="2"/>
      <c r="P209" s="2"/>
      <c r="Q209" s="2"/>
      <c r="R209" s="2"/>
      <c r="S209" s="2"/>
      <c r="T209" s="2"/>
      <c r="U209" s="2"/>
      <c r="V209" s="2"/>
      <c r="W209" s="2"/>
      <c r="X209" s="2"/>
      <c r="Y209" s="2"/>
    </row>
    <row r="210" spans="1:25" ht="12.75" customHeight="1">
      <c r="A210" s="26" t="s">
        <v>700</v>
      </c>
      <c r="B210" s="27"/>
      <c r="C210" s="28"/>
      <c r="D210" s="27"/>
      <c r="E210" s="27" t="s">
        <v>701</v>
      </c>
      <c r="F210" s="29" t="s">
        <v>702</v>
      </c>
      <c r="G210" s="27" t="s">
        <v>248</v>
      </c>
      <c r="H210" s="27" t="s">
        <v>249</v>
      </c>
      <c r="I210" s="27">
        <v>1</v>
      </c>
      <c r="J210" s="30">
        <v>0</v>
      </c>
      <c r="K210" s="26" t="s">
        <v>36</v>
      </c>
      <c r="L210" s="26" t="s">
        <v>674</v>
      </c>
      <c r="M210" s="31"/>
      <c r="N210" s="6"/>
      <c r="O210" s="2"/>
      <c r="P210" s="2"/>
      <c r="Q210" s="2"/>
      <c r="R210" s="2"/>
      <c r="S210" s="2"/>
      <c r="T210" s="2"/>
      <c r="U210" s="2"/>
      <c r="V210" s="2"/>
      <c r="W210" s="2"/>
      <c r="X210" s="2"/>
      <c r="Y210" s="2"/>
    </row>
    <row r="211" spans="1:25" ht="25.5" customHeight="1">
      <c r="A211" s="26">
        <v>101</v>
      </c>
      <c r="B211" s="27" t="s">
        <v>599</v>
      </c>
      <c r="C211" s="28">
        <v>42671</v>
      </c>
      <c r="D211" s="27"/>
      <c r="E211" s="27" t="s">
        <v>703</v>
      </c>
      <c r="F211" s="29" t="s">
        <v>704</v>
      </c>
      <c r="G211" s="27" t="s">
        <v>307</v>
      </c>
      <c r="H211" s="27" t="s">
        <v>19</v>
      </c>
      <c r="I211" s="27">
        <v>1</v>
      </c>
      <c r="J211" s="30">
        <v>47131872</v>
      </c>
      <c r="K211" s="26" t="s">
        <v>36</v>
      </c>
      <c r="L211" s="26" t="s">
        <v>674</v>
      </c>
      <c r="M211" s="31" t="s">
        <v>705</v>
      </c>
      <c r="N211" s="6"/>
      <c r="O211" s="2"/>
      <c r="P211" s="2"/>
      <c r="Q211" s="2"/>
      <c r="R211" s="2"/>
      <c r="S211" s="2"/>
      <c r="T211" s="2"/>
      <c r="U211" s="2"/>
      <c r="V211" s="2"/>
      <c r="W211" s="2"/>
      <c r="X211" s="2"/>
      <c r="Y211" s="2"/>
    </row>
    <row r="212" spans="1:25" ht="12.75" customHeight="1">
      <c r="A212" s="26" t="s">
        <v>706</v>
      </c>
      <c r="B212" s="27"/>
      <c r="C212" s="28"/>
      <c r="D212" s="27"/>
      <c r="E212" s="27" t="s">
        <v>707</v>
      </c>
      <c r="F212" s="29" t="s">
        <v>708</v>
      </c>
      <c r="G212" s="27" t="s">
        <v>248</v>
      </c>
      <c r="H212" s="27" t="s">
        <v>249</v>
      </c>
      <c r="I212" s="27">
        <v>1</v>
      </c>
      <c r="J212" s="30">
        <v>0</v>
      </c>
      <c r="K212" s="26" t="s">
        <v>36</v>
      </c>
      <c r="L212" s="26" t="s">
        <v>674</v>
      </c>
      <c r="M212" s="31"/>
      <c r="N212" s="6"/>
      <c r="O212" s="2"/>
      <c r="P212" s="2"/>
      <c r="Q212" s="2"/>
      <c r="R212" s="2"/>
      <c r="S212" s="2"/>
      <c r="T212" s="2"/>
      <c r="U212" s="2"/>
      <c r="V212" s="2"/>
      <c r="W212" s="2"/>
      <c r="X212" s="2"/>
      <c r="Y212" s="2"/>
    </row>
    <row r="213" spans="1:25" ht="25.5" customHeight="1">
      <c r="A213" s="26">
        <v>102</v>
      </c>
      <c r="B213" s="27" t="s">
        <v>599</v>
      </c>
      <c r="C213" s="28">
        <v>42671</v>
      </c>
      <c r="D213" s="27"/>
      <c r="E213" s="27" t="s">
        <v>709</v>
      </c>
      <c r="F213" s="29" t="s">
        <v>710</v>
      </c>
      <c r="G213" s="27" t="s">
        <v>307</v>
      </c>
      <c r="H213" s="27" t="s">
        <v>19</v>
      </c>
      <c r="I213" s="27">
        <v>1</v>
      </c>
      <c r="J213" s="30">
        <v>47131872</v>
      </c>
      <c r="K213" s="26" t="s">
        <v>36</v>
      </c>
      <c r="L213" s="26" t="s">
        <v>674</v>
      </c>
      <c r="M213" s="31" t="s">
        <v>711</v>
      </c>
      <c r="N213" s="6"/>
      <c r="O213" s="2"/>
      <c r="P213" s="2"/>
      <c r="Q213" s="2"/>
      <c r="R213" s="2"/>
      <c r="S213" s="2"/>
      <c r="T213" s="2"/>
      <c r="U213" s="2"/>
      <c r="V213" s="2"/>
      <c r="W213" s="2"/>
      <c r="X213" s="2"/>
      <c r="Y213" s="2"/>
    </row>
    <row r="214" spans="1:25" ht="12.75" customHeight="1">
      <c r="A214" s="26" t="s">
        <v>712</v>
      </c>
      <c r="B214" s="27"/>
      <c r="C214" s="28"/>
      <c r="D214" s="27"/>
      <c r="E214" s="27" t="s">
        <v>713</v>
      </c>
      <c r="F214" s="29" t="s">
        <v>714</v>
      </c>
      <c r="G214" s="27" t="s">
        <v>248</v>
      </c>
      <c r="H214" s="27" t="s">
        <v>249</v>
      </c>
      <c r="I214" s="27">
        <v>1</v>
      </c>
      <c r="J214" s="30">
        <v>0</v>
      </c>
      <c r="K214" s="26" t="s">
        <v>36</v>
      </c>
      <c r="L214" s="26" t="s">
        <v>674</v>
      </c>
      <c r="M214" s="31"/>
      <c r="N214" s="6"/>
      <c r="O214" s="2"/>
      <c r="P214" s="2"/>
      <c r="Q214" s="2"/>
      <c r="R214" s="2"/>
      <c r="S214" s="2"/>
      <c r="T214" s="2"/>
      <c r="U214" s="2"/>
      <c r="V214" s="2"/>
      <c r="W214" s="2"/>
      <c r="X214" s="2"/>
      <c r="Y214" s="2"/>
    </row>
    <row r="215" spans="1:25" ht="25.5" customHeight="1">
      <c r="A215" s="26">
        <v>103</v>
      </c>
      <c r="B215" s="27" t="s">
        <v>599</v>
      </c>
      <c r="C215" s="28">
        <v>42671</v>
      </c>
      <c r="D215" s="27"/>
      <c r="E215" s="27" t="s">
        <v>715</v>
      </c>
      <c r="F215" s="29" t="s">
        <v>716</v>
      </c>
      <c r="G215" s="27" t="s">
        <v>307</v>
      </c>
      <c r="H215" s="27" t="s">
        <v>19</v>
      </c>
      <c r="I215" s="27">
        <v>1</v>
      </c>
      <c r="J215" s="30">
        <v>47131872</v>
      </c>
      <c r="K215" s="26" t="s">
        <v>36</v>
      </c>
      <c r="L215" s="26" t="s">
        <v>674</v>
      </c>
      <c r="M215" s="31" t="s">
        <v>717</v>
      </c>
      <c r="N215" s="6"/>
      <c r="O215" s="2"/>
      <c r="P215" s="2"/>
      <c r="Q215" s="2"/>
      <c r="R215" s="2"/>
      <c r="S215" s="2"/>
      <c r="T215" s="2"/>
      <c r="U215" s="2"/>
      <c r="V215" s="2"/>
      <c r="W215" s="2"/>
      <c r="X215" s="2"/>
      <c r="Y215" s="2"/>
    </row>
    <row r="216" spans="1:25" ht="12.75" customHeight="1">
      <c r="A216" s="26" t="s">
        <v>718</v>
      </c>
      <c r="B216" s="27"/>
      <c r="C216" s="28"/>
      <c r="D216" s="27"/>
      <c r="E216" s="27" t="s">
        <v>719</v>
      </c>
      <c r="F216" s="29" t="s">
        <v>720</v>
      </c>
      <c r="G216" s="27" t="s">
        <v>248</v>
      </c>
      <c r="H216" s="27" t="s">
        <v>249</v>
      </c>
      <c r="I216" s="27">
        <v>1</v>
      </c>
      <c r="J216" s="30">
        <v>0</v>
      </c>
      <c r="K216" s="26" t="s">
        <v>36</v>
      </c>
      <c r="L216" s="26" t="s">
        <v>674</v>
      </c>
      <c r="M216" s="31"/>
      <c r="N216" s="6"/>
      <c r="O216" s="2"/>
      <c r="P216" s="2"/>
      <c r="Q216" s="2"/>
      <c r="R216" s="2"/>
      <c r="S216" s="2"/>
      <c r="T216" s="2"/>
      <c r="U216" s="2"/>
      <c r="V216" s="2"/>
      <c r="W216" s="2"/>
      <c r="X216" s="2"/>
      <c r="Y216" s="2"/>
    </row>
    <row r="217" spans="1:25" ht="25.5" customHeight="1">
      <c r="A217" s="26">
        <v>104</v>
      </c>
      <c r="B217" s="27" t="s">
        <v>599</v>
      </c>
      <c r="C217" s="28">
        <v>42671</v>
      </c>
      <c r="D217" s="27"/>
      <c r="E217" s="27" t="s">
        <v>721</v>
      </c>
      <c r="F217" s="29" t="s">
        <v>722</v>
      </c>
      <c r="G217" s="27" t="s">
        <v>307</v>
      </c>
      <c r="H217" s="27" t="s">
        <v>19</v>
      </c>
      <c r="I217" s="27">
        <v>1</v>
      </c>
      <c r="J217" s="30">
        <v>47131872</v>
      </c>
      <c r="K217" s="26" t="s">
        <v>36</v>
      </c>
      <c r="L217" s="26" t="s">
        <v>674</v>
      </c>
      <c r="M217" s="31" t="s">
        <v>705</v>
      </c>
      <c r="N217" s="6"/>
      <c r="O217" s="2"/>
      <c r="P217" s="2"/>
      <c r="Q217" s="2"/>
      <c r="R217" s="2"/>
      <c r="S217" s="2"/>
      <c r="T217" s="2"/>
      <c r="U217" s="2"/>
      <c r="V217" s="2"/>
      <c r="W217" s="2"/>
      <c r="X217" s="2"/>
      <c r="Y217" s="2"/>
    </row>
    <row r="218" spans="1:25" ht="12.75" customHeight="1">
      <c r="A218" s="26" t="s">
        <v>723</v>
      </c>
      <c r="B218" s="27"/>
      <c r="C218" s="28"/>
      <c r="D218" s="27"/>
      <c r="E218" s="27" t="s">
        <v>724</v>
      </c>
      <c r="F218" s="29" t="s">
        <v>725</v>
      </c>
      <c r="G218" s="27" t="s">
        <v>248</v>
      </c>
      <c r="H218" s="27" t="s">
        <v>249</v>
      </c>
      <c r="I218" s="27">
        <v>1</v>
      </c>
      <c r="J218" s="30">
        <v>0</v>
      </c>
      <c r="K218" s="26" t="s">
        <v>36</v>
      </c>
      <c r="L218" s="26" t="s">
        <v>674</v>
      </c>
      <c r="M218" s="31"/>
      <c r="N218" s="6"/>
      <c r="O218" s="2"/>
      <c r="P218" s="2"/>
      <c r="Q218" s="2"/>
      <c r="R218" s="2"/>
      <c r="S218" s="2"/>
      <c r="T218" s="2"/>
      <c r="U218" s="2"/>
      <c r="V218" s="2"/>
      <c r="W218" s="2"/>
      <c r="X218" s="2"/>
      <c r="Y218" s="2"/>
    </row>
    <row r="219" spans="1:25" ht="25.5" customHeight="1">
      <c r="A219" s="26">
        <v>105</v>
      </c>
      <c r="B219" s="27" t="s">
        <v>599</v>
      </c>
      <c r="C219" s="28">
        <v>42671</v>
      </c>
      <c r="D219" s="27"/>
      <c r="E219" s="27" t="s">
        <v>726</v>
      </c>
      <c r="F219" s="29" t="s">
        <v>727</v>
      </c>
      <c r="G219" s="27" t="s">
        <v>307</v>
      </c>
      <c r="H219" s="27" t="s">
        <v>19</v>
      </c>
      <c r="I219" s="27">
        <v>1</v>
      </c>
      <c r="J219" s="30">
        <v>47131872</v>
      </c>
      <c r="K219" s="26" t="s">
        <v>36</v>
      </c>
      <c r="L219" s="26" t="s">
        <v>674</v>
      </c>
      <c r="M219" s="31" t="s">
        <v>705</v>
      </c>
      <c r="N219" s="6"/>
      <c r="O219" s="2"/>
      <c r="P219" s="2"/>
      <c r="Q219" s="2"/>
      <c r="R219" s="2"/>
      <c r="S219" s="2"/>
      <c r="T219" s="2"/>
      <c r="U219" s="2"/>
      <c r="V219" s="2"/>
      <c r="W219" s="2"/>
      <c r="X219" s="2"/>
      <c r="Y219" s="2"/>
    </row>
    <row r="220" spans="1:25" ht="12.75" customHeight="1">
      <c r="A220" s="26" t="s">
        <v>728</v>
      </c>
      <c r="B220" s="27"/>
      <c r="C220" s="28"/>
      <c r="D220" s="27"/>
      <c r="E220" s="27" t="s">
        <v>729</v>
      </c>
      <c r="F220" s="29" t="s">
        <v>730</v>
      </c>
      <c r="G220" s="27" t="s">
        <v>248</v>
      </c>
      <c r="H220" s="27" t="s">
        <v>249</v>
      </c>
      <c r="I220" s="27">
        <v>1</v>
      </c>
      <c r="J220" s="30">
        <v>0</v>
      </c>
      <c r="K220" s="26" t="s">
        <v>36</v>
      </c>
      <c r="L220" s="26" t="s">
        <v>674</v>
      </c>
      <c r="M220" s="31"/>
      <c r="N220" s="6"/>
      <c r="O220" s="2"/>
      <c r="P220" s="2"/>
      <c r="Q220" s="2"/>
      <c r="R220" s="2"/>
      <c r="S220" s="2"/>
      <c r="T220" s="2"/>
      <c r="U220" s="2"/>
      <c r="V220" s="2"/>
      <c r="W220" s="2"/>
      <c r="X220" s="2"/>
      <c r="Y220" s="2"/>
    </row>
    <row r="221" spans="1:25" ht="25.5" customHeight="1">
      <c r="A221" s="26">
        <v>106</v>
      </c>
      <c r="B221" s="27" t="s">
        <v>599</v>
      </c>
      <c r="C221" s="28">
        <v>42671</v>
      </c>
      <c r="D221" s="27"/>
      <c r="E221" s="27" t="s">
        <v>731</v>
      </c>
      <c r="F221" s="29" t="s">
        <v>732</v>
      </c>
      <c r="G221" s="27" t="s">
        <v>307</v>
      </c>
      <c r="H221" s="27" t="s">
        <v>19</v>
      </c>
      <c r="I221" s="27">
        <v>1</v>
      </c>
      <c r="J221" s="30">
        <v>47131872</v>
      </c>
      <c r="K221" s="26" t="s">
        <v>36</v>
      </c>
      <c r="L221" s="26" t="s">
        <v>674</v>
      </c>
      <c r="M221" s="31" t="s">
        <v>733</v>
      </c>
      <c r="N221" s="6"/>
      <c r="O221" s="2"/>
      <c r="P221" s="2"/>
      <c r="Q221" s="2"/>
      <c r="R221" s="2"/>
      <c r="S221" s="2"/>
      <c r="T221" s="2"/>
      <c r="U221" s="2"/>
      <c r="V221" s="2"/>
      <c r="W221" s="2"/>
      <c r="X221" s="2"/>
      <c r="Y221" s="2"/>
    </row>
    <row r="222" spans="1:25" ht="12.75" customHeight="1">
      <c r="A222" s="26" t="s">
        <v>734</v>
      </c>
      <c r="B222" s="27"/>
      <c r="C222" s="28"/>
      <c r="D222" s="27"/>
      <c r="E222" s="27" t="s">
        <v>735</v>
      </c>
      <c r="F222" s="29" t="s">
        <v>736</v>
      </c>
      <c r="G222" s="27" t="s">
        <v>248</v>
      </c>
      <c r="H222" s="27" t="s">
        <v>249</v>
      </c>
      <c r="I222" s="27">
        <v>1</v>
      </c>
      <c r="J222" s="30">
        <v>0</v>
      </c>
      <c r="K222" s="26" t="s">
        <v>36</v>
      </c>
      <c r="L222" s="26" t="s">
        <v>674</v>
      </c>
      <c r="M222" s="31"/>
      <c r="N222" s="6"/>
      <c r="O222" s="2"/>
      <c r="P222" s="2"/>
      <c r="Q222" s="2"/>
      <c r="R222" s="2"/>
      <c r="S222" s="2"/>
      <c r="T222" s="2"/>
      <c r="U222" s="2"/>
      <c r="V222" s="2"/>
      <c r="W222" s="2"/>
      <c r="X222" s="2"/>
      <c r="Y222" s="2"/>
    </row>
    <row r="223" spans="1:25" ht="25.5" customHeight="1">
      <c r="A223" s="26">
        <v>107</v>
      </c>
      <c r="B223" s="27" t="s">
        <v>599</v>
      </c>
      <c r="C223" s="28">
        <v>42671</v>
      </c>
      <c r="D223" s="27"/>
      <c r="E223" s="27" t="s">
        <v>737</v>
      </c>
      <c r="F223" s="29" t="s">
        <v>738</v>
      </c>
      <c r="G223" s="27" t="s">
        <v>307</v>
      </c>
      <c r="H223" s="27" t="s">
        <v>19</v>
      </c>
      <c r="I223" s="27">
        <v>1</v>
      </c>
      <c r="J223" s="30">
        <v>47131872</v>
      </c>
      <c r="K223" s="26" t="s">
        <v>36</v>
      </c>
      <c r="L223" s="26" t="s">
        <v>674</v>
      </c>
      <c r="M223" s="31" t="s">
        <v>739</v>
      </c>
      <c r="N223" s="6"/>
      <c r="O223" s="2"/>
      <c r="P223" s="2"/>
      <c r="Q223" s="2"/>
      <c r="R223" s="2"/>
      <c r="S223" s="2"/>
      <c r="T223" s="2"/>
      <c r="U223" s="2"/>
      <c r="V223" s="2"/>
      <c r="W223" s="2"/>
      <c r="X223" s="2"/>
      <c r="Y223" s="2"/>
    </row>
    <row r="224" spans="1:25" ht="12.75" customHeight="1">
      <c r="A224" s="26" t="s">
        <v>740</v>
      </c>
      <c r="B224" s="27"/>
      <c r="C224" s="28"/>
      <c r="D224" s="27"/>
      <c r="E224" s="27" t="s">
        <v>741</v>
      </c>
      <c r="F224" s="29" t="s">
        <v>742</v>
      </c>
      <c r="G224" s="27" t="s">
        <v>248</v>
      </c>
      <c r="H224" s="27" t="s">
        <v>249</v>
      </c>
      <c r="I224" s="27">
        <v>1</v>
      </c>
      <c r="J224" s="30">
        <v>0</v>
      </c>
      <c r="K224" s="26" t="s">
        <v>36</v>
      </c>
      <c r="L224" s="26" t="s">
        <v>674</v>
      </c>
      <c r="M224" s="31"/>
      <c r="N224" s="6"/>
      <c r="O224" s="2"/>
      <c r="P224" s="2"/>
      <c r="Q224" s="2"/>
      <c r="R224" s="2"/>
      <c r="S224" s="2"/>
      <c r="T224" s="2"/>
      <c r="U224" s="2"/>
      <c r="V224" s="2"/>
      <c r="W224" s="2"/>
      <c r="X224" s="2"/>
      <c r="Y224" s="2"/>
    </row>
    <row r="225" spans="1:25" ht="25.5" customHeight="1">
      <c r="A225" s="26">
        <v>108</v>
      </c>
      <c r="B225" s="27" t="s">
        <v>599</v>
      </c>
      <c r="C225" s="28">
        <v>42671</v>
      </c>
      <c r="D225" s="27"/>
      <c r="E225" s="27" t="s">
        <v>743</v>
      </c>
      <c r="F225" s="29" t="s">
        <v>744</v>
      </c>
      <c r="G225" s="27" t="s">
        <v>307</v>
      </c>
      <c r="H225" s="27" t="s">
        <v>19</v>
      </c>
      <c r="I225" s="27">
        <v>1</v>
      </c>
      <c r="J225" s="30">
        <v>47131872</v>
      </c>
      <c r="K225" s="26" t="s">
        <v>36</v>
      </c>
      <c r="L225" s="26" t="s">
        <v>674</v>
      </c>
      <c r="M225" s="31" t="s">
        <v>745</v>
      </c>
      <c r="N225" s="6"/>
      <c r="O225" s="2"/>
      <c r="P225" s="2"/>
      <c r="Q225" s="2"/>
      <c r="R225" s="2"/>
      <c r="S225" s="2"/>
      <c r="T225" s="2"/>
      <c r="U225" s="2"/>
      <c r="V225" s="2"/>
      <c r="W225" s="2"/>
      <c r="X225" s="2"/>
      <c r="Y225" s="2"/>
    </row>
    <row r="226" spans="1:25" ht="12.75" customHeight="1">
      <c r="A226" s="26" t="s">
        <v>746</v>
      </c>
      <c r="B226" s="27"/>
      <c r="C226" s="28"/>
      <c r="D226" s="27"/>
      <c r="E226" s="27" t="s">
        <v>747</v>
      </c>
      <c r="F226" s="29" t="s">
        <v>748</v>
      </c>
      <c r="G226" s="27" t="s">
        <v>248</v>
      </c>
      <c r="H226" s="27" t="s">
        <v>249</v>
      </c>
      <c r="I226" s="27">
        <v>1</v>
      </c>
      <c r="J226" s="30">
        <v>0</v>
      </c>
      <c r="K226" s="26" t="s">
        <v>36</v>
      </c>
      <c r="L226" s="26" t="s">
        <v>674</v>
      </c>
      <c r="M226" s="31"/>
      <c r="N226" s="6"/>
      <c r="O226" s="2"/>
      <c r="P226" s="2"/>
      <c r="Q226" s="2"/>
      <c r="R226" s="2"/>
      <c r="S226" s="2"/>
      <c r="T226" s="2"/>
      <c r="U226" s="2"/>
      <c r="V226" s="2"/>
      <c r="W226" s="2"/>
      <c r="X226" s="2"/>
      <c r="Y226" s="2"/>
    </row>
    <row r="227" spans="1:25" ht="25.5" customHeight="1">
      <c r="A227" s="26">
        <v>109</v>
      </c>
      <c r="B227" s="27" t="s">
        <v>599</v>
      </c>
      <c r="C227" s="28">
        <v>42671</v>
      </c>
      <c r="D227" s="27"/>
      <c r="E227" s="27" t="s">
        <v>749</v>
      </c>
      <c r="F227" s="29" t="s">
        <v>750</v>
      </c>
      <c r="G227" s="27" t="s">
        <v>307</v>
      </c>
      <c r="H227" s="27" t="s">
        <v>19</v>
      </c>
      <c r="I227" s="27">
        <v>1</v>
      </c>
      <c r="J227" s="30">
        <v>47131872</v>
      </c>
      <c r="K227" s="26" t="s">
        <v>36</v>
      </c>
      <c r="L227" s="26" t="s">
        <v>674</v>
      </c>
      <c r="M227" s="31" t="s">
        <v>751</v>
      </c>
      <c r="N227" s="6"/>
      <c r="O227" s="2"/>
      <c r="P227" s="2"/>
      <c r="Q227" s="2"/>
      <c r="R227" s="2"/>
      <c r="S227" s="2"/>
      <c r="T227" s="2"/>
      <c r="U227" s="2"/>
      <c r="V227" s="2"/>
      <c r="W227" s="2"/>
      <c r="X227" s="2"/>
      <c r="Y227" s="2"/>
    </row>
    <row r="228" spans="1:25" ht="12.75" customHeight="1">
      <c r="A228" s="26" t="s">
        <v>752</v>
      </c>
      <c r="B228" s="27"/>
      <c r="C228" s="28"/>
      <c r="D228" s="27"/>
      <c r="E228" s="27" t="s">
        <v>753</v>
      </c>
      <c r="F228" s="29" t="s">
        <v>754</v>
      </c>
      <c r="G228" s="27" t="s">
        <v>248</v>
      </c>
      <c r="H228" s="27" t="s">
        <v>249</v>
      </c>
      <c r="I228" s="27">
        <v>1</v>
      </c>
      <c r="J228" s="30">
        <v>0</v>
      </c>
      <c r="K228" s="26" t="s">
        <v>36</v>
      </c>
      <c r="L228" s="26" t="s">
        <v>674</v>
      </c>
      <c r="M228" s="31"/>
      <c r="N228" s="6"/>
      <c r="O228" s="2"/>
      <c r="P228" s="2"/>
      <c r="Q228" s="2"/>
      <c r="R228" s="2"/>
      <c r="S228" s="2"/>
      <c r="T228" s="2"/>
      <c r="U228" s="2"/>
      <c r="V228" s="2"/>
      <c r="W228" s="2"/>
      <c r="X228" s="2"/>
      <c r="Y228" s="2"/>
    </row>
    <row r="229" spans="1:25" ht="25.5" customHeight="1">
      <c r="A229" s="26">
        <v>110</v>
      </c>
      <c r="B229" s="27" t="s">
        <v>599</v>
      </c>
      <c r="C229" s="28">
        <v>42671</v>
      </c>
      <c r="D229" s="27"/>
      <c r="E229" s="27" t="s">
        <v>755</v>
      </c>
      <c r="F229" s="29" t="s">
        <v>756</v>
      </c>
      <c r="G229" s="27" t="s">
        <v>307</v>
      </c>
      <c r="H229" s="27" t="s">
        <v>19</v>
      </c>
      <c r="I229" s="27">
        <v>1</v>
      </c>
      <c r="J229" s="30">
        <v>47131872</v>
      </c>
      <c r="K229" s="26" t="s">
        <v>36</v>
      </c>
      <c r="L229" s="26" t="s">
        <v>674</v>
      </c>
      <c r="M229" s="31" t="s">
        <v>757</v>
      </c>
      <c r="N229" s="6"/>
      <c r="O229" s="2"/>
      <c r="P229" s="2"/>
      <c r="Q229" s="2"/>
      <c r="R229" s="2"/>
      <c r="S229" s="2"/>
      <c r="T229" s="2"/>
      <c r="U229" s="2"/>
      <c r="V229" s="2"/>
      <c r="W229" s="2"/>
      <c r="X229" s="2"/>
      <c r="Y229" s="2"/>
    </row>
    <row r="230" spans="1:25" ht="12.75" customHeight="1">
      <c r="A230" s="26" t="s">
        <v>758</v>
      </c>
      <c r="B230" s="27"/>
      <c r="C230" s="28"/>
      <c r="D230" s="27"/>
      <c r="E230" s="27" t="s">
        <v>759</v>
      </c>
      <c r="F230" s="29" t="s">
        <v>760</v>
      </c>
      <c r="G230" s="27" t="s">
        <v>248</v>
      </c>
      <c r="H230" s="27" t="s">
        <v>249</v>
      </c>
      <c r="I230" s="27">
        <v>1</v>
      </c>
      <c r="J230" s="30">
        <v>0</v>
      </c>
      <c r="K230" s="26" t="s">
        <v>36</v>
      </c>
      <c r="L230" s="26" t="s">
        <v>674</v>
      </c>
      <c r="M230" s="31"/>
      <c r="N230" s="6"/>
      <c r="O230" s="2"/>
      <c r="P230" s="2"/>
      <c r="Q230" s="2"/>
      <c r="R230" s="2"/>
      <c r="S230" s="2"/>
      <c r="T230" s="2"/>
      <c r="U230" s="2"/>
      <c r="V230" s="2"/>
      <c r="W230" s="2"/>
      <c r="X230" s="2"/>
      <c r="Y230" s="2"/>
    </row>
    <row r="231" spans="1:25" ht="25.5" customHeight="1">
      <c r="A231" s="26">
        <v>111</v>
      </c>
      <c r="B231" s="27" t="s">
        <v>599</v>
      </c>
      <c r="C231" s="28">
        <v>42671</v>
      </c>
      <c r="D231" s="27"/>
      <c r="E231" s="27" t="s">
        <v>761</v>
      </c>
      <c r="F231" s="29" t="s">
        <v>762</v>
      </c>
      <c r="G231" s="27" t="s">
        <v>307</v>
      </c>
      <c r="H231" s="27" t="s">
        <v>19</v>
      </c>
      <c r="I231" s="27">
        <v>1</v>
      </c>
      <c r="J231" s="30">
        <v>47131872</v>
      </c>
      <c r="K231" s="26" t="s">
        <v>36</v>
      </c>
      <c r="L231" s="26" t="s">
        <v>674</v>
      </c>
      <c r="M231" s="31" t="s">
        <v>763</v>
      </c>
      <c r="N231" s="6"/>
      <c r="O231" s="2"/>
      <c r="P231" s="2"/>
      <c r="Q231" s="2"/>
      <c r="R231" s="2"/>
      <c r="S231" s="2"/>
      <c r="T231" s="2"/>
      <c r="U231" s="2"/>
      <c r="V231" s="2"/>
      <c r="W231" s="2"/>
      <c r="X231" s="2"/>
      <c r="Y231" s="2"/>
    </row>
    <row r="232" spans="1:25" ht="12.75" customHeight="1">
      <c r="A232" s="26" t="s">
        <v>764</v>
      </c>
      <c r="B232" s="27"/>
      <c r="C232" s="28"/>
      <c r="D232" s="27"/>
      <c r="E232" s="27" t="s">
        <v>765</v>
      </c>
      <c r="F232" s="29" t="s">
        <v>766</v>
      </c>
      <c r="G232" s="27" t="s">
        <v>248</v>
      </c>
      <c r="H232" s="27" t="s">
        <v>249</v>
      </c>
      <c r="I232" s="27">
        <v>1</v>
      </c>
      <c r="J232" s="30">
        <v>0</v>
      </c>
      <c r="K232" s="26" t="s">
        <v>36</v>
      </c>
      <c r="L232" s="26" t="s">
        <v>674</v>
      </c>
      <c r="M232" s="31"/>
      <c r="N232" s="6"/>
      <c r="O232" s="2"/>
      <c r="P232" s="2"/>
      <c r="Q232" s="2"/>
      <c r="R232" s="2"/>
      <c r="S232" s="2"/>
      <c r="T232" s="2"/>
      <c r="U232" s="2"/>
      <c r="V232" s="2"/>
      <c r="W232" s="2"/>
      <c r="X232" s="2"/>
      <c r="Y232" s="2"/>
    </row>
    <row r="233" spans="1:25" ht="25.5" customHeight="1">
      <c r="A233" s="26">
        <v>112</v>
      </c>
      <c r="B233" s="27" t="s">
        <v>599</v>
      </c>
      <c r="C233" s="28">
        <v>42671</v>
      </c>
      <c r="D233" s="27"/>
      <c r="E233" s="27" t="s">
        <v>767</v>
      </c>
      <c r="F233" s="29" t="s">
        <v>768</v>
      </c>
      <c r="G233" s="27" t="s">
        <v>307</v>
      </c>
      <c r="H233" s="27" t="s">
        <v>19</v>
      </c>
      <c r="I233" s="27">
        <v>1</v>
      </c>
      <c r="J233" s="30">
        <v>37278105</v>
      </c>
      <c r="K233" s="26" t="s">
        <v>36</v>
      </c>
      <c r="L233" s="26" t="s">
        <v>674</v>
      </c>
      <c r="M233" s="31" t="s">
        <v>769</v>
      </c>
      <c r="N233" s="6"/>
      <c r="O233" s="2"/>
      <c r="P233" s="2"/>
      <c r="Q233" s="2"/>
      <c r="R233" s="2"/>
      <c r="S233" s="2"/>
      <c r="T233" s="2"/>
      <c r="U233" s="2"/>
      <c r="V233" s="2"/>
      <c r="W233" s="2"/>
      <c r="X233" s="2"/>
      <c r="Y233" s="2"/>
    </row>
    <row r="234" spans="1:25" ht="12.75" customHeight="1">
      <c r="A234" s="26" t="s">
        <v>770</v>
      </c>
      <c r="B234" s="27"/>
      <c r="C234" s="28"/>
      <c r="D234" s="27"/>
      <c r="E234" s="27" t="s">
        <v>771</v>
      </c>
      <c r="F234" s="29" t="s">
        <v>772</v>
      </c>
      <c r="G234" s="27" t="s">
        <v>248</v>
      </c>
      <c r="H234" s="27" t="s">
        <v>249</v>
      </c>
      <c r="I234" s="27">
        <v>1</v>
      </c>
      <c r="J234" s="30">
        <v>0</v>
      </c>
      <c r="K234" s="26" t="s">
        <v>36</v>
      </c>
      <c r="L234" s="26" t="s">
        <v>674</v>
      </c>
      <c r="M234" s="31"/>
      <c r="N234" s="6"/>
      <c r="O234" s="2"/>
      <c r="P234" s="2"/>
      <c r="Q234" s="2"/>
      <c r="R234" s="2"/>
      <c r="S234" s="2"/>
      <c r="T234" s="2"/>
      <c r="U234" s="2"/>
      <c r="V234" s="2"/>
      <c r="W234" s="2"/>
      <c r="X234" s="2"/>
      <c r="Y234" s="2"/>
    </row>
    <row r="235" spans="1:25" ht="25.5" customHeight="1">
      <c r="A235" s="26">
        <v>113</v>
      </c>
      <c r="B235" s="27" t="s">
        <v>599</v>
      </c>
      <c r="C235" s="28">
        <v>42671</v>
      </c>
      <c r="D235" s="27"/>
      <c r="E235" s="27" t="s">
        <v>773</v>
      </c>
      <c r="F235" s="29" t="s">
        <v>774</v>
      </c>
      <c r="G235" s="27" t="s">
        <v>307</v>
      </c>
      <c r="H235" s="27" t="s">
        <v>19</v>
      </c>
      <c r="I235" s="27">
        <v>1</v>
      </c>
      <c r="J235" s="30">
        <v>37278105</v>
      </c>
      <c r="K235" s="26" t="s">
        <v>36</v>
      </c>
      <c r="L235" s="26" t="s">
        <v>674</v>
      </c>
      <c r="M235" s="31" t="s">
        <v>775</v>
      </c>
      <c r="N235" s="6"/>
      <c r="O235" s="2"/>
      <c r="P235" s="2"/>
      <c r="Q235" s="2"/>
      <c r="R235" s="2"/>
      <c r="S235" s="2"/>
      <c r="T235" s="2"/>
      <c r="U235" s="2"/>
      <c r="V235" s="2"/>
      <c r="W235" s="2"/>
      <c r="X235" s="2"/>
      <c r="Y235" s="2"/>
    </row>
    <row r="236" spans="1:25" ht="12.75" customHeight="1">
      <c r="A236" s="26" t="s">
        <v>776</v>
      </c>
      <c r="B236" s="27"/>
      <c r="C236" s="28"/>
      <c r="D236" s="27"/>
      <c r="E236" s="27" t="s">
        <v>777</v>
      </c>
      <c r="F236" s="29" t="s">
        <v>778</v>
      </c>
      <c r="G236" s="27" t="s">
        <v>248</v>
      </c>
      <c r="H236" s="27" t="s">
        <v>249</v>
      </c>
      <c r="I236" s="27">
        <v>1</v>
      </c>
      <c r="J236" s="30">
        <v>0</v>
      </c>
      <c r="K236" s="26" t="s">
        <v>36</v>
      </c>
      <c r="L236" s="26" t="s">
        <v>674</v>
      </c>
      <c r="M236" s="31"/>
      <c r="N236" s="6"/>
      <c r="O236" s="2"/>
      <c r="P236" s="2"/>
      <c r="Q236" s="2"/>
      <c r="R236" s="2"/>
      <c r="S236" s="2"/>
      <c r="T236" s="2"/>
      <c r="U236" s="2"/>
      <c r="V236" s="2"/>
      <c r="W236" s="2"/>
      <c r="X236" s="2"/>
      <c r="Y236" s="2"/>
    </row>
    <row r="237" spans="1:25" ht="25.5" customHeight="1">
      <c r="A237" s="26">
        <v>114</v>
      </c>
      <c r="B237" s="27" t="s">
        <v>599</v>
      </c>
      <c r="C237" s="28">
        <v>42671</v>
      </c>
      <c r="D237" s="27"/>
      <c r="E237" s="27" t="s">
        <v>779</v>
      </c>
      <c r="F237" s="29" t="s">
        <v>780</v>
      </c>
      <c r="G237" s="27" t="s">
        <v>307</v>
      </c>
      <c r="H237" s="27" t="s">
        <v>19</v>
      </c>
      <c r="I237" s="27">
        <v>1</v>
      </c>
      <c r="J237" s="30">
        <v>37278105</v>
      </c>
      <c r="K237" s="26" t="s">
        <v>36</v>
      </c>
      <c r="L237" s="26" t="s">
        <v>674</v>
      </c>
      <c r="M237" s="31" t="s">
        <v>781</v>
      </c>
      <c r="N237" s="6"/>
      <c r="O237" s="2"/>
      <c r="P237" s="2"/>
      <c r="Q237" s="2"/>
      <c r="R237" s="2"/>
      <c r="S237" s="2"/>
      <c r="T237" s="2"/>
      <c r="U237" s="2"/>
      <c r="V237" s="2"/>
      <c r="W237" s="2"/>
      <c r="X237" s="2"/>
      <c r="Y237" s="2"/>
    </row>
    <row r="238" spans="1:25" ht="12.75" customHeight="1">
      <c r="A238" s="26" t="s">
        <v>782</v>
      </c>
      <c r="B238" s="27"/>
      <c r="C238" s="28"/>
      <c r="D238" s="27"/>
      <c r="E238" s="27" t="s">
        <v>783</v>
      </c>
      <c r="F238" s="29" t="s">
        <v>784</v>
      </c>
      <c r="G238" s="27" t="s">
        <v>248</v>
      </c>
      <c r="H238" s="27" t="s">
        <v>249</v>
      </c>
      <c r="I238" s="27">
        <v>1</v>
      </c>
      <c r="J238" s="30">
        <v>0</v>
      </c>
      <c r="K238" s="26" t="s">
        <v>36</v>
      </c>
      <c r="L238" s="26" t="s">
        <v>674</v>
      </c>
      <c r="M238" s="31"/>
      <c r="N238" s="6"/>
      <c r="O238" s="2"/>
      <c r="P238" s="2"/>
      <c r="Q238" s="2"/>
      <c r="R238" s="2"/>
      <c r="S238" s="2"/>
      <c r="T238" s="2"/>
      <c r="U238" s="2"/>
      <c r="V238" s="2"/>
      <c r="W238" s="2"/>
      <c r="X238" s="2"/>
      <c r="Y238" s="2"/>
    </row>
    <row r="239" spans="1:25" ht="25.5" customHeight="1">
      <c r="A239" s="26">
        <v>115</v>
      </c>
      <c r="B239" s="27" t="s">
        <v>599</v>
      </c>
      <c r="C239" s="28">
        <v>42671</v>
      </c>
      <c r="D239" s="27"/>
      <c r="E239" s="27" t="s">
        <v>785</v>
      </c>
      <c r="F239" s="29" t="s">
        <v>786</v>
      </c>
      <c r="G239" s="27" t="s">
        <v>307</v>
      </c>
      <c r="H239" s="27" t="s">
        <v>19</v>
      </c>
      <c r="I239" s="27">
        <v>1</v>
      </c>
      <c r="J239" s="30">
        <v>37278108</v>
      </c>
      <c r="K239" s="26" t="s">
        <v>36</v>
      </c>
      <c r="L239" s="26" t="s">
        <v>674</v>
      </c>
      <c r="M239" s="31" t="s">
        <v>787</v>
      </c>
      <c r="N239" s="6"/>
      <c r="O239" s="2"/>
      <c r="P239" s="2"/>
      <c r="Q239" s="2"/>
      <c r="R239" s="2"/>
      <c r="S239" s="2"/>
      <c r="T239" s="2"/>
      <c r="U239" s="2"/>
      <c r="V239" s="2"/>
      <c r="W239" s="2"/>
      <c r="X239" s="2"/>
      <c r="Y239" s="2"/>
    </row>
    <row r="240" spans="1:25" ht="12.75" customHeight="1">
      <c r="A240" s="26" t="s">
        <v>788</v>
      </c>
      <c r="B240" s="27"/>
      <c r="C240" s="28"/>
      <c r="D240" s="27"/>
      <c r="E240" s="27" t="s">
        <v>789</v>
      </c>
      <c r="F240" s="29" t="s">
        <v>790</v>
      </c>
      <c r="G240" s="27" t="s">
        <v>248</v>
      </c>
      <c r="H240" s="27" t="s">
        <v>249</v>
      </c>
      <c r="I240" s="27">
        <v>1</v>
      </c>
      <c r="J240" s="30">
        <v>0</v>
      </c>
      <c r="K240" s="26" t="s">
        <v>36</v>
      </c>
      <c r="L240" s="26" t="s">
        <v>674</v>
      </c>
      <c r="M240" s="31"/>
      <c r="N240" s="6"/>
      <c r="O240" s="2"/>
      <c r="P240" s="2"/>
      <c r="Q240" s="2"/>
      <c r="R240" s="2"/>
      <c r="S240" s="2"/>
      <c r="T240" s="2"/>
      <c r="U240" s="2"/>
      <c r="V240" s="2"/>
      <c r="W240" s="2"/>
      <c r="X240" s="2"/>
      <c r="Y240" s="2"/>
    </row>
    <row r="241" spans="1:25" ht="25.5" customHeight="1">
      <c r="A241" s="26">
        <v>116</v>
      </c>
      <c r="B241" s="27" t="s">
        <v>599</v>
      </c>
      <c r="C241" s="28">
        <v>42671</v>
      </c>
      <c r="D241" s="27"/>
      <c r="E241" s="27" t="s">
        <v>791</v>
      </c>
      <c r="F241" s="29" t="s">
        <v>792</v>
      </c>
      <c r="G241" s="27" t="s">
        <v>307</v>
      </c>
      <c r="H241" s="27" t="s">
        <v>19</v>
      </c>
      <c r="I241" s="27">
        <v>1</v>
      </c>
      <c r="J241" s="30">
        <v>37278108</v>
      </c>
      <c r="K241" s="26" t="s">
        <v>36</v>
      </c>
      <c r="L241" s="26" t="s">
        <v>674</v>
      </c>
      <c r="M241" s="31" t="s">
        <v>793</v>
      </c>
      <c r="N241" s="6"/>
      <c r="O241" s="2"/>
      <c r="P241" s="2"/>
      <c r="Q241" s="2"/>
      <c r="R241" s="2"/>
      <c r="S241" s="2"/>
      <c r="T241" s="2"/>
      <c r="U241" s="2"/>
      <c r="V241" s="2"/>
      <c r="W241" s="2"/>
      <c r="X241" s="2"/>
      <c r="Y241" s="2"/>
    </row>
    <row r="242" spans="1:25" ht="12.75" customHeight="1">
      <c r="A242" s="26" t="s">
        <v>794</v>
      </c>
      <c r="B242" s="27"/>
      <c r="C242" s="28"/>
      <c r="D242" s="27"/>
      <c r="E242" s="27" t="s">
        <v>795</v>
      </c>
      <c r="F242" s="29" t="s">
        <v>796</v>
      </c>
      <c r="G242" s="27" t="s">
        <v>248</v>
      </c>
      <c r="H242" s="27" t="s">
        <v>249</v>
      </c>
      <c r="I242" s="27">
        <v>1</v>
      </c>
      <c r="J242" s="30">
        <v>0</v>
      </c>
      <c r="K242" s="26" t="s">
        <v>36</v>
      </c>
      <c r="L242" s="26" t="s">
        <v>674</v>
      </c>
      <c r="M242" s="31"/>
      <c r="N242" s="6"/>
      <c r="O242" s="2"/>
      <c r="P242" s="2"/>
      <c r="Q242" s="2"/>
      <c r="R242" s="2"/>
      <c r="S242" s="2"/>
      <c r="T242" s="2"/>
      <c r="U242" s="2"/>
      <c r="V242" s="2"/>
      <c r="W242" s="2"/>
      <c r="X242" s="2"/>
      <c r="Y242" s="2"/>
    </row>
    <row r="243" spans="1:25" ht="25.5" customHeight="1">
      <c r="A243" s="26">
        <v>117</v>
      </c>
      <c r="B243" s="27" t="s">
        <v>797</v>
      </c>
      <c r="C243" s="28">
        <v>42671</v>
      </c>
      <c r="D243" s="27"/>
      <c r="E243" s="27" t="s">
        <v>798</v>
      </c>
      <c r="F243" s="29" t="s">
        <v>799</v>
      </c>
      <c r="G243" s="27" t="s">
        <v>307</v>
      </c>
      <c r="H243" s="27" t="s">
        <v>19</v>
      </c>
      <c r="I243" s="27">
        <v>1</v>
      </c>
      <c r="J243" s="30">
        <v>121401381</v>
      </c>
      <c r="K243" s="26" t="s">
        <v>206</v>
      </c>
      <c r="L243" s="26" t="s">
        <v>207</v>
      </c>
      <c r="M243" s="31" t="s">
        <v>800</v>
      </c>
      <c r="N243" s="6"/>
      <c r="O243" s="2"/>
      <c r="P243" s="2"/>
      <c r="Q243" s="2"/>
      <c r="R243" s="2"/>
      <c r="S243" s="2"/>
      <c r="T243" s="2"/>
      <c r="U243" s="2"/>
      <c r="V243" s="2"/>
      <c r="W243" s="2"/>
      <c r="X243" s="2"/>
      <c r="Y243" s="2"/>
    </row>
    <row r="244" spans="1:25" ht="12.75" customHeight="1">
      <c r="A244" s="26" t="s">
        <v>801</v>
      </c>
      <c r="B244" s="27"/>
      <c r="C244" s="28"/>
      <c r="D244" s="27"/>
      <c r="E244" s="27" t="s">
        <v>802</v>
      </c>
      <c r="F244" s="29" t="s">
        <v>803</v>
      </c>
      <c r="G244" s="27" t="s">
        <v>248</v>
      </c>
      <c r="H244" s="27" t="s">
        <v>249</v>
      </c>
      <c r="I244" s="27">
        <v>1</v>
      </c>
      <c r="J244" s="30">
        <v>0</v>
      </c>
      <c r="K244" s="26" t="s">
        <v>206</v>
      </c>
      <c r="L244" s="26" t="s">
        <v>207</v>
      </c>
      <c r="M244" s="31"/>
      <c r="N244" s="6"/>
      <c r="O244" s="2"/>
      <c r="P244" s="2"/>
      <c r="Q244" s="2"/>
      <c r="R244" s="2"/>
      <c r="S244" s="2"/>
      <c r="T244" s="2"/>
      <c r="U244" s="2"/>
      <c r="V244" s="2"/>
      <c r="W244" s="2"/>
      <c r="X244" s="2"/>
      <c r="Y244" s="2"/>
    </row>
    <row r="245" spans="1:25" ht="25.5" customHeight="1">
      <c r="A245" s="26">
        <v>118</v>
      </c>
      <c r="B245" s="27" t="s">
        <v>797</v>
      </c>
      <c r="C245" s="28">
        <v>42671</v>
      </c>
      <c r="D245" s="27"/>
      <c r="E245" s="27" t="s">
        <v>804</v>
      </c>
      <c r="F245" s="29" t="s">
        <v>805</v>
      </c>
      <c r="G245" s="27" t="s">
        <v>307</v>
      </c>
      <c r="H245" s="27" t="s">
        <v>19</v>
      </c>
      <c r="I245" s="27">
        <v>1</v>
      </c>
      <c r="J245" s="30">
        <v>121401381</v>
      </c>
      <c r="K245" s="26" t="s">
        <v>206</v>
      </c>
      <c r="L245" s="45" t="s">
        <v>207</v>
      </c>
      <c r="M245" s="46" t="s">
        <v>806</v>
      </c>
      <c r="N245" s="6"/>
      <c r="O245" s="2"/>
      <c r="P245" s="2"/>
      <c r="Q245" s="2"/>
      <c r="R245" s="2"/>
      <c r="S245" s="2"/>
      <c r="T245" s="2"/>
      <c r="U245" s="2"/>
      <c r="V245" s="2"/>
      <c r="W245" s="2"/>
      <c r="X245" s="2"/>
      <c r="Y245" s="2"/>
    </row>
    <row r="246" spans="1:25" ht="12.75" customHeight="1">
      <c r="A246" s="26" t="s">
        <v>807</v>
      </c>
      <c r="B246" s="27"/>
      <c r="C246" s="28"/>
      <c r="D246" s="27"/>
      <c r="E246" s="27" t="s">
        <v>808</v>
      </c>
      <c r="F246" s="29" t="s">
        <v>809</v>
      </c>
      <c r="G246" s="27" t="s">
        <v>248</v>
      </c>
      <c r="H246" s="27" t="s">
        <v>249</v>
      </c>
      <c r="I246" s="27">
        <v>1</v>
      </c>
      <c r="J246" s="30">
        <v>0</v>
      </c>
      <c r="K246" s="26" t="s">
        <v>206</v>
      </c>
      <c r="L246" s="26" t="s">
        <v>207</v>
      </c>
      <c r="M246" s="31"/>
      <c r="N246" s="6"/>
      <c r="O246" s="2"/>
      <c r="P246" s="2"/>
      <c r="Q246" s="2"/>
      <c r="R246" s="2"/>
      <c r="S246" s="2"/>
      <c r="T246" s="2"/>
      <c r="U246" s="2"/>
      <c r="V246" s="2"/>
      <c r="W246" s="2"/>
      <c r="X246" s="2"/>
      <c r="Y246" s="2"/>
    </row>
    <row r="247" spans="1:25" ht="25.5" customHeight="1">
      <c r="A247" s="26">
        <v>119</v>
      </c>
      <c r="B247" s="27" t="s">
        <v>810</v>
      </c>
      <c r="C247" s="28">
        <v>43644</v>
      </c>
      <c r="D247" s="27"/>
      <c r="E247" s="27" t="s">
        <v>811</v>
      </c>
      <c r="F247" s="29" t="s">
        <v>812</v>
      </c>
      <c r="G247" s="27" t="s">
        <v>35</v>
      </c>
      <c r="H247" s="27" t="s">
        <v>19</v>
      </c>
      <c r="I247" s="27">
        <v>1</v>
      </c>
      <c r="J247" s="30">
        <v>215000000</v>
      </c>
      <c r="K247" s="59" t="s">
        <v>206</v>
      </c>
      <c r="L247" s="59" t="s">
        <v>207</v>
      </c>
      <c r="M247" s="31" t="s">
        <v>206</v>
      </c>
      <c r="N247" s="6"/>
      <c r="O247" s="2"/>
      <c r="P247" s="2"/>
      <c r="Q247" s="2"/>
      <c r="R247" s="2"/>
      <c r="S247" s="2"/>
      <c r="T247" s="2"/>
      <c r="U247" s="2"/>
      <c r="V247" s="2"/>
      <c r="W247" s="2"/>
      <c r="X247" s="2"/>
      <c r="Y247" s="2"/>
    </row>
    <row r="248" spans="1:25" ht="25.5" customHeight="1">
      <c r="A248" s="26">
        <v>120</v>
      </c>
      <c r="B248" s="27" t="s">
        <v>810</v>
      </c>
      <c r="C248" s="28">
        <v>43644</v>
      </c>
      <c r="D248" s="27"/>
      <c r="E248" s="27" t="s">
        <v>813</v>
      </c>
      <c r="F248" s="29" t="s">
        <v>814</v>
      </c>
      <c r="G248" s="27" t="s">
        <v>35</v>
      </c>
      <c r="H248" s="27" t="s">
        <v>19</v>
      </c>
      <c r="I248" s="27">
        <v>1</v>
      </c>
      <c r="J248" s="30">
        <v>215000000</v>
      </c>
      <c r="K248" s="59" t="s">
        <v>206</v>
      </c>
      <c r="L248" s="59" t="s">
        <v>207</v>
      </c>
      <c r="M248" s="31" t="s">
        <v>206</v>
      </c>
      <c r="N248" s="6"/>
      <c r="O248" s="2"/>
      <c r="P248" s="2"/>
      <c r="Q248" s="2"/>
      <c r="R248" s="2"/>
      <c r="S248" s="2"/>
      <c r="T248" s="2"/>
      <c r="U248" s="2"/>
      <c r="V248" s="2"/>
      <c r="W248" s="2"/>
      <c r="X248" s="2"/>
      <c r="Y248" s="2"/>
    </row>
    <row r="249" spans="1:25" ht="12.75" customHeight="1">
      <c r="A249" s="26">
        <v>121</v>
      </c>
      <c r="B249" s="27" t="s">
        <v>815</v>
      </c>
      <c r="C249" s="28">
        <v>39813</v>
      </c>
      <c r="D249" s="27"/>
      <c r="E249" s="27" t="s">
        <v>816</v>
      </c>
      <c r="F249" s="29" t="s">
        <v>817</v>
      </c>
      <c r="G249" s="27"/>
      <c r="H249" s="27" t="s">
        <v>19</v>
      </c>
      <c r="I249" s="27">
        <v>1</v>
      </c>
      <c r="J249" s="30">
        <v>169655834</v>
      </c>
      <c r="K249" s="26" t="s">
        <v>206</v>
      </c>
      <c r="L249" s="26" t="s">
        <v>207</v>
      </c>
      <c r="M249" s="31" t="s">
        <v>818</v>
      </c>
      <c r="N249" s="6"/>
      <c r="O249" s="2"/>
      <c r="P249" s="2"/>
      <c r="Q249" s="2"/>
      <c r="R249" s="2"/>
      <c r="S249" s="2"/>
      <c r="T249" s="2"/>
      <c r="U249" s="2"/>
      <c r="V249" s="2"/>
      <c r="W249" s="2"/>
      <c r="X249" s="2"/>
      <c r="Y249" s="2"/>
    </row>
    <row r="250" spans="1:25" ht="25.5" customHeight="1">
      <c r="A250" s="26" t="s">
        <v>819</v>
      </c>
      <c r="B250" s="27"/>
      <c r="C250" s="28"/>
      <c r="D250" s="27"/>
      <c r="E250" s="27" t="s">
        <v>820</v>
      </c>
      <c r="F250" s="29" t="s">
        <v>821</v>
      </c>
      <c r="G250" s="27"/>
      <c r="H250" s="27"/>
      <c r="I250" s="27">
        <v>1</v>
      </c>
      <c r="J250" s="30">
        <v>0</v>
      </c>
      <c r="K250" s="26" t="s">
        <v>206</v>
      </c>
      <c r="L250" s="26" t="s">
        <v>207</v>
      </c>
      <c r="M250" s="31"/>
      <c r="N250" s="6"/>
      <c r="O250" s="2"/>
      <c r="P250" s="2"/>
      <c r="Q250" s="2"/>
      <c r="R250" s="2"/>
      <c r="S250" s="2"/>
      <c r="T250" s="2"/>
      <c r="U250" s="2"/>
      <c r="V250" s="2"/>
      <c r="W250" s="2"/>
      <c r="X250" s="2"/>
      <c r="Y250" s="2"/>
    </row>
    <row r="251" spans="1:25" ht="12.75" customHeight="1">
      <c r="A251" s="26" t="s">
        <v>822</v>
      </c>
      <c r="B251" s="27"/>
      <c r="C251" s="28"/>
      <c r="D251" s="27"/>
      <c r="E251" s="27" t="s">
        <v>823</v>
      </c>
      <c r="F251" s="29" t="s">
        <v>824</v>
      </c>
      <c r="G251" s="27"/>
      <c r="H251" s="27"/>
      <c r="I251" s="27">
        <v>1</v>
      </c>
      <c r="J251" s="30">
        <v>0</v>
      </c>
      <c r="K251" s="26" t="s">
        <v>206</v>
      </c>
      <c r="L251" s="26" t="s">
        <v>207</v>
      </c>
      <c r="M251" s="31"/>
      <c r="N251" s="6"/>
      <c r="O251" s="2"/>
      <c r="P251" s="2"/>
      <c r="Q251" s="2"/>
      <c r="R251" s="2"/>
      <c r="S251" s="2"/>
      <c r="T251" s="2"/>
      <c r="U251" s="2"/>
      <c r="V251" s="2"/>
      <c r="W251" s="2"/>
      <c r="X251" s="2"/>
      <c r="Y251" s="2"/>
    </row>
    <row r="252" spans="1:25" ht="12.75" customHeight="1">
      <c r="A252" s="38">
        <v>122</v>
      </c>
      <c r="B252" s="27" t="s">
        <v>815</v>
      </c>
      <c r="C252" s="40">
        <v>39813</v>
      </c>
      <c r="D252" s="27"/>
      <c r="E252" s="39" t="s">
        <v>825</v>
      </c>
      <c r="F252" s="41" t="s">
        <v>817</v>
      </c>
      <c r="G252" s="27"/>
      <c r="H252" s="27" t="s">
        <v>19</v>
      </c>
      <c r="I252" s="27">
        <v>1</v>
      </c>
      <c r="J252" s="42">
        <v>169655834</v>
      </c>
      <c r="K252" s="38" t="s">
        <v>206</v>
      </c>
      <c r="L252" s="38" t="s">
        <v>207</v>
      </c>
      <c r="M252" s="43" t="s">
        <v>826</v>
      </c>
      <c r="N252" s="6"/>
      <c r="O252" s="2"/>
      <c r="P252" s="2"/>
      <c r="Q252" s="2"/>
      <c r="R252" s="2"/>
      <c r="S252" s="2"/>
      <c r="T252" s="2"/>
      <c r="U252" s="2"/>
      <c r="V252" s="2"/>
      <c r="W252" s="2"/>
      <c r="X252" s="2"/>
      <c r="Y252" s="2"/>
    </row>
    <row r="253" spans="1:25" ht="25.5" customHeight="1">
      <c r="A253" s="38" t="s">
        <v>827</v>
      </c>
      <c r="B253" s="39"/>
      <c r="C253" s="40"/>
      <c r="D253" s="39"/>
      <c r="E253" s="39" t="s">
        <v>828</v>
      </c>
      <c r="F253" s="41" t="s">
        <v>829</v>
      </c>
      <c r="G253" s="39"/>
      <c r="H253" s="39"/>
      <c r="I253" s="39">
        <v>1</v>
      </c>
      <c r="J253" s="42">
        <v>0</v>
      </c>
      <c r="K253" s="38" t="s">
        <v>206</v>
      </c>
      <c r="L253" s="38" t="s">
        <v>207</v>
      </c>
      <c r="M253" s="43"/>
      <c r="N253" s="6"/>
      <c r="O253" s="2"/>
      <c r="P253" s="2"/>
      <c r="Q253" s="2"/>
      <c r="R253" s="2"/>
      <c r="S253" s="2"/>
      <c r="T253" s="2"/>
      <c r="U253" s="2"/>
      <c r="V253" s="2"/>
      <c r="W253" s="2"/>
      <c r="X253" s="2"/>
      <c r="Y253" s="2"/>
    </row>
    <row r="254" spans="1:25" ht="12.75" customHeight="1">
      <c r="A254" s="38" t="s">
        <v>830</v>
      </c>
      <c r="B254" s="39"/>
      <c r="C254" s="40"/>
      <c r="D254" s="39"/>
      <c r="E254" s="39" t="s">
        <v>831</v>
      </c>
      <c r="F254" s="41" t="s">
        <v>832</v>
      </c>
      <c r="G254" s="39"/>
      <c r="H254" s="39"/>
      <c r="I254" s="39">
        <v>1</v>
      </c>
      <c r="J254" s="42">
        <v>0</v>
      </c>
      <c r="K254" s="38" t="s">
        <v>206</v>
      </c>
      <c r="L254" s="38" t="s">
        <v>207</v>
      </c>
      <c r="M254" s="43"/>
      <c r="N254" s="6"/>
      <c r="O254" s="2"/>
      <c r="P254" s="2"/>
      <c r="Q254" s="2"/>
      <c r="R254" s="2"/>
      <c r="S254" s="2"/>
      <c r="T254" s="2"/>
      <c r="U254" s="2"/>
      <c r="V254" s="2"/>
      <c r="W254" s="2"/>
      <c r="X254" s="2"/>
      <c r="Y254" s="2"/>
    </row>
    <row r="255" spans="1:25" ht="12.75" customHeight="1">
      <c r="A255" s="38">
        <v>124</v>
      </c>
      <c r="B255" s="27" t="s">
        <v>815</v>
      </c>
      <c r="C255" s="40">
        <v>39813</v>
      </c>
      <c r="D255" s="27"/>
      <c r="E255" s="39" t="s">
        <v>833</v>
      </c>
      <c r="F255" s="41" t="s">
        <v>834</v>
      </c>
      <c r="G255" s="27" t="s">
        <v>35</v>
      </c>
      <c r="H255" s="27" t="s">
        <v>249</v>
      </c>
      <c r="I255" s="27">
        <v>1</v>
      </c>
      <c r="J255" s="42">
        <v>222056404</v>
      </c>
      <c r="K255" s="38" t="s">
        <v>206</v>
      </c>
      <c r="L255" s="38" t="s">
        <v>207</v>
      </c>
      <c r="M255" s="43" t="s">
        <v>835</v>
      </c>
      <c r="N255" s="6"/>
      <c r="O255" s="2"/>
      <c r="P255" s="2"/>
      <c r="Q255" s="2"/>
      <c r="R255" s="2"/>
      <c r="S255" s="2"/>
      <c r="T255" s="2"/>
      <c r="U255" s="2"/>
      <c r="V255" s="2"/>
      <c r="W255" s="2"/>
      <c r="X255" s="2"/>
      <c r="Y255" s="2"/>
    </row>
    <row r="256" spans="1:25" ht="12.75" customHeight="1">
      <c r="A256" s="38" t="s">
        <v>836</v>
      </c>
      <c r="B256" s="27"/>
      <c r="C256" s="40"/>
      <c r="D256" s="27"/>
      <c r="E256" s="39" t="s">
        <v>837</v>
      </c>
      <c r="F256" s="41" t="s">
        <v>838</v>
      </c>
      <c r="G256" s="27"/>
      <c r="H256" s="27"/>
      <c r="I256" s="27">
        <v>1</v>
      </c>
      <c r="J256" s="42">
        <v>0</v>
      </c>
      <c r="K256" s="38" t="s">
        <v>206</v>
      </c>
      <c r="L256" s="38" t="s">
        <v>207</v>
      </c>
      <c r="M256" s="43"/>
      <c r="N256" s="6"/>
      <c r="O256" s="2"/>
      <c r="P256" s="2"/>
      <c r="Q256" s="2"/>
      <c r="R256" s="2"/>
      <c r="S256" s="2"/>
      <c r="T256" s="2"/>
      <c r="U256" s="2"/>
      <c r="V256" s="2"/>
      <c r="W256" s="2"/>
      <c r="X256" s="2"/>
      <c r="Y256" s="2"/>
    </row>
    <row r="257" spans="1:25" ht="12.75" customHeight="1">
      <c r="A257" s="38">
        <v>125</v>
      </c>
      <c r="B257" s="27" t="s">
        <v>815</v>
      </c>
      <c r="C257" s="40">
        <v>39813</v>
      </c>
      <c r="D257" s="27"/>
      <c r="E257" s="39" t="s">
        <v>839</v>
      </c>
      <c r="F257" s="41" t="s">
        <v>840</v>
      </c>
      <c r="G257" s="27" t="s">
        <v>35</v>
      </c>
      <c r="H257" s="27" t="s">
        <v>249</v>
      </c>
      <c r="I257" s="27">
        <v>1</v>
      </c>
      <c r="J257" s="42">
        <v>222056404</v>
      </c>
      <c r="K257" s="38" t="s">
        <v>206</v>
      </c>
      <c r="L257" s="38" t="s">
        <v>841</v>
      </c>
      <c r="M257" s="43" t="s">
        <v>842</v>
      </c>
      <c r="N257" s="6"/>
      <c r="O257" s="2"/>
      <c r="P257" s="2"/>
      <c r="Q257" s="2"/>
      <c r="R257" s="2"/>
      <c r="S257" s="2"/>
      <c r="T257" s="2"/>
      <c r="U257" s="2"/>
      <c r="V257" s="2"/>
      <c r="W257" s="2"/>
      <c r="X257" s="2"/>
      <c r="Y257" s="2"/>
    </row>
    <row r="258" spans="1:25" ht="12.75" customHeight="1">
      <c r="A258" s="38" t="s">
        <v>843</v>
      </c>
      <c r="B258" s="27"/>
      <c r="C258" s="40"/>
      <c r="D258" s="27"/>
      <c r="E258" s="39" t="s">
        <v>844</v>
      </c>
      <c r="F258" s="41" t="s">
        <v>845</v>
      </c>
      <c r="G258" s="27"/>
      <c r="H258" s="27"/>
      <c r="I258" s="27">
        <v>1</v>
      </c>
      <c r="J258" s="42">
        <v>0</v>
      </c>
      <c r="K258" s="38" t="s">
        <v>206</v>
      </c>
      <c r="L258" s="38" t="s">
        <v>841</v>
      </c>
      <c r="M258" s="43"/>
      <c r="N258" s="6"/>
      <c r="O258" s="2"/>
      <c r="P258" s="2"/>
      <c r="Q258" s="2"/>
      <c r="R258" s="2"/>
      <c r="S258" s="2"/>
      <c r="T258" s="2"/>
      <c r="U258" s="2"/>
      <c r="V258" s="2"/>
      <c r="W258" s="2"/>
      <c r="X258" s="2"/>
      <c r="Y258" s="2"/>
    </row>
    <row r="259" spans="1:25" ht="12.75" customHeight="1">
      <c r="A259" s="38">
        <v>127</v>
      </c>
      <c r="B259" s="27" t="s">
        <v>852</v>
      </c>
      <c r="C259" s="40">
        <v>40403</v>
      </c>
      <c r="D259" s="27"/>
      <c r="E259" s="39" t="s">
        <v>853</v>
      </c>
      <c r="F259" s="41" t="s">
        <v>854</v>
      </c>
      <c r="G259" s="27" t="s">
        <v>35</v>
      </c>
      <c r="H259" s="27" t="s">
        <v>19</v>
      </c>
      <c r="I259" s="27">
        <v>1</v>
      </c>
      <c r="J259" s="42">
        <v>141885251</v>
      </c>
      <c r="K259" s="38" t="s">
        <v>206</v>
      </c>
      <c r="L259" s="38" t="s">
        <v>841</v>
      </c>
      <c r="M259" s="43" t="s">
        <v>855</v>
      </c>
      <c r="N259" s="6"/>
      <c r="O259" s="2"/>
      <c r="P259" s="2"/>
      <c r="Q259" s="2"/>
      <c r="R259" s="2"/>
      <c r="S259" s="2"/>
      <c r="T259" s="2"/>
      <c r="U259" s="2"/>
      <c r="V259" s="2"/>
      <c r="W259" s="2"/>
      <c r="X259" s="2"/>
      <c r="Y259" s="2"/>
    </row>
    <row r="260" spans="1:25" ht="12.75" customHeight="1">
      <c r="A260" s="38" t="s">
        <v>856</v>
      </c>
      <c r="B260" s="27"/>
      <c r="C260" s="40"/>
      <c r="D260" s="27"/>
      <c r="E260" s="39" t="s">
        <v>857</v>
      </c>
      <c r="F260" s="41" t="s">
        <v>858</v>
      </c>
      <c r="G260" s="27"/>
      <c r="H260" s="27"/>
      <c r="I260" s="27">
        <v>1</v>
      </c>
      <c r="J260" s="42">
        <v>0</v>
      </c>
      <c r="K260" s="38" t="s">
        <v>206</v>
      </c>
      <c r="L260" s="38" t="s">
        <v>841</v>
      </c>
      <c r="M260" s="43"/>
      <c r="N260" s="6"/>
      <c r="O260" s="2"/>
      <c r="P260" s="2"/>
      <c r="Q260" s="2"/>
      <c r="R260" s="2"/>
      <c r="S260" s="2"/>
      <c r="T260" s="2"/>
      <c r="U260" s="2"/>
      <c r="V260" s="2"/>
      <c r="W260" s="2"/>
      <c r="X260" s="2"/>
      <c r="Y260" s="2"/>
    </row>
    <row r="261" spans="1:25" ht="12.75" customHeight="1">
      <c r="A261" s="26">
        <v>128</v>
      </c>
      <c r="B261" s="27" t="s">
        <v>852</v>
      </c>
      <c r="C261" s="28">
        <v>40403</v>
      </c>
      <c r="D261" s="27"/>
      <c r="E261" s="27" t="s">
        <v>859</v>
      </c>
      <c r="F261" s="29" t="s">
        <v>860</v>
      </c>
      <c r="G261" s="27" t="s">
        <v>35</v>
      </c>
      <c r="H261" s="27" t="s">
        <v>19</v>
      </c>
      <c r="I261" s="27">
        <v>1</v>
      </c>
      <c r="J261" s="30">
        <v>141885250</v>
      </c>
      <c r="K261" s="26" t="s">
        <v>206</v>
      </c>
      <c r="L261" s="26" t="s">
        <v>841</v>
      </c>
      <c r="M261" s="31" t="s">
        <v>861</v>
      </c>
      <c r="N261" s="6"/>
      <c r="O261" s="2"/>
      <c r="P261" s="2"/>
      <c r="Q261" s="2"/>
      <c r="R261" s="2"/>
      <c r="S261" s="2"/>
      <c r="T261" s="2"/>
      <c r="U261" s="2"/>
      <c r="V261" s="2"/>
      <c r="W261" s="2"/>
      <c r="X261" s="2"/>
      <c r="Y261" s="2"/>
    </row>
    <row r="262" spans="1:25" ht="12.75" customHeight="1">
      <c r="A262" s="26" t="s">
        <v>862</v>
      </c>
      <c r="B262" s="27"/>
      <c r="C262" s="28"/>
      <c r="D262" s="27"/>
      <c r="E262" s="27" t="s">
        <v>863</v>
      </c>
      <c r="F262" s="29" t="s">
        <v>864</v>
      </c>
      <c r="G262" s="27"/>
      <c r="H262" s="27"/>
      <c r="I262" s="27">
        <v>1</v>
      </c>
      <c r="J262" s="30">
        <v>0</v>
      </c>
      <c r="K262" s="26" t="s">
        <v>206</v>
      </c>
      <c r="L262" s="26" t="s">
        <v>841</v>
      </c>
      <c r="M262" s="31"/>
      <c r="N262" s="6"/>
      <c r="O262" s="2"/>
      <c r="P262" s="2"/>
      <c r="Q262" s="2"/>
      <c r="R262" s="2"/>
      <c r="S262" s="2"/>
      <c r="T262" s="2"/>
      <c r="U262" s="2"/>
      <c r="V262" s="2"/>
      <c r="W262" s="2"/>
      <c r="X262" s="2"/>
      <c r="Y262" s="2"/>
    </row>
    <row r="263" spans="1:25" ht="25.5" customHeight="1">
      <c r="A263" s="26">
        <v>129</v>
      </c>
      <c r="B263" s="27" t="s">
        <v>852</v>
      </c>
      <c r="C263" s="28">
        <v>40403</v>
      </c>
      <c r="D263" s="27"/>
      <c r="E263" s="27" t="s">
        <v>865</v>
      </c>
      <c r="F263" s="29" t="s">
        <v>866</v>
      </c>
      <c r="G263" s="27" t="s">
        <v>35</v>
      </c>
      <c r="H263" s="27" t="s">
        <v>19</v>
      </c>
      <c r="I263" s="27">
        <v>1</v>
      </c>
      <c r="J263" s="30">
        <v>46565025</v>
      </c>
      <c r="K263" s="26" t="s">
        <v>206</v>
      </c>
      <c r="L263" s="26" t="s">
        <v>841</v>
      </c>
      <c r="M263" s="31" t="s">
        <v>867</v>
      </c>
      <c r="N263" s="6"/>
      <c r="O263" s="2"/>
      <c r="P263" s="2"/>
      <c r="Q263" s="2"/>
      <c r="R263" s="2"/>
      <c r="S263" s="2"/>
      <c r="T263" s="2"/>
      <c r="U263" s="2"/>
      <c r="V263" s="2"/>
      <c r="W263" s="2"/>
      <c r="X263" s="2"/>
      <c r="Y263" s="2"/>
    </row>
    <row r="264" spans="1:25" ht="12.75" customHeight="1">
      <c r="A264" s="26" t="s">
        <v>868</v>
      </c>
      <c r="B264" s="27"/>
      <c r="C264" s="28"/>
      <c r="D264" s="27"/>
      <c r="E264" s="27" t="s">
        <v>869</v>
      </c>
      <c r="F264" s="29" t="s">
        <v>870</v>
      </c>
      <c r="G264" s="27"/>
      <c r="H264" s="27"/>
      <c r="I264" s="27">
        <v>1</v>
      </c>
      <c r="J264" s="30">
        <v>0</v>
      </c>
      <c r="K264" s="26" t="s">
        <v>206</v>
      </c>
      <c r="L264" s="26" t="s">
        <v>841</v>
      </c>
      <c r="M264" s="31"/>
      <c r="N264" s="6"/>
      <c r="O264" s="2"/>
      <c r="P264" s="2"/>
      <c r="Q264" s="2"/>
      <c r="R264" s="2"/>
      <c r="S264" s="2"/>
      <c r="T264" s="2"/>
      <c r="U264" s="2"/>
      <c r="V264" s="2"/>
      <c r="W264" s="2"/>
      <c r="X264" s="2"/>
      <c r="Y264" s="2"/>
    </row>
    <row r="265" spans="1:25" ht="25.5" customHeight="1">
      <c r="A265" s="26">
        <v>130</v>
      </c>
      <c r="B265" s="27" t="s">
        <v>852</v>
      </c>
      <c r="C265" s="28">
        <v>40403</v>
      </c>
      <c r="D265" s="27"/>
      <c r="E265" s="27" t="s">
        <v>871</v>
      </c>
      <c r="F265" s="29" t="s">
        <v>872</v>
      </c>
      <c r="G265" s="27" t="s">
        <v>35</v>
      </c>
      <c r="H265" s="27" t="s">
        <v>19</v>
      </c>
      <c r="I265" s="27">
        <v>1</v>
      </c>
      <c r="J265" s="30">
        <v>46565025</v>
      </c>
      <c r="K265" s="26" t="s">
        <v>206</v>
      </c>
      <c r="L265" s="26" t="s">
        <v>841</v>
      </c>
      <c r="M265" s="31" t="s">
        <v>873</v>
      </c>
      <c r="N265" s="6"/>
      <c r="O265" s="2"/>
      <c r="P265" s="2"/>
      <c r="Q265" s="2"/>
      <c r="R265" s="2"/>
      <c r="S265" s="2"/>
      <c r="T265" s="2"/>
      <c r="U265" s="2"/>
      <c r="V265" s="2"/>
      <c r="W265" s="2"/>
      <c r="X265" s="2"/>
      <c r="Y265" s="2"/>
    </row>
    <row r="266" spans="1:25" ht="12.75" customHeight="1">
      <c r="A266" s="26" t="s">
        <v>874</v>
      </c>
      <c r="B266" s="27"/>
      <c r="C266" s="28"/>
      <c r="D266" s="27"/>
      <c r="E266" s="27" t="s">
        <v>875</v>
      </c>
      <c r="F266" s="29" t="s">
        <v>876</v>
      </c>
      <c r="G266" s="27"/>
      <c r="H266" s="27"/>
      <c r="I266" s="27">
        <v>1</v>
      </c>
      <c r="J266" s="30">
        <v>0</v>
      </c>
      <c r="K266" s="26" t="s">
        <v>206</v>
      </c>
      <c r="L266" s="26" t="s">
        <v>841</v>
      </c>
      <c r="M266" s="31"/>
      <c r="N266" s="6"/>
      <c r="O266" s="2"/>
      <c r="P266" s="2"/>
      <c r="Q266" s="2"/>
      <c r="R266" s="2"/>
      <c r="S266" s="2"/>
      <c r="T266" s="2"/>
      <c r="U266" s="2"/>
      <c r="V266" s="2"/>
      <c r="W266" s="2"/>
      <c r="X266" s="2"/>
      <c r="Y266" s="2"/>
    </row>
    <row r="267" spans="1:25" ht="25.5" customHeight="1">
      <c r="A267" s="26">
        <v>131</v>
      </c>
      <c r="B267" s="27" t="s">
        <v>877</v>
      </c>
      <c r="C267" s="28">
        <v>41981</v>
      </c>
      <c r="D267" s="27"/>
      <c r="E267" s="27" t="s">
        <v>878</v>
      </c>
      <c r="F267" s="29" t="s">
        <v>879</v>
      </c>
      <c r="G267" s="27" t="s">
        <v>35</v>
      </c>
      <c r="H267" s="27" t="s">
        <v>19</v>
      </c>
      <c r="I267" s="27">
        <v>1</v>
      </c>
      <c r="J267" s="30">
        <v>170000000</v>
      </c>
      <c r="K267" s="59" t="s">
        <v>206</v>
      </c>
      <c r="L267" s="59" t="s">
        <v>841</v>
      </c>
      <c r="M267" s="31" t="s">
        <v>880</v>
      </c>
      <c r="N267" s="6"/>
      <c r="O267" s="2"/>
      <c r="P267" s="2"/>
      <c r="Q267" s="2"/>
      <c r="R267" s="2"/>
      <c r="S267" s="2"/>
      <c r="T267" s="2"/>
      <c r="U267" s="2"/>
      <c r="V267" s="2"/>
      <c r="W267" s="2"/>
      <c r="X267" s="2"/>
      <c r="Y267" s="2"/>
    </row>
    <row r="268" spans="1:25" ht="12.75" customHeight="1">
      <c r="A268" s="26" t="s">
        <v>881</v>
      </c>
      <c r="B268" s="27"/>
      <c r="C268" s="28"/>
      <c r="D268" s="27"/>
      <c r="E268" s="27" t="s">
        <v>882</v>
      </c>
      <c r="F268" s="29" t="s">
        <v>883</v>
      </c>
      <c r="G268" s="27" t="s">
        <v>248</v>
      </c>
      <c r="H268" s="27" t="s">
        <v>249</v>
      </c>
      <c r="I268" s="27">
        <v>1</v>
      </c>
      <c r="J268" s="30">
        <v>0</v>
      </c>
      <c r="K268" s="59" t="s">
        <v>206</v>
      </c>
      <c r="L268" s="59" t="s">
        <v>841</v>
      </c>
      <c r="M268" s="31"/>
      <c r="N268" s="6"/>
      <c r="O268" s="2"/>
      <c r="P268" s="2"/>
      <c r="Q268" s="2"/>
      <c r="R268" s="2"/>
      <c r="S268" s="2"/>
      <c r="T268" s="2"/>
      <c r="U268" s="2"/>
      <c r="V268" s="2"/>
      <c r="W268" s="2"/>
      <c r="X268" s="2"/>
      <c r="Y268" s="2"/>
    </row>
    <row r="269" spans="1:25" ht="25.5" customHeight="1">
      <c r="A269" s="26">
        <v>132</v>
      </c>
      <c r="B269" s="27" t="s">
        <v>884</v>
      </c>
      <c r="C269" s="28">
        <v>40639</v>
      </c>
      <c r="D269" s="27"/>
      <c r="E269" s="27" t="s">
        <v>885</v>
      </c>
      <c r="F269" s="29" t="s">
        <v>886</v>
      </c>
      <c r="G269" s="27" t="s">
        <v>248</v>
      </c>
      <c r="H269" s="27" t="s">
        <v>19</v>
      </c>
      <c r="I269" s="27">
        <v>1</v>
      </c>
      <c r="J269" s="30">
        <v>72605134</v>
      </c>
      <c r="K269" s="26" t="s">
        <v>887</v>
      </c>
      <c r="L269" s="26" t="s">
        <v>888</v>
      </c>
      <c r="M269" s="31" t="s">
        <v>889</v>
      </c>
      <c r="N269" s="6"/>
      <c r="O269" s="2"/>
      <c r="P269" s="2"/>
      <c r="Q269" s="2"/>
      <c r="R269" s="2"/>
      <c r="S269" s="2"/>
      <c r="T269" s="2"/>
      <c r="U269" s="2"/>
      <c r="V269" s="2"/>
      <c r="W269" s="2"/>
      <c r="X269" s="2"/>
      <c r="Y269" s="2"/>
    </row>
    <row r="270" spans="1:25" ht="12.75" customHeight="1">
      <c r="A270" s="26" t="s">
        <v>890</v>
      </c>
      <c r="B270" s="27"/>
      <c r="C270" s="28"/>
      <c r="D270" s="27"/>
      <c r="E270" s="27" t="s">
        <v>891</v>
      </c>
      <c r="F270" s="29" t="s">
        <v>892</v>
      </c>
      <c r="G270" s="27"/>
      <c r="H270" s="27"/>
      <c r="I270" s="27">
        <v>1</v>
      </c>
      <c r="J270" s="30">
        <v>0</v>
      </c>
      <c r="K270" s="26" t="s">
        <v>887</v>
      </c>
      <c r="L270" s="26" t="s">
        <v>888</v>
      </c>
      <c r="M270" s="31" t="s">
        <v>889</v>
      </c>
      <c r="N270" s="6"/>
      <c r="O270" s="2"/>
      <c r="P270" s="2"/>
      <c r="Q270" s="2"/>
      <c r="R270" s="2"/>
      <c r="S270" s="2"/>
      <c r="T270" s="2"/>
      <c r="U270" s="2"/>
      <c r="V270" s="2"/>
      <c r="W270" s="2"/>
      <c r="X270" s="2"/>
      <c r="Y270" s="2"/>
    </row>
    <row r="271" spans="1:25" ht="12.75" customHeight="1">
      <c r="A271" s="38">
        <v>133</v>
      </c>
      <c r="B271" s="27" t="s">
        <v>893</v>
      </c>
      <c r="C271" s="40">
        <v>40715</v>
      </c>
      <c r="D271" s="27"/>
      <c r="E271" s="39" t="s">
        <v>894</v>
      </c>
      <c r="F271" s="41" t="s">
        <v>895</v>
      </c>
      <c r="G271" s="27" t="s">
        <v>35</v>
      </c>
      <c r="H271" s="27" t="s">
        <v>19</v>
      </c>
      <c r="I271" s="27">
        <v>1</v>
      </c>
      <c r="J271" s="42">
        <v>69080000</v>
      </c>
      <c r="K271" s="38" t="s">
        <v>206</v>
      </c>
      <c r="L271" s="38" t="s">
        <v>841</v>
      </c>
      <c r="M271" s="43" t="s">
        <v>896</v>
      </c>
      <c r="N271" s="6"/>
      <c r="O271" s="2"/>
      <c r="P271" s="2"/>
      <c r="Q271" s="2"/>
      <c r="R271" s="2"/>
      <c r="S271" s="2"/>
      <c r="T271" s="2"/>
      <c r="U271" s="2"/>
      <c r="V271" s="2"/>
      <c r="W271" s="2"/>
      <c r="X271" s="2"/>
      <c r="Y271" s="2"/>
    </row>
    <row r="272" spans="1:25" ht="25.5" customHeight="1">
      <c r="A272" s="38" t="s">
        <v>897</v>
      </c>
      <c r="B272" s="27"/>
      <c r="C272" s="40"/>
      <c r="D272" s="27"/>
      <c r="E272" s="39" t="s">
        <v>898</v>
      </c>
      <c r="F272" s="41" t="s">
        <v>899</v>
      </c>
      <c r="G272" s="27"/>
      <c r="H272" s="27"/>
      <c r="I272" s="27">
        <v>1</v>
      </c>
      <c r="J272" s="42">
        <v>0</v>
      </c>
      <c r="K272" s="38" t="s">
        <v>206</v>
      </c>
      <c r="L272" s="38" t="s">
        <v>841</v>
      </c>
      <c r="M272" s="43"/>
      <c r="N272" s="6"/>
      <c r="O272" s="2"/>
      <c r="P272" s="2"/>
      <c r="Q272" s="2"/>
      <c r="R272" s="2"/>
      <c r="S272" s="2"/>
      <c r="T272" s="2"/>
      <c r="U272" s="2"/>
      <c r="V272" s="2"/>
      <c r="W272" s="2"/>
      <c r="X272" s="2"/>
      <c r="Y272" s="2"/>
    </row>
    <row r="273" spans="1:25" ht="25.5" customHeight="1">
      <c r="A273" s="26">
        <v>134</v>
      </c>
      <c r="B273" s="27" t="s">
        <v>846</v>
      </c>
      <c r="C273" s="28">
        <v>40743</v>
      </c>
      <c r="D273" s="27"/>
      <c r="E273" s="27" t="s">
        <v>900</v>
      </c>
      <c r="F273" s="29" t="s">
        <v>901</v>
      </c>
      <c r="G273" s="27" t="s">
        <v>35</v>
      </c>
      <c r="H273" s="27" t="s">
        <v>19</v>
      </c>
      <c r="I273" s="27">
        <v>1</v>
      </c>
      <c r="J273" s="30">
        <v>185230680</v>
      </c>
      <c r="K273" s="26" t="s">
        <v>206</v>
      </c>
      <c r="L273" s="26" t="s">
        <v>841</v>
      </c>
      <c r="M273" s="31" t="s">
        <v>902</v>
      </c>
      <c r="N273" s="6"/>
      <c r="O273" s="2"/>
      <c r="P273" s="2"/>
      <c r="Q273" s="2"/>
      <c r="R273" s="2"/>
      <c r="S273" s="2"/>
      <c r="T273" s="2"/>
      <c r="U273" s="2"/>
      <c r="V273" s="2"/>
      <c r="W273" s="2"/>
      <c r="X273" s="2"/>
      <c r="Y273" s="2"/>
    </row>
    <row r="274" spans="1:25" ht="12.75" customHeight="1">
      <c r="A274" s="26" t="s">
        <v>903</v>
      </c>
      <c r="B274" s="27"/>
      <c r="C274" s="28"/>
      <c r="D274" s="27"/>
      <c r="E274" s="27" t="s">
        <v>904</v>
      </c>
      <c r="F274" s="29" t="s">
        <v>905</v>
      </c>
      <c r="G274" s="27"/>
      <c r="H274" s="27"/>
      <c r="I274" s="27">
        <v>1</v>
      </c>
      <c r="J274" s="30">
        <v>0</v>
      </c>
      <c r="K274" s="26" t="s">
        <v>206</v>
      </c>
      <c r="L274" s="26" t="s">
        <v>841</v>
      </c>
      <c r="M274" s="31"/>
      <c r="N274" s="6"/>
      <c r="O274" s="2"/>
      <c r="P274" s="2"/>
      <c r="Q274" s="2"/>
      <c r="R274" s="2"/>
      <c r="S274" s="2"/>
      <c r="T274" s="2"/>
      <c r="U274" s="2"/>
      <c r="V274" s="2"/>
      <c r="W274" s="2"/>
      <c r="X274" s="2"/>
      <c r="Y274" s="2"/>
    </row>
    <row r="275" spans="1:25" ht="76.5" customHeight="1">
      <c r="A275" s="26">
        <v>135</v>
      </c>
      <c r="B275" s="27" t="s">
        <v>52</v>
      </c>
      <c r="C275" s="28">
        <v>40875</v>
      </c>
      <c r="D275" s="27"/>
      <c r="E275" s="27" t="s">
        <v>906</v>
      </c>
      <c r="F275" s="29" t="s">
        <v>907</v>
      </c>
      <c r="G275" s="27"/>
      <c r="H275" s="27" t="s">
        <v>19</v>
      </c>
      <c r="I275" s="27">
        <v>1</v>
      </c>
      <c r="J275" s="30">
        <v>1115847648</v>
      </c>
      <c r="K275" s="26" t="s">
        <v>36</v>
      </c>
      <c r="L275" s="26" t="s">
        <v>674</v>
      </c>
      <c r="M275" s="31" t="s">
        <v>908</v>
      </c>
      <c r="N275" s="6"/>
      <c r="O275" s="2"/>
      <c r="P275" s="2"/>
      <c r="Q275" s="2"/>
      <c r="R275" s="2"/>
      <c r="S275" s="2"/>
      <c r="T275" s="2"/>
      <c r="U275" s="2"/>
      <c r="V275" s="2"/>
      <c r="W275" s="2"/>
      <c r="X275" s="2"/>
      <c r="Y275" s="2"/>
    </row>
    <row r="276" spans="1:25" ht="12.75" customHeight="1">
      <c r="A276" s="26">
        <v>136</v>
      </c>
      <c r="B276" s="27" t="s">
        <v>909</v>
      </c>
      <c r="C276" s="28">
        <v>41999</v>
      </c>
      <c r="D276" s="27"/>
      <c r="E276" s="27" t="s">
        <v>910</v>
      </c>
      <c r="F276" s="29" t="s">
        <v>911</v>
      </c>
      <c r="G276" s="27" t="s">
        <v>35</v>
      </c>
      <c r="H276" s="27" t="s">
        <v>19</v>
      </c>
      <c r="I276" s="27">
        <v>1</v>
      </c>
      <c r="J276" s="30">
        <v>257780511</v>
      </c>
      <c r="K276" s="26" t="s">
        <v>20</v>
      </c>
      <c r="L276" s="26" t="s">
        <v>233</v>
      </c>
      <c r="M276" s="31" t="s">
        <v>1537</v>
      </c>
      <c r="N276" s="6"/>
      <c r="O276" s="2"/>
      <c r="P276" s="2"/>
      <c r="Q276" s="2"/>
      <c r="R276" s="2"/>
      <c r="S276" s="2"/>
      <c r="T276" s="2"/>
      <c r="U276" s="2"/>
      <c r="V276" s="2"/>
      <c r="W276" s="2"/>
      <c r="X276" s="2"/>
      <c r="Y276" s="2"/>
    </row>
    <row r="277" spans="1:25" ht="12.75" customHeight="1">
      <c r="A277" s="26" t="s">
        <v>912</v>
      </c>
      <c r="B277" s="27"/>
      <c r="C277" s="28"/>
      <c r="D277" s="27"/>
      <c r="E277" s="27" t="s">
        <v>913</v>
      </c>
      <c r="F277" s="29" t="s">
        <v>914</v>
      </c>
      <c r="G277" s="27" t="s">
        <v>248</v>
      </c>
      <c r="H277" s="27" t="s">
        <v>249</v>
      </c>
      <c r="I277" s="27">
        <v>1</v>
      </c>
      <c r="J277" s="30">
        <v>0</v>
      </c>
      <c r="K277" s="26" t="s">
        <v>20</v>
      </c>
      <c r="L277" s="26" t="s">
        <v>233</v>
      </c>
      <c r="M277" s="31" t="s">
        <v>915</v>
      </c>
      <c r="N277" s="6"/>
      <c r="O277" s="2"/>
      <c r="P277" s="2"/>
      <c r="Q277" s="2"/>
      <c r="R277" s="2"/>
      <c r="S277" s="2"/>
      <c r="T277" s="2"/>
      <c r="U277" s="2"/>
      <c r="V277" s="2"/>
      <c r="W277" s="2"/>
      <c r="X277" s="2"/>
      <c r="Y277" s="2"/>
    </row>
    <row r="278" spans="1:25" ht="12.75" customHeight="1">
      <c r="A278" s="26">
        <v>137</v>
      </c>
      <c r="B278" s="27" t="s">
        <v>909</v>
      </c>
      <c r="C278" s="28">
        <v>41999</v>
      </c>
      <c r="D278" s="27"/>
      <c r="E278" s="27" t="s">
        <v>916</v>
      </c>
      <c r="F278" s="29" t="s">
        <v>917</v>
      </c>
      <c r="G278" s="27" t="s">
        <v>35</v>
      </c>
      <c r="H278" s="27" t="s">
        <v>19</v>
      </c>
      <c r="I278" s="27">
        <v>1</v>
      </c>
      <c r="J278" s="30">
        <v>221261606</v>
      </c>
      <c r="K278" s="26" t="s">
        <v>20</v>
      </c>
      <c r="L278" s="26" t="s">
        <v>233</v>
      </c>
      <c r="M278" s="31" t="s">
        <v>5187</v>
      </c>
      <c r="N278" s="6"/>
      <c r="O278" s="2"/>
      <c r="P278" s="2"/>
      <c r="Q278" s="2"/>
      <c r="R278" s="2"/>
      <c r="S278" s="2"/>
      <c r="T278" s="2"/>
      <c r="U278" s="2"/>
      <c r="V278" s="2"/>
      <c r="W278" s="2"/>
      <c r="X278" s="2"/>
      <c r="Y278" s="2"/>
    </row>
    <row r="279" spans="1:25" ht="12.75" customHeight="1">
      <c r="A279" s="26" t="s">
        <v>919</v>
      </c>
      <c r="B279" s="27"/>
      <c r="C279" s="28"/>
      <c r="D279" s="27"/>
      <c r="E279" s="27" t="s">
        <v>920</v>
      </c>
      <c r="F279" s="29" t="s">
        <v>921</v>
      </c>
      <c r="G279" s="27" t="s">
        <v>248</v>
      </c>
      <c r="H279" s="27" t="s">
        <v>249</v>
      </c>
      <c r="I279" s="27">
        <v>1</v>
      </c>
      <c r="J279" s="30">
        <v>0</v>
      </c>
      <c r="K279" s="26" t="s">
        <v>20</v>
      </c>
      <c r="L279" s="61" t="s">
        <v>233</v>
      </c>
      <c r="M279" s="31" t="s">
        <v>5188</v>
      </c>
      <c r="N279" s="6"/>
      <c r="O279" s="2"/>
      <c r="P279" s="2"/>
      <c r="Q279" s="2"/>
      <c r="R279" s="2"/>
      <c r="S279" s="2"/>
      <c r="T279" s="2"/>
      <c r="U279" s="2"/>
      <c r="V279" s="2"/>
      <c r="W279" s="2"/>
      <c r="X279" s="2"/>
      <c r="Y279" s="2"/>
    </row>
    <row r="280" spans="1:25" ht="25.5" customHeight="1">
      <c r="A280" s="26">
        <v>138</v>
      </c>
      <c r="B280" s="27" t="s">
        <v>924</v>
      </c>
      <c r="C280" s="28">
        <v>42209</v>
      </c>
      <c r="D280" s="27"/>
      <c r="E280" s="27" t="s">
        <v>925</v>
      </c>
      <c r="F280" s="29" t="s">
        <v>926</v>
      </c>
      <c r="G280" s="27" t="s">
        <v>35</v>
      </c>
      <c r="H280" s="27" t="s">
        <v>19</v>
      </c>
      <c r="I280" s="27">
        <v>1</v>
      </c>
      <c r="J280" s="30">
        <v>275540455</v>
      </c>
      <c r="K280" s="62" t="s">
        <v>36</v>
      </c>
      <c r="L280" s="27" t="s">
        <v>674</v>
      </c>
      <c r="M280" s="63" t="s">
        <v>927</v>
      </c>
      <c r="N280" s="6"/>
      <c r="O280" s="2"/>
      <c r="P280" s="2"/>
      <c r="Q280" s="2"/>
      <c r="R280" s="2"/>
      <c r="S280" s="2"/>
      <c r="T280" s="2"/>
      <c r="U280" s="2"/>
      <c r="V280" s="2"/>
      <c r="W280" s="2"/>
      <c r="X280" s="2"/>
      <c r="Y280" s="2"/>
    </row>
    <row r="281" spans="1:25" ht="12.75" customHeight="1">
      <c r="A281" s="26" t="s">
        <v>928</v>
      </c>
      <c r="B281" s="27"/>
      <c r="C281" s="28"/>
      <c r="D281" s="27"/>
      <c r="E281" s="27" t="s">
        <v>929</v>
      </c>
      <c r="F281" s="29" t="s">
        <v>930</v>
      </c>
      <c r="G281" s="27" t="s">
        <v>248</v>
      </c>
      <c r="H281" s="27" t="s">
        <v>249</v>
      </c>
      <c r="I281" s="27">
        <v>1</v>
      </c>
      <c r="J281" s="30">
        <v>0</v>
      </c>
      <c r="K281" s="62" t="s">
        <v>36</v>
      </c>
      <c r="L281" s="27" t="s">
        <v>674</v>
      </c>
      <c r="M281" s="63" t="s">
        <v>931</v>
      </c>
      <c r="N281" s="6"/>
      <c r="O281" s="2"/>
      <c r="P281" s="2"/>
      <c r="Q281" s="2"/>
      <c r="R281" s="2"/>
      <c r="S281" s="2"/>
      <c r="T281" s="2"/>
      <c r="U281" s="2"/>
      <c r="V281" s="2"/>
      <c r="W281" s="2"/>
      <c r="X281" s="2"/>
      <c r="Y281" s="2"/>
    </row>
    <row r="282" spans="1:25" ht="25.5" customHeight="1">
      <c r="A282" s="26">
        <v>139</v>
      </c>
      <c r="B282" s="27" t="s">
        <v>924</v>
      </c>
      <c r="C282" s="28">
        <v>42209</v>
      </c>
      <c r="D282" s="27"/>
      <c r="E282" s="27" t="s">
        <v>932</v>
      </c>
      <c r="F282" s="29" t="s">
        <v>933</v>
      </c>
      <c r="G282" s="27" t="s">
        <v>35</v>
      </c>
      <c r="H282" s="27" t="s">
        <v>19</v>
      </c>
      <c r="I282" s="27">
        <v>1</v>
      </c>
      <c r="J282" s="30">
        <v>269670455</v>
      </c>
      <c r="K282" s="26" t="s">
        <v>206</v>
      </c>
      <c r="L282" s="64" t="s">
        <v>841</v>
      </c>
      <c r="M282" s="31" t="s">
        <v>934</v>
      </c>
      <c r="N282" s="6"/>
      <c r="O282" s="2"/>
      <c r="P282" s="2"/>
      <c r="Q282" s="2"/>
      <c r="R282" s="2"/>
      <c r="S282" s="2"/>
      <c r="T282" s="2"/>
      <c r="U282" s="2"/>
      <c r="V282" s="2"/>
      <c r="W282" s="2"/>
      <c r="X282" s="2"/>
      <c r="Y282" s="2"/>
    </row>
    <row r="283" spans="1:25" ht="12.75" customHeight="1">
      <c r="A283" s="26" t="s">
        <v>935</v>
      </c>
      <c r="B283" s="27"/>
      <c r="C283" s="28"/>
      <c r="D283" s="27"/>
      <c r="E283" s="27" t="s">
        <v>936</v>
      </c>
      <c r="F283" s="29" t="s">
        <v>937</v>
      </c>
      <c r="G283" s="27" t="s">
        <v>248</v>
      </c>
      <c r="H283" s="27" t="s">
        <v>249</v>
      </c>
      <c r="I283" s="27">
        <v>1</v>
      </c>
      <c r="J283" s="30">
        <v>0</v>
      </c>
      <c r="K283" s="26" t="s">
        <v>206</v>
      </c>
      <c r="L283" s="26" t="s">
        <v>841</v>
      </c>
      <c r="M283" s="31"/>
      <c r="N283" s="6"/>
      <c r="O283" s="2"/>
      <c r="P283" s="2"/>
      <c r="Q283" s="2"/>
      <c r="R283" s="2"/>
      <c r="S283" s="2"/>
      <c r="T283" s="2"/>
      <c r="U283" s="2"/>
      <c r="V283" s="2"/>
      <c r="W283" s="2"/>
      <c r="X283" s="2"/>
      <c r="Y283" s="2"/>
    </row>
    <row r="284" spans="1:25" ht="25.5" customHeight="1">
      <c r="A284" s="26">
        <v>140</v>
      </c>
      <c r="B284" s="27" t="s">
        <v>938</v>
      </c>
      <c r="C284" s="28">
        <v>42368</v>
      </c>
      <c r="D284" s="27"/>
      <c r="E284" s="27" t="s">
        <v>939</v>
      </c>
      <c r="F284" s="29" t="s">
        <v>940</v>
      </c>
      <c r="G284" s="27" t="s">
        <v>307</v>
      </c>
      <c r="H284" s="27" t="s">
        <v>19</v>
      </c>
      <c r="I284" s="27">
        <v>1</v>
      </c>
      <c r="J284" s="30">
        <v>1027688696</v>
      </c>
      <c r="K284" s="26" t="s">
        <v>20</v>
      </c>
      <c r="L284" s="26" t="s">
        <v>233</v>
      </c>
      <c r="M284" s="31" t="s">
        <v>5189</v>
      </c>
      <c r="N284" s="6"/>
      <c r="O284" s="2"/>
      <c r="P284" s="2"/>
      <c r="Q284" s="2"/>
      <c r="R284" s="2"/>
      <c r="S284" s="2"/>
      <c r="T284" s="2"/>
      <c r="U284" s="2"/>
      <c r="V284" s="2"/>
      <c r="W284" s="2"/>
      <c r="X284" s="2"/>
      <c r="Y284" s="2"/>
    </row>
    <row r="285" spans="1:25" ht="25.5" customHeight="1">
      <c r="A285" s="26" t="s">
        <v>942</v>
      </c>
      <c r="B285" s="27"/>
      <c r="C285" s="28"/>
      <c r="D285" s="27"/>
      <c r="E285" s="27" t="s">
        <v>943</v>
      </c>
      <c r="F285" s="29" t="s">
        <v>944</v>
      </c>
      <c r="G285" s="27" t="s">
        <v>248</v>
      </c>
      <c r="H285" s="27" t="s">
        <v>249</v>
      </c>
      <c r="I285" s="27">
        <v>1</v>
      </c>
      <c r="J285" s="30">
        <v>0</v>
      </c>
      <c r="K285" s="26" t="s">
        <v>20</v>
      </c>
      <c r="L285" s="26" t="s">
        <v>284</v>
      </c>
      <c r="M285" s="31" t="s">
        <v>945</v>
      </c>
      <c r="N285" s="6"/>
      <c r="O285" s="2"/>
      <c r="P285" s="2"/>
      <c r="Q285" s="2"/>
      <c r="R285" s="2"/>
      <c r="S285" s="2"/>
      <c r="T285" s="2"/>
      <c r="U285" s="2"/>
      <c r="V285" s="2"/>
      <c r="W285" s="2"/>
      <c r="X285" s="2"/>
      <c r="Y285" s="2"/>
    </row>
    <row r="286" spans="1:25" ht="25.5" customHeight="1">
      <c r="A286" s="26">
        <v>141</v>
      </c>
      <c r="B286" s="27" t="s">
        <v>938</v>
      </c>
      <c r="C286" s="28">
        <v>42368</v>
      </c>
      <c r="D286" s="27"/>
      <c r="E286" s="27" t="s">
        <v>946</v>
      </c>
      <c r="F286" s="29" t="s">
        <v>947</v>
      </c>
      <c r="G286" s="27" t="s">
        <v>307</v>
      </c>
      <c r="H286" s="27" t="s">
        <v>19</v>
      </c>
      <c r="I286" s="27">
        <v>1</v>
      </c>
      <c r="J286" s="30">
        <v>95403547</v>
      </c>
      <c r="K286" s="26" t="s">
        <v>20</v>
      </c>
      <c r="L286" s="26" t="s">
        <v>233</v>
      </c>
      <c r="M286" s="31" t="s">
        <v>5190</v>
      </c>
      <c r="N286" s="6"/>
      <c r="O286" s="2"/>
      <c r="P286" s="2"/>
      <c r="Q286" s="2"/>
      <c r="R286" s="2"/>
      <c r="S286" s="2"/>
      <c r="T286" s="2"/>
      <c r="U286" s="2"/>
      <c r="V286" s="2"/>
      <c r="W286" s="2"/>
      <c r="X286" s="2"/>
      <c r="Y286" s="2"/>
    </row>
    <row r="287" spans="1:25" ht="25.5" customHeight="1">
      <c r="A287" s="26" t="s">
        <v>949</v>
      </c>
      <c r="B287" s="27"/>
      <c r="C287" s="28"/>
      <c r="D287" s="27"/>
      <c r="E287" s="27" t="s">
        <v>950</v>
      </c>
      <c r="F287" s="29" t="s">
        <v>951</v>
      </c>
      <c r="G287" s="27" t="s">
        <v>248</v>
      </c>
      <c r="H287" s="27" t="s">
        <v>249</v>
      </c>
      <c r="I287" s="27">
        <v>1</v>
      </c>
      <c r="J287" s="30">
        <v>0</v>
      </c>
      <c r="K287" s="26" t="s">
        <v>20</v>
      </c>
      <c r="L287" s="26" t="s">
        <v>423</v>
      </c>
      <c r="M287" s="31" t="s">
        <v>5191</v>
      </c>
      <c r="N287" s="6"/>
      <c r="O287" s="2"/>
      <c r="P287" s="2"/>
      <c r="Q287" s="2"/>
      <c r="R287" s="2"/>
      <c r="S287" s="2"/>
      <c r="T287" s="2"/>
      <c r="U287" s="2"/>
      <c r="V287" s="2"/>
      <c r="W287" s="2"/>
      <c r="X287" s="2"/>
      <c r="Y287" s="2"/>
    </row>
    <row r="288" spans="1:25" ht="25.5" customHeight="1">
      <c r="A288" s="26">
        <v>142</v>
      </c>
      <c r="B288" s="27" t="s">
        <v>953</v>
      </c>
      <c r="C288" s="28">
        <v>43256</v>
      </c>
      <c r="D288" s="27"/>
      <c r="E288" s="27" t="s">
        <v>954</v>
      </c>
      <c r="F288" s="29" t="s">
        <v>955</v>
      </c>
      <c r="G288" s="27" t="s">
        <v>307</v>
      </c>
      <c r="H288" s="27" t="s">
        <v>19</v>
      </c>
      <c r="I288" s="27">
        <v>1</v>
      </c>
      <c r="J288" s="30">
        <v>389452666</v>
      </c>
      <c r="K288" s="26" t="s">
        <v>20</v>
      </c>
      <c r="L288" s="26" t="s">
        <v>423</v>
      </c>
      <c r="M288" s="31" t="s">
        <v>5192</v>
      </c>
      <c r="N288" s="6"/>
      <c r="O288" s="2"/>
      <c r="P288" s="2"/>
      <c r="Q288" s="2"/>
      <c r="R288" s="2"/>
      <c r="S288" s="2"/>
      <c r="T288" s="2"/>
      <c r="U288" s="2"/>
      <c r="V288" s="2"/>
      <c r="W288" s="2"/>
      <c r="X288" s="2"/>
      <c r="Y288" s="2"/>
    </row>
    <row r="289" spans="1:25" ht="25.5" customHeight="1">
      <c r="A289" s="26" t="s">
        <v>957</v>
      </c>
      <c r="B289" s="27"/>
      <c r="C289" s="28"/>
      <c r="D289" s="27"/>
      <c r="E289" s="27" t="s">
        <v>958</v>
      </c>
      <c r="F289" s="29" t="s">
        <v>959</v>
      </c>
      <c r="G289" s="27" t="s">
        <v>248</v>
      </c>
      <c r="H289" s="27" t="s">
        <v>249</v>
      </c>
      <c r="I289" s="27">
        <v>1</v>
      </c>
      <c r="J289" s="30">
        <v>14892045</v>
      </c>
      <c r="K289" s="26" t="s">
        <v>20</v>
      </c>
      <c r="L289" s="26" t="s">
        <v>423</v>
      </c>
      <c r="M289" s="31" t="s">
        <v>5193</v>
      </c>
      <c r="N289" s="6"/>
      <c r="O289" s="2"/>
      <c r="P289" s="2"/>
      <c r="Q289" s="2"/>
      <c r="R289" s="2"/>
      <c r="S289" s="2"/>
      <c r="T289" s="2"/>
      <c r="U289" s="2"/>
      <c r="V289" s="2"/>
      <c r="W289" s="2"/>
      <c r="X289" s="2"/>
      <c r="Y289" s="2"/>
    </row>
    <row r="290" spans="1:25" ht="12.75" customHeight="1">
      <c r="A290" s="26" t="s">
        <v>961</v>
      </c>
      <c r="B290" s="27"/>
      <c r="C290" s="28"/>
      <c r="D290" s="27"/>
      <c r="E290" s="27" t="s">
        <v>962</v>
      </c>
      <c r="F290" s="29" t="s">
        <v>963</v>
      </c>
      <c r="G290" s="27" t="s">
        <v>55</v>
      </c>
      <c r="H290" s="27" t="s">
        <v>249</v>
      </c>
      <c r="I290" s="27">
        <v>1</v>
      </c>
      <c r="J290" s="30">
        <v>102395650</v>
      </c>
      <c r="K290" s="26" t="s">
        <v>20</v>
      </c>
      <c r="L290" s="26" t="s">
        <v>423</v>
      </c>
      <c r="M290" s="31" t="s">
        <v>5177</v>
      </c>
      <c r="N290" s="6"/>
      <c r="O290" s="2"/>
      <c r="P290" s="2"/>
      <c r="Q290" s="2"/>
      <c r="R290" s="2"/>
      <c r="S290" s="2"/>
      <c r="T290" s="2"/>
      <c r="U290" s="2"/>
      <c r="V290" s="2"/>
      <c r="W290" s="2"/>
      <c r="X290" s="2"/>
      <c r="Y290" s="2"/>
    </row>
    <row r="291" spans="1:25" ht="25.5" customHeight="1">
      <c r="A291" s="26">
        <v>143</v>
      </c>
      <c r="B291" s="27" t="s">
        <v>953</v>
      </c>
      <c r="C291" s="28">
        <v>43256</v>
      </c>
      <c r="D291" s="27"/>
      <c r="E291" s="27" t="s">
        <v>965</v>
      </c>
      <c r="F291" s="29" t="s">
        <v>966</v>
      </c>
      <c r="G291" s="27" t="s">
        <v>307</v>
      </c>
      <c r="H291" s="27" t="s">
        <v>19</v>
      </c>
      <c r="I291" s="27">
        <v>1</v>
      </c>
      <c r="J291" s="30">
        <v>389452666</v>
      </c>
      <c r="K291" s="26" t="s">
        <v>20</v>
      </c>
      <c r="L291" s="36" t="s">
        <v>229</v>
      </c>
      <c r="M291" s="31" t="s">
        <v>5194</v>
      </c>
      <c r="N291" s="6"/>
      <c r="O291" s="2"/>
      <c r="P291" s="2"/>
      <c r="Q291" s="2"/>
      <c r="R291" s="2"/>
      <c r="S291" s="2"/>
      <c r="T291" s="2"/>
      <c r="U291" s="2"/>
      <c r="V291" s="2"/>
      <c r="W291" s="2"/>
      <c r="X291" s="2"/>
      <c r="Y291" s="2"/>
    </row>
    <row r="292" spans="1:25" ht="25.5" customHeight="1">
      <c r="A292" s="26" t="s">
        <v>967</v>
      </c>
      <c r="B292" s="27"/>
      <c r="C292" s="28"/>
      <c r="D292" s="27"/>
      <c r="E292" s="27" t="s">
        <v>968</v>
      </c>
      <c r="F292" s="29" t="s">
        <v>969</v>
      </c>
      <c r="G292" s="27" t="s">
        <v>248</v>
      </c>
      <c r="H292" s="27" t="s">
        <v>249</v>
      </c>
      <c r="I292" s="27">
        <v>1</v>
      </c>
      <c r="J292" s="30">
        <v>14892045</v>
      </c>
      <c r="K292" s="26" t="s">
        <v>20</v>
      </c>
      <c r="L292" s="36" t="s">
        <v>229</v>
      </c>
      <c r="M292" s="31" t="s">
        <v>5195</v>
      </c>
      <c r="N292" s="6"/>
      <c r="O292" s="2"/>
      <c r="P292" s="2"/>
      <c r="Q292" s="2"/>
      <c r="R292" s="2"/>
      <c r="S292" s="2"/>
      <c r="T292" s="2"/>
      <c r="U292" s="2"/>
      <c r="V292" s="2"/>
      <c r="W292" s="2"/>
      <c r="X292" s="2"/>
      <c r="Y292" s="2"/>
    </row>
    <row r="293" spans="1:25" ht="38.25" customHeight="1">
      <c r="A293" s="26" t="s">
        <v>970</v>
      </c>
      <c r="B293" s="27"/>
      <c r="C293" s="28"/>
      <c r="D293" s="27"/>
      <c r="E293" s="27" t="s">
        <v>971</v>
      </c>
      <c r="F293" s="29" t="s">
        <v>972</v>
      </c>
      <c r="G293" s="27" t="s">
        <v>55</v>
      </c>
      <c r="H293" s="27" t="s">
        <v>249</v>
      </c>
      <c r="I293" s="27">
        <v>1</v>
      </c>
      <c r="J293" s="30">
        <v>102395650</v>
      </c>
      <c r="K293" s="26" t="s">
        <v>20</v>
      </c>
      <c r="L293" s="36" t="s">
        <v>229</v>
      </c>
      <c r="M293" s="31" t="s">
        <v>5196</v>
      </c>
      <c r="N293" s="6"/>
      <c r="O293" s="2"/>
      <c r="P293" s="2"/>
      <c r="Q293" s="2"/>
      <c r="R293" s="2"/>
      <c r="S293" s="2"/>
      <c r="T293" s="2"/>
      <c r="U293" s="2"/>
      <c r="V293" s="2"/>
      <c r="W293" s="2"/>
      <c r="X293" s="2"/>
      <c r="Y293" s="2"/>
    </row>
    <row r="294" spans="1:25" ht="76.5" customHeight="1">
      <c r="A294" s="26">
        <v>144</v>
      </c>
      <c r="B294" s="27" t="s">
        <v>973</v>
      </c>
      <c r="C294" s="28">
        <v>43799</v>
      </c>
      <c r="D294" s="27"/>
      <c r="E294" s="27" t="s">
        <v>974</v>
      </c>
      <c r="F294" s="29" t="s">
        <v>975</v>
      </c>
      <c r="G294" s="27" t="s">
        <v>976</v>
      </c>
      <c r="H294" s="27" t="s">
        <v>19</v>
      </c>
      <c r="I294" s="27">
        <v>1</v>
      </c>
      <c r="J294" s="30">
        <v>124760666</v>
      </c>
      <c r="K294" s="26" t="s">
        <v>20</v>
      </c>
      <c r="L294" s="394" t="s">
        <v>295</v>
      </c>
      <c r="M294" s="31" t="s">
        <v>977</v>
      </c>
      <c r="N294" s="6"/>
      <c r="O294" s="2"/>
      <c r="P294" s="2"/>
      <c r="Q294" s="2"/>
      <c r="R294" s="2"/>
      <c r="S294" s="2"/>
      <c r="T294" s="2"/>
      <c r="U294" s="2"/>
      <c r="V294" s="2"/>
      <c r="W294" s="2"/>
      <c r="X294" s="2"/>
      <c r="Y294" s="2"/>
    </row>
    <row r="295" spans="1:25" ht="25.5" customHeight="1">
      <c r="A295" s="26" t="s">
        <v>978</v>
      </c>
      <c r="B295" s="27"/>
      <c r="C295" s="28"/>
      <c r="D295" s="27"/>
      <c r="E295" s="27" t="s">
        <v>979</v>
      </c>
      <c r="F295" s="29" t="s">
        <v>980</v>
      </c>
      <c r="G295" s="27" t="s">
        <v>248</v>
      </c>
      <c r="H295" s="27" t="s">
        <v>249</v>
      </c>
      <c r="I295" s="27">
        <v>1</v>
      </c>
      <c r="J295" s="30">
        <v>9950237</v>
      </c>
      <c r="K295" s="26" t="s">
        <v>20</v>
      </c>
      <c r="L295" s="394" t="s">
        <v>295</v>
      </c>
      <c r="M295" s="395" t="s">
        <v>5197</v>
      </c>
      <c r="N295" s="6"/>
      <c r="O295" s="2"/>
      <c r="P295" s="2"/>
      <c r="Q295" s="2"/>
      <c r="R295" s="2"/>
      <c r="S295" s="2"/>
      <c r="T295" s="2"/>
      <c r="U295" s="2"/>
      <c r="V295" s="2"/>
      <c r="W295" s="2"/>
      <c r="X295" s="2"/>
      <c r="Y295" s="2"/>
    </row>
    <row r="296" spans="1:25" ht="25.5" customHeight="1">
      <c r="A296" s="26">
        <v>145</v>
      </c>
      <c r="B296" s="27" t="s">
        <v>973</v>
      </c>
      <c r="C296" s="28">
        <v>43799</v>
      </c>
      <c r="D296" s="27"/>
      <c r="E296" s="27" t="s">
        <v>982</v>
      </c>
      <c r="F296" s="29" t="s">
        <v>983</v>
      </c>
      <c r="G296" s="27" t="s">
        <v>976</v>
      </c>
      <c r="H296" s="27" t="s">
        <v>19</v>
      </c>
      <c r="I296" s="27">
        <v>1</v>
      </c>
      <c r="J296" s="30">
        <v>124377965</v>
      </c>
      <c r="K296" s="26" t="s">
        <v>20</v>
      </c>
      <c r="L296" s="394" t="s">
        <v>295</v>
      </c>
      <c r="M296" s="31" t="s">
        <v>984</v>
      </c>
      <c r="N296" s="6"/>
      <c r="O296" s="2"/>
      <c r="P296" s="2"/>
      <c r="Q296" s="2"/>
      <c r="R296" s="2"/>
      <c r="S296" s="2"/>
      <c r="T296" s="2"/>
      <c r="U296" s="2"/>
      <c r="V296" s="2"/>
      <c r="W296" s="2"/>
      <c r="X296" s="2"/>
      <c r="Y296" s="2"/>
    </row>
    <row r="297" spans="1:25" ht="25.5" customHeight="1">
      <c r="A297" s="26" t="s">
        <v>985</v>
      </c>
      <c r="B297" s="27"/>
      <c r="C297" s="28"/>
      <c r="D297" s="27"/>
      <c r="E297" s="27" t="s">
        <v>986</v>
      </c>
      <c r="F297" s="29" t="s">
        <v>987</v>
      </c>
      <c r="G297" s="27" t="s">
        <v>248</v>
      </c>
      <c r="H297" s="27" t="s">
        <v>249</v>
      </c>
      <c r="I297" s="27">
        <v>1</v>
      </c>
      <c r="J297" s="30">
        <v>9950237</v>
      </c>
      <c r="K297" s="26" t="s">
        <v>20</v>
      </c>
      <c r="L297" s="394" t="s">
        <v>295</v>
      </c>
      <c r="M297" s="31" t="s">
        <v>988</v>
      </c>
      <c r="N297" s="6"/>
      <c r="O297" s="2"/>
      <c r="P297" s="2"/>
      <c r="Q297" s="2"/>
      <c r="R297" s="2"/>
      <c r="S297" s="2"/>
      <c r="T297" s="2"/>
      <c r="U297" s="2"/>
      <c r="V297" s="2"/>
      <c r="W297" s="2"/>
      <c r="X297" s="2"/>
      <c r="Y297" s="2"/>
    </row>
    <row r="298" spans="1:25" ht="25.5" customHeight="1">
      <c r="A298" s="26" t="s">
        <v>989</v>
      </c>
      <c r="B298" s="27" t="s">
        <v>973</v>
      </c>
      <c r="C298" s="28">
        <v>43799</v>
      </c>
      <c r="D298" s="27"/>
      <c r="E298" s="27" t="s">
        <v>990</v>
      </c>
      <c r="F298" s="29" t="s">
        <v>991</v>
      </c>
      <c r="G298" s="27" t="s">
        <v>976</v>
      </c>
      <c r="H298" s="27" t="s">
        <v>19</v>
      </c>
      <c r="I298" s="27">
        <v>1</v>
      </c>
      <c r="J298" s="30">
        <v>831737785</v>
      </c>
      <c r="K298" s="26" t="s">
        <v>20</v>
      </c>
      <c r="L298" s="394" t="s">
        <v>295</v>
      </c>
      <c r="M298" s="31" t="s">
        <v>992</v>
      </c>
      <c r="N298" s="6"/>
      <c r="O298" s="2"/>
      <c r="P298" s="2"/>
      <c r="Q298" s="2"/>
      <c r="R298" s="2"/>
      <c r="S298" s="2"/>
      <c r="T298" s="2"/>
      <c r="U298" s="2"/>
      <c r="V298" s="2"/>
      <c r="W298" s="2"/>
      <c r="X298" s="2"/>
      <c r="Y298" s="2"/>
    </row>
    <row r="299" spans="1:25" ht="12.75" customHeight="1">
      <c r="A299" s="26" t="s">
        <v>993</v>
      </c>
      <c r="B299" s="27"/>
      <c r="C299" s="28"/>
      <c r="D299" s="27"/>
      <c r="E299" s="27" t="s">
        <v>994</v>
      </c>
      <c r="F299" s="29" t="s">
        <v>995</v>
      </c>
      <c r="G299" s="27" t="s">
        <v>248</v>
      </c>
      <c r="H299" s="27" t="s">
        <v>249</v>
      </c>
      <c r="I299" s="27">
        <v>1</v>
      </c>
      <c r="J299" s="30">
        <v>9950237</v>
      </c>
      <c r="K299" s="26" t="s">
        <v>20</v>
      </c>
      <c r="L299" s="394" t="s">
        <v>295</v>
      </c>
      <c r="M299" s="395" t="s">
        <v>5198</v>
      </c>
      <c r="N299" s="6"/>
      <c r="O299" s="2"/>
      <c r="P299" s="2"/>
      <c r="Q299" s="2"/>
      <c r="R299" s="2"/>
      <c r="S299" s="2"/>
      <c r="T299" s="2"/>
      <c r="U299" s="2"/>
      <c r="V299" s="2"/>
      <c r="W299" s="2"/>
      <c r="X299" s="2"/>
      <c r="Y299" s="2"/>
    </row>
    <row r="300" spans="1:25" ht="12.75" customHeight="1">
      <c r="A300" s="26" t="s">
        <v>997</v>
      </c>
      <c r="B300" s="27"/>
      <c r="C300" s="28"/>
      <c r="D300" s="27"/>
      <c r="E300" s="27" t="s">
        <v>998</v>
      </c>
      <c r="F300" s="29" t="s">
        <v>999</v>
      </c>
      <c r="G300" s="27" t="s">
        <v>248</v>
      </c>
      <c r="H300" s="27" t="s">
        <v>249</v>
      </c>
      <c r="I300" s="27">
        <v>1</v>
      </c>
      <c r="J300" s="30">
        <v>9950237</v>
      </c>
      <c r="K300" s="26" t="s">
        <v>20</v>
      </c>
      <c r="L300" s="394" t="s">
        <v>295</v>
      </c>
      <c r="M300" s="31" t="s">
        <v>1000</v>
      </c>
      <c r="N300" s="6"/>
      <c r="O300" s="2"/>
      <c r="P300" s="2"/>
      <c r="Q300" s="2"/>
      <c r="R300" s="2"/>
      <c r="S300" s="2"/>
      <c r="T300" s="2"/>
      <c r="U300" s="2"/>
      <c r="V300" s="2"/>
      <c r="W300" s="2"/>
      <c r="X300" s="2"/>
      <c r="Y300" s="2"/>
    </row>
    <row r="301" spans="1:25" ht="12.75" customHeight="1">
      <c r="A301" s="26">
        <v>147</v>
      </c>
      <c r="B301" s="27" t="s">
        <v>893</v>
      </c>
      <c r="C301" s="28">
        <v>40715</v>
      </c>
      <c r="D301" s="27"/>
      <c r="E301" s="27" t="s">
        <v>1001</v>
      </c>
      <c r="F301" s="29" t="s">
        <v>1002</v>
      </c>
      <c r="G301" s="27" t="s">
        <v>248</v>
      </c>
      <c r="H301" s="27" t="s">
        <v>19</v>
      </c>
      <c r="I301" s="27">
        <v>1</v>
      </c>
      <c r="J301" s="30">
        <v>30650000</v>
      </c>
      <c r="K301" s="26" t="s">
        <v>294</v>
      </c>
      <c r="L301" s="26" t="s">
        <v>1003</v>
      </c>
      <c r="M301" s="31" t="s">
        <v>1004</v>
      </c>
      <c r="N301" s="6"/>
      <c r="O301" s="2"/>
      <c r="P301" s="2"/>
      <c r="Q301" s="2"/>
      <c r="R301" s="2"/>
      <c r="S301" s="2"/>
      <c r="T301" s="2"/>
      <c r="U301" s="2"/>
      <c r="V301" s="2"/>
      <c r="W301" s="2"/>
      <c r="X301" s="2"/>
      <c r="Y301" s="2"/>
    </row>
    <row r="302" spans="1:25" ht="25.5" customHeight="1">
      <c r="A302" s="26">
        <v>148</v>
      </c>
      <c r="B302" s="27" t="s">
        <v>1005</v>
      </c>
      <c r="C302" s="28">
        <v>39994</v>
      </c>
      <c r="D302" s="27"/>
      <c r="E302" s="27" t="s">
        <v>1006</v>
      </c>
      <c r="F302" s="29" t="s">
        <v>1007</v>
      </c>
      <c r="G302" s="27" t="s">
        <v>1008</v>
      </c>
      <c r="H302" s="27" t="s">
        <v>569</v>
      </c>
      <c r="I302" s="27">
        <v>1</v>
      </c>
      <c r="J302" s="30">
        <v>103874900</v>
      </c>
      <c r="K302" s="26" t="s">
        <v>206</v>
      </c>
      <c r="L302" s="26" t="s">
        <v>841</v>
      </c>
      <c r="M302" s="31" t="s">
        <v>1009</v>
      </c>
      <c r="N302" s="6"/>
      <c r="O302" s="2"/>
      <c r="P302" s="2"/>
      <c r="Q302" s="2"/>
      <c r="R302" s="2"/>
      <c r="S302" s="2"/>
      <c r="T302" s="2"/>
      <c r="U302" s="2"/>
      <c r="V302" s="2"/>
      <c r="W302" s="2"/>
      <c r="X302" s="2"/>
      <c r="Y302" s="2"/>
    </row>
    <row r="303" spans="1:25" ht="25.5" customHeight="1">
      <c r="A303" s="26">
        <v>149</v>
      </c>
      <c r="B303" s="27" t="s">
        <v>1005</v>
      </c>
      <c r="C303" s="28">
        <v>39994</v>
      </c>
      <c r="D303" s="27"/>
      <c r="E303" s="27" t="s">
        <v>1010</v>
      </c>
      <c r="F303" s="29" t="s">
        <v>1011</v>
      </c>
      <c r="G303" s="27" t="s">
        <v>1008</v>
      </c>
      <c r="H303" s="27" t="s">
        <v>569</v>
      </c>
      <c r="I303" s="27">
        <v>1</v>
      </c>
      <c r="J303" s="30">
        <v>103874900</v>
      </c>
      <c r="K303" s="26" t="s">
        <v>206</v>
      </c>
      <c r="L303" s="26" t="s">
        <v>841</v>
      </c>
      <c r="M303" s="31" t="s">
        <v>1009</v>
      </c>
      <c r="N303" s="6"/>
      <c r="O303" s="2"/>
      <c r="P303" s="2"/>
      <c r="Q303" s="2"/>
      <c r="R303" s="2"/>
      <c r="S303" s="2"/>
      <c r="T303" s="2"/>
      <c r="U303" s="2"/>
      <c r="V303" s="2"/>
      <c r="W303" s="2"/>
      <c r="X303" s="2"/>
      <c r="Y303" s="2"/>
    </row>
    <row r="304" spans="1:25" ht="25.5" customHeight="1">
      <c r="A304" s="26">
        <v>150</v>
      </c>
      <c r="B304" s="27" t="s">
        <v>212</v>
      </c>
      <c r="C304" s="28">
        <v>41512</v>
      </c>
      <c r="D304" s="27"/>
      <c r="E304" s="27" t="s">
        <v>1012</v>
      </c>
      <c r="F304" s="29" t="s">
        <v>1013</v>
      </c>
      <c r="G304" s="27" t="s">
        <v>338</v>
      </c>
      <c r="H304" s="27" t="s">
        <v>249</v>
      </c>
      <c r="I304" s="27">
        <v>1</v>
      </c>
      <c r="J304" s="30">
        <v>59321536</v>
      </c>
      <c r="K304" s="26" t="s">
        <v>36</v>
      </c>
      <c r="L304" s="26" t="s">
        <v>674</v>
      </c>
      <c r="M304" s="31" t="s">
        <v>161</v>
      </c>
      <c r="N304" s="6"/>
      <c r="O304" s="2"/>
      <c r="P304" s="2"/>
      <c r="Q304" s="2"/>
      <c r="R304" s="2"/>
      <c r="S304" s="2"/>
      <c r="T304" s="2"/>
      <c r="U304" s="2"/>
      <c r="V304" s="2"/>
      <c r="W304" s="2"/>
      <c r="X304" s="2"/>
      <c r="Y304" s="2"/>
    </row>
    <row r="305" spans="1:25" ht="25.5" customHeight="1">
      <c r="A305" s="26">
        <v>151</v>
      </c>
      <c r="B305" s="27" t="s">
        <v>212</v>
      </c>
      <c r="C305" s="28">
        <v>41512</v>
      </c>
      <c r="D305" s="27"/>
      <c r="E305" s="27" t="s">
        <v>1014</v>
      </c>
      <c r="F305" s="29" t="s">
        <v>1015</v>
      </c>
      <c r="G305" s="27" t="s">
        <v>338</v>
      </c>
      <c r="H305" s="27" t="s">
        <v>249</v>
      </c>
      <c r="I305" s="27">
        <v>1</v>
      </c>
      <c r="J305" s="30">
        <v>59321536</v>
      </c>
      <c r="K305" s="26" t="s">
        <v>36</v>
      </c>
      <c r="L305" s="26" t="s">
        <v>674</v>
      </c>
      <c r="M305" s="31" t="s">
        <v>161</v>
      </c>
      <c r="N305" s="6"/>
      <c r="O305" s="2"/>
      <c r="P305" s="2"/>
      <c r="Q305" s="2"/>
      <c r="R305" s="2"/>
      <c r="S305" s="2"/>
      <c r="T305" s="2"/>
      <c r="U305" s="2"/>
      <c r="V305" s="2"/>
      <c r="W305" s="2"/>
      <c r="X305" s="2"/>
      <c r="Y305" s="2"/>
    </row>
    <row r="306" spans="1:25" ht="12.75" customHeight="1">
      <c r="A306" s="26">
        <v>152</v>
      </c>
      <c r="B306" s="27" t="s">
        <v>599</v>
      </c>
      <c r="C306" s="28">
        <v>42671</v>
      </c>
      <c r="D306" s="27"/>
      <c r="E306" s="27" t="s">
        <v>1016</v>
      </c>
      <c r="F306" s="29" t="s">
        <v>1017</v>
      </c>
      <c r="G306" s="27" t="s">
        <v>307</v>
      </c>
      <c r="H306" s="27" t="s">
        <v>19</v>
      </c>
      <c r="I306" s="27">
        <v>1</v>
      </c>
      <c r="J306" s="30">
        <v>217139027</v>
      </c>
      <c r="K306" s="26" t="s">
        <v>36</v>
      </c>
      <c r="L306" s="26" t="s">
        <v>674</v>
      </c>
      <c r="M306" s="31" t="s">
        <v>1018</v>
      </c>
      <c r="N306" s="6"/>
      <c r="O306" s="2"/>
      <c r="P306" s="2"/>
      <c r="Q306" s="2"/>
      <c r="R306" s="2"/>
      <c r="S306" s="2"/>
      <c r="T306" s="2"/>
      <c r="U306" s="2"/>
      <c r="V306" s="2"/>
      <c r="W306" s="2"/>
      <c r="X306" s="2"/>
      <c r="Y306" s="2"/>
    </row>
    <row r="307" spans="1:25" ht="12.75" customHeight="1">
      <c r="A307" s="26">
        <v>153</v>
      </c>
      <c r="B307" s="27" t="s">
        <v>599</v>
      </c>
      <c r="C307" s="28">
        <v>42671</v>
      </c>
      <c r="D307" s="27"/>
      <c r="E307" s="27" t="s">
        <v>1019</v>
      </c>
      <c r="F307" s="29" t="s">
        <v>1020</v>
      </c>
      <c r="G307" s="27" t="s">
        <v>307</v>
      </c>
      <c r="H307" s="27" t="s">
        <v>19</v>
      </c>
      <c r="I307" s="27">
        <v>1</v>
      </c>
      <c r="J307" s="30">
        <v>217139027</v>
      </c>
      <c r="K307" s="26" t="s">
        <v>36</v>
      </c>
      <c r="L307" s="26" t="s">
        <v>674</v>
      </c>
      <c r="M307" s="31" t="s">
        <v>1021</v>
      </c>
      <c r="N307" s="6"/>
      <c r="O307" s="2"/>
      <c r="P307" s="2"/>
      <c r="Q307" s="2"/>
      <c r="R307" s="2"/>
      <c r="S307" s="2"/>
      <c r="T307" s="2"/>
      <c r="U307" s="2"/>
      <c r="V307" s="2"/>
      <c r="W307" s="2"/>
      <c r="X307" s="2"/>
      <c r="Y307" s="2"/>
    </row>
    <row r="308" spans="1:25" ht="12.75" customHeight="1">
      <c r="A308" s="26">
        <v>154</v>
      </c>
      <c r="B308" s="27" t="s">
        <v>599</v>
      </c>
      <c r="C308" s="28">
        <v>42671</v>
      </c>
      <c r="D308" s="27"/>
      <c r="E308" s="27" t="s">
        <v>1022</v>
      </c>
      <c r="F308" s="29" t="s">
        <v>1023</v>
      </c>
      <c r="G308" s="27" t="s">
        <v>307</v>
      </c>
      <c r="H308" s="27" t="s">
        <v>19</v>
      </c>
      <c r="I308" s="27">
        <v>1</v>
      </c>
      <c r="J308" s="30">
        <v>253823533</v>
      </c>
      <c r="K308" s="26" t="s">
        <v>36</v>
      </c>
      <c r="L308" s="26" t="s">
        <v>674</v>
      </c>
      <c r="M308" s="31" t="s">
        <v>1024</v>
      </c>
      <c r="N308" s="6"/>
      <c r="O308" s="2"/>
      <c r="P308" s="2"/>
      <c r="Q308" s="2"/>
      <c r="R308" s="2"/>
      <c r="S308" s="2"/>
      <c r="T308" s="2"/>
      <c r="U308" s="2"/>
      <c r="V308" s="2"/>
      <c r="W308" s="2"/>
      <c r="X308" s="2"/>
      <c r="Y308" s="2"/>
    </row>
    <row r="309" spans="1:25" ht="12.75" customHeight="1">
      <c r="A309" s="26">
        <v>155</v>
      </c>
      <c r="B309" s="27" t="s">
        <v>599</v>
      </c>
      <c r="C309" s="28">
        <v>42671</v>
      </c>
      <c r="D309" s="27"/>
      <c r="E309" s="27" t="s">
        <v>1025</v>
      </c>
      <c r="F309" s="29" t="s">
        <v>1026</v>
      </c>
      <c r="G309" s="27" t="s">
        <v>307</v>
      </c>
      <c r="H309" s="27" t="s">
        <v>19</v>
      </c>
      <c r="I309" s="27">
        <v>1</v>
      </c>
      <c r="J309" s="30">
        <v>253823533</v>
      </c>
      <c r="K309" s="26" t="s">
        <v>36</v>
      </c>
      <c r="L309" s="26" t="s">
        <v>674</v>
      </c>
      <c r="M309" s="31" t="s">
        <v>1027</v>
      </c>
      <c r="N309" s="6"/>
      <c r="O309" s="2"/>
      <c r="P309" s="2"/>
      <c r="Q309" s="2"/>
      <c r="R309" s="2"/>
      <c r="S309" s="2"/>
      <c r="T309" s="2"/>
      <c r="U309" s="2"/>
      <c r="V309" s="2"/>
      <c r="W309" s="2"/>
      <c r="X309" s="2"/>
      <c r="Y309" s="2"/>
    </row>
    <row r="310" spans="1:25" ht="12.75" customHeight="1">
      <c r="A310" s="26">
        <v>156</v>
      </c>
      <c r="B310" s="27" t="s">
        <v>599</v>
      </c>
      <c r="C310" s="28">
        <v>42671</v>
      </c>
      <c r="D310" s="27"/>
      <c r="E310" s="27" t="s">
        <v>1028</v>
      </c>
      <c r="F310" s="29" t="s">
        <v>1029</v>
      </c>
      <c r="G310" s="27" t="s">
        <v>307</v>
      </c>
      <c r="H310" s="27" t="s">
        <v>19</v>
      </c>
      <c r="I310" s="27">
        <v>1</v>
      </c>
      <c r="J310" s="30">
        <v>194819653</v>
      </c>
      <c r="K310" s="26" t="s">
        <v>36</v>
      </c>
      <c r="L310" s="26" t="s">
        <v>674</v>
      </c>
      <c r="M310" s="31" t="s">
        <v>1030</v>
      </c>
      <c r="N310" s="6"/>
      <c r="O310" s="2"/>
      <c r="P310" s="2"/>
      <c r="Q310" s="2"/>
      <c r="R310" s="2"/>
      <c r="S310" s="2"/>
      <c r="T310" s="2"/>
      <c r="U310" s="2"/>
      <c r="V310" s="2"/>
      <c r="W310" s="2"/>
      <c r="X310" s="2"/>
      <c r="Y310" s="2"/>
    </row>
    <row r="311" spans="1:25" ht="12.75" customHeight="1">
      <c r="A311" s="26">
        <v>157</v>
      </c>
      <c r="B311" s="27" t="s">
        <v>599</v>
      </c>
      <c r="C311" s="28">
        <v>42671</v>
      </c>
      <c r="D311" s="27"/>
      <c r="E311" s="27" t="s">
        <v>1031</v>
      </c>
      <c r="F311" s="29" t="s">
        <v>1032</v>
      </c>
      <c r="G311" s="27" t="s">
        <v>307</v>
      </c>
      <c r="H311" s="27" t="s">
        <v>19</v>
      </c>
      <c r="I311" s="27">
        <v>1</v>
      </c>
      <c r="J311" s="30">
        <v>194819653</v>
      </c>
      <c r="K311" s="26" t="s">
        <v>36</v>
      </c>
      <c r="L311" s="26" t="s">
        <v>674</v>
      </c>
      <c r="M311" s="31" t="s">
        <v>1033</v>
      </c>
      <c r="N311" s="6"/>
      <c r="O311" s="2"/>
      <c r="P311" s="2"/>
      <c r="Q311" s="2"/>
      <c r="R311" s="2"/>
      <c r="S311" s="2"/>
      <c r="T311" s="2"/>
      <c r="U311" s="2"/>
      <c r="V311" s="2"/>
      <c r="W311" s="2"/>
      <c r="X311" s="2"/>
      <c r="Y311" s="2"/>
    </row>
    <row r="312" spans="1:25" ht="12.75" customHeight="1">
      <c r="A312" s="26">
        <v>158</v>
      </c>
      <c r="B312" s="27" t="s">
        <v>599</v>
      </c>
      <c r="C312" s="28">
        <v>42671</v>
      </c>
      <c r="D312" s="27"/>
      <c r="E312" s="27" t="s">
        <v>1034</v>
      </c>
      <c r="F312" s="29" t="s">
        <v>1035</v>
      </c>
      <c r="G312" s="27" t="s">
        <v>307</v>
      </c>
      <c r="H312" s="27" t="s">
        <v>19</v>
      </c>
      <c r="I312" s="27">
        <v>1</v>
      </c>
      <c r="J312" s="30">
        <v>194819653</v>
      </c>
      <c r="K312" s="26" t="s">
        <v>36</v>
      </c>
      <c r="L312" s="26" t="s">
        <v>674</v>
      </c>
      <c r="M312" s="31" t="s">
        <v>1036</v>
      </c>
      <c r="N312" s="6"/>
      <c r="O312" s="2"/>
      <c r="P312" s="2"/>
      <c r="Q312" s="2"/>
      <c r="R312" s="2"/>
      <c r="S312" s="2"/>
      <c r="T312" s="2"/>
      <c r="U312" s="2"/>
      <c r="V312" s="2"/>
      <c r="W312" s="2"/>
      <c r="X312" s="2"/>
      <c r="Y312" s="2"/>
    </row>
    <row r="313" spans="1:25" ht="38.25" customHeight="1">
      <c r="A313" s="26">
        <v>159</v>
      </c>
      <c r="B313" s="27" t="s">
        <v>1037</v>
      </c>
      <c r="C313" s="28">
        <v>43799</v>
      </c>
      <c r="D313" s="27"/>
      <c r="E313" s="27" t="s">
        <v>1038</v>
      </c>
      <c r="F313" s="29" t="s">
        <v>1039</v>
      </c>
      <c r="G313" s="27" t="s">
        <v>55</v>
      </c>
      <c r="H313" s="27" t="s">
        <v>249</v>
      </c>
      <c r="I313" s="27">
        <v>1</v>
      </c>
      <c r="J313" s="30">
        <v>2095302472</v>
      </c>
      <c r="K313" s="59" t="s">
        <v>206</v>
      </c>
      <c r="L313" s="59" t="s">
        <v>1040</v>
      </c>
      <c r="M313" s="31" t="s">
        <v>1041</v>
      </c>
      <c r="N313" s="6"/>
      <c r="O313" s="2"/>
      <c r="P313" s="2"/>
      <c r="Q313" s="2"/>
      <c r="R313" s="2"/>
      <c r="S313" s="2"/>
      <c r="T313" s="2"/>
      <c r="U313" s="2"/>
      <c r="V313" s="2"/>
      <c r="W313" s="2"/>
      <c r="X313" s="2"/>
      <c r="Y313" s="2"/>
    </row>
    <row r="314" spans="1:25" ht="38.25" customHeight="1">
      <c r="A314" s="26">
        <v>160</v>
      </c>
      <c r="B314" s="27" t="s">
        <v>1037</v>
      </c>
      <c r="C314" s="28">
        <v>43799</v>
      </c>
      <c r="D314" s="27"/>
      <c r="E314" s="27" t="s">
        <v>1042</v>
      </c>
      <c r="F314" s="29" t="s">
        <v>1043</v>
      </c>
      <c r="G314" s="27" t="s">
        <v>55</v>
      </c>
      <c r="H314" s="27" t="s">
        <v>249</v>
      </c>
      <c r="I314" s="27">
        <v>1</v>
      </c>
      <c r="J314" s="30">
        <v>2095302472</v>
      </c>
      <c r="K314" s="59" t="s">
        <v>206</v>
      </c>
      <c r="L314" s="59" t="s">
        <v>1040</v>
      </c>
      <c r="M314" s="31" t="s">
        <v>1041</v>
      </c>
      <c r="N314" s="6"/>
      <c r="O314" s="2"/>
      <c r="P314" s="2"/>
      <c r="Q314" s="2"/>
      <c r="R314" s="2"/>
      <c r="S314" s="2"/>
      <c r="T314" s="2"/>
      <c r="U314" s="2"/>
      <c r="V314" s="2"/>
      <c r="W314" s="2"/>
      <c r="X314" s="2"/>
      <c r="Y314" s="2"/>
    </row>
    <row r="315" spans="1:25" ht="51" customHeight="1">
      <c r="A315" s="26">
        <v>161</v>
      </c>
      <c r="B315" s="27" t="s">
        <v>1037</v>
      </c>
      <c r="C315" s="28">
        <v>43799</v>
      </c>
      <c r="D315" s="27"/>
      <c r="E315" s="27" t="s">
        <v>1044</v>
      </c>
      <c r="F315" s="29" t="s">
        <v>1045</v>
      </c>
      <c r="G315" s="27"/>
      <c r="H315" s="27"/>
      <c r="I315" s="27">
        <v>1</v>
      </c>
      <c r="J315" s="30">
        <v>1113818683</v>
      </c>
      <c r="K315" s="59" t="s">
        <v>206</v>
      </c>
      <c r="L315" s="59" t="s">
        <v>1040</v>
      </c>
      <c r="M315" s="31" t="s">
        <v>1041</v>
      </c>
      <c r="N315" s="6"/>
      <c r="O315" s="2"/>
      <c r="P315" s="2"/>
      <c r="Q315" s="2"/>
      <c r="R315" s="2"/>
      <c r="S315" s="2"/>
      <c r="T315" s="2"/>
      <c r="U315" s="2"/>
      <c r="V315" s="2"/>
      <c r="W315" s="2"/>
      <c r="X315" s="2"/>
      <c r="Y315" s="2"/>
    </row>
    <row r="316" spans="1:25" ht="25.5" customHeight="1">
      <c r="A316" s="26">
        <v>162</v>
      </c>
      <c r="B316" s="27" t="s">
        <v>1037</v>
      </c>
      <c r="C316" s="28">
        <v>43799</v>
      </c>
      <c r="D316" s="27"/>
      <c r="E316" s="27" t="s">
        <v>1046</v>
      </c>
      <c r="F316" s="29" t="s">
        <v>1047</v>
      </c>
      <c r="G316" s="27"/>
      <c r="H316" s="27" t="s">
        <v>19</v>
      </c>
      <c r="I316" s="27">
        <v>1</v>
      </c>
      <c r="J316" s="30">
        <v>524928409</v>
      </c>
      <c r="K316" s="26" t="s">
        <v>20</v>
      </c>
      <c r="L316" s="394" t="s">
        <v>295</v>
      </c>
      <c r="M316" s="31" t="s">
        <v>1048</v>
      </c>
      <c r="N316" s="6"/>
      <c r="O316" s="2"/>
      <c r="P316" s="2"/>
      <c r="Q316" s="2"/>
      <c r="R316" s="2"/>
      <c r="S316" s="2"/>
      <c r="T316" s="2"/>
      <c r="U316" s="2"/>
      <c r="V316" s="2"/>
      <c r="W316" s="2"/>
      <c r="X316" s="2"/>
      <c r="Y316" s="2"/>
    </row>
    <row r="317" spans="1:25" ht="63.75" customHeight="1">
      <c r="A317" s="26">
        <v>163</v>
      </c>
      <c r="B317" s="27" t="s">
        <v>973</v>
      </c>
      <c r="C317" s="28">
        <v>43799</v>
      </c>
      <c r="D317" s="27"/>
      <c r="E317" s="27" t="s">
        <v>1049</v>
      </c>
      <c r="F317" s="29" t="s">
        <v>1050</v>
      </c>
      <c r="G317" s="27" t="s">
        <v>976</v>
      </c>
      <c r="H317" s="27" t="s">
        <v>19</v>
      </c>
      <c r="I317" s="27">
        <v>1</v>
      </c>
      <c r="J317" s="30">
        <v>265339662</v>
      </c>
      <c r="K317" s="26" t="s">
        <v>20</v>
      </c>
      <c r="L317" s="394" t="s">
        <v>295</v>
      </c>
      <c r="M317" s="31" t="s">
        <v>1051</v>
      </c>
      <c r="N317" s="6"/>
      <c r="O317" s="2"/>
      <c r="P317" s="2"/>
      <c r="Q317" s="2"/>
      <c r="R317" s="2"/>
      <c r="S317" s="2"/>
      <c r="T317" s="2"/>
      <c r="U317" s="2"/>
      <c r="V317" s="2"/>
      <c r="W317" s="2"/>
      <c r="X317" s="2"/>
      <c r="Y317" s="2"/>
    </row>
    <row r="318" spans="1:25" ht="63.75" customHeight="1">
      <c r="A318" s="26">
        <v>164</v>
      </c>
      <c r="B318" s="27" t="s">
        <v>973</v>
      </c>
      <c r="C318" s="28">
        <v>43799</v>
      </c>
      <c r="D318" s="27"/>
      <c r="E318" s="27" t="s">
        <v>1052</v>
      </c>
      <c r="F318" s="29" t="s">
        <v>1053</v>
      </c>
      <c r="G318" s="27" t="s">
        <v>976</v>
      </c>
      <c r="H318" s="27" t="s">
        <v>19</v>
      </c>
      <c r="I318" s="27">
        <v>1</v>
      </c>
      <c r="J318" s="30">
        <v>261512647</v>
      </c>
      <c r="K318" s="26" t="s">
        <v>20</v>
      </c>
      <c r="L318" s="394" t="s">
        <v>295</v>
      </c>
      <c r="M318" s="31" t="s">
        <v>1054</v>
      </c>
      <c r="N318" s="6"/>
      <c r="O318" s="2"/>
      <c r="P318" s="2"/>
      <c r="Q318" s="2"/>
      <c r="R318" s="2"/>
      <c r="S318" s="2"/>
      <c r="T318" s="2"/>
      <c r="U318" s="2"/>
      <c r="V318" s="2"/>
      <c r="W318" s="2"/>
      <c r="X318" s="2"/>
      <c r="Y318" s="2"/>
    </row>
    <row r="319" spans="1:25" ht="25.5" customHeight="1">
      <c r="A319" s="26">
        <v>165</v>
      </c>
      <c r="B319" s="27" t="s">
        <v>973</v>
      </c>
      <c r="C319" s="28">
        <v>43799</v>
      </c>
      <c r="D319" s="27"/>
      <c r="E319" s="27" t="s">
        <v>1055</v>
      </c>
      <c r="F319" s="29" t="s">
        <v>1056</v>
      </c>
      <c r="G319" s="27" t="s">
        <v>976</v>
      </c>
      <c r="H319" s="27" t="s">
        <v>19</v>
      </c>
      <c r="I319" s="27">
        <v>1</v>
      </c>
      <c r="J319" s="30">
        <v>437938009</v>
      </c>
      <c r="K319" s="26" t="s">
        <v>20</v>
      </c>
      <c r="L319" s="394" t="s">
        <v>295</v>
      </c>
      <c r="M319" s="31" t="s">
        <v>1057</v>
      </c>
      <c r="N319" s="6"/>
      <c r="O319" s="2"/>
      <c r="P319" s="2"/>
      <c r="Q319" s="2"/>
      <c r="R319" s="2"/>
      <c r="S319" s="2"/>
      <c r="T319" s="2"/>
      <c r="U319" s="2"/>
      <c r="V319" s="2"/>
      <c r="W319" s="2"/>
      <c r="X319" s="2"/>
      <c r="Y319" s="2"/>
    </row>
    <row r="320" spans="1:25" ht="25.5" customHeight="1">
      <c r="A320" s="26">
        <v>166</v>
      </c>
      <c r="B320" s="27" t="s">
        <v>973</v>
      </c>
      <c r="C320" s="28">
        <v>43799</v>
      </c>
      <c r="D320" s="27"/>
      <c r="E320" s="27" t="s">
        <v>1058</v>
      </c>
      <c r="F320" s="29" t="s">
        <v>1059</v>
      </c>
      <c r="G320" s="27" t="s">
        <v>976</v>
      </c>
      <c r="H320" s="27" t="s">
        <v>19</v>
      </c>
      <c r="I320" s="27">
        <v>1</v>
      </c>
      <c r="J320" s="30">
        <v>437938009</v>
      </c>
      <c r="K320" s="26" t="s">
        <v>20</v>
      </c>
      <c r="L320" s="394" t="s">
        <v>295</v>
      </c>
      <c r="M320" s="31" t="s">
        <v>1060</v>
      </c>
      <c r="N320" s="6"/>
      <c r="O320" s="2"/>
      <c r="P320" s="2"/>
      <c r="Q320" s="2"/>
      <c r="R320" s="2"/>
      <c r="S320" s="2"/>
      <c r="T320" s="2"/>
      <c r="U320" s="2"/>
      <c r="V320" s="2"/>
      <c r="W320" s="2"/>
      <c r="X320" s="2"/>
      <c r="Y320" s="2"/>
    </row>
    <row r="321" spans="1:25" ht="25.5" customHeight="1">
      <c r="A321" s="26">
        <v>167</v>
      </c>
      <c r="B321" s="27" t="s">
        <v>973</v>
      </c>
      <c r="C321" s="28">
        <v>43799</v>
      </c>
      <c r="D321" s="27"/>
      <c r="E321" s="27" t="s">
        <v>1061</v>
      </c>
      <c r="F321" s="29" t="s">
        <v>1062</v>
      </c>
      <c r="G321" s="27" t="s">
        <v>976</v>
      </c>
      <c r="H321" s="27" t="s">
        <v>249</v>
      </c>
      <c r="I321" s="27">
        <v>1</v>
      </c>
      <c r="J321" s="30">
        <v>106773700</v>
      </c>
      <c r="K321" s="26" t="s">
        <v>20</v>
      </c>
      <c r="L321" s="394" t="s">
        <v>295</v>
      </c>
      <c r="M321" s="31" t="s">
        <v>1063</v>
      </c>
      <c r="N321" s="6"/>
      <c r="O321" s="2"/>
      <c r="P321" s="2"/>
      <c r="Q321" s="2"/>
      <c r="R321" s="2"/>
      <c r="S321" s="2"/>
      <c r="T321" s="2"/>
      <c r="U321" s="2"/>
      <c r="V321" s="2"/>
      <c r="W321" s="2"/>
      <c r="X321" s="2"/>
      <c r="Y321" s="2"/>
    </row>
    <row r="322" spans="1:25" ht="12.75" customHeight="1">
      <c r="A322" s="26">
        <v>168</v>
      </c>
      <c r="B322" s="27" t="s">
        <v>1064</v>
      </c>
      <c r="C322" s="28">
        <v>39963</v>
      </c>
      <c r="D322" s="27"/>
      <c r="E322" s="27" t="s">
        <v>1065</v>
      </c>
      <c r="F322" s="29" t="s">
        <v>1066</v>
      </c>
      <c r="G322" s="27"/>
      <c r="H322" s="27" t="s">
        <v>249</v>
      </c>
      <c r="I322" s="27">
        <v>1</v>
      </c>
      <c r="J322" s="30">
        <v>34033610</v>
      </c>
      <c r="K322" s="26" t="s">
        <v>20</v>
      </c>
      <c r="L322" s="394" t="s">
        <v>295</v>
      </c>
      <c r="M322" s="31" t="s">
        <v>1067</v>
      </c>
      <c r="N322" s="6"/>
      <c r="O322" s="2"/>
      <c r="P322" s="2"/>
      <c r="Q322" s="2"/>
      <c r="R322" s="2"/>
      <c r="S322" s="2"/>
      <c r="T322" s="2"/>
      <c r="U322" s="2"/>
      <c r="V322" s="2"/>
      <c r="W322" s="2"/>
      <c r="X322" s="2"/>
      <c r="Y322" s="2"/>
    </row>
    <row r="323" spans="1:25" ht="12.75" customHeight="1">
      <c r="A323" s="26">
        <v>169</v>
      </c>
      <c r="B323" s="27" t="s">
        <v>52</v>
      </c>
      <c r="C323" s="28">
        <v>40875</v>
      </c>
      <c r="D323" s="27"/>
      <c r="E323" s="27" t="s">
        <v>1068</v>
      </c>
      <c r="F323" s="29" t="s">
        <v>1069</v>
      </c>
      <c r="G323" s="27"/>
      <c r="H323" s="27" t="s">
        <v>19</v>
      </c>
      <c r="I323" s="27">
        <v>1</v>
      </c>
      <c r="J323" s="30">
        <v>99099364</v>
      </c>
      <c r="K323" s="26" t="s">
        <v>36</v>
      </c>
      <c r="L323" s="26" t="s">
        <v>37</v>
      </c>
      <c r="M323" s="31" t="s">
        <v>1070</v>
      </c>
      <c r="N323" s="6"/>
      <c r="O323" s="2"/>
      <c r="P323" s="2"/>
      <c r="Q323" s="2"/>
      <c r="R323" s="2"/>
      <c r="S323" s="2"/>
      <c r="T323" s="2"/>
      <c r="U323" s="2"/>
      <c r="V323" s="2"/>
      <c r="W323" s="2"/>
      <c r="X323" s="2"/>
      <c r="Y323" s="2"/>
    </row>
    <row r="324" spans="1:25" ht="12.75" customHeight="1">
      <c r="A324" s="26">
        <v>170</v>
      </c>
      <c r="B324" s="27" t="s">
        <v>52</v>
      </c>
      <c r="C324" s="28">
        <v>40875</v>
      </c>
      <c r="D324" s="27"/>
      <c r="E324" s="27" t="s">
        <v>1071</v>
      </c>
      <c r="F324" s="29" t="s">
        <v>1072</v>
      </c>
      <c r="G324" s="27"/>
      <c r="H324" s="27" t="s">
        <v>569</v>
      </c>
      <c r="I324" s="27">
        <v>1</v>
      </c>
      <c r="J324" s="30">
        <v>36994107</v>
      </c>
      <c r="K324" s="26" t="s">
        <v>36</v>
      </c>
      <c r="L324" s="26" t="s">
        <v>37</v>
      </c>
      <c r="M324" s="31" t="s">
        <v>1073</v>
      </c>
      <c r="N324" s="6"/>
      <c r="O324" s="2"/>
      <c r="P324" s="2"/>
      <c r="Q324" s="2"/>
      <c r="R324" s="2"/>
      <c r="S324" s="2"/>
      <c r="T324" s="2"/>
      <c r="U324" s="2"/>
      <c r="V324" s="2"/>
      <c r="W324" s="2"/>
      <c r="X324" s="2"/>
      <c r="Y324" s="2"/>
    </row>
    <row r="325" spans="1:25" ht="25.5" customHeight="1">
      <c r="A325" s="26">
        <v>171</v>
      </c>
      <c r="B325" s="27" t="s">
        <v>599</v>
      </c>
      <c r="C325" s="28">
        <v>42671</v>
      </c>
      <c r="D325" s="27"/>
      <c r="E325" s="27" t="s">
        <v>1074</v>
      </c>
      <c r="F325" s="29" t="s">
        <v>1075</v>
      </c>
      <c r="G325" s="27" t="s">
        <v>1076</v>
      </c>
      <c r="H325" s="27" t="s">
        <v>249</v>
      </c>
      <c r="I325" s="27">
        <v>1</v>
      </c>
      <c r="J325" s="30">
        <v>68046802</v>
      </c>
      <c r="K325" s="26" t="s">
        <v>36</v>
      </c>
      <c r="L325" s="26" t="s">
        <v>169</v>
      </c>
      <c r="M325" s="31" t="s">
        <v>1077</v>
      </c>
      <c r="N325" s="6"/>
      <c r="O325" s="2"/>
      <c r="P325" s="2"/>
      <c r="Q325" s="2"/>
      <c r="R325" s="2"/>
      <c r="S325" s="2"/>
      <c r="T325" s="2"/>
      <c r="U325" s="2"/>
      <c r="V325" s="2"/>
      <c r="W325" s="2"/>
      <c r="X325" s="2"/>
      <c r="Y325" s="2"/>
    </row>
    <row r="326" spans="1:25" ht="25.5" customHeight="1">
      <c r="A326" s="26">
        <v>172</v>
      </c>
      <c r="B326" s="27" t="s">
        <v>599</v>
      </c>
      <c r="C326" s="28">
        <v>42671</v>
      </c>
      <c r="D326" s="27"/>
      <c r="E326" s="27" t="s">
        <v>1078</v>
      </c>
      <c r="F326" s="29" t="s">
        <v>1079</v>
      </c>
      <c r="G326" s="27" t="s">
        <v>1076</v>
      </c>
      <c r="H326" s="27" t="s">
        <v>249</v>
      </c>
      <c r="I326" s="27">
        <v>1</v>
      </c>
      <c r="J326" s="30">
        <v>68046803</v>
      </c>
      <c r="K326" s="26" t="s">
        <v>36</v>
      </c>
      <c r="L326" s="26" t="s">
        <v>169</v>
      </c>
      <c r="M326" s="31" t="s">
        <v>1077</v>
      </c>
      <c r="N326" s="6"/>
      <c r="O326" s="2"/>
      <c r="P326" s="2"/>
      <c r="Q326" s="2"/>
      <c r="R326" s="2"/>
      <c r="S326" s="2"/>
      <c r="T326" s="2"/>
      <c r="U326" s="2"/>
      <c r="V326" s="2"/>
      <c r="W326" s="2"/>
      <c r="X326" s="2"/>
      <c r="Y326" s="2"/>
    </row>
    <row r="327" spans="1:25" ht="25.5" customHeight="1">
      <c r="A327" s="26">
        <v>173</v>
      </c>
      <c r="B327" s="27" t="s">
        <v>953</v>
      </c>
      <c r="C327" s="28">
        <v>43256</v>
      </c>
      <c r="D327" s="27"/>
      <c r="E327" s="27" t="s">
        <v>1080</v>
      </c>
      <c r="F327" s="29" t="s">
        <v>1081</v>
      </c>
      <c r="G327" s="27" t="s">
        <v>248</v>
      </c>
      <c r="H327" s="27" t="s">
        <v>249</v>
      </c>
      <c r="I327" s="27">
        <v>1</v>
      </c>
      <c r="J327" s="30">
        <v>34611169</v>
      </c>
      <c r="K327" s="26" t="s">
        <v>20</v>
      </c>
      <c r="L327" s="36" t="s">
        <v>229</v>
      </c>
      <c r="M327" s="31" t="s">
        <v>3295</v>
      </c>
      <c r="N327" s="6"/>
      <c r="O327" s="2"/>
      <c r="P327" s="2"/>
      <c r="Q327" s="2"/>
      <c r="R327" s="2"/>
      <c r="S327" s="2"/>
      <c r="T327" s="2"/>
      <c r="U327" s="2"/>
      <c r="V327" s="2"/>
      <c r="W327" s="2"/>
      <c r="X327" s="2"/>
      <c r="Y327" s="2"/>
    </row>
    <row r="328" spans="1:25" ht="25.5" customHeight="1">
      <c r="A328" s="26">
        <v>174</v>
      </c>
      <c r="B328" s="27" t="s">
        <v>1037</v>
      </c>
      <c r="C328" s="28">
        <v>43799</v>
      </c>
      <c r="D328" s="27"/>
      <c r="E328" s="27" t="s">
        <v>1082</v>
      </c>
      <c r="F328" s="29" t="s">
        <v>1083</v>
      </c>
      <c r="G328" s="27" t="s">
        <v>248</v>
      </c>
      <c r="H328" s="27" t="s">
        <v>19</v>
      </c>
      <c r="I328" s="27">
        <v>1</v>
      </c>
      <c r="J328" s="30">
        <v>299959091</v>
      </c>
      <c r="K328" s="59" t="s">
        <v>206</v>
      </c>
      <c r="L328" s="59" t="s">
        <v>1040</v>
      </c>
      <c r="M328" s="31" t="s">
        <v>1041</v>
      </c>
      <c r="N328" s="6"/>
      <c r="O328" s="2"/>
      <c r="P328" s="2"/>
      <c r="Q328" s="2"/>
      <c r="R328" s="2"/>
      <c r="S328" s="2"/>
      <c r="T328" s="2"/>
      <c r="U328" s="2"/>
      <c r="V328" s="2"/>
      <c r="W328" s="2"/>
      <c r="X328" s="2"/>
      <c r="Y328" s="2"/>
    </row>
    <row r="329" spans="1:25" ht="25.5" customHeight="1">
      <c r="A329" s="26">
        <v>175</v>
      </c>
      <c r="B329" s="27" t="s">
        <v>1037</v>
      </c>
      <c r="C329" s="28">
        <v>43799</v>
      </c>
      <c r="D329" s="27"/>
      <c r="E329" s="27" t="s">
        <v>1084</v>
      </c>
      <c r="F329" s="29" t="s">
        <v>1085</v>
      </c>
      <c r="G329" s="27" t="s">
        <v>248</v>
      </c>
      <c r="H329" s="27" t="s">
        <v>19</v>
      </c>
      <c r="I329" s="27">
        <v>1</v>
      </c>
      <c r="J329" s="30">
        <v>299959091</v>
      </c>
      <c r="K329" s="59" t="s">
        <v>206</v>
      </c>
      <c r="L329" s="59" t="s">
        <v>1040</v>
      </c>
      <c r="M329" s="31" t="s">
        <v>1041</v>
      </c>
      <c r="N329" s="6"/>
      <c r="O329" s="2"/>
      <c r="P329" s="2"/>
      <c r="Q329" s="2"/>
      <c r="R329" s="2"/>
      <c r="S329" s="2"/>
      <c r="T329" s="2"/>
      <c r="U329" s="2"/>
      <c r="V329" s="2"/>
      <c r="W329" s="2"/>
      <c r="X329" s="2"/>
      <c r="Y329" s="2"/>
    </row>
    <row r="330" spans="1:25" ht="12.75" customHeight="1">
      <c r="A330" s="26">
        <v>176</v>
      </c>
      <c r="B330" s="27" t="s">
        <v>212</v>
      </c>
      <c r="C330" s="28">
        <v>41512</v>
      </c>
      <c r="D330" s="27"/>
      <c r="E330" s="27" t="s">
        <v>1086</v>
      </c>
      <c r="F330" s="29" t="s">
        <v>1087</v>
      </c>
      <c r="G330" s="27" t="s">
        <v>1088</v>
      </c>
      <c r="H330" s="27" t="s">
        <v>19</v>
      </c>
      <c r="I330" s="27">
        <v>1</v>
      </c>
      <c r="J330" s="30">
        <v>108902777</v>
      </c>
      <c r="K330" s="26" t="s">
        <v>36</v>
      </c>
      <c r="L330" s="26" t="s">
        <v>37</v>
      </c>
      <c r="M330" s="31" t="s">
        <v>1089</v>
      </c>
      <c r="N330" s="6"/>
      <c r="O330" s="2"/>
      <c r="P330" s="2"/>
      <c r="Q330" s="2"/>
      <c r="R330" s="2"/>
      <c r="S330" s="2"/>
      <c r="T330" s="2"/>
      <c r="U330" s="2"/>
      <c r="V330" s="2"/>
      <c r="W330" s="2"/>
      <c r="X330" s="2"/>
      <c r="Y330" s="2"/>
    </row>
    <row r="331" spans="1:25" ht="12.75" customHeight="1">
      <c r="A331" s="26" t="s">
        <v>1090</v>
      </c>
      <c r="B331" s="27"/>
      <c r="C331" s="28"/>
      <c r="D331" s="27"/>
      <c r="E331" s="27" t="s">
        <v>1091</v>
      </c>
      <c r="F331" s="29" t="s">
        <v>1092</v>
      </c>
      <c r="G331" s="27"/>
      <c r="H331" s="27"/>
      <c r="I331" s="27">
        <v>1</v>
      </c>
      <c r="J331" s="30">
        <v>37285429</v>
      </c>
      <c r="K331" s="26" t="s">
        <v>36</v>
      </c>
      <c r="L331" s="26" t="s">
        <v>37</v>
      </c>
      <c r="M331" s="31"/>
      <c r="N331" s="6"/>
      <c r="O331" s="2"/>
      <c r="P331" s="2"/>
      <c r="Q331" s="2"/>
      <c r="R331" s="2"/>
      <c r="S331" s="2"/>
      <c r="T331" s="2"/>
      <c r="U331" s="2"/>
      <c r="V331" s="2"/>
      <c r="W331" s="2"/>
      <c r="X331" s="2"/>
      <c r="Y331" s="2"/>
    </row>
    <row r="332" spans="1:25" ht="25.5" customHeight="1">
      <c r="A332" s="26">
        <v>177</v>
      </c>
      <c r="B332" s="27" t="s">
        <v>212</v>
      </c>
      <c r="C332" s="28">
        <v>41512</v>
      </c>
      <c r="D332" s="27"/>
      <c r="E332" s="27" t="s">
        <v>1093</v>
      </c>
      <c r="F332" s="29" t="s">
        <v>1094</v>
      </c>
      <c r="G332" s="27" t="s">
        <v>1088</v>
      </c>
      <c r="H332" s="27" t="s">
        <v>19</v>
      </c>
      <c r="I332" s="27">
        <v>1</v>
      </c>
      <c r="J332" s="30">
        <v>108902777</v>
      </c>
      <c r="K332" s="26" t="s">
        <v>36</v>
      </c>
      <c r="L332" s="26" t="s">
        <v>37</v>
      </c>
      <c r="M332" s="31" t="s">
        <v>1095</v>
      </c>
      <c r="N332" s="6"/>
      <c r="O332" s="2"/>
      <c r="P332" s="2"/>
      <c r="Q332" s="2"/>
      <c r="R332" s="2"/>
      <c r="S332" s="2"/>
      <c r="T332" s="2"/>
      <c r="U332" s="2"/>
      <c r="V332" s="2"/>
      <c r="W332" s="2"/>
      <c r="X332" s="2"/>
      <c r="Y332" s="2"/>
    </row>
    <row r="333" spans="1:25" ht="12.75" customHeight="1">
      <c r="A333" s="26" t="s">
        <v>1096</v>
      </c>
      <c r="B333" s="27"/>
      <c r="C333" s="28"/>
      <c r="D333" s="27"/>
      <c r="E333" s="27" t="s">
        <v>1097</v>
      </c>
      <c r="F333" s="29" t="s">
        <v>1098</v>
      </c>
      <c r="G333" s="27"/>
      <c r="H333" s="27"/>
      <c r="I333" s="27">
        <v>1</v>
      </c>
      <c r="J333" s="30">
        <v>37285429</v>
      </c>
      <c r="K333" s="26" t="s">
        <v>36</v>
      </c>
      <c r="L333" s="26" t="s">
        <v>37</v>
      </c>
      <c r="M333" s="31"/>
      <c r="N333" s="6"/>
      <c r="O333" s="2"/>
      <c r="P333" s="2"/>
      <c r="Q333" s="2"/>
      <c r="R333" s="2"/>
      <c r="S333" s="2"/>
      <c r="T333" s="2"/>
      <c r="U333" s="2"/>
      <c r="V333" s="2"/>
      <c r="W333" s="2"/>
      <c r="X333" s="2"/>
      <c r="Y333" s="2"/>
    </row>
    <row r="334" spans="1:25" ht="12.75" customHeight="1">
      <c r="A334" s="26">
        <v>178</v>
      </c>
      <c r="B334" s="27" t="s">
        <v>274</v>
      </c>
      <c r="C334" s="28">
        <v>41542</v>
      </c>
      <c r="D334" s="27"/>
      <c r="E334" s="27" t="s">
        <v>1099</v>
      </c>
      <c r="F334" s="29" t="s">
        <v>1100</v>
      </c>
      <c r="G334" s="27" t="s">
        <v>1088</v>
      </c>
      <c r="H334" s="27" t="s">
        <v>19</v>
      </c>
      <c r="I334" s="27">
        <v>1</v>
      </c>
      <c r="J334" s="30">
        <v>195293140</v>
      </c>
      <c r="K334" s="26" t="s">
        <v>36</v>
      </c>
      <c r="L334" s="26" t="s">
        <v>37</v>
      </c>
      <c r="M334" s="31" t="s">
        <v>1101</v>
      </c>
      <c r="N334" s="6"/>
      <c r="O334" s="2"/>
      <c r="P334" s="2"/>
      <c r="Q334" s="2"/>
      <c r="R334" s="2"/>
      <c r="S334" s="2"/>
      <c r="T334" s="2"/>
      <c r="U334" s="2"/>
      <c r="V334" s="2"/>
      <c r="W334" s="2"/>
      <c r="X334" s="2"/>
      <c r="Y334" s="2"/>
    </row>
    <row r="335" spans="1:25" ht="12.75" customHeight="1">
      <c r="A335" s="26" t="s">
        <v>1102</v>
      </c>
      <c r="B335" s="27"/>
      <c r="C335" s="28"/>
      <c r="D335" s="27"/>
      <c r="E335" s="27" t="s">
        <v>1103</v>
      </c>
      <c r="F335" s="29" t="s">
        <v>1104</v>
      </c>
      <c r="G335" s="27"/>
      <c r="H335" s="27"/>
      <c r="I335" s="27">
        <v>1</v>
      </c>
      <c r="J335" s="30">
        <v>0</v>
      </c>
      <c r="K335" s="26" t="s">
        <v>36</v>
      </c>
      <c r="L335" s="26" t="s">
        <v>37</v>
      </c>
      <c r="M335" s="31"/>
      <c r="N335" s="6"/>
      <c r="O335" s="2"/>
      <c r="P335" s="2"/>
      <c r="Q335" s="2"/>
      <c r="R335" s="2"/>
      <c r="S335" s="2"/>
      <c r="T335" s="2"/>
      <c r="U335" s="2"/>
      <c r="V335" s="2"/>
      <c r="W335" s="2"/>
      <c r="X335" s="2"/>
      <c r="Y335" s="2"/>
    </row>
    <row r="336" spans="1:25" ht="12.75" customHeight="1">
      <c r="A336" s="26" t="s">
        <v>1105</v>
      </c>
      <c r="B336" s="27"/>
      <c r="C336" s="28"/>
      <c r="D336" s="27"/>
      <c r="E336" s="27" t="s">
        <v>1106</v>
      </c>
      <c r="F336" s="29" t="s">
        <v>1107</v>
      </c>
      <c r="G336" s="27"/>
      <c r="H336" s="27"/>
      <c r="I336" s="27">
        <v>1</v>
      </c>
      <c r="J336" s="30">
        <v>0</v>
      </c>
      <c r="K336" s="26" t="s">
        <v>36</v>
      </c>
      <c r="L336" s="26" t="s">
        <v>37</v>
      </c>
      <c r="M336" s="31"/>
      <c r="N336" s="6"/>
      <c r="O336" s="2"/>
      <c r="P336" s="2"/>
      <c r="Q336" s="2"/>
      <c r="R336" s="2"/>
      <c r="S336" s="2"/>
      <c r="T336" s="2"/>
      <c r="U336" s="2"/>
      <c r="V336" s="2"/>
      <c r="W336" s="2"/>
      <c r="X336" s="2"/>
      <c r="Y336" s="2"/>
    </row>
    <row r="337" spans="1:25" ht="12.75" customHeight="1">
      <c r="A337" s="26">
        <v>180</v>
      </c>
      <c r="B337" s="27" t="s">
        <v>219</v>
      </c>
      <c r="C337" s="28">
        <v>41635</v>
      </c>
      <c r="D337" s="27"/>
      <c r="E337" s="27" t="s">
        <v>1119</v>
      </c>
      <c r="F337" s="29" t="s">
        <v>1120</v>
      </c>
      <c r="G337" s="27" t="s">
        <v>338</v>
      </c>
      <c r="H337" s="27" t="s">
        <v>19</v>
      </c>
      <c r="I337" s="27">
        <v>1</v>
      </c>
      <c r="J337" s="30">
        <v>706421311</v>
      </c>
      <c r="K337" s="26" t="s">
        <v>206</v>
      </c>
      <c r="L337" s="26" t="s">
        <v>841</v>
      </c>
      <c r="M337" s="31" t="s">
        <v>1121</v>
      </c>
      <c r="N337" s="6"/>
      <c r="O337" s="2"/>
      <c r="P337" s="2"/>
      <c r="Q337" s="2"/>
      <c r="R337" s="2"/>
      <c r="S337" s="2"/>
      <c r="T337" s="2"/>
      <c r="U337" s="2"/>
      <c r="V337" s="2"/>
      <c r="W337" s="2"/>
      <c r="X337" s="2"/>
      <c r="Y337" s="2"/>
    </row>
    <row r="338" spans="1:25" ht="12.75" customHeight="1">
      <c r="A338" s="26">
        <v>181</v>
      </c>
      <c r="B338" s="27" t="s">
        <v>52</v>
      </c>
      <c r="C338" s="28">
        <v>40875</v>
      </c>
      <c r="D338" s="27"/>
      <c r="E338" s="27" t="s">
        <v>1122</v>
      </c>
      <c r="F338" s="29" t="s">
        <v>1123</v>
      </c>
      <c r="G338" s="27"/>
      <c r="H338" s="27" t="s">
        <v>19</v>
      </c>
      <c r="I338" s="27">
        <v>1</v>
      </c>
      <c r="J338" s="30">
        <v>36321486</v>
      </c>
      <c r="K338" s="26" t="s">
        <v>36</v>
      </c>
      <c r="L338" s="26" t="s">
        <v>37</v>
      </c>
      <c r="M338" s="31" t="s">
        <v>1124</v>
      </c>
      <c r="N338" s="6"/>
      <c r="O338" s="2"/>
      <c r="P338" s="2"/>
      <c r="Q338" s="2"/>
      <c r="R338" s="2"/>
      <c r="S338" s="2"/>
      <c r="T338" s="2"/>
      <c r="U338" s="2"/>
      <c r="V338" s="2"/>
      <c r="W338" s="2"/>
      <c r="X338" s="2"/>
      <c r="Y338" s="2"/>
    </row>
    <row r="339" spans="1:25" ht="12.75" customHeight="1">
      <c r="A339" s="26">
        <v>182</v>
      </c>
      <c r="B339" s="27" t="s">
        <v>52</v>
      </c>
      <c r="C339" s="28">
        <v>40875</v>
      </c>
      <c r="D339" s="27"/>
      <c r="E339" s="27" t="s">
        <v>1125</v>
      </c>
      <c r="F339" s="29" t="s">
        <v>1126</v>
      </c>
      <c r="G339" s="27"/>
      <c r="H339" s="27" t="s">
        <v>19</v>
      </c>
      <c r="I339" s="27">
        <v>1</v>
      </c>
      <c r="J339" s="30">
        <v>36321486</v>
      </c>
      <c r="K339" s="26" t="s">
        <v>36</v>
      </c>
      <c r="L339" s="26" t="s">
        <v>37</v>
      </c>
      <c r="M339" s="31" t="s">
        <v>1127</v>
      </c>
      <c r="N339" s="6"/>
      <c r="O339" s="2"/>
      <c r="P339" s="2"/>
      <c r="Q339" s="2"/>
      <c r="R339" s="2"/>
      <c r="S339" s="2"/>
      <c r="T339" s="2"/>
      <c r="U339" s="2"/>
      <c r="V339" s="2"/>
      <c r="W339" s="2"/>
      <c r="X339" s="2"/>
      <c r="Y339" s="2"/>
    </row>
    <row r="340" spans="1:25" ht="12.75" customHeight="1">
      <c r="A340" s="26">
        <v>183</v>
      </c>
      <c r="B340" s="27" t="s">
        <v>52</v>
      </c>
      <c r="C340" s="28">
        <v>40875</v>
      </c>
      <c r="D340" s="27"/>
      <c r="E340" s="27" t="s">
        <v>1128</v>
      </c>
      <c r="F340" s="29" t="s">
        <v>1129</v>
      </c>
      <c r="G340" s="27"/>
      <c r="H340" s="27" t="s">
        <v>19</v>
      </c>
      <c r="I340" s="27">
        <v>1</v>
      </c>
      <c r="J340" s="30">
        <v>36321486</v>
      </c>
      <c r="K340" s="26" t="s">
        <v>36</v>
      </c>
      <c r="L340" s="26" t="s">
        <v>37</v>
      </c>
      <c r="M340" s="31" t="s">
        <v>1130</v>
      </c>
      <c r="N340" s="6"/>
      <c r="O340" s="2"/>
      <c r="P340" s="2"/>
      <c r="Q340" s="2"/>
      <c r="R340" s="2"/>
      <c r="S340" s="2"/>
      <c r="T340" s="2"/>
      <c r="U340" s="2"/>
      <c r="V340" s="2"/>
      <c r="W340" s="2"/>
      <c r="X340" s="2"/>
      <c r="Y340" s="2"/>
    </row>
    <row r="341" spans="1:25" ht="12.75" customHeight="1">
      <c r="A341" s="26">
        <v>184</v>
      </c>
      <c r="B341" s="27" t="s">
        <v>52</v>
      </c>
      <c r="C341" s="28">
        <v>40875</v>
      </c>
      <c r="D341" s="27"/>
      <c r="E341" s="27" t="s">
        <v>1131</v>
      </c>
      <c r="F341" s="29" t="s">
        <v>1132</v>
      </c>
      <c r="G341" s="27"/>
      <c r="H341" s="27" t="s">
        <v>19</v>
      </c>
      <c r="I341" s="27">
        <v>1</v>
      </c>
      <c r="J341" s="30">
        <v>36321487</v>
      </c>
      <c r="K341" s="26" t="s">
        <v>36</v>
      </c>
      <c r="L341" s="26" t="s">
        <v>37</v>
      </c>
      <c r="M341" s="31" t="s">
        <v>1133</v>
      </c>
      <c r="N341" s="6"/>
      <c r="O341" s="2"/>
      <c r="P341" s="2"/>
      <c r="Q341" s="2"/>
      <c r="R341" s="2"/>
      <c r="S341" s="2"/>
      <c r="T341" s="2"/>
      <c r="U341" s="2"/>
      <c r="V341" s="2"/>
      <c r="W341" s="2"/>
      <c r="X341" s="2"/>
      <c r="Y341" s="2"/>
    </row>
    <row r="342" spans="1:25" ht="12.75" customHeight="1">
      <c r="A342" s="26">
        <v>185</v>
      </c>
      <c r="B342" s="27" t="s">
        <v>815</v>
      </c>
      <c r="C342" s="28">
        <v>39813</v>
      </c>
      <c r="D342" s="27"/>
      <c r="E342" s="27" t="s">
        <v>1134</v>
      </c>
      <c r="F342" s="29" t="s">
        <v>1135</v>
      </c>
      <c r="G342" s="27" t="s">
        <v>338</v>
      </c>
      <c r="H342" s="27" t="s">
        <v>249</v>
      </c>
      <c r="I342" s="27">
        <v>1</v>
      </c>
      <c r="J342" s="30">
        <v>154746685</v>
      </c>
      <c r="K342" s="26" t="s">
        <v>206</v>
      </c>
      <c r="L342" s="26" t="s">
        <v>841</v>
      </c>
      <c r="M342" s="31" t="s">
        <v>1136</v>
      </c>
      <c r="N342" s="6"/>
      <c r="O342" s="2"/>
      <c r="P342" s="2"/>
      <c r="Q342" s="2"/>
      <c r="R342" s="2"/>
      <c r="S342" s="2"/>
      <c r="T342" s="2"/>
      <c r="U342" s="2"/>
      <c r="V342" s="2"/>
      <c r="W342" s="2"/>
      <c r="X342" s="2"/>
      <c r="Y342" s="2"/>
    </row>
    <row r="343" spans="1:25" ht="38.25" customHeight="1">
      <c r="A343" s="26">
        <v>187</v>
      </c>
      <c r="B343" s="27" t="s">
        <v>52</v>
      </c>
      <c r="C343" s="28">
        <v>40875</v>
      </c>
      <c r="D343" s="27"/>
      <c r="E343" s="27" t="s">
        <v>1140</v>
      </c>
      <c r="F343" s="29" t="s">
        <v>1141</v>
      </c>
      <c r="G343" s="27"/>
      <c r="H343" s="27" t="s">
        <v>19</v>
      </c>
      <c r="I343" s="27">
        <v>1</v>
      </c>
      <c r="J343" s="30">
        <v>34976245</v>
      </c>
      <c r="K343" s="26" t="s">
        <v>36</v>
      </c>
      <c r="L343" s="26" t="s">
        <v>37</v>
      </c>
      <c r="M343" s="31" t="s">
        <v>1142</v>
      </c>
      <c r="N343" s="6"/>
      <c r="O343" s="2"/>
      <c r="P343" s="2"/>
      <c r="Q343" s="2"/>
      <c r="R343" s="2"/>
      <c r="S343" s="2"/>
      <c r="T343" s="2"/>
      <c r="U343" s="2"/>
      <c r="V343" s="2"/>
      <c r="W343" s="2"/>
      <c r="X343" s="2"/>
      <c r="Y343" s="2"/>
    </row>
    <row r="344" spans="1:25" ht="25.5" customHeight="1">
      <c r="A344" s="26">
        <v>188</v>
      </c>
      <c r="B344" s="27" t="s">
        <v>1143</v>
      </c>
      <c r="C344" s="28">
        <v>43343</v>
      </c>
      <c r="D344" s="27"/>
      <c r="E344" s="27" t="s">
        <v>1144</v>
      </c>
      <c r="F344" s="29" t="s">
        <v>1145</v>
      </c>
      <c r="G344" s="27" t="s">
        <v>35</v>
      </c>
      <c r="H344" s="27" t="s">
        <v>19</v>
      </c>
      <c r="I344" s="27">
        <v>1</v>
      </c>
      <c r="J344" s="30">
        <v>220000000</v>
      </c>
      <c r="K344" s="26" t="s">
        <v>36</v>
      </c>
      <c r="L344" s="26" t="s">
        <v>1146</v>
      </c>
      <c r="M344" s="31" t="s">
        <v>1147</v>
      </c>
      <c r="N344" s="6"/>
      <c r="O344" s="2"/>
      <c r="P344" s="2"/>
      <c r="Q344" s="2"/>
      <c r="R344" s="2"/>
      <c r="S344" s="2"/>
      <c r="T344" s="2"/>
      <c r="U344" s="2"/>
      <c r="V344" s="2"/>
      <c r="W344" s="2"/>
      <c r="X344" s="2"/>
      <c r="Y344" s="2"/>
    </row>
    <row r="345" spans="1:25" ht="12.75" customHeight="1">
      <c r="A345" s="26">
        <v>189</v>
      </c>
      <c r="B345" s="27" t="s">
        <v>1143</v>
      </c>
      <c r="C345" s="28">
        <v>43343</v>
      </c>
      <c r="D345" s="27"/>
      <c r="E345" s="27" t="s">
        <v>1148</v>
      </c>
      <c r="F345" s="29" t="s">
        <v>1149</v>
      </c>
      <c r="G345" s="27" t="s">
        <v>35</v>
      </c>
      <c r="H345" s="27" t="s">
        <v>19</v>
      </c>
      <c r="I345" s="27">
        <v>1</v>
      </c>
      <c r="J345" s="30">
        <v>220000000</v>
      </c>
      <c r="K345" s="26" t="s">
        <v>36</v>
      </c>
      <c r="L345" s="26" t="s">
        <v>1146</v>
      </c>
      <c r="M345" s="31" t="s">
        <v>1150</v>
      </c>
      <c r="N345" s="6"/>
      <c r="O345" s="2"/>
      <c r="P345" s="2"/>
      <c r="Q345" s="2"/>
      <c r="R345" s="2"/>
      <c r="S345" s="2"/>
      <c r="T345" s="2"/>
      <c r="U345" s="2"/>
      <c r="V345" s="2"/>
      <c r="W345" s="2"/>
      <c r="X345" s="2"/>
      <c r="Y345" s="2"/>
    </row>
    <row r="346" spans="1:25" ht="12.75" customHeight="1">
      <c r="A346" s="26">
        <v>190</v>
      </c>
      <c r="B346" s="27" t="s">
        <v>1151</v>
      </c>
      <c r="C346" s="28">
        <v>39813</v>
      </c>
      <c r="D346" s="27"/>
      <c r="E346" s="27" t="s">
        <v>1152</v>
      </c>
      <c r="F346" s="29" t="s">
        <v>1153</v>
      </c>
      <c r="G346" s="27" t="s">
        <v>55</v>
      </c>
      <c r="H346" s="27" t="s">
        <v>249</v>
      </c>
      <c r="I346" s="27">
        <v>1</v>
      </c>
      <c r="J346" s="30">
        <v>381109057</v>
      </c>
      <c r="K346" s="26" t="s">
        <v>36</v>
      </c>
      <c r="L346" s="26" t="s">
        <v>37</v>
      </c>
      <c r="M346" s="31" t="s">
        <v>1154</v>
      </c>
      <c r="N346" s="6"/>
      <c r="O346" s="2"/>
      <c r="P346" s="2"/>
      <c r="Q346" s="2"/>
      <c r="R346" s="2"/>
      <c r="S346" s="2"/>
      <c r="T346" s="2"/>
      <c r="U346" s="2"/>
      <c r="V346" s="2"/>
      <c r="W346" s="2"/>
      <c r="X346" s="2"/>
      <c r="Y346" s="2"/>
    </row>
    <row r="347" spans="1:25" ht="12.75" customHeight="1">
      <c r="A347" s="26">
        <v>191</v>
      </c>
      <c r="B347" s="27" t="s">
        <v>52</v>
      </c>
      <c r="C347" s="28">
        <v>40875</v>
      </c>
      <c r="D347" s="27"/>
      <c r="E347" s="27" t="s">
        <v>1155</v>
      </c>
      <c r="F347" s="29" t="s">
        <v>1156</v>
      </c>
      <c r="G347" s="27"/>
      <c r="H347" s="27" t="s">
        <v>1157</v>
      </c>
      <c r="I347" s="27">
        <v>1</v>
      </c>
      <c r="J347" s="30">
        <v>3259898226</v>
      </c>
      <c r="K347" s="26" t="s">
        <v>36</v>
      </c>
      <c r="L347" s="26" t="s">
        <v>37</v>
      </c>
      <c r="M347" s="31" t="s">
        <v>1158</v>
      </c>
      <c r="N347" s="6"/>
      <c r="O347" s="2"/>
      <c r="P347" s="2"/>
      <c r="Q347" s="2"/>
      <c r="R347" s="2"/>
      <c r="S347" s="2"/>
      <c r="T347" s="2"/>
      <c r="U347" s="2"/>
      <c r="V347" s="2"/>
      <c r="W347" s="2"/>
      <c r="X347" s="2"/>
      <c r="Y347" s="2"/>
    </row>
    <row r="348" spans="1:25" ht="38.25" customHeight="1">
      <c r="A348" s="26" t="s">
        <v>1159</v>
      </c>
      <c r="B348" s="27"/>
      <c r="C348" s="28"/>
      <c r="D348" s="27"/>
      <c r="E348" s="27" t="s">
        <v>1160</v>
      </c>
      <c r="F348" s="29" t="s">
        <v>1161</v>
      </c>
      <c r="G348" s="27"/>
      <c r="H348" s="27"/>
      <c r="I348" s="27">
        <v>1</v>
      </c>
      <c r="J348" s="30">
        <v>2381075205</v>
      </c>
      <c r="K348" s="26" t="s">
        <v>36</v>
      </c>
      <c r="L348" s="26" t="s">
        <v>37</v>
      </c>
      <c r="M348" s="31"/>
      <c r="N348" s="6"/>
      <c r="O348" s="2"/>
      <c r="P348" s="2"/>
      <c r="Q348" s="2"/>
      <c r="R348" s="2"/>
      <c r="S348" s="2"/>
      <c r="T348" s="2"/>
      <c r="U348" s="2"/>
      <c r="V348" s="2"/>
      <c r="W348" s="2"/>
      <c r="X348" s="2"/>
      <c r="Y348" s="2"/>
    </row>
    <row r="349" spans="1:25" ht="25.5" customHeight="1">
      <c r="A349" s="26" t="s">
        <v>1162</v>
      </c>
      <c r="B349" s="27"/>
      <c r="C349" s="28"/>
      <c r="D349" s="27"/>
      <c r="E349" s="27" t="s">
        <v>1163</v>
      </c>
      <c r="F349" s="29" t="s">
        <v>1164</v>
      </c>
      <c r="G349" s="27"/>
      <c r="H349" s="27"/>
      <c r="I349" s="27">
        <v>1</v>
      </c>
      <c r="J349" s="30">
        <v>50894922</v>
      </c>
      <c r="K349" s="26" t="s">
        <v>36</v>
      </c>
      <c r="L349" s="26" t="s">
        <v>37</v>
      </c>
      <c r="M349" s="31"/>
      <c r="N349" s="6"/>
      <c r="O349" s="2"/>
      <c r="P349" s="2"/>
      <c r="Q349" s="2"/>
      <c r="R349" s="2"/>
      <c r="S349" s="2"/>
      <c r="T349" s="2"/>
      <c r="U349" s="2"/>
      <c r="V349" s="2"/>
      <c r="W349" s="2"/>
      <c r="X349" s="2"/>
      <c r="Y349" s="2"/>
    </row>
    <row r="350" spans="1:25" ht="25.5" customHeight="1">
      <c r="A350" s="26" t="s">
        <v>1165</v>
      </c>
      <c r="B350" s="27"/>
      <c r="C350" s="28"/>
      <c r="D350" s="27"/>
      <c r="E350" s="27" t="s">
        <v>1166</v>
      </c>
      <c r="F350" s="29" t="s">
        <v>1167</v>
      </c>
      <c r="G350" s="27"/>
      <c r="H350" s="27"/>
      <c r="I350" s="27">
        <v>1</v>
      </c>
      <c r="J350" s="30">
        <v>50894922</v>
      </c>
      <c r="K350" s="26" t="s">
        <v>36</v>
      </c>
      <c r="L350" s="26" t="s">
        <v>37</v>
      </c>
      <c r="M350" s="31"/>
      <c r="N350" s="6"/>
      <c r="O350" s="2"/>
      <c r="P350" s="2"/>
      <c r="Q350" s="2"/>
      <c r="R350" s="2"/>
      <c r="S350" s="2"/>
      <c r="T350" s="2"/>
      <c r="U350" s="2"/>
      <c r="V350" s="2"/>
      <c r="W350" s="2"/>
      <c r="X350" s="2"/>
      <c r="Y350" s="2"/>
    </row>
    <row r="351" spans="1:25" ht="25.5" customHeight="1">
      <c r="A351" s="26" t="s">
        <v>1168</v>
      </c>
      <c r="B351" s="27"/>
      <c r="C351" s="28"/>
      <c r="D351" s="27"/>
      <c r="E351" s="27" t="s">
        <v>1169</v>
      </c>
      <c r="F351" s="29" t="s">
        <v>1170</v>
      </c>
      <c r="G351" s="27"/>
      <c r="H351" s="27"/>
      <c r="I351" s="27">
        <v>1</v>
      </c>
      <c r="J351" s="30">
        <v>50894922</v>
      </c>
      <c r="K351" s="26" t="s">
        <v>36</v>
      </c>
      <c r="L351" s="26" t="s">
        <v>37</v>
      </c>
      <c r="M351" s="31"/>
      <c r="N351" s="6"/>
      <c r="O351" s="2"/>
      <c r="P351" s="2"/>
      <c r="Q351" s="2"/>
      <c r="R351" s="2"/>
      <c r="S351" s="2"/>
      <c r="T351" s="2"/>
      <c r="U351" s="2"/>
      <c r="V351" s="2"/>
      <c r="W351" s="2"/>
      <c r="X351" s="2"/>
      <c r="Y351" s="2"/>
    </row>
    <row r="352" spans="1:25" ht="12.75" customHeight="1">
      <c r="A352" s="26" t="s">
        <v>1171</v>
      </c>
      <c r="B352" s="27"/>
      <c r="C352" s="28"/>
      <c r="D352" s="27"/>
      <c r="E352" s="27" t="s">
        <v>1172</v>
      </c>
      <c r="F352" s="29" t="s">
        <v>1173</v>
      </c>
      <c r="G352" s="27"/>
      <c r="H352" s="27"/>
      <c r="I352" s="27">
        <v>1</v>
      </c>
      <c r="J352" s="30">
        <v>53293934</v>
      </c>
      <c r="K352" s="26" t="s">
        <v>36</v>
      </c>
      <c r="L352" s="26" t="s">
        <v>37</v>
      </c>
      <c r="M352" s="31"/>
      <c r="N352" s="6"/>
      <c r="O352" s="2"/>
      <c r="P352" s="2"/>
      <c r="Q352" s="2"/>
      <c r="R352" s="2"/>
      <c r="S352" s="2"/>
      <c r="T352" s="2"/>
      <c r="U352" s="2"/>
      <c r="V352" s="2"/>
      <c r="W352" s="2"/>
      <c r="X352" s="2"/>
      <c r="Y352" s="2"/>
    </row>
    <row r="353" spans="1:25" ht="12.75" customHeight="1">
      <c r="A353" s="26" t="s">
        <v>1174</v>
      </c>
      <c r="B353" s="27"/>
      <c r="C353" s="28"/>
      <c r="D353" s="27"/>
      <c r="E353" s="27" t="s">
        <v>1175</v>
      </c>
      <c r="F353" s="29" t="s">
        <v>1176</v>
      </c>
      <c r="G353" s="27"/>
      <c r="H353" s="27"/>
      <c r="I353" s="27">
        <v>1</v>
      </c>
      <c r="J353" s="30">
        <v>46859201</v>
      </c>
      <c r="K353" s="26" t="s">
        <v>36</v>
      </c>
      <c r="L353" s="26" t="s">
        <v>37</v>
      </c>
      <c r="M353" s="31"/>
      <c r="N353" s="6"/>
      <c r="O353" s="2"/>
      <c r="P353" s="2"/>
      <c r="Q353" s="2"/>
      <c r="R353" s="2"/>
      <c r="S353" s="2"/>
      <c r="T353" s="2"/>
      <c r="U353" s="2"/>
      <c r="V353" s="2"/>
      <c r="W353" s="2"/>
      <c r="X353" s="2"/>
      <c r="Y353" s="2"/>
    </row>
    <row r="354" spans="1:25" ht="12.75" customHeight="1">
      <c r="A354" s="26" t="s">
        <v>1177</v>
      </c>
      <c r="B354" s="27"/>
      <c r="C354" s="28"/>
      <c r="D354" s="27"/>
      <c r="E354" s="27" t="s">
        <v>1178</v>
      </c>
      <c r="F354" s="29" t="s">
        <v>1179</v>
      </c>
      <c r="G354" s="27"/>
      <c r="H354" s="27"/>
      <c r="I354" s="27">
        <v>1</v>
      </c>
      <c r="J354" s="30">
        <v>54258023</v>
      </c>
      <c r="K354" s="26" t="s">
        <v>36</v>
      </c>
      <c r="L354" s="26" t="s">
        <v>37</v>
      </c>
      <c r="M354" s="31"/>
      <c r="N354" s="6"/>
      <c r="O354" s="2"/>
      <c r="P354" s="2"/>
      <c r="Q354" s="2"/>
      <c r="R354" s="2"/>
      <c r="S354" s="2"/>
      <c r="T354" s="2"/>
      <c r="U354" s="2"/>
      <c r="V354" s="2"/>
      <c r="W354" s="2"/>
      <c r="X354" s="2"/>
      <c r="Y354" s="2"/>
    </row>
    <row r="355" spans="1:25" ht="25.5" customHeight="1">
      <c r="A355" s="26">
        <v>192</v>
      </c>
      <c r="B355" s="27" t="s">
        <v>599</v>
      </c>
      <c r="C355" s="28">
        <v>42671</v>
      </c>
      <c r="D355" s="27"/>
      <c r="E355" s="27" t="s">
        <v>1180</v>
      </c>
      <c r="F355" s="29" t="s">
        <v>1181</v>
      </c>
      <c r="G355" s="27" t="s">
        <v>55</v>
      </c>
      <c r="H355" s="27" t="s">
        <v>157</v>
      </c>
      <c r="I355" s="27">
        <v>1</v>
      </c>
      <c r="J355" s="30">
        <v>6994081260</v>
      </c>
      <c r="K355" s="26" t="s">
        <v>36</v>
      </c>
      <c r="L355" s="26" t="s">
        <v>37</v>
      </c>
      <c r="M355" s="31" t="s">
        <v>1182</v>
      </c>
      <c r="N355" s="6"/>
      <c r="O355" s="2"/>
      <c r="P355" s="2"/>
      <c r="Q355" s="2"/>
      <c r="R355" s="2"/>
      <c r="S355" s="2"/>
      <c r="T355" s="2"/>
      <c r="U355" s="2"/>
      <c r="V355" s="2"/>
      <c r="W355" s="2"/>
      <c r="X355" s="2"/>
      <c r="Y355" s="2"/>
    </row>
    <row r="356" spans="1:25" ht="25.5" customHeight="1">
      <c r="A356" s="26" t="s">
        <v>1183</v>
      </c>
      <c r="B356" s="27"/>
      <c r="C356" s="28"/>
      <c r="D356" s="27"/>
      <c r="E356" s="27" t="s">
        <v>1184</v>
      </c>
      <c r="F356" s="29" t="s">
        <v>1185</v>
      </c>
      <c r="G356" s="27"/>
      <c r="H356" s="27" t="s">
        <v>19</v>
      </c>
      <c r="I356" s="27">
        <v>1</v>
      </c>
      <c r="J356" s="30">
        <v>0</v>
      </c>
      <c r="K356" s="26" t="s">
        <v>36</v>
      </c>
      <c r="L356" s="26" t="s">
        <v>37</v>
      </c>
      <c r="M356" s="31"/>
      <c r="N356" s="6"/>
      <c r="O356" s="2"/>
      <c r="P356" s="2"/>
      <c r="Q356" s="2"/>
      <c r="R356" s="2"/>
      <c r="S356" s="2"/>
      <c r="T356" s="2"/>
      <c r="U356" s="2"/>
      <c r="V356" s="2"/>
      <c r="W356" s="2"/>
      <c r="X356" s="2"/>
      <c r="Y356" s="2"/>
    </row>
    <row r="357" spans="1:25" ht="25.5" customHeight="1">
      <c r="A357" s="26" t="s">
        <v>1186</v>
      </c>
      <c r="B357" s="27"/>
      <c r="C357" s="28"/>
      <c r="D357" s="27"/>
      <c r="E357" s="27" t="s">
        <v>1187</v>
      </c>
      <c r="F357" s="29" t="s">
        <v>1188</v>
      </c>
      <c r="G357" s="27"/>
      <c r="H357" s="27" t="s">
        <v>19</v>
      </c>
      <c r="I357" s="27">
        <v>1</v>
      </c>
      <c r="J357" s="30">
        <v>0</v>
      </c>
      <c r="K357" s="26" t="s">
        <v>36</v>
      </c>
      <c r="L357" s="26" t="s">
        <v>37</v>
      </c>
      <c r="M357" s="31"/>
      <c r="N357" s="6"/>
      <c r="O357" s="2"/>
      <c r="P357" s="2"/>
      <c r="Q357" s="2"/>
      <c r="R357" s="2"/>
      <c r="S357" s="2"/>
      <c r="T357" s="2"/>
      <c r="U357" s="2"/>
      <c r="V357" s="2"/>
      <c r="W357" s="2"/>
      <c r="X357" s="2"/>
      <c r="Y357" s="2"/>
    </row>
    <row r="358" spans="1:25" ht="25.5" customHeight="1">
      <c r="A358" s="26" t="s">
        <v>1189</v>
      </c>
      <c r="B358" s="27"/>
      <c r="C358" s="28"/>
      <c r="D358" s="27"/>
      <c r="E358" s="27" t="s">
        <v>1190</v>
      </c>
      <c r="F358" s="29" t="s">
        <v>1191</v>
      </c>
      <c r="G358" s="27"/>
      <c r="H358" s="27" t="s">
        <v>19</v>
      </c>
      <c r="I358" s="27">
        <v>1</v>
      </c>
      <c r="J358" s="30">
        <v>0</v>
      </c>
      <c r="K358" s="26" t="s">
        <v>36</v>
      </c>
      <c r="L358" s="26" t="s">
        <v>37</v>
      </c>
      <c r="M358" s="31"/>
      <c r="N358" s="6"/>
      <c r="O358" s="2"/>
      <c r="P358" s="2"/>
      <c r="Q358" s="2"/>
      <c r="R358" s="2"/>
      <c r="S358" s="2"/>
      <c r="T358" s="2"/>
      <c r="U358" s="2"/>
      <c r="V358" s="2"/>
      <c r="W358" s="2"/>
      <c r="X358" s="2"/>
      <c r="Y358" s="2"/>
    </row>
    <row r="359" spans="1:25" ht="12.75" customHeight="1">
      <c r="A359" s="26">
        <v>193</v>
      </c>
      <c r="B359" s="27" t="s">
        <v>1192</v>
      </c>
      <c r="C359" s="28">
        <v>41918</v>
      </c>
      <c r="D359" s="27"/>
      <c r="E359" s="27" t="s">
        <v>1193</v>
      </c>
      <c r="F359" s="29" t="s">
        <v>1194</v>
      </c>
      <c r="G359" s="27" t="s">
        <v>248</v>
      </c>
      <c r="H359" s="27" t="s">
        <v>249</v>
      </c>
      <c r="I359" s="27">
        <v>1</v>
      </c>
      <c r="J359" s="30">
        <v>34350000</v>
      </c>
      <c r="K359" s="26" t="s">
        <v>1195</v>
      </c>
      <c r="L359" s="26" t="s">
        <v>1196</v>
      </c>
      <c r="M359" s="31" t="s">
        <v>1197</v>
      </c>
      <c r="N359" s="6"/>
      <c r="O359" s="2"/>
      <c r="P359" s="2"/>
      <c r="Q359" s="2"/>
      <c r="R359" s="2"/>
      <c r="S359" s="2"/>
      <c r="T359" s="2"/>
      <c r="U359" s="2"/>
      <c r="V359" s="2"/>
      <c r="W359" s="2"/>
      <c r="X359" s="2"/>
      <c r="Y359" s="2"/>
    </row>
    <row r="360" spans="1:25" ht="12.75" customHeight="1">
      <c r="A360" s="26">
        <v>194</v>
      </c>
      <c r="B360" s="27" t="s">
        <v>1198</v>
      </c>
      <c r="C360" s="28">
        <v>36160</v>
      </c>
      <c r="D360" s="27" t="s">
        <v>1199</v>
      </c>
      <c r="E360" s="27" t="s">
        <v>1200</v>
      </c>
      <c r="F360" s="29" t="s">
        <v>1201</v>
      </c>
      <c r="G360" s="27"/>
      <c r="H360" s="27" t="s">
        <v>249</v>
      </c>
      <c r="I360" s="27">
        <v>1</v>
      </c>
      <c r="J360" s="30">
        <v>44585475</v>
      </c>
      <c r="K360" s="26" t="s">
        <v>20</v>
      </c>
      <c r="L360" s="36" t="s">
        <v>229</v>
      </c>
      <c r="M360" s="31" t="s">
        <v>1224</v>
      </c>
      <c r="N360" s="6"/>
      <c r="O360" s="2"/>
      <c r="P360" s="2"/>
      <c r="Q360" s="2"/>
      <c r="R360" s="2"/>
      <c r="S360" s="2"/>
      <c r="T360" s="2"/>
      <c r="U360" s="2"/>
      <c r="V360" s="2"/>
      <c r="W360" s="2"/>
      <c r="X360" s="2"/>
      <c r="Y360" s="2"/>
    </row>
    <row r="361" spans="1:25" ht="12.75" customHeight="1">
      <c r="A361" s="26" t="s">
        <v>1202</v>
      </c>
      <c r="B361" s="27"/>
      <c r="C361" s="28"/>
      <c r="D361" s="27"/>
      <c r="E361" s="27" t="s">
        <v>1203</v>
      </c>
      <c r="F361" s="29" t="s">
        <v>1204</v>
      </c>
      <c r="G361" s="27"/>
      <c r="H361" s="27"/>
      <c r="I361" s="27">
        <v>1</v>
      </c>
      <c r="J361" s="30"/>
      <c r="K361" s="26" t="s">
        <v>20</v>
      </c>
      <c r="L361" s="36" t="s">
        <v>229</v>
      </c>
      <c r="M361" s="31" t="s">
        <v>1224</v>
      </c>
      <c r="N361" s="6"/>
      <c r="O361" s="2"/>
      <c r="P361" s="2"/>
      <c r="Q361" s="2"/>
      <c r="R361" s="2"/>
      <c r="S361" s="2"/>
      <c r="T361" s="2"/>
      <c r="U361" s="2"/>
      <c r="V361" s="2"/>
      <c r="W361" s="2"/>
      <c r="X361" s="2"/>
      <c r="Y361" s="2"/>
    </row>
    <row r="362" spans="1:25" ht="25.5" customHeight="1">
      <c r="A362" s="26">
        <v>195</v>
      </c>
      <c r="B362" s="27" t="s">
        <v>304</v>
      </c>
      <c r="C362" s="28">
        <v>41073</v>
      </c>
      <c r="D362" s="27"/>
      <c r="E362" s="27" t="s">
        <v>1205</v>
      </c>
      <c r="F362" s="29" t="s">
        <v>1206</v>
      </c>
      <c r="G362" s="27" t="s">
        <v>1008</v>
      </c>
      <c r="H362" s="27" t="s">
        <v>1157</v>
      </c>
      <c r="I362" s="27">
        <v>1</v>
      </c>
      <c r="J362" s="30">
        <v>802635356</v>
      </c>
      <c r="K362" s="26" t="s">
        <v>36</v>
      </c>
      <c r="L362" s="26" t="s">
        <v>37</v>
      </c>
      <c r="M362" s="31" t="s">
        <v>1207</v>
      </c>
      <c r="N362" s="6"/>
      <c r="O362" s="2"/>
      <c r="P362" s="2"/>
      <c r="Q362" s="2"/>
      <c r="R362" s="2"/>
      <c r="S362" s="2"/>
      <c r="T362" s="2"/>
      <c r="U362" s="2"/>
      <c r="V362" s="2"/>
      <c r="W362" s="2"/>
      <c r="X362" s="2"/>
      <c r="Y362" s="2"/>
    </row>
    <row r="363" spans="1:25" ht="38.25" customHeight="1">
      <c r="A363" s="26">
        <v>196</v>
      </c>
      <c r="B363" s="27" t="s">
        <v>1208</v>
      </c>
      <c r="C363" s="28">
        <v>41193</v>
      </c>
      <c r="D363" s="27"/>
      <c r="E363" s="27" t="s">
        <v>1209</v>
      </c>
      <c r="F363" s="29" t="s">
        <v>1210</v>
      </c>
      <c r="G363" s="27" t="s">
        <v>248</v>
      </c>
      <c r="H363" s="27" t="s">
        <v>19</v>
      </c>
      <c r="I363" s="27">
        <v>1</v>
      </c>
      <c r="J363" s="30">
        <v>59593500</v>
      </c>
      <c r="K363" s="26" t="s">
        <v>20</v>
      </c>
      <c r="L363" s="26" t="s">
        <v>423</v>
      </c>
      <c r="M363" s="31" t="s">
        <v>5199</v>
      </c>
      <c r="N363" s="6"/>
      <c r="O363" s="2"/>
      <c r="P363" s="2"/>
      <c r="Q363" s="2"/>
      <c r="R363" s="2"/>
      <c r="S363" s="2"/>
      <c r="T363" s="2"/>
      <c r="U363" s="2"/>
      <c r="V363" s="2"/>
      <c r="W363" s="2"/>
      <c r="X363" s="2"/>
      <c r="Y363" s="2"/>
    </row>
    <row r="364" spans="1:25" ht="38.25" customHeight="1">
      <c r="A364" s="26">
        <v>197</v>
      </c>
      <c r="B364" s="27" t="s">
        <v>1208</v>
      </c>
      <c r="C364" s="28">
        <v>41193</v>
      </c>
      <c r="D364" s="27"/>
      <c r="E364" s="27" t="s">
        <v>1214</v>
      </c>
      <c r="F364" s="29" t="s">
        <v>1215</v>
      </c>
      <c r="G364" s="27" t="s">
        <v>248</v>
      </c>
      <c r="H364" s="27" t="s">
        <v>19</v>
      </c>
      <c r="I364" s="27">
        <v>1</v>
      </c>
      <c r="J364" s="30">
        <v>59593500</v>
      </c>
      <c r="K364" s="26" t="s">
        <v>20</v>
      </c>
      <c r="L364" s="26" t="s">
        <v>233</v>
      </c>
      <c r="M364" s="31" t="s">
        <v>5200</v>
      </c>
      <c r="N364" s="6"/>
      <c r="O364" s="2"/>
      <c r="P364" s="2"/>
      <c r="Q364" s="2"/>
      <c r="R364" s="2"/>
      <c r="S364" s="2"/>
      <c r="T364" s="2"/>
      <c r="U364" s="2"/>
      <c r="V364" s="2"/>
      <c r="W364" s="2"/>
      <c r="X364" s="2"/>
      <c r="Y364" s="2"/>
    </row>
    <row r="365" spans="1:25" ht="25.5" customHeight="1">
      <c r="A365" s="26">
        <v>198</v>
      </c>
      <c r="B365" s="27" t="s">
        <v>1217</v>
      </c>
      <c r="C365" s="28">
        <v>38189</v>
      </c>
      <c r="D365" s="27" t="s">
        <v>1218</v>
      </c>
      <c r="E365" s="27" t="s">
        <v>1219</v>
      </c>
      <c r="F365" s="29" t="s">
        <v>1220</v>
      </c>
      <c r="G365" s="27"/>
      <c r="H365" s="27"/>
      <c r="I365" s="27">
        <v>1</v>
      </c>
      <c r="J365" s="30">
        <v>109060790</v>
      </c>
      <c r="K365" s="26" t="s">
        <v>36</v>
      </c>
      <c r="L365" s="26" t="s">
        <v>37</v>
      </c>
      <c r="M365" s="31" t="s">
        <v>1221</v>
      </c>
      <c r="N365" s="6"/>
      <c r="O365" s="2"/>
      <c r="P365" s="2"/>
      <c r="Q365" s="2"/>
      <c r="R365" s="2"/>
      <c r="S365" s="2"/>
      <c r="T365" s="2"/>
      <c r="U365" s="2"/>
      <c r="V365" s="2"/>
      <c r="W365" s="2"/>
      <c r="X365" s="2"/>
      <c r="Y365" s="2"/>
    </row>
    <row r="366" spans="1:25" ht="51" customHeight="1">
      <c r="A366" s="26">
        <v>199</v>
      </c>
      <c r="B366" s="27" t="s">
        <v>884</v>
      </c>
      <c r="C366" s="28">
        <v>40639</v>
      </c>
      <c r="D366" s="27"/>
      <c r="E366" s="27" t="s">
        <v>1222</v>
      </c>
      <c r="F366" s="29" t="s">
        <v>1223</v>
      </c>
      <c r="G366" s="27"/>
      <c r="H366" s="27" t="s">
        <v>157</v>
      </c>
      <c r="I366" s="27">
        <v>1</v>
      </c>
      <c r="J366" s="30">
        <v>153553733</v>
      </c>
      <c r="K366" s="26" t="s">
        <v>20</v>
      </c>
      <c r="L366" s="36" t="s">
        <v>229</v>
      </c>
      <c r="M366" s="57" t="s">
        <v>5201</v>
      </c>
      <c r="N366" s="6" t="s">
        <v>1224</v>
      </c>
      <c r="O366" s="2"/>
      <c r="P366" s="2"/>
      <c r="Q366" s="2"/>
      <c r="R366" s="2"/>
      <c r="S366" s="2"/>
      <c r="T366" s="2"/>
      <c r="U366" s="2"/>
      <c r="V366" s="2"/>
      <c r="W366" s="2"/>
      <c r="X366" s="2"/>
      <c r="Y366" s="2"/>
    </row>
    <row r="367" spans="1:25" ht="51" customHeight="1">
      <c r="A367" s="26" t="s">
        <v>1225</v>
      </c>
      <c r="B367" s="27"/>
      <c r="C367" s="28"/>
      <c r="D367" s="27"/>
      <c r="E367" s="27" t="s">
        <v>1226</v>
      </c>
      <c r="F367" s="29" t="s">
        <v>1227</v>
      </c>
      <c r="G367" s="27"/>
      <c r="H367" s="27"/>
      <c r="I367" s="27">
        <v>1</v>
      </c>
      <c r="J367" s="30">
        <v>12862200</v>
      </c>
      <c r="K367" s="26" t="s">
        <v>20</v>
      </c>
      <c r="L367" s="36" t="s">
        <v>229</v>
      </c>
      <c r="M367" s="57" t="s">
        <v>5201</v>
      </c>
      <c r="N367" s="6" t="s">
        <v>1224</v>
      </c>
      <c r="O367" s="2"/>
      <c r="P367" s="2"/>
      <c r="Q367" s="2"/>
      <c r="R367" s="2"/>
      <c r="S367" s="2"/>
      <c r="T367" s="2"/>
      <c r="U367" s="2"/>
      <c r="V367" s="2"/>
      <c r="W367" s="2"/>
      <c r="X367" s="2"/>
      <c r="Y367" s="2"/>
    </row>
    <row r="368" spans="1:25" ht="51" customHeight="1">
      <c r="A368" s="26" t="s">
        <v>1228</v>
      </c>
      <c r="B368" s="27"/>
      <c r="C368" s="28"/>
      <c r="D368" s="27"/>
      <c r="E368" s="27" t="s">
        <v>1229</v>
      </c>
      <c r="F368" s="29" t="s">
        <v>1230</v>
      </c>
      <c r="G368" s="27"/>
      <c r="H368" s="27"/>
      <c r="I368" s="27">
        <v>1</v>
      </c>
      <c r="J368" s="30">
        <v>12862200</v>
      </c>
      <c r="K368" s="26" t="s">
        <v>20</v>
      </c>
      <c r="L368" s="36" t="s">
        <v>229</v>
      </c>
      <c r="M368" s="57" t="s">
        <v>5201</v>
      </c>
      <c r="N368" s="6" t="s">
        <v>1224</v>
      </c>
      <c r="O368" s="2"/>
      <c r="P368" s="2"/>
      <c r="Q368" s="2"/>
      <c r="R368" s="2"/>
      <c r="S368" s="2"/>
      <c r="T368" s="2"/>
      <c r="U368" s="2"/>
      <c r="V368" s="2"/>
      <c r="W368" s="2"/>
      <c r="X368" s="2"/>
      <c r="Y368" s="2"/>
    </row>
    <row r="369" spans="1:25" ht="51" customHeight="1">
      <c r="A369" s="26" t="s">
        <v>1231</v>
      </c>
      <c r="B369" s="27"/>
      <c r="C369" s="28"/>
      <c r="D369" s="27"/>
      <c r="E369" s="27" t="s">
        <v>1232</v>
      </c>
      <c r="F369" s="29" t="s">
        <v>1233</v>
      </c>
      <c r="G369" s="27"/>
      <c r="H369" s="27"/>
      <c r="I369" s="27">
        <v>1</v>
      </c>
      <c r="J369" s="30">
        <v>12862200</v>
      </c>
      <c r="K369" s="26" t="s">
        <v>20</v>
      </c>
      <c r="L369" s="36" t="s">
        <v>229</v>
      </c>
      <c r="M369" s="31" t="s">
        <v>5180</v>
      </c>
      <c r="N369" s="6" t="s">
        <v>1234</v>
      </c>
      <c r="O369" s="2"/>
      <c r="P369" s="2"/>
      <c r="Q369" s="2"/>
      <c r="R369" s="2"/>
      <c r="S369" s="2"/>
      <c r="T369" s="2"/>
      <c r="U369" s="2"/>
      <c r="V369" s="2"/>
      <c r="W369" s="2"/>
      <c r="X369" s="2"/>
      <c r="Y369" s="2"/>
    </row>
    <row r="370" spans="1:25" ht="51" customHeight="1">
      <c r="A370" s="26" t="s">
        <v>1235</v>
      </c>
      <c r="B370" s="27"/>
      <c r="C370" s="28"/>
      <c r="D370" s="27"/>
      <c r="E370" s="27" t="s">
        <v>1236</v>
      </c>
      <c r="F370" s="29" t="s">
        <v>1237</v>
      </c>
      <c r="G370" s="27"/>
      <c r="H370" s="27"/>
      <c r="I370" s="27">
        <v>1</v>
      </c>
      <c r="J370" s="30">
        <v>12862200</v>
      </c>
      <c r="K370" s="26" t="s">
        <v>20</v>
      </c>
      <c r="L370" s="36" t="s">
        <v>229</v>
      </c>
      <c r="M370" s="57" t="s">
        <v>5201</v>
      </c>
      <c r="N370" s="6" t="s">
        <v>1224</v>
      </c>
      <c r="O370" s="2"/>
      <c r="P370" s="2"/>
      <c r="Q370" s="2"/>
      <c r="R370" s="2"/>
      <c r="S370" s="2"/>
      <c r="T370" s="2"/>
      <c r="U370" s="2"/>
      <c r="V370" s="2"/>
      <c r="W370" s="2"/>
      <c r="X370" s="2"/>
      <c r="Y370" s="2"/>
    </row>
    <row r="371" spans="1:25" ht="51" customHeight="1">
      <c r="A371" s="26" t="s">
        <v>1238</v>
      </c>
      <c r="B371" s="27"/>
      <c r="C371" s="28"/>
      <c r="D371" s="27"/>
      <c r="E371" s="27" t="s">
        <v>1239</v>
      </c>
      <c r="F371" s="29" t="s">
        <v>1240</v>
      </c>
      <c r="G371" s="27"/>
      <c r="H371" s="27"/>
      <c r="I371" s="27">
        <v>1</v>
      </c>
      <c r="J371" s="30">
        <v>12862200</v>
      </c>
      <c r="K371" s="26" t="s">
        <v>20</v>
      </c>
      <c r="L371" s="36" t="s">
        <v>229</v>
      </c>
      <c r="M371" s="31" t="s">
        <v>5180</v>
      </c>
      <c r="N371" s="6" t="s">
        <v>1234</v>
      </c>
      <c r="O371" s="2"/>
      <c r="P371" s="2"/>
      <c r="Q371" s="2"/>
      <c r="R371" s="2"/>
      <c r="S371" s="2"/>
      <c r="T371" s="2"/>
      <c r="U371" s="2"/>
      <c r="V371" s="2"/>
      <c r="W371" s="2"/>
      <c r="X371" s="2"/>
      <c r="Y371" s="2"/>
    </row>
    <row r="372" spans="1:25" ht="51" customHeight="1">
      <c r="A372" s="26" t="s">
        <v>1241</v>
      </c>
      <c r="B372" s="27"/>
      <c r="C372" s="28"/>
      <c r="D372" s="27"/>
      <c r="E372" s="27" t="s">
        <v>1242</v>
      </c>
      <c r="F372" s="29" t="s">
        <v>1243</v>
      </c>
      <c r="G372" s="27"/>
      <c r="H372" s="27"/>
      <c r="I372" s="27">
        <v>1</v>
      </c>
      <c r="J372" s="30">
        <v>12862200</v>
      </c>
      <c r="K372" s="26" t="s">
        <v>20</v>
      </c>
      <c r="L372" s="36" t="s">
        <v>229</v>
      </c>
      <c r="M372" s="57" t="s">
        <v>5201</v>
      </c>
      <c r="N372" s="6" t="s">
        <v>1224</v>
      </c>
      <c r="O372" s="2"/>
      <c r="P372" s="2"/>
      <c r="Q372" s="2"/>
      <c r="R372" s="2"/>
      <c r="S372" s="2"/>
      <c r="T372" s="2"/>
      <c r="U372" s="2"/>
      <c r="V372" s="2"/>
      <c r="W372" s="2"/>
      <c r="X372" s="2"/>
      <c r="Y372" s="2"/>
    </row>
    <row r="373" spans="1:25" ht="36" customHeight="1">
      <c r="A373" s="26" t="s">
        <v>1244</v>
      </c>
      <c r="B373" s="27"/>
      <c r="C373" s="28"/>
      <c r="D373" s="27"/>
      <c r="E373" s="27" t="s">
        <v>1245</v>
      </c>
      <c r="F373" s="29" t="s">
        <v>1246</v>
      </c>
      <c r="G373" s="27"/>
      <c r="H373" s="27"/>
      <c r="I373" s="27">
        <v>1</v>
      </c>
      <c r="J373" s="30">
        <v>24781800</v>
      </c>
      <c r="K373" s="45" t="s">
        <v>206</v>
      </c>
      <c r="L373" s="45" t="s">
        <v>1247</v>
      </c>
      <c r="M373" s="66" t="s">
        <v>1248</v>
      </c>
      <c r="N373" s="6"/>
      <c r="O373" s="2"/>
      <c r="P373" s="2"/>
      <c r="Q373" s="2"/>
      <c r="R373" s="2"/>
      <c r="S373" s="2"/>
      <c r="T373" s="2"/>
      <c r="U373" s="2"/>
      <c r="V373" s="2"/>
      <c r="W373" s="2"/>
      <c r="X373" s="2"/>
      <c r="Y373" s="2"/>
    </row>
    <row r="374" spans="1:25" ht="30" customHeight="1">
      <c r="A374" s="26" t="s">
        <v>1249</v>
      </c>
      <c r="B374" s="27"/>
      <c r="C374" s="28"/>
      <c r="D374" s="27"/>
      <c r="E374" s="27" t="s">
        <v>1250</v>
      </c>
      <c r="F374" s="29" t="s">
        <v>1251</v>
      </c>
      <c r="G374" s="27"/>
      <c r="H374" s="27"/>
      <c r="I374" s="27">
        <v>1</v>
      </c>
      <c r="J374" s="30">
        <v>0</v>
      </c>
      <c r="K374" s="26" t="s">
        <v>887</v>
      </c>
      <c r="L374" s="26" t="s">
        <v>888</v>
      </c>
      <c r="M374" s="57" t="s">
        <v>1252</v>
      </c>
      <c r="N374" s="6"/>
      <c r="O374" s="2"/>
      <c r="P374" s="2"/>
      <c r="Q374" s="2"/>
      <c r="R374" s="2"/>
      <c r="S374" s="2"/>
      <c r="T374" s="2"/>
      <c r="U374" s="2"/>
      <c r="V374" s="2"/>
      <c r="W374" s="2"/>
      <c r="X374" s="2"/>
      <c r="Y374" s="2"/>
    </row>
    <row r="375" spans="1:25" ht="37.5" customHeight="1">
      <c r="A375" s="26" t="s">
        <v>1253</v>
      </c>
      <c r="B375" s="27"/>
      <c r="C375" s="28"/>
      <c r="D375" s="27"/>
      <c r="E375" s="27" t="s">
        <v>1254</v>
      </c>
      <c r="F375" s="29" t="s">
        <v>1255</v>
      </c>
      <c r="G375" s="27"/>
      <c r="H375" s="27"/>
      <c r="I375" s="27">
        <v>1</v>
      </c>
      <c r="J375" s="30">
        <v>23467700</v>
      </c>
      <c r="K375" s="45" t="s">
        <v>206</v>
      </c>
      <c r="L375" s="45" t="s">
        <v>1247</v>
      </c>
      <c r="M375" s="66" t="s">
        <v>1248</v>
      </c>
      <c r="N375" s="6"/>
      <c r="O375" s="2"/>
      <c r="P375" s="2"/>
      <c r="Q375" s="2"/>
      <c r="R375" s="2"/>
      <c r="S375" s="2"/>
      <c r="T375" s="2"/>
      <c r="U375" s="2"/>
      <c r="V375" s="2"/>
      <c r="W375" s="2"/>
      <c r="X375" s="2"/>
      <c r="Y375" s="2"/>
    </row>
    <row r="376" spans="1:25" ht="25.5" customHeight="1">
      <c r="A376" s="26" t="s">
        <v>1256</v>
      </c>
      <c r="B376" s="27"/>
      <c r="C376" s="28"/>
      <c r="D376" s="27"/>
      <c r="E376" s="27" t="s">
        <v>1257</v>
      </c>
      <c r="F376" s="29" t="s">
        <v>1258</v>
      </c>
      <c r="G376" s="27"/>
      <c r="H376" s="27"/>
      <c r="I376" s="27">
        <v>1</v>
      </c>
      <c r="J376" s="30">
        <v>0</v>
      </c>
      <c r="K376" s="26" t="s">
        <v>20</v>
      </c>
      <c r="L376" s="36" t="s">
        <v>229</v>
      </c>
      <c r="M376" s="57" t="s">
        <v>5202</v>
      </c>
      <c r="N376" s="6"/>
      <c r="O376" s="2"/>
      <c r="P376" s="2"/>
      <c r="Q376" s="2"/>
      <c r="R376" s="2"/>
      <c r="S376" s="2"/>
      <c r="T376" s="2"/>
      <c r="U376" s="2"/>
      <c r="V376" s="2"/>
      <c r="W376" s="2"/>
      <c r="X376" s="2"/>
      <c r="Y376" s="2"/>
    </row>
    <row r="377" spans="1:25" ht="25.5" customHeight="1">
      <c r="A377" s="26">
        <v>201</v>
      </c>
      <c r="B377" s="27" t="s">
        <v>1005</v>
      </c>
      <c r="C377" s="28">
        <v>39994</v>
      </c>
      <c r="D377" s="27"/>
      <c r="E377" s="27" t="s">
        <v>1261</v>
      </c>
      <c r="F377" s="29" t="s">
        <v>1262</v>
      </c>
      <c r="G377" s="27" t="s">
        <v>55</v>
      </c>
      <c r="H377" s="27" t="s">
        <v>249</v>
      </c>
      <c r="I377" s="27">
        <v>1</v>
      </c>
      <c r="J377" s="30">
        <v>60254203</v>
      </c>
      <c r="K377" s="26" t="s">
        <v>20</v>
      </c>
      <c r="L377" s="36" t="s">
        <v>229</v>
      </c>
      <c r="M377" s="31" t="s">
        <v>5203</v>
      </c>
      <c r="N377" s="6"/>
      <c r="O377" s="2"/>
      <c r="P377" s="2"/>
      <c r="Q377" s="2"/>
      <c r="R377" s="2"/>
      <c r="S377" s="2"/>
      <c r="T377" s="2"/>
      <c r="U377" s="2"/>
      <c r="V377" s="2"/>
      <c r="W377" s="2"/>
      <c r="X377" s="2"/>
      <c r="Y377" s="2"/>
    </row>
    <row r="378" spans="1:25" ht="12.75" customHeight="1">
      <c r="A378" s="38">
        <v>202</v>
      </c>
      <c r="B378" s="27" t="s">
        <v>1005</v>
      </c>
      <c r="C378" s="40">
        <v>39994</v>
      </c>
      <c r="D378" s="27"/>
      <c r="E378" s="39" t="s">
        <v>1263</v>
      </c>
      <c r="F378" s="41" t="s">
        <v>1264</v>
      </c>
      <c r="G378" s="27" t="s">
        <v>55</v>
      </c>
      <c r="H378" s="27" t="s">
        <v>249</v>
      </c>
      <c r="I378" s="27">
        <v>1</v>
      </c>
      <c r="J378" s="42">
        <v>106321571</v>
      </c>
      <c r="K378" s="38" t="s">
        <v>206</v>
      </c>
      <c r="L378" s="38" t="s">
        <v>841</v>
      </c>
      <c r="M378" s="43" t="s">
        <v>1265</v>
      </c>
      <c r="N378" s="6"/>
      <c r="O378" s="2"/>
      <c r="P378" s="2"/>
      <c r="Q378" s="2"/>
      <c r="R378" s="2"/>
      <c r="S378" s="2"/>
      <c r="T378" s="2"/>
      <c r="U378" s="2"/>
      <c r="V378" s="2"/>
      <c r="W378" s="2"/>
      <c r="X378" s="2"/>
      <c r="Y378" s="2"/>
    </row>
    <row r="379" spans="1:25" ht="12.75" customHeight="1">
      <c r="A379" s="26">
        <v>203</v>
      </c>
      <c r="B379" s="27" t="s">
        <v>884</v>
      </c>
      <c r="C379" s="28">
        <v>40639</v>
      </c>
      <c r="D379" s="27"/>
      <c r="E379" s="27" t="s">
        <v>1266</v>
      </c>
      <c r="F379" s="29" t="s">
        <v>1267</v>
      </c>
      <c r="G379" s="27"/>
      <c r="H379" s="27" t="s">
        <v>157</v>
      </c>
      <c r="I379" s="27">
        <v>1</v>
      </c>
      <c r="J379" s="30">
        <v>56765149</v>
      </c>
      <c r="K379" s="26" t="s">
        <v>206</v>
      </c>
      <c r="L379" s="26" t="s">
        <v>841</v>
      </c>
      <c r="M379" s="31" t="s">
        <v>880</v>
      </c>
      <c r="N379" s="6"/>
      <c r="O379" s="2"/>
      <c r="P379" s="2"/>
      <c r="Q379" s="2"/>
      <c r="R379" s="2"/>
      <c r="S379" s="2"/>
      <c r="T379" s="2"/>
      <c r="U379" s="2"/>
      <c r="V379" s="2"/>
      <c r="W379" s="2"/>
      <c r="X379" s="2"/>
      <c r="Y379" s="2"/>
    </row>
    <row r="380" spans="1:25" ht="12.75" customHeight="1">
      <c r="A380" s="26" t="s">
        <v>1268</v>
      </c>
      <c r="B380" s="27"/>
      <c r="C380" s="28"/>
      <c r="D380" s="27"/>
      <c r="E380" s="27" t="s">
        <v>1269</v>
      </c>
      <c r="F380" s="29" t="s">
        <v>1270</v>
      </c>
      <c r="G380" s="27"/>
      <c r="H380" s="27"/>
      <c r="I380" s="27">
        <v>1</v>
      </c>
      <c r="J380" s="30">
        <v>8524800</v>
      </c>
      <c r="K380" s="26" t="s">
        <v>206</v>
      </c>
      <c r="L380" s="26" t="s">
        <v>841</v>
      </c>
      <c r="M380" s="31"/>
      <c r="N380" s="6"/>
      <c r="O380" s="2"/>
      <c r="P380" s="2"/>
      <c r="Q380" s="2"/>
      <c r="R380" s="2"/>
      <c r="S380" s="2"/>
      <c r="T380" s="2"/>
      <c r="U380" s="2"/>
      <c r="V380" s="2"/>
      <c r="W380" s="2"/>
      <c r="X380" s="2"/>
      <c r="Y380" s="2"/>
    </row>
    <row r="381" spans="1:25" ht="12.75" customHeight="1">
      <c r="A381" s="26">
        <v>204</v>
      </c>
      <c r="B381" s="27" t="s">
        <v>1271</v>
      </c>
      <c r="C381" s="28">
        <v>41626</v>
      </c>
      <c r="D381" s="27"/>
      <c r="E381" s="27" t="s">
        <v>1272</v>
      </c>
      <c r="F381" s="29" t="s">
        <v>1273</v>
      </c>
      <c r="G381" s="27" t="s">
        <v>45</v>
      </c>
      <c r="H381" s="27" t="s">
        <v>19</v>
      </c>
      <c r="I381" s="27">
        <v>1</v>
      </c>
      <c r="J381" s="30">
        <v>56839543</v>
      </c>
      <c r="K381" s="26" t="s">
        <v>20</v>
      </c>
      <c r="L381" s="26" t="s">
        <v>423</v>
      </c>
      <c r="M381" s="31" t="s">
        <v>1274</v>
      </c>
      <c r="N381" s="6"/>
      <c r="O381" s="2"/>
      <c r="P381" s="2"/>
      <c r="Q381" s="2"/>
      <c r="R381" s="2"/>
      <c r="S381" s="2"/>
      <c r="T381" s="2"/>
      <c r="U381" s="2"/>
      <c r="V381" s="2"/>
      <c r="W381" s="2"/>
      <c r="X381" s="2"/>
      <c r="Y381" s="2"/>
    </row>
    <row r="382" spans="1:25" ht="25.5" customHeight="1">
      <c r="A382" s="26">
        <v>205</v>
      </c>
      <c r="B382" s="27" t="s">
        <v>1271</v>
      </c>
      <c r="C382" s="28">
        <v>41626</v>
      </c>
      <c r="D382" s="27"/>
      <c r="E382" s="27" t="s">
        <v>1275</v>
      </c>
      <c r="F382" s="29" t="s">
        <v>1276</v>
      </c>
      <c r="G382" s="27" t="s">
        <v>45</v>
      </c>
      <c r="H382" s="27" t="s">
        <v>19</v>
      </c>
      <c r="I382" s="27">
        <v>1</v>
      </c>
      <c r="J382" s="30">
        <v>45611979</v>
      </c>
      <c r="K382" s="26" t="s">
        <v>20</v>
      </c>
      <c r="L382" s="26" t="s">
        <v>423</v>
      </c>
      <c r="M382" s="31" t="s">
        <v>1277</v>
      </c>
      <c r="N382" s="6"/>
      <c r="O382" s="2"/>
      <c r="P382" s="2"/>
      <c r="Q382" s="2"/>
      <c r="R382" s="2"/>
      <c r="S382" s="2"/>
      <c r="T382" s="2"/>
      <c r="U382" s="2"/>
      <c r="V382" s="2"/>
      <c r="W382" s="2"/>
      <c r="X382" s="2"/>
      <c r="Y382" s="2"/>
    </row>
    <row r="383" spans="1:25" ht="25.5" customHeight="1">
      <c r="A383" s="26">
        <v>207</v>
      </c>
      <c r="B383" s="27" t="s">
        <v>470</v>
      </c>
      <c r="C383" s="28">
        <v>41983</v>
      </c>
      <c r="D383" s="27"/>
      <c r="E383" s="27" t="s">
        <v>1280</v>
      </c>
      <c r="F383" s="29" t="s">
        <v>1281</v>
      </c>
      <c r="G383" s="27" t="s">
        <v>55</v>
      </c>
      <c r="H383" s="27" t="s">
        <v>19</v>
      </c>
      <c r="I383" s="27">
        <v>1</v>
      </c>
      <c r="J383" s="30">
        <v>47915403</v>
      </c>
      <c r="K383" s="26" t="s">
        <v>20</v>
      </c>
      <c r="L383" s="26" t="s">
        <v>423</v>
      </c>
      <c r="M383" s="31" t="s">
        <v>5204</v>
      </c>
      <c r="N383" s="6"/>
      <c r="O383" s="2"/>
      <c r="P383" s="2"/>
      <c r="Q383" s="2"/>
      <c r="R383" s="2"/>
      <c r="S383" s="2"/>
      <c r="T383" s="2"/>
      <c r="U383" s="2"/>
      <c r="V383" s="2"/>
      <c r="W383" s="2"/>
      <c r="X383" s="2"/>
      <c r="Y383" s="2"/>
    </row>
    <row r="384" spans="1:25" ht="25.5" customHeight="1">
      <c r="A384" s="26">
        <v>208</v>
      </c>
      <c r="B384" s="27" t="s">
        <v>470</v>
      </c>
      <c r="C384" s="28">
        <v>41983</v>
      </c>
      <c r="D384" s="27"/>
      <c r="E384" s="27" t="s">
        <v>1283</v>
      </c>
      <c r="F384" s="29" t="s">
        <v>1284</v>
      </c>
      <c r="G384" s="27" t="s">
        <v>55</v>
      </c>
      <c r="H384" s="27" t="s">
        <v>19</v>
      </c>
      <c r="I384" s="27">
        <v>1</v>
      </c>
      <c r="J384" s="30">
        <v>47915403</v>
      </c>
      <c r="K384" s="26" t="s">
        <v>20</v>
      </c>
      <c r="L384" s="26" t="s">
        <v>233</v>
      </c>
      <c r="M384" s="31" t="s">
        <v>5205</v>
      </c>
      <c r="N384" s="6"/>
      <c r="O384" s="2"/>
      <c r="P384" s="2"/>
      <c r="Q384" s="2"/>
      <c r="R384" s="2"/>
      <c r="S384" s="2"/>
      <c r="T384" s="2"/>
      <c r="U384" s="2"/>
      <c r="V384" s="2"/>
      <c r="W384" s="2"/>
      <c r="X384" s="2"/>
      <c r="Y384" s="2"/>
    </row>
    <row r="385" spans="1:25" ht="38.25" customHeight="1">
      <c r="A385" s="26">
        <v>209</v>
      </c>
      <c r="B385" s="27" t="s">
        <v>599</v>
      </c>
      <c r="C385" s="28">
        <v>42671</v>
      </c>
      <c r="D385" s="27"/>
      <c r="E385" s="27" t="s">
        <v>1286</v>
      </c>
      <c r="F385" s="29" t="s">
        <v>1287</v>
      </c>
      <c r="G385" s="27"/>
      <c r="H385" s="27" t="s">
        <v>19</v>
      </c>
      <c r="I385" s="27">
        <v>1</v>
      </c>
      <c r="J385" s="30">
        <v>341201513</v>
      </c>
      <c r="K385" s="26" t="s">
        <v>36</v>
      </c>
      <c r="L385" s="26" t="s">
        <v>1146</v>
      </c>
      <c r="M385" s="31" t="s">
        <v>1288</v>
      </c>
      <c r="N385" s="6"/>
      <c r="O385" s="2"/>
      <c r="P385" s="2"/>
      <c r="Q385" s="2"/>
      <c r="R385" s="2"/>
      <c r="S385" s="2"/>
      <c r="T385" s="2"/>
      <c r="U385" s="2"/>
      <c r="V385" s="2"/>
      <c r="W385" s="2"/>
      <c r="X385" s="2"/>
      <c r="Y385" s="2"/>
    </row>
    <row r="386" spans="1:25" ht="38.25" customHeight="1">
      <c r="A386" s="26">
        <v>210</v>
      </c>
      <c r="B386" s="27" t="s">
        <v>599</v>
      </c>
      <c r="C386" s="28">
        <v>42671</v>
      </c>
      <c r="D386" s="27"/>
      <c r="E386" s="27" t="s">
        <v>1289</v>
      </c>
      <c r="F386" s="29" t="s">
        <v>1290</v>
      </c>
      <c r="G386" s="27"/>
      <c r="H386" s="27" t="s">
        <v>19</v>
      </c>
      <c r="I386" s="27">
        <v>1</v>
      </c>
      <c r="J386" s="30">
        <v>341201513</v>
      </c>
      <c r="K386" s="26" t="s">
        <v>36</v>
      </c>
      <c r="L386" s="26" t="s">
        <v>1146</v>
      </c>
      <c r="M386" s="31" t="s">
        <v>1291</v>
      </c>
      <c r="N386" s="6"/>
      <c r="O386" s="2"/>
      <c r="P386" s="2"/>
      <c r="Q386" s="2"/>
      <c r="R386" s="2"/>
      <c r="S386" s="2"/>
      <c r="T386" s="2"/>
      <c r="U386" s="2"/>
      <c r="V386" s="2"/>
      <c r="W386" s="2"/>
      <c r="X386" s="2"/>
      <c r="Y386" s="2"/>
    </row>
    <row r="387" spans="1:25" ht="38.25" customHeight="1">
      <c r="A387" s="26">
        <v>211</v>
      </c>
      <c r="B387" s="27" t="s">
        <v>797</v>
      </c>
      <c r="C387" s="28">
        <v>42671</v>
      </c>
      <c r="D387" s="27"/>
      <c r="E387" s="27" t="s">
        <v>1292</v>
      </c>
      <c r="F387" s="29" t="s">
        <v>1293</v>
      </c>
      <c r="G387" s="27"/>
      <c r="H387" s="27" t="s">
        <v>19</v>
      </c>
      <c r="I387" s="27">
        <v>1</v>
      </c>
      <c r="J387" s="30">
        <v>522037693</v>
      </c>
      <c r="K387" s="26" t="s">
        <v>206</v>
      </c>
      <c r="L387" s="26" t="s">
        <v>841</v>
      </c>
      <c r="M387" s="31" t="s">
        <v>1041</v>
      </c>
      <c r="N387" s="6"/>
      <c r="O387" s="2"/>
      <c r="P387" s="2"/>
      <c r="Q387" s="2"/>
      <c r="R387" s="2"/>
      <c r="S387" s="2"/>
      <c r="T387" s="2"/>
      <c r="U387" s="2"/>
      <c r="V387" s="2"/>
      <c r="W387" s="2"/>
      <c r="X387" s="2"/>
      <c r="Y387" s="2"/>
    </row>
    <row r="388" spans="1:25" ht="25.5" customHeight="1">
      <c r="A388" s="26">
        <v>212</v>
      </c>
      <c r="B388" s="27" t="s">
        <v>797</v>
      </c>
      <c r="C388" s="28">
        <v>42671</v>
      </c>
      <c r="D388" s="27"/>
      <c r="E388" s="27" t="s">
        <v>1294</v>
      </c>
      <c r="F388" s="29" t="s">
        <v>1295</v>
      </c>
      <c r="G388" s="27"/>
      <c r="H388" s="27" t="s">
        <v>19</v>
      </c>
      <c r="I388" s="27">
        <v>1</v>
      </c>
      <c r="J388" s="30">
        <v>101657498</v>
      </c>
      <c r="K388" s="26" t="s">
        <v>206</v>
      </c>
      <c r="L388" s="26" t="s">
        <v>841</v>
      </c>
      <c r="M388" s="31" t="s">
        <v>1041</v>
      </c>
      <c r="N388" s="6"/>
      <c r="O388" s="2"/>
      <c r="P388" s="2"/>
      <c r="Q388" s="2"/>
      <c r="R388" s="2"/>
      <c r="S388" s="2"/>
      <c r="T388" s="2"/>
      <c r="U388" s="2"/>
      <c r="V388" s="2"/>
      <c r="W388" s="2"/>
      <c r="X388" s="2"/>
      <c r="Y388" s="2"/>
    </row>
    <row r="389" spans="1:25" ht="25.5" customHeight="1">
      <c r="A389" s="26">
        <v>213</v>
      </c>
      <c r="B389" s="27" t="s">
        <v>797</v>
      </c>
      <c r="C389" s="28">
        <v>42671</v>
      </c>
      <c r="D389" s="27"/>
      <c r="E389" s="27" t="s">
        <v>1296</v>
      </c>
      <c r="F389" s="29" t="s">
        <v>1297</v>
      </c>
      <c r="G389" s="27"/>
      <c r="H389" s="27" t="s">
        <v>19</v>
      </c>
      <c r="I389" s="27">
        <v>1</v>
      </c>
      <c r="J389" s="30">
        <v>101657498</v>
      </c>
      <c r="K389" s="26" t="s">
        <v>206</v>
      </c>
      <c r="L389" s="26" t="s">
        <v>841</v>
      </c>
      <c r="M389" s="31" t="s">
        <v>1041</v>
      </c>
      <c r="N389" s="6"/>
      <c r="O389" s="2"/>
      <c r="P389" s="2"/>
      <c r="Q389" s="2"/>
      <c r="R389" s="2"/>
      <c r="S389" s="2"/>
      <c r="T389" s="2"/>
      <c r="U389" s="2"/>
      <c r="V389" s="2"/>
      <c r="W389" s="2"/>
      <c r="X389" s="2"/>
      <c r="Y389" s="2"/>
    </row>
    <row r="390" spans="1:25" ht="25.5" customHeight="1">
      <c r="A390" s="26">
        <v>214</v>
      </c>
      <c r="B390" s="27" t="s">
        <v>797</v>
      </c>
      <c r="C390" s="28">
        <v>42671</v>
      </c>
      <c r="D390" s="27"/>
      <c r="E390" s="27" t="s">
        <v>1298</v>
      </c>
      <c r="F390" s="29" t="s">
        <v>1299</v>
      </c>
      <c r="G390" s="27"/>
      <c r="H390" s="27" t="s">
        <v>19</v>
      </c>
      <c r="I390" s="27">
        <v>1</v>
      </c>
      <c r="J390" s="30">
        <v>88612431</v>
      </c>
      <c r="K390" s="26" t="s">
        <v>206</v>
      </c>
      <c r="L390" s="26" t="s">
        <v>841</v>
      </c>
      <c r="M390" s="31" t="s">
        <v>1041</v>
      </c>
      <c r="N390" s="6"/>
      <c r="O390" s="2"/>
      <c r="P390" s="2"/>
      <c r="Q390" s="2"/>
      <c r="R390" s="2"/>
      <c r="S390" s="2"/>
      <c r="T390" s="2"/>
      <c r="U390" s="2"/>
      <c r="V390" s="2"/>
      <c r="W390" s="2"/>
      <c r="X390" s="2"/>
      <c r="Y390" s="2"/>
    </row>
    <row r="391" spans="1:25" ht="25.5" customHeight="1">
      <c r="A391" s="26">
        <v>215</v>
      </c>
      <c r="B391" s="27" t="s">
        <v>797</v>
      </c>
      <c r="C391" s="28">
        <v>42671</v>
      </c>
      <c r="D391" s="27"/>
      <c r="E391" s="27" t="s">
        <v>1300</v>
      </c>
      <c r="F391" s="29" t="s">
        <v>1301</v>
      </c>
      <c r="G391" s="27"/>
      <c r="H391" s="27" t="s">
        <v>19</v>
      </c>
      <c r="I391" s="27">
        <v>1</v>
      </c>
      <c r="J391" s="30">
        <v>88612431</v>
      </c>
      <c r="K391" s="26" t="s">
        <v>206</v>
      </c>
      <c r="L391" s="26" t="s">
        <v>841</v>
      </c>
      <c r="M391" s="31" t="s">
        <v>1041</v>
      </c>
      <c r="N391" s="6"/>
      <c r="O391" s="2"/>
      <c r="P391" s="2"/>
      <c r="Q391" s="2"/>
      <c r="R391" s="2"/>
      <c r="S391" s="2"/>
      <c r="T391" s="2"/>
      <c r="U391" s="2"/>
      <c r="V391" s="2"/>
      <c r="W391" s="2"/>
      <c r="X391" s="2"/>
      <c r="Y391" s="2"/>
    </row>
    <row r="392" spans="1:25" ht="25.5" customHeight="1">
      <c r="A392" s="26">
        <v>216</v>
      </c>
      <c r="B392" s="27" t="s">
        <v>797</v>
      </c>
      <c r="C392" s="28">
        <v>42671</v>
      </c>
      <c r="D392" s="27"/>
      <c r="E392" s="27" t="s">
        <v>1302</v>
      </c>
      <c r="F392" s="29" t="s">
        <v>1303</v>
      </c>
      <c r="G392" s="27"/>
      <c r="H392" s="27" t="s">
        <v>19</v>
      </c>
      <c r="I392" s="27">
        <v>1</v>
      </c>
      <c r="J392" s="30">
        <v>88612431</v>
      </c>
      <c r="K392" s="26" t="s">
        <v>206</v>
      </c>
      <c r="L392" s="26" t="s">
        <v>841</v>
      </c>
      <c r="M392" s="31" t="s">
        <v>1041</v>
      </c>
      <c r="N392" s="6"/>
      <c r="O392" s="2"/>
      <c r="P392" s="2"/>
      <c r="Q392" s="2"/>
      <c r="R392" s="2"/>
      <c r="S392" s="2"/>
      <c r="T392" s="2"/>
      <c r="U392" s="2"/>
      <c r="V392" s="2"/>
      <c r="W392" s="2"/>
      <c r="X392" s="2"/>
      <c r="Y392" s="2"/>
    </row>
    <row r="393" spans="1:25" ht="25.5" customHeight="1">
      <c r="A393" s="26">
        <v>217</v>
      </c>
      <c r="B393" s="27" t="s">
        <v>797</v>
      </c>
      <c r="C393" s="28">
        <v>42671</v>
      </c>
      <c r="D393" s="27"/>
      <c r="E393" s="27" t="s">
        <v>1304</v>
      </c>
      <c r="F393" s="29" t="s">
        <v>1305</v>
      </c>
      <c r="G393" s="27"/>
      <c r="H393" s="27" t="s">
        <v>19</v>
      </c>
      <c r="I393" s="27">
        <v>1</v>
      </c>
      <c r="J393" s="30">
        <v>88612431</v>
      </c>
      <c r="K393" s="26" t="s">
        <v>206</v>
      </c>
      <c r="L393" s="26" t="s">
        <v>841</v>
      </c>
      <c r="M393" s="31" t="s">
        <v>1041</v>
      </c>
      <c r="N393" s="6"/>
      <c r="O393" s="2"/>
      <c r="P393" s="2"/>
      <c r="Q393" s="2"/>
      <c r="R393" s="2"/>
      <c r="S393" s="2"/>
      <c r="T393" s="2"/>
      <c r="U393" s="2"/>
      <c r="V393" s="2"/>
      <c r="W393" s="2"/>
      <c r="X393" s="2"/>
      <c r="Y393" s="2"/>
    </row>
    <row r="394" spans="1:25" ht="25.5" customHeight="1">
      <c r="A394" s="26">
        <v>218</v>
      </c>
      <c r="B394" s="27" t="s">
        <v>797</v>
      </c>
      <c r="C394" s="28">
        <v>42671</v>
      </c>
      <c r="D394" s="27"/>
      <c r="E394" s="27" t="s">
        <v>1306</v>
      </c>
      <c r="F394" s="29" t="s">
        <v>1307</v>
      </c>
      <c r="G394" s="27"/>
      <c r="H394" s="27" t="s">
        <v>19</v>
      </c>
      <c r="I394" s="27">
        <v>1</v>
      </c>
      <c r="J394" s="30">
        <v>53237972</v>
      </c>
      <c r="K394" s="26" t="s">
        <v>206</v>
      </c>
      <c r="L394" s="26" t="s">
        <v>841</v>
      </c>
      <c r="M394" s="31" t="s">
        <v>1041</v>
      </c>
      <c r="N394" s="6"/>
      <c r="O394" s="2"/>
      <c r="P394" s="2"/>
      <c r="Q394" s="2"/>
      <c r="R394" s="2"/>
      <c r="S394" s="2"/>
      <c r="T394" s="2"/>
      <c r="U394" s="2"/>
      <c r="V394" s="2"/>
      <c r="W394" s="2"/>
      <c r="X394" s="2"/>
      <c r="Y394" s="2"/>
    </row>
    <row r="395" spans="1:25" ht="25.5" customHeight="1">
      <c r="A395" s="26">
        <v>219</v>
      </c>
      <c r="B395" s="27" t="s">
        <v>797</v>
      </c>
      <c r="C395" s="28">
        <v>42671</v>
      </c>
      <c r="D395" s="27"/>
      <c r="E395" s="27" t="s">
        <v>1308</v>
      </c>
      <c r="F395" s="29" t="s">
        <v>1309</v>
      </c>
      <c r="G395" s="27"/>
      <c r="H395" s="27" t="s">
        <v>19</v>
      </c>
      <c r="I395" s="27">
        <v>1</v>
      </c>
      <c r="J395" s="30">
        <v>53237972</v>
      </c>
      <c r="K395" s="26" t="s">
        <v>206</v>
      </c>
      <c r="L395" s="26" t="s">
        <v>1310</v>
      </c>
      <c r="M395" s="31" t="s">
        <v>1311</v>
      </c>
      <c r="N395" s="6"/>
      <c r="O395" s="2"/>
      <c r="P395" s="2"/>
      <c r="Q395" s="2"/>
      <c r="R395" s="2"/>
      <c r="S395" s="2"/>
      <c r="T395" s="2"/>
      <c r="U395" s="2"/>
      <c r="V395" s="2"/>
      <c r="W395" s="2"/>
      <c r="X395" s="2"/>
      <c r="Y395" s="2"/>
    </row>
    <row r="396" spans="1:25" ht="25.5" customHeight="1">
      <c r="A396" s="26">
        <v>220</v>
      </c>
      <c r="B396" s="27" t="s">
        <v>797</v>
      </c>
      <c r="C396" s="28">
        <v>42671</v>
      </c>
      <c r="D396" s="27"/>
      <c r="E396" s="27" t="s">
        <v>1312</v>
      </c>
      <c r="F396" s="29" t="s">
        <v>1313</v>
      </c>
      <c r="G396" s="27"/>
      <c r="H396" s="27" t="s">
        <v>19</v>
      </c>
      <c r="I396" s="27">
        <v>1</v>
      </c>
      <c r="J396" s="30">
        <v>53237972</v>
      </c>
      <c r="K396" s="26" t="s">
        <v>206</v>
      </c>
      <c r="L396" s="26" t="s">
        <v>1310</v>
      </c>
      <c r="M396" s="31" t="s">
        <v>1311</v>
      </c>
      <c r="N396" s="6"/>
      <c r="O396" s="2"/>
      <c r="P396" s="2"/>
      <c r="Q396" s="2"/>
      <c r="R396" s="2"/>
      <c r="S396" s="2"/>
      <c r="T396" s="2"/>
      <c r="U396" s="2"/>
      <c r="V396" s="2"/>
      <c r="W396" s="2"/>
      <c r="X396" s="2"/>
      <c r="Y396" s="2"/>
    </row>
    <row r="397" spans="1:25" ht="25.5" customHeight="1">
      <c r="A397" s="26">
        <v>221</v>
      </c>
      <c r="B397" s="27" t="s">
        <v>797</v>
      </c>
      <c r="C397" s="28">
        <v>42671</v>
      </c>
      <c r="D397" s="27"/>
      <c r="E397" s="27" t="s">
        <v>1314</v>
      </c>
      <c r="F397" s="29" t="s">
        <v>1315</v>
      </c>
      <c r="G397" s="27"/>
      <c r="H397" s="27" t="s">
        <v>19</v>
      </c>
      <c r="I397" s="27">
        <v>1</v>
      </c>
      <c r="J397" s="30">
        <v>53237972</v>
      </c>
      <c r="K397" s="26" t="s">
        <v>206</v>
      </c>
      <c r="L397" s="26" t="s">
        <v>1310</v>
      </c>
      <c r="M397" s="31" t="s">
        <v>1311</v>
      </c>
      <c r="N397" s="6"/>
      <c r="O397" s="2"/>
      <c r="P397" s="2"/>
      <c r="Q397" s="2"/>
      <c r="R397" s="2"/>
      <c r="S397" s="2"/>
      <c r="T397" s="2"/>
      <c r="U397" s="2"/>
      <c r="V397" s="2"/>
      <c r="W397" s="2"/>
      <c r="X397" s="2"/>
      <c r="Y397" s="2"/>
    </row>
    <row r="398" spans="1:25" ht="25.5" customHeight="1">
      <c r="A398" s="26">
        <v>222</v>
      </c>
      <c r="B398" s="27" t="s">
        <v>797</v>
      </c>
      <c r="C398" s="28">
        <v>42671</v>
      </c>
      <c r="D398" s="27"/>
      <c r="E398" s="27" t="s">
        <v>1316</v>
      </c>
      <c r="F398" s="29" t="s">
        <v>1317</v>
      </c>
      <c r="G398" s="27"/>
      <c r="H398" s="27" t="s">
        <v>19</v>
      </c>
      <c r="I398" s="27">
        <v>1</v>
      </c>
      <c r="J398" s="30">
        <v>53237972</v>
      </c>
      <c r="K398" s="26" t="s">
        <v>206</v>
      </c>
      <c r="L398" s="26" t="s">
        <v>1310</v>
      </c>
      <c r="M398" s="31" t="s">
        <v>1311</v>
      </c>
      <c r="N398" s="6"/>
      <c r="O398" s="2"/>
      <c r="P398" s="2"/>
      <c r="Q398" s="2"/>
      <c r="R398" s="2"/>
      <c r="S398" s="2"/>
      <c r="T398" s="2"/>
      <c r="U398" s="2"/>
      <c r="V398" s="2"/>
      <c r="W398" s="2"/>
      <c r="X398" s="2"/>
      <c r="Y398" s="2"/>
    </row>
    <row r="399" spans="1:25" ht="25.5" customHeight="1">
      <c r="A399" s="26">
        <v>223</v>
      </c>
      <c r="B399" s="27" t="s">
        <v>797</v>
      </c>
      <c r="C399" s="28">
        <v>42671</v>
      </c>
      <c r="D399" s="27"/>
      <c r="E399" s="27" t="s">
        <v>1318</v>
      </c>
      <c r="F399" s="29" t="s">
        <v>1319</v>
      </c>
      <c r="G399" s="27"/>
      <c r="H399" s="27" t="s">
        <v>19</v>
      </c>
      <c r="I399" s="27">
        <v>1</v>
      </c>
      <c r="J399" s="30">
        <v>53237972</v>
      </c>
      <c r="K399" s="26" t="s">
        <v>206</v>
      </c>
      <c r="L399" s="26" t="s">
        <v>1310</v>
      </c>
      <c r="M399" s="31" t="s">
        <v>1311</v>
      </c>
      <c r="N399" s="6"/>
      <c r="O399" s="2"/>
      <c r="P399" s="2"/>
      <c r="Q399" s="2"/>
      <c r="R399" s="2"/>
      <c r="S399" s="2"/>
      <c r="T399" s="2"/>
      <c r="U399" s="2"/>
      <c r="V399" s="2"/>
      <c r="W399" s="2"/>
      <c r="X399" s="2"/>
      <c r="Y399" s="2"/>
    </row>
    <row r="400" spans="1:25" ht="25.5" customHeight="1">
      <c r="A400" s="26">
        <v>224</v>
      </c>
      <c r="B400" s="27" t="s">
        <v>797</v>
      </c>
      <c r="C400" s="28">
        <v>42671</v>
      </c>
      <c r="D400" s="27"/>
      <c r="E400" s="27" t="s">
        <v>1320</v>
      </c>
      <c r="F400" s="29" t="s">
        <v>1321</v>
      </c>
      <c r="G400" s="27"/>
      <c r="H400" s="27" t="s">
        <v>19</v>
      </c>
      <c r="I400" s="27">
        <v>1</v>
      </c>
      <c r="J400" s="30">
        <v>53237972</v>
      </c>
      <c r="K400" s="26" t="s">
        <v>206</v>
      </c>
      <c r="L400" s="26" t="s">
        <v>1310</v>
      </c>
      <c r="M400" s="31" t="s">
        <v>1311</v>
      </c>
      <c r="N400" s="6"/>
      <c r="O400" s="2"/>
      <c r="P400" s="2"/>
      <c r="Q400" s="2"/>
      <c r="R400" s="2"/>
      <c r="S400" s="2"/>
      <c r="T400" s="2"/>
      <c r="U400" s="2"/>
      <c r="V400" s="2"/>
      <c r="W400" s="2"/>
      <c r="X400" s="2"/>
      <c r="Y400" s="2"/>
    </row>
    <row r="401" spans="1:25" ht="25.5" customHeight="1">
      <c r="A401" s="26">
        <v>225</v>
      </c>
      <c r="B401" s="27" t="s">
        <v>797</v>
      </c>
      <c r="C401" s="28">
        <v>42671</v>
      </c>
      <c r="D401" s="27"/>
      <c r="E401" s="27" t="s">
        <v>1322</v>
      </c>
      <c r="F401" s="29" t="s">
        <v>1323</v>
      </c>
      <c r="G401" s="27"/>
      <c r="H401" s="27" t="s">
        <v>19</v>
      </c>
      <c r="I401" s="27">
        <v>1</v>
      </c>
      <c r="J401" s="30">
        <v>53237972</v>
      </c>
      <c r="K401" s="26" t="s">
        <v>206</v>
      </c>
      <c r="L401" s="26" t="s">
        <v>1310</v>
      </c>
      <c r="M401" s="31" t="s">
        <v>1311</v>
      </c>
      <c r="N401" s="6"/>
      <c r="O401" s="2"/>
      <c r="P401" s="2"/>
      <c r="Q401" s="2"/>
      <c r="R401" s="2"/>
      <c r="S401" s="2"/>
      <c r="T401" s="2"/>
      <c r="U401" s="2"/>
      <c r="V401" s="2"/>
      <c r="W401" s="2"/>
      <c r="X401" s="2"/>
      <c r="Y401" s="2"/>
    </row>
    <row r="402" spans="1:25" ht="25.5" customHeight="1">
      <c r="A402" s="26">
        <v>226</v>
      </c>
      <c r="B402" s="27" t="s">
        <v>797</v>
      </c>
      <c r="C402" s="28">
        <v>42671</v>
      </c>
      <c r="D402" s="27"/>
      <c r="E402" s="27" t="s">
        <v>1324</v>
      </c>
      <c r="F402" s="29" t="s">
        <v>1325</v>
      </c>
      <c r="G402" s="27"/>
      <c r="H402" s="27" t="s">
        <v>19</v>
      </c>
      <c r="I402" s="27">
        <v>1</v>
      </c>
      <c r="J402" s="30">
        <v>53237972</v>
      </c>
      <c r="K402" s="26" t="s">
        <v>206</v>
      </c>
      <c r="L402" s="26" t="s">
        <v>1310</v>
      </c>
      <c r="M402" s="31" t="s">
        <v>1311</v>
      </c>
      <c r="N402" s="6"/>
      <c r="O402" s="2"/>
      <c r="P402" s="2"/>
      <c r="Q402" s="2"/>
      <c r="R402" s="2"/>
      <c r="S402" s="2"/>
      <c r="T402" s="2"/>
      <c r="U402" s="2"/>
      <c r="V402" s="2"/>
      <c r="W402" s="2"/>
      <c r="X402" s="2"/>
      <c r="Y402" s="2"/>
    </row>
    <row r="403" spans="1:25" ht="51" customHeight="1">
      <c r="A403" s="26">
        <v>227</v>
      </c>
      <c r="B403" s="27" t="s">
        <v>797</v>
      </c>
      <c r="C403" s="28">
        <v>42671</v>
      </c>
      <c r="D403" s="27"/>
      <c r="E403" s="27" t="s">
        <v>1326</v>
      </c>
      <c r="F403" s="29" t="s">
        <v>1327</v>
      </c>
      <c r="G403" s="27" t="s">
        <v>338</v>
      </c>
      <c r="H403" s="27" t="s">
        <v>157</v>
      </c>
      <c r="I403" s="27">
        <v>1</v>
      </c>
      <c r="J403" s="30">
        <v>435070586</v>
      </c>
      <c r="K403" s="26" t="s">
        <v>206</v>
      </c>
      <c r="L403" s="26" t="s">
        <v>1310</v>
      </c>
      <c r="M403" s="31" t="s">
        <v>1311</v>
      </c>
      <c r="N403" s="6"/>
      <c r="O403" s="2"/>
      <c r="P403" s="2"/>
      <c r="Q403" s="2"/>
      <c r="R403" s="2"/>
      <c r="S403" s="2"/>
      <c r="T403" s="2"/>
      <c r="U403" s="2"/>
      <c r="V403" s="2"/>
      <c r="W403" s="2"/>
      <c r="X403" s="2"/>
      <c r="Y403" s="2"/>
    </row>
    <row r="404" spans="1:25" ht="25.5" customHeight="1">
      <c r="A404" s="26">
        <v>228</v>
      </c>
      <c r="B404" s="27" t="s">
        <v>1143</v>
      </c>
      <c r="C404" s="28">
        <v>43343</v>
      </c>
      <c r="D404" s="27"/>
      <c r="E404" s="27" t="s">
        <v>1328</v>
      </c>
      <c r="F404" s="29" t="s">
        <v>1329</v>
      </c>
      <c r="G404" s="27" t="s">
        <v>55</v>
      </c>
      <c r="H404" s="27" t="s">
        <v>19</v>
      </c>
      <c r="I404" s="27">
        <v>1</v>
      </c>
      <c r="J404" s="30">
        <v>45450000</v>
      </c>
      <c r="K404" s="26" t="s">
        <v>206</v>
      </c>
      <c r="L404" s="26" t="s">
        <v>1330</v>
      </c>
      <c r="M404" s="31" t="s">
        <v>1331</v>
      </c>
      <c r="N404" s="6"/>
      <c r="O404" s="2"/>
      <c r="P404" s="2"/>
      <c r="Q404" s="2"/>
      <c r="R404" s="2"/>
      <c r="S404" s="2"/>
      <c r="T404" s="2"/>
      <c r="U404" s="2"/>
      <c r="V404" s="2"/>
      <c r="W404" s="2"/>
      <c r="X404" s="2"/>
      <c r="Y404" s="2"/>
    </row>
    <row r="405" spans="1:25" ht="25.5" customHeight="1">
      <c r="A405" s="26">
        <v>229</v>
      </c>
      <c r="B405" s="27" t="s">
        <v>1332</v>
      </c>
      <c r="C405" s="28">
        <v>41274</v>
      </c>
      <c r="D405" s="27"/>
      <c r="E405" s="27" t="s">
        <v>1333</v>
      </c>
      <c r="F405" s="29" t="s">
        <v>1334</v>
      </c>
      <c r="G405" s="27" t="s">
        <v>248</v>
      </c>
      <c r="H405" s="27" t="s">
        <v>19</v>
      </c>
      <c r="I405" s="27">
        <v>1</v>
      </c>
      <c r="J405" s="30">
        <v>65131148</v>
      </c>
      <c r="K405" s="26" t="s">
        <v>20</v>
      </c>
      <c r="L405" s="36" t="s">
        <v>229</v>
      </c>
      <c r="M405" s="31" t="s">
        <v>3306</v>
      </c>
      <c r="N405" s="6"/>
      <c r="O405" s="2"/>
      <c r="P405" s="2"/>
      <c r="Q405" s="2"/>
      <c r="R405" s="2"/>
      <c r="S405" s="2"/>
      <c r="T405" s="2"/>
      <c r="U405" s="2"/>
      <c r="V405" s="2"/>
      <c r="W405" s="2"/>
      <c r="X405" s="2"/>
      <c r="Y405" s="2"/>
    </row>
    <row r="406" spans="1:25" ht="25.5" customHeight="1">
      <c r="A406" s="26" t="s">
        <v>1335</v>
      </c>
      <c r="B406" s="27"/>
      <c r="C406" s="28"/>
      <c r="D406" s="27"/>
      <c r="E406" s="27" t="s">
        <v>1336</v>
      </c>
      <c r="F406" s="29" t="s">
        <v>1337</v>
      </c>
      <c r="G406" s="27"/>
      <c r="H406" s="27"/>
      <c r="I406" s="27">
        <v>1</v>
      </c>
      <c r="J406" s="30">
        <v>25000000</v>
      </c>
      <c r="K406" s="26" t="s">
        <v>20</v>
      </c>
      <c r="L406" s="36" t="s">
        <v>229</v>
      </c>
      <c r="M406" s="31" t="s">
        <v>523</v>
      </c>
      <c r="N406" s="6"/>
      <c r="O406" s="2"/>
      <c r="P406" s="2"/>
      <c r="Q406" s="2"/>
      <c r="R406" s="2"/>
      <c r="S406" s="2"/>
      <c r="T406" s="2"/>
      <c r="U406" s="2"/>
      <c r="V406" s="2"/>
      <c r="W406" s="2"/>
      <c r="X406" s="2"/>
      <c r="Y406" s="2"/>
    </row>
    <row r="407" spans="1:25" ht="25.5" customHeight="1">
      <c r="A407" s="26">
        <v>230</v>
      </c>
      <c r="B407" s="27" t="s">
        <v>1143</v>
      </c>
      <c r="C407" s="28">
        <v>43343</v>
      </c>
      <c r="D407" s="27"/>
      <c r="E407" s="27" t="s">
        <v>1338</v>
      </c>
      <c r="F407" s="29" t="s">
        <v>1339</v>
      </c>
      <c r="G407" s="27" t="s">
        <v>45</v>
      </c>
      <c r="H407" s="27" t="s">
        <v>19</v>
      </c>
      <c r="I407" s="27">
        <v>1</v>
      </c>
      <c r="J407" s="30">
        <v>78450000</v>
      </c>
      <c r="K407" s="26" t="s">
        <v>20</v>
      </c>
      <c r="L407" s="26" t="s">
        <v>233</v>
      </c>
      <c r="M407" s="31" t="s">
        <v>1340</v>
      </c>
      <c r="N407" s="6"/>
      <c r="O407" s="2"/>
      <c r="P407" s="2"/>
      <c r="Q407" s="2"/>
      <c r="R407" s="2"/>
      <c r="S407" s="2"/>
      <c r="T407" s="2"/>
      <c r="U407" s="2"/>
      <c r="V407" s="2"/>
      <c r="W407" s="2"/>
      <c r="X407" s="2"/>
      <c r="Y407" s="2"/>
    </row>
    <row r="408" spans="1:25" ht="25.5" customHeight="1">
      <c r="A408" s="26">
        <v>231</v>
      </c>
      <c r="B408" s="27" t="s">
        <v>1143</v>
      </c>
      <c r="C408" s="28">
        <v>43343</v>
      </c>
      <c r="D408" s="27"/>
      <c r="E408" s="27" t="s">
        <v>1341</v>
      </c>
      <c r="F408" s="29" t="s">
        <v>1342</v>
      </c>
      <c r="G408" s="27" t="s">
        <v>45</v>
      </c>
      <c r="H408" s="27" t="s">
        <v>19</v>
      </c>
      <c r="I408" s="27">
        <v>1</v>
      </c>
      <c r="J408" s="30">
        <v>78450000</v>
      </c>
      <c r="K408" s="26" t="s">
        <v>20</v>
      </c>
      <c r="L408" s="26" t="s">
        <v>423</v>
      </c>
      <c r="M408" s="31" t="s">
        <v>1343</v>
      </c>
      <c r="N408" s="6"/>
      <c r="O408" s="2"/>
      <c r="P408" s="2"/>
      <c r="Q408" s="2"/>
      <c r="R408" s="2"/>
      <c r="S408" s="2"/>
      <c r="T408" s="2"/>
      <c r="U408" s="2"/>
      <c r="V408" s="2"/>
      <c r="W408" s="2"/>
      <c r="X408" s="2"/>
      <c r="Y408" s="2"/>
    </row>
    <row r="409" spans="1:25" ht="12.75" customHeight="1">
      <c r="A409" s="26">
        <v>232</v>
      </c>
      <c r="B409" s="27" t="s">
        <v>1198</v>
      </c>
      <c r="C409" s="28">
        <v>36160</v>
      </c>
      <c r="D409" s="27" t="s">
        <v>1344</v>
      </c>
      <c r="E409" s="27" t="s">
        <v>1345</v>
      </c>
      <c r="F409" s="29" t="s">
        <v>1346</v>
      </c>
      <c r="G409" s="27"/>
      <c r="H409" s="27" t="s">
        <v>19</v>
      </c>
      <c r="I409" s="27">
        <v>1</v>
      </c>
      <c r="J409" s="30">
        <v>48231975</v>
      </c>
      <c r="K409" s="26" t="s">
        <v>20</v>
      </c>
      <c r="L409" s="36" t="s">
        <v>229</v>
      </c>
      <c r="M409" s="31" t="s">
        <v>5180</v>
      </c>
      <c r="N409" s="6"/>
      <c r="O409" s="2"/>
      <c r="P409" s="2"/>
      <c r="Q409" s="2"/>
      <c r="R409" s="2"/>
      <c r="S409" s="2"/>
      <c r="T409" s="2"/>
      <c r="U409" s="2"/>
      <c r="V409" s="2"/>
      <c r="W409" s="2"/>
      <c r="X409" s="2"/>
      <c r="Y409" s="2"/>
    </row>
    <row r="410" spans="1:25" ht="12.75" customHeight="1">
      <c r="A410" s="26" t="s">
        <v>1347</v>
      </c>
      <c r="B410" s="27"/>
      <c r="C410" s="28"/>
      <c r="D410" s="27"/>
      <c r="E410" s="27" t="s">
        <v>1348</v>
      </c>
      <c r="F410" s="29" t="s">
        <v>1349</v>
      </c>
      <c r="G410" s="27"/>
      <c r="H410" s="27"/>
      <c r="I410" s="27">
        <v>1</v>
      </c>
      <c r="J410" s="30"/>
      <c r="K410" s="26" t="s">
        <v>20</v>
      </c>
      <c r="L410" s="36" t="s">
        <v>229</v>
      </c>
      <c r="M410" s="31" t="s">
        <v>5180</v>
      </c>
      <c r="N410" s="6"/>
      <c r="O410" s="2"/>
      <c r="P410" s="2"/>
      <c r="Q410" s="2"/>
      <c r="R410" s="2"/>
      <c r="S410" s="2"/>
      <c r="T410" s="2"/>
      <c r="U410" s="2"/>
      <c r="V410" s="2"/>
      <c r="W410" s="2"/>
      <c r="X410" s="2"/>
      <c r="Y410" s="2"/>
    </row>
    <row r="411" spans="1:25" ht="12.75" customHeight="1">
      <c r="A411" s="26">
        <v>233</v>
      </c>
      <c r="B411" s="27" t="s">
        <v>470</v>
      </c>
      <c r="C411" s="28">
        <v>41983</v>
      </c>
      <c r="D411" s="27"/>
      <c r="E411" s="27" t="s">
        <v>1356</v>
      </c>
      <c r="F411" s="29" t="s">
        <v>1357</v>
      </c>
      <c r="G411" s="27" t="s">
        <v>248</v>
      </c>
      <c r="H411" s="27" t="s">
        <v>19</v>
      </c>
      <c r="I411" s="27">
        <v>1</v>
      </c>
      <c r="J411" s="30">
        <v>123652652</v>
      </c>
      <c r="K411" s="26" t="s">
        <v>20</v>
      </c>
      <c r="L411" s="36" t="s">
        <v>229</v>
      </c>
      <c r="M411" s="31" t="s">
        <v>5206</v>
      </c>
      <c r="N411" s="6"/>
      <c r="O411" s="2"/>
      <c r="P411" s="2"/>
      <c r="Q411" s="2"/>
      <c r="R411" s="2"/>
      <c r="S411" s="2"/>
      <c r="T411" s="2"/>
      <c r="U411" s="2"/>
      <c r="V411" s="2"/>
      <c r="W411" s="2"/>
      <c r="X411" s="2"/>
      <c r="Y411" s="2"/>
    </row>
    <row r="412" spans="1:25" ht="25.5" customHeight="1">
      <c r="A412" s="26">
        <v>234</v>
      </c>
      <c r="B412" s="27" t="s">
        <v>909</v>
      </c>
      <c r="C412" s="28">
        <v>41999</v>
      </c>
      <c r="D412" s="27"/>
      <c r="E412" s="27" t="s">
        <v>1359</v>
      </c>
      <c r="F412" s="29" t="s">
        <v>1360</v>
      </c>
      <c r="G412" s="27" t="s">
        <v>55</v>
      </c>
      <c r="H412" s="27" t="s">
        <v>19</v>
      </c>
      <c r="I412" s="27">
        <v>1</v>
      </c>
      <c r="J412" s="30">
        <v>105321737</v>
      </c>
      <c r="K412" s="26" t="s">
        <v>20</v>
      </c>
      <c r="L412" s="26" t="s">
        <v>233</v>
      </c>
      <c r="M412" s="31" t="s">
        <v>1361</v>
      </c>
      <c r="N412" s="6"/>
      <c r="O412" s="2"/>
      <c r="P412" s="2"/>
      <c r="Q412" s="2"/>
      <c r="R412" s="2"/>
      <c r="S412" s="2"/>
      <c r="T412" s="2"/>
      <c r="U412" s="2"/>
      <c r="V412" s="2"/>
      <c r="W412" s="2"/>
      <c r="X412" s="2"/>
      <c r="Y412" s="2"/>
    </row>
    <row r="413" spans="1:25" ht="25.5" customHeight="1">
      <c r="A413" s="26" t="s">
        <v>1362</v>
      </c>
      <c r="B413" s="27"/>
      <c r="C413" s="28"/>
      <c r="D413" s="27"/>
      <c r="E413" s="27" t="s">
        <v>1363</v>
      </c>
      <c r="F413" s="29" t="s">
        <v>1364</v>
      </c>
      <c r="G413" s="27" t="s">
        <v>55</v>
      </c>
      <c r="H413" s="27" t="s">
        <v>19</v>
      </c>
      <c r="I413" s="27">
        <v>1</v>
      </c>
      <c r="J413" s="30">
        <v>12904366</v>
      </c>
      <c r="K413" s="26" t="s">
        <v>20</v>
      </c>
      <c r="L413" s="26" t="s">
        <v>233</v>
      </c>
      <c r="M413" s="31" t="s">
        <v>1365</v>
      </c>
      <c r="N413" s="6"/>
      <c r="O413" s="2"/>
      <c r="P413" s="2"/>
      <c r="Q413" s="2"/>
      <c r="R413" s="2"/>
      <c r="S413" s="2"/>
      <c r="T413" s="2"/>
      <c r="U413" s="2"/>
      <c r="V413" s="2"/>
      <c r="W413" s="2"/>
      <c r="X413" s="2"/>
      <c r="Y413" s="2"/>
    </row>
    <row r="414" spans="1:25" ht="25.5" customHeight="1">
      <c r="A414" s="26" t="s">
        <v>1366</v>
      </c>
      <c r="B414" s="27"/>
      <c r="C414" s="28"/>
      <c r="D414" s="27"/>
      <c r="E414" s="27" t="s">
        <v>1367</v>
      </c>
      <c r="F414" s="29" t="s">
        <v>1368</v>
      </c>
      <c r="G414" s="27" t="s">
        <v>55</v>
      </c>
      <c r="H414" s="27" t="s">
        <v>19</v>
      </c>
      <c r="I414" s="27">
        <v>1</v>
      </c>
      <c r="J414" s="30">
        <v>12904366</v>
      </c>
      <c r="K414" s="26" t="s">
        <v>20</v>
      </c>
      <c r="L414" s="26" t="s">
        <v>233</v>
      </c>
      <c r="M414" s="31" t="s">
        <v>1369</v>
      </c>
      <c r="N414" s="6"/>
      <c r="O414" s="2"/>
      <c r="P414" s="2"/>
      <c r="Q414" s="2"/>
      <c r="R414" s="2"/>
      <c r="S414" s="2"/>
      <c r="T414" s="2"/>
      <c r="U414" s="2"/>
      <c r="V414" s="2"/>
      <c r="W414" s="2"/>
      <c r="X414" s="2"/>
      <c r="Y414" s="2"/>
    </row>
    <row r="415" spans="1:25" ht="25.5" customHeight="1">
      <c r="A415" s="26" t="s">
        <v>1370</v>
      </c>
      <c r="B415" s="27"/>
      <c r="C415" s="28"/>
      <c r="D415" s="27"/>
      <c r="E415" s="27" t="s">
        <v>1371</v>
      </c>
      <c r="F415" s="29" t="s">
        <v>1372</v>
      </c>
      <c r="G415" s="27" t="s">
        <v>55</v>
      </c>
      <c r="H415" s="27" t="s">
        <v>19</v>
      </c>
      <c r="I415" s="27">
        <v>1</v>
      </c>
      <c r="J415" s="30">
        <v>12904366</v>
      </c>
      <c r="K415" s="26" t="s">
        <v>20</v>
      </c>
      <c r="L415" s="26" t="s">
        <v>233</v>
      </c>
      <c r="M415" s="31" t="s">
        <v>1369</v>
      </c>
      <c r="N415" s="6"/>
      <c r="O415" s="2"/>
      <c r="P415" s="2"/>
      <c r="Q415" s="2"/>
      <c r="R415" s="2"/>
      <c r="S415" s="2"/>
      <c r="T415" s="2"/>
      <c r="U415" s="2"/>
      <c r="V415" s="2"/>
      <c r="W415" s="2"/>
      <c r="X415" s="2"/>
      <c r="Y415" s="2"/>
    </row>
    <row r="416" spans="1:25" ht="25.5" customHeight="1">
      <c r="A416" s="26" t="s">
        <v>1373</v>
      </c>
      <c r="B416" s="27"/>
      <c r="C416" s="28"/>
      <c r="D416" s="27"/>
      <c r="E416" s="27" t="s">
        <v>1374</v>
      </c>
      <c r="F416" s="29" t="s">
        <v>1375</v>
      </c>
      <c r="G416" s="27" t="s">
        <v>55</v>
      </c>
      <c r="H416" s="27" t="s">
        <v>19</v>
      </c>
      <c r="I416" s="27">
        <v>1</v>
      </c>
      <c r="J416" s="30">
        <v>12904366</v>
      </c>
      <c r="K416" s="26" t="s">
        <v>20</v>
      </c>
      <c r="L416" s="26" t="s">
        <v>233</v>
      </c>
      <c r="M416" s="31" t="s">
        <v>5207</v>
      </c>
      <c r="N416" s="6"/>
      <c r="O416" s="2"/>
      <c r="P416" s="2"/>
      <c r="Q416" s="2"/>
      <c r="R416" s="2"/>
      <c r="S416" s="2"/>
      <c r="T416" s="2"/>
      <c r="U416" s="2"/>
      <c r="V416" s="2"/>
      <c r="W416" s="2"/>
      <c r="X416" s="2"/>
      <c r="Y416" s="2"/>
    </row>
    <row r="417" spans="1:25" ht="25.5" customHeight="1">
      <c r="A417" s="38">
        <v>235</v>
      </c>
      <c r="B417" s="27" t="s">
        <v>1377</v>
      </c>
      <c r="C417" s="40">
        <v>37986</v>
      </c>
      <c r="D417" s="27" t="s">
        <v>1378</v>
      </c>
      <c r="E417" s="67" t="s">
        <v>1379</v>
      </c>
      <c r="F417" s="41" t="s">
        <v>1380</v>
      </c>
      <c r="G417" s="27"/>
      <c r="H417" s="27"/>
      <c r="I417" s="27">
        <v>1</v>
      </c>
      <c r="J417" s="42">
        <v>127361061</v>
      </c>
      <c r="K417" s="38" t="s">
        <v>206</v>
      </c>
      <c r="L417" s="43" t="s">
        <v>1310</v>
      </c>
      <c r="M417" s="43" t="s">
        <v>1381</v>
      </c>
      <c r="N417" s="6"/>
      <c r="O417" s="2"/>
      <c r="P417" s="2"/>
      <c r="Q417" s="2"/>
      <c r="R417" s="2"/>
      <c r="S417" s="2"/>
      <c r="T417" s="2"/>
      <c r="U417" s="2"/>
      <c r="V417" s="2"/>
      <c r="W417" s="2"/>
      <c r="X417" s="2"/>
      <c r="Y417" s="2"/>
    </row>
    <row r="418" spans="1:25" ht="12.75" customHeight="1">
      <c r="A418" s="38">
        <v>236</v>
      </c>
      <c r="B418" s="27" t="s">
        <v>1382</v>
      </c>
      <c r="C418" s="40">
        <v>36160</v>
      </c>
      <c r="D418" s="27" t="s">
        <v>1383</v>
      </c>
      <c r="E418" s="39" t="s">
        <v>1384</v>
      </c>
      <c r="F418" s="41" t="s">
        <v>1385</v>
      </c>
      <c r="G418" s="27"/>
      <c r="H418" s="27" t="s">
        <v>249</v>
      </c>
      <c r="I418" s="27">
        <v>1</v>
      </c>
      <c r="J418" s="42">
        <v>455462008</v>
      </c>
      <c r="K418" s="38" t="s">
        <v>206</v>
      </c>
      <c r="L418" s="43" t="s">
        <v>1310</v>
      </c>
      <c r="M418" s="43" t="s">
        <v>1381</v>
      </c>
      <c r="N418" s="6"/>
      <c r="O418" s="2"/>
      <c r="P418" s="2"/>
      <c r="Q418" s="2"/>
      <c r="R418" s="2"/>
      <c r="S418" s="2"/>
      <c r="T418" s="2"/>
      <c r="U418" s="2"/>
      <c r="V418" s="2"/>
      <c r="W418" s="2"/>
      <c r="X418" s="2"/>
      <c r="Y418" s="2"/>
    </row>
    <row r="419" spans="1:25" ht="38.25" customHeight="1">
      <c r="A419" s="26">
        <v>237</v>
      </c>
      <c r="B419" s="27" t="s">
        <v>1386</v>
      </c>
      <c r="C419" s="28">
        <v>36525</v>
      </c>
      <c r="D419" s="27" t="s">
        <v>1387</v>
      </c>
      <c r="E419" s="27" t="s">
        <v>1388</v>
      </c>
      <c r="F419" s="29" t="s">
        <v>1389</v>
      </c>
      <c r="G419" s="27"/>
      <c r="H419" s="27"/>
      <c r="I419" s="27">
        <v>1</v>
      </c>
      <c r="J419" s="30">
        <v>63710903</v>
      </c>
      <c r="K419" s="26" t="s">
        <v>36</v>
      </c>
      <c r="L419" s="26" t="s">
        <v>37</v>
      </c>
      <c r="M419" s="31" t="s">
        <v>1390</v>
      </c>
      <c r="N419" s="6"/>
      <c r="O419" s="2"/>
      <c r="P419" s="2"/>
      <c r="Q419" s="2"/>
      <c r="R419" s="2"/>
      <c r="S419" s="2"/>
      <c r="T419" s="2"/>
      <c r="U419" s="2"/>
      <c r="V419" s="2"/>
      <c r="W419" s="2"/>
      <c r="X419" s="2"/>
      <c r="Y419" s="2"/>
    </row>
    <row r="420" spans="1:25" ht="25.5" customHeight="1">
      <c r="A420" s="26">
        <v>238</v>
      </c>
      <c r="B420" s="27" t="s">
        <v>1386</v>
      </c>
      <c r="C420" s="28">
        <v>36525</v>
      </c>
      <c r="D420" s="27" t="s">
        <v>1391</v>
      </c>
      <c r="E420" s="27" t="s">
        <v>1392</v>
      </c>
      <c r="F420" s="29" t="s">
        <v>1393</v>
      </c>
      <c r="G420" s="27"/>
      <c r="H420" s="27"/>
      <c r="I420" s="27">
        <v>1</v>
      </c>
      <c r="J420" s="30">
        <v>54301513</v>
      </c>
      <c r="K420" s="26" t="s">
        <v>206</v>
      </c>
      <c r="L420" s="26" t="s">
        <v>1310</v>
      </c>
      <c r="M420" s="31" t="s">
        <v>1394</v>
      </c>
      <c r="N420" s="6"/>
      <c r="O420" s="2"/>
      <c r="P420" s="2"/>
      <c r="Q420" s="2"/>
      <c r="R420" s="2"/>
      <c r="S420" s="2"/>
      <c r="T420" s="2"/>
      <c r="U420" s="2"/>
      <c r="V420" s="2"/>
      <c r="W420" s="2"/>
      <c r="X420" s="2"/>
      <c r="Y420" s="2"/>
    </row>
    <row r="421" spans="1:25" ht="38.25" customHeight="1">
      <c r="A421" s="26">
        <v>239</v>
      </c>
      <c r="B421" s="27" t="s">
        <v>1386</v>
      </c>
      <c r="C421" s="28">
        <v>36525</v>
      </c>
      <c r="D421" s="27" t="s">
        <v>1395</v>
      </c>
      <c r="E421" s="27" t="s">
        <v>1396</v>
      </c>
      <c r="F421" s="29" t="s">
        <v>1397</v>
      </c>
      <c r="G421" s="27"/>
      <c r="H421" s="27"/>
      <c r="I421" s="27">
        <v>1</v>
      </c>
      <c r="J421" s="30">
        <v>67292011</v>
      </c>
      <c r="K421" s="26" t="s">
        <v>36</v>
      </c>
      <c r="L421" s="26" t="s">
        <v>37</v>
      </c>
      <c r="M421" s="31" t="s">
        <v>1398</v>
      </c>
      <c r="N421" s="6"/>
      <c r="O421" s="2"/>
      <c r="P421" s="2"/>
      <c r="Q421" s="2"/>
      <c r="R421" s="2"/>
      <c r="S421" s="2"/>
      <c r="T421" s="2"/>
      <c r="U421" s="2"/>
      <c r="V421" s="2"/>
      <c r="W421" s="2"/>
      <c r="X421" s="2"/>
      <c r="Y421" s="2"/>
    </row>
    <row r="422" spans="1:25" ht="38.25" customHeight="1">
      <c r="A422" s="26">
        <v>240</v>
      </c>
      <c r="B422" s="27" t="s">
        <v>1399</v>
      </c>
      <c r="C422" s="28">
        <v>36891</v>
      </c>
      <c r="D422" s="27" t="s">
        <v>1400</v>
      </c>
      <c r="E422" s="27" t="s">
        <v>1401</v>
      </c>
      <c r="F422" s="29" t="s">
        <v>1402</v>
      </c>
      <c r="G422" s="27"/>
      <c r="H422" s="27" t="s">
        <v>19</v>
      </c>
      <c r="I422" s="27">
        <v>1</v>
      </c>
      <c r="J422" s="30">
        <v>40126693</v>
      </c>
      <c r="K422" s="26" t="s">
        <v>36</v>
      </c>
      <c r="L422" s="26" t="s">
        <v>37</v>
      </c>
      <c r="M422" s="31" t="s">
        <v>1390</v>
      </c>
      <c r="N422" s="6"/>
      <c r="O422" s="2"/>
      <c r="P422" s="2"/>
      <c r="Q422" s="2"/>
      <c r="R422" s="2"/>
      <c r="S422" s="2"/>
      <c r="T422" s="2"/>
      <c r="U422" s="2"/>
      <c r="V422" s="2"/>
      <c r="W422" s="2"/>
      <c r="X422" s="2"/>
      <c r="Y422" s="2"/>
    </row>
    <row r="423" spans="1:25" ht="38.25" customHeight="1">
      <c r="A423" s="26" t="s">
        <v>1403</v>
      </c>
      <c r="B423" s="27"/>
      <c r="C423" s="28"/>
      <c r="D423" s="27"/>
      <c r="E423" s="27" t="s">
        <v>1404</v>
      </c>
      <c r="F423" s="29" t="s">
        <v>1405</v>
      </c>
      <c r="G423" s="27"/>
      <c r="H423" s="27"/>
      <c r="I423" s="27">
        <v>1</v>
      </c>
      <c r="J423" s="30">
        <v>0</v>
      </c>
      <c r="K423" s="26" t="s">
        <v>36</v>
      </c>
      <c r="L423" s="26" t="s">
        <v>37</v>
      </c>
      <c r="M423" s="31" t="s">
        <v>1390</v>
      </c>
      <c r="N423" s="6"/>
      <c r="O423" s="2"/>
      <c r="P423" s="2"/>
      <c r="Q423" s="2"/>
      <c r="R423" s="2"/>
      <c r="S423" s="2"/>
      <c r="T423" s="2"/>
      <c r="U423" s="2"/>
      <c r="V423" s="2"/>
      <c r="W423" s="2"/>
      <c r="X423" s="2"/>
      <c r="Y423" s="2"/>
    </row>
    <row r="424" spans="1:25" ht="38.25" customHeight="1">
      <c r="A424" s="26" t="s">
        <v>1406</v>
      </c>
      <c r="B424" s="27"/>
      <c r="C424" s="28"/>
      <c r="D424" s="27"/>
      <c r="E424" s="27" t="s">
        <v>1407</v>
      </c>
      <c r="F424" s="29" t="s">
        <v>1408</v>
      </c>
      <c r="G424" s="27"/>
      <c r="H424" s="27"/>
      <c r="I424" s="27">
        <v>1</v>
      </c>
      <c r="J424" s="30">
        <v>0</v>
      </c>
      <c r="K424" s="26" t="s">
        <v>36</v>
      </c>
      <c r="L424" s="26" t="s">
        <v>37</v>
      </c>
      <c r="M424" s="31" t="s">
        <v>1390</v>
      </c>
      <c r="N424" s="6"/>
      <c r="O424" s="2"/>
      <c r="P424" s="2"/>
      <c r="Q424" s="2"/>
      <c r="R424" s="2"/>
      <c r="S424" s="2"/>
      <c r="T424" s="2"/>
      <c r="U424" s="2"/>
      <c r="V424" s="2"/>
      <c r="W424" s="2"/>
      <c r="X424" s="2"/>
      <c r="Y424" s="2"/>
    </row>
    <row r="425" spans="1:25" ht="25.5" customHeight="1">
      <c r="A425" s="26">
        <v>241</v>
      </c>
      <c r="B425" s="27" t="s">
        <v>1409</v>
      </c>
      <c r="C425" s="28">
        <v>37880</v>
      </c>
      <c r="D425" s="27" t="s">
        <v>1410</v>
      </c>
      <c r="E425" s="27" t="s">
        <v>1411</v>
      </c>
      <c r="F425" s="29" t="s">
        <v>1412</v>
      </c>
      <c r="G425" s="27"/>
      <c r="H425" s="27"/>
      <c r="I425" s="27">
        <v>1</v>
      </c>
      <c r="J425" s="30">
        <v>55326451</v>
      </c>
      <c r="K425" s="26" t="s">
        <v>36</v>
      </c>
      <c r="L425" s="26" t="s">
        <v>37</v>
      </c>
      <c r="M425" s="31" t="s">
        <v>1413</v>
      </c>
      <c r="N425" s="6"/>
      <c r="O425" s="2"/>
      <c r="P425" s="2"/>
      <c r="Q425" s="2"/>
      <c r="R425" s="2"/>
      <c r="S425" s="2"/>
      <c r="T425" s="2"/>
      <c r="U425" s="2"/>
      <c r="V425" s="2"/>
      <c r="W425" s="2"/>
      <c r="X425" s="2"/>
      <c r="Y425" s="2"/>
    </row>
    <row r="426" spans="1:25" ht="12.75" customHeight="1">
      <c r="A426" s="26">
        <v>242</v>
      </c>
      <c r="B426" s="27" t="s">
        <v>1414</v>
      </c>
      <c r="C426" s="28">
        <v>38681</v>
      </c>
      <c r="D426" s="27" t="s">
        <v>1415</v>
      </c>
      <c r="E426" s="27" t="s">
        <v>1416</v>
      </c>
      <c r="F426" s="29" t="s">
        <v>1417</v>
      </c>
      <c r="G426" s="27"/>
      <c r="H426" s="27"/>
      <c r="I426" s="27">
        <v>1</v>
      </c>
      <c r="J426" s="30">
        <v>173812290</v>
      </c>
      <c r="K426" s="26" t="s">
        <v>206</v>
      </c>
      <c r="L426" s="26" t="s">
        <v>1310</v>
      </c>
      <c r="M426" s="31" t="s">
        <v>1394</v>
      </c>
      <c r="N426" s="6"/>
      <c r="O426" s="2"/>
      <c r="P426" s="2"/>
      <c r="Q426" s="2"/>
      <c r="R426" s="2"/>
      <c r="S426" s="2"/>
      <c r="T426" s="2"/>
      <c r="U426" s="2"/>
      <c r="V426" s="2"/>
      <c r="W426" s="2"/>
      <c r="X426" s="2"/>
      <c r="Y426" s="2"/>
    </row>
    <row r="427" spans="1:25" ht="38.25" customHeight="1">
      <c r="A427" s="26">
        <v>244</v>
      </c>
      <c r="B427" s="27" t="s">
        <v>1421</v>
      </c>
      <c r="C427" s="28">
        <v>39263</v>
      </c>
      <c r="D427" s="27"/>
      <c r="E427" s="27" t="s">
        <v>1422</v>
      </c>
      <c r="F427" s="29" t="s">
        <v>1423</v>
      </c>
      <c r="G427" s="27"/>
      <c r="H427" s="27" t="s">
        <v>157</v>
      </c>
      <c r="I427" s="27">
        <v>1</v>
      </c>
      <c r="J427" s="30">
        <v>465062528</v>
      </c>
      <c r="K427" s="26" t="s">
        <v>20</v>
      </c>
      <c r="L427" s="394" t="s">
        <v>295</v>
      </c>
      <c r="M427" s="31" t="s">
        <v>1424</v>
      </c>
      <c r="N427" s="6"/>
      <c r="O427" s="2"/>
      <c r="P427" s="2"/>
      <c r="Q427" s="2"/>
      <c r="R427" s="2"/>
      <c r="S427" s="2"/>
      <c r="T427" s="2"/>
      <c r="U427" s="2"/>
      <c r="V427" s="2"/>
      <c r="W427" s="2"/>
      <c r="X427" s="2"/>
      <c r="Y427" s="2"/>
    </row>
    <row r="428" spans="1:25" ht="25.5" customHeight="1">
      <c r="A428" s="26" t="s">
        <v>1425</v>
      </c>
      <c r="B428" s="27"/>
      <c r="C428" s="28"/>
      <c r="D428" s="27"/>
      <c r="E428" s="27" t="s">
        <v>1426</v>
      </c>
      <c r="F428" s="29" t="s">
        <v>1427</v>
      </c>
      <c r="G428" s="27"/>
      <c r="H428" s="27"/>
      <c r="I428" s="27">
        <v>1</v>
      </c>
      <c r="J428" s="30">
        <v>0</v>
      </c>
      <c r="K428" s="26" t="s">
        <v>20</v>
      </c>
      <c r="L428" s="394" t="s">
        <v>295</v>
      </c>
      <c r="M428" s="395" t="s">
        <v>1428</v>
      </c>
      <c r="N428" s="6"/>
      <c r="O428" s="2"/>
      <c r="P428" s="2"/>
      <c r="Q428" s="2"/>
      <c r="R428" s="2"/>
      <c r="S428" s="2"/>
      <c r="T428" s="2"/>
      <c r="U428" s="2"/>
      <c r="V428" s="2"/>
      <c r="W428" s="2"/>
      <c r="X428" s="2"/>
      <c r="Y428" s="2"/>
    </row>
    <row r="429" spans="1:25" ht="12.75" customHeight="1">
      <c r="A429" s="26" t="s">
        <v>1429</v>
      </c>
      <c r="B429" s="27"/>
      <c r="C429" s="28"/>
      <c r="D429" s="27"/>
      <c r="E429" s="27" t="s">
        <v>1430</v>
      </c>
      <c r="F429" s="29" t="s">
        <v>1431</v>
      </c>
      <c r="G429" s="27"/>
      <c r="H429" s="27"/>
      <c r="I429" s="27">
        <v>1</v>
      </c>
      <c r="J429" s="30">
        <v>0</v>
      </c>
      <c r="K429" s="26" t="s">
        <v>20</v>
      </c>
      <c r="L429" s="394" t="s">
        <v>295</v>
      </c>
      <c r="M429" s="395" t="s">
        <v>1428</v>
      </c>
      <c r="N429" s="6"/>
      <c r="O429" s="2"/>
      <c r="P429" s="2"/>
      <c r="Q429" s="2"/>
      <c r="R429" s="2"/>
      <c r="S429" s="2"/>
      <c r="T429" s="2"/>
      <c r="U429" s="2"/>
      <c r="V429" s="2"/>
      <c r="W429" s="2"/>
      <c r="X429" s="2"/>
      <c r="Y429" s="2"/>
    </row>
    <row r="430" spans="1:25" ht="12.75" customHeight="1">
      <c r="A430" s="26">
        <v>245</v>
      </c>
      <c r="B430" s="27" t="s">
        <v>1432</v>
      </c>
      <c r="C430" s="28">
        <v>39433</v>
      </c>
      <c r="D430" s="27"/>
      <c r="E430" s="27" t="s">
        <v>1433</v>
      </c>
      <c r="F430" s="29" t="s">
        <v>1434</v>
      </c>
      <c r="G430" s="27" t="s">
        <v>1435</v>
      </c>
      <c r="H430" s="27" t="s">
        <v>249</v>
      </c>
      <c r="I430" s="27">
        <v>1</v>
      </c>
      <c r="J430" s="30">
        <v>34116387</v>
      </c>
      <c r="K430" s="26" t="s">
        <v>20</v>
      </c>
      <c r="L430" s="26" t="s">
        <v>423</v>
      </c>
      <c r="M430" s="31" t="s">
        <v>5208</v>
      </c>
      <c r="N430" s="6"/>
      <c r="O430" s="2"/>
      <c r="P430" s="2"/>
      <c r="Q430" s="2"/>
      <c r="R430" s="2"/>
      <c r="S430" s="2"/>
      <c r="T430" s="2"/>
      <c r="U430" s="2"/>
      <c r="V430" s="2"/>
      <c r="W430" s="2"/>
      <c r="X430" s="2"/>
      <c r="Y430" s="2"/>
    </row>
    <row r="431" spans="1:25" ht="12.75" customHeight="1">
      <c r="A431" s="26">
        <v>246</v>
      </c>
      <c r="B431" s="27" t="s">
        <v>1437</v>
      </c>
      <c r="C431" s="28">
        <v>40767</v>
      </c>
      <c r="D431" s="27"/>
      <c r="E431" s="27" t="s">
        <v>1438</v>
      </c>
      <c r="F431" s="29" t="s">
        <v>1439</v>
      </c>
      <c r="G431" s="27"/>
      <c r="H431" s="27" t="s">
        <v>249</v>
      </c>
      <c r="I431" s="27">
        <v>1</v>
      </c>
      <c r="J431" s="30">
        <v>168976663</v>
      </c>
      <c r="K431" s="26" t="s">
        <v>206</v>
      </c>
      <c r="L431" s="26" t="s">
        <v>1310</v>
      </c>
      <c r="M431" s="31" t="s">
        <v>1440</v>
      </c>
      <c r="N431" s="6"/>
      <c r="O431" s="2"/>
      <c r="P431" s="2"/>
      <c r="Q431" s="2"/>
      <c r="R431" s="2"/>
      <c r="S431" s="2"/>
      <c r="T431" s="2"/>
      <c r="U431" s="2"/>
      <c r="V431" s="2"/>
      <c r="W431" s="2"/>
      <c r="X431" s="2"/>
      <c r="Y431" s="2"/>
    </row>
    <row r="432" spans="1:25" ht="12.75" customHeight="1">
      <c r="A432" s="26">
        <v>247</v>
      </c>
      <c r="B432" s="27" t="s">
        <v>1437</v>
      </c>
      <c r="C432" s="28">
        <v>40767</v>
      </c>
      <c r="D432" s="27"/>
      <c r="E432" s="27" t="s">
        <v>1441</v>
      </c>
      <c r="F432" s="29" t="s">
        <v>1442</v>
      </c>
      <c r="G432" s="27"/>
      <c r="H432" s="27" t="s">
        <v>249</v>
      </c>
      <c r="I432" s="27">
        <v>1</v>
      </c>
      <c r="J432" s="30">
        <v>139770820</v>
      </c>
      <c r="K432" s="26" t="s">
        <v>206</v>
      </c>
      <c r="L432" s="26" t="s">
        <v>1310</v>
      </c>
      <c r="M432" s="31" t="s">
        <v>1443</v>
      </c>
      <c r="N432" s="6"/>
      <c r="O432" s="2"/>
      <c r="P432" s="2"/>
      <c r="Q432" s="2"/>
      <c r="R432" s="2"/>
      <c r="S432" s="2"/>
      <c r="T432" s="2"/>
      <c r="U432" s="2"/>
      <c r="V432" s="2"/>
      <c r="W432" s="2"/>
      <c r="X432" s="2"/>
      <c r="Y432" s="2"/>
    </row>
    <row r="433" spans="1:25" ht="12.75" customHeight="1">
      <c r="A433" s="26">
        <v>249</v>
      </c>
      <c r="B433" s="27" t="s">
        <v>1064</v>
      </c>
      <c r="C433" s="28">
        <v>39963</v>
      </c>
      <c r="D433" s="27"/>
      <c r="E433" s="27" t="s">
        <v>1450</v>
      </c>
      <c r="F433" s="29" t="s">
        <v>1451</v>
      </c>
      <c r="G433" s="27" t="s">
        <v>55</v>
      </c>
      <c r="H433" s="27" t="s">
        <v>249</v>
      </c>
      <c r="I433" s="27">
        <v>1</v>
      </c>
      <c r="J433" s="30">
        <v>147053017</v>
      </c>
      <c r="K433" s="26" t="s">
        <v>20</v>
      </c>
      <c r="L433" s="26" t="s">
        <v>233</v>
      </c>
      <c r="M433" s="31" t="s">
        <v>1660</v>
      </c>
      <c r="N433" s="6"/>
      <c r="O433" s="2"/>
      <c r="P433" s="2"/>
      <c r="Q433" s="2"/>
      <c r="R433" s="2"/>
      <c r="S433" s="2"/>
      <c r="T433" s="2"/>
      <c r="U433" s="2"/>
      <c r="V433" s="2"/>
      <c r="W433" s="2"/>
      <c r="X433" s="2"/>
      <c r="Y433" s="2"/>
    </row>
    <row r="434" spans="1:25" ht="12.75" customHeight="1">
      <c r="A434" s="26">
        <v>250</v>
      </c>
      <c r="B434" s="27" t="s">
        <v>1064</v>
      </c>
      <c r="C434" s="28">
        <v>39963</v>
      </c>
      <c r="D434" s="27"/>
      <c r="E434" s="27" t="s">
        <v>1453</v>
      </c>
      <c r="F434" s="29" t="s">
        <v>1454</v>
      </c>
      <c r="G434" s="27" t="s">
        <v>338</v>
      </c>
      <c r="H434" s="27" t="s">
        <v>157</v>
      </c>
      <c r="I434" s="27">
        <v>1</v>
      </c>
      <c r="J434" s="30">
        <v>157777485</v>
      </c>
      <c r="K434" s="26" t="s">
        <v>206</v>
      </c>
      <c r="L434" s="26" t="s">
        <v>1310</v>
      </c>
      <c r="M434" s="31" t="s">
        <v>1311</v>
      </c>
      <c r="N434" s="6"/>
      <c r="O434" s="2"/>
      <c r="P434" s="2"/>
      <c r="Q434" s="2"/>
      <c r="R434" s="2"/>
      <c r="S434" s="2"/>
      <c r="T434" s="2"/>
      <c r="U434" s="2"/>
      <c r="V434" s="2"/>
      <c r="W434" s="2"/>
      <c r="X434" s="2"/>
      <c r="Y434" s="2"/>
    </row>
    <row r="435" spans="1:25" ht="25.5" customHeight="1">
      <c r="A435" s="26" t="s">
        <v>1455</v>
      </c>
      <c r="B435" s="27"/>
      <c r="C435" s="28"/>
      <c r="D435" s="27"/>
      <c r="E435" s="27" t="s">
        <v>1456</v>
      </c>
      <c r="F435" s="29" t="s">
        <v>1457</v>
      </c>
      <c r="G435" s="27"/>
      <c r="H435" s="27"/>
      <c r="I435" s="27">
        <v>1</v>
      </c>
      <c r="J435" s="30">
        <v>54814395</v>
      </c>
      <c r="K435" s="26" t="s">
        <v>206</v>
      </c>
      <c r="L435" s="26" t="s">
        <v>1310</v>
      </c>
      <c r="M435" s="31"/>
      <c r="N435" s="6"/>
      <c r="O435" s="2"/>
      <c r="P435" s="2"/>
      <c r="Q435" s="2"/>
      <c r="R435" s="2"/>
      <c r="S435" s="2"/>
      <c r="T435" s="2"/>
      <c r="U435" s="2"/>
      <c r="V435" s="2"/>
      <c r="W435" s="2"/>
      <c r="X435" s="2"/>
      <c r="Y435" s="2"/>
    </row>
    <row r="436" spans="1:25" ht="12.75" customHeight="1">
      <c r="A436" s="26" t="s">
        <v>1458</v>
      </c>
      <c r="B436" s="27"/>
      <c r="C436" s="28"/>
      <c r="D436" s="27"/>
      <c r="E436" s="27" t="s">
        <v>1459</v>
      </c>
      <c r="F436" s="29" t="s">
        <v>1460</v>
      </c>
      <c r="G436" s="27"/>
      <c r="H436" s="27"/>
      <c r="I436" s="27">
        <v>1</v>
      </c>
      <c r="J436" s="30">
        <v>6064799</v>
      </c>
      <c r="K436" s="26" t="s">
        <v>206</v>
      </c>
      <c r="L436" s="26" t="s">
        <v>1310</v>
      </c>
      <c r="M436" s="31"/>
      <c r="N436" s="6"/>
      <c r="O436" s="2"/>
      <c r="P436" s="2"/>
      <c r="Q436" s="2"/>
      <c r="R436" s="2"/>
      <c r="S436" s="2"/>
      <c r="T436" s="2"/>
      <c r="U436" s="2"/>
      <c r="V436" s="2"/>
      <c r="W436" s="2"/>
      <c r="X436" s="2"/>
      <c r="Y436" s="2"/>
    </row>
    <row r="437" spans="1:25" ht="25.5" customHeight="1">
      <c r="A437" s="26" t="s">
        <v>1461</v>
      </c>
      <c r="B437" s="27"/>
      <c r="C437" s="28"/>
      <c r="D437" s="27"/>
      <c r="E437" s="27" t="s">
        <v>1462</v>
      </c>
      <c r="F437" s="29" t="s">
        <v>1463</v>
      </c>
      <c r="G437" s="27"/>
      <c r="H437" s="27"/>
      <c r="I437" s="27">
        <v>1</v>
      </c>
      <c r="J437" s="30">
        <v>11259895</v>
      </c>
      <c r="K437" s="26" t="s">
        <v>206</v>
      </c>
      <c r="L437" s="26" t="s">
        <v>1310</v>
      </c>
      <c r="M437" s="31"/>
      <c r="N437" s="6"/>
      <c r="O437" s="2"/>
      <c r="P437" s="2"/>
      <c r="Q437" s="2"/>
      <c r="R437" s="2"/>
      <c r="S437" s="2"/>
      <c r="T437" s="2"/>
      <c r="U437" s="2"/>
      <c r="V437" s="2"/>
      <c r="W437" s="2"/>
      <c r="X437" s="2"/>
      <c r="Y437" s="2"/>
    </row>
    <row r="438" spans="1:25" ht="25.5" customHeight="1">
      <c r="A438" s="26" t="s">
        <v>1464</v>
      </c>
      <c r="B438" s="27"/>
      <c r="C438" s="28"/>
      <c r="D438" s="27"/>
      <c r="E438" s="27" t="s">
        <v>1465</v>
      </c>
      <c r="F438" s="29" t="s">
        <v>1463</v>
      </c>
      <c r="G438" s="27"/>
      <c r="H438" s="27"/>
      <c r="I438" s="27">
        <v>1</v>
      </c>
      <c r="J438" s="30">
        <v>11259894</v>
      </c>
      <c r="K438" s="26" t="s">
        <v>206</v>
      </c>
      <c r="L438" s="26" t="s">
        <v>1310</v>
      </c>
      <c r="M438" s="31"/>
      <c r="N438" s="6"/>
      <c r="O438" s="2"/>
      <c r="P438" s="2"/>
      <c r="Q438" s="2"/>
      <c r="R438" s="2"/>
      <c r="S438" s="2"/>
      <c r="T438" s="2"/>
      <c r="U438" s="2"/>
      <c r="V438" s="2"/>
      <c r="W438" s="2"/>
      <c r="X438" s="2"/>
      <c r="Y438" s="2"/>
    </row>
    <row r="439" spans="1:25" ht="25.5" customHeight="1">
      <c r="A439" s="26" t="s">
        <v>1466</v>
      </c>
      <c r="B439" s="27"/>
      <c r="C439" s="28"/>
      <c r="D439" s="27"/>
      <c r="E439" s="27" t="s">
        <v>1467</v>
      </c>
      <c r="F439" s="29" t="s">
        <v>1463</v>
      </c>
      <c r="G439" s="27"/>
      <c r="H439" s="27"/>
      <c r="I439" s="27">
        <v>1</v>
      </c>
      <c r="J439" s="30">
        <v>11259894</v>
      </c>
      <c r="K439" s="26" t="s">
        <v>206</v>
      </c>
      <c r="L439" s="26" t="s">
        <v>1310</v>
      </c>
      <c r="M439" s="31"/>
      <c r="N439" s="6"/>
      <c r="O439" s="2"/>
      <c r="P439" s="2"/>
      <c r="Q439" s="2"/>
      <c r="R439" s="2"/>
      <c r="S439" s="2"/>
      <c r="T439" s="2"/>
      <c r="U439" s="2"/>
      <c r="V439" s="2"/>
      <c r="W439" s="2"/>
      <c r="X439" s="2"/>
      <c r="Y439" s="2"/>
    </row>
    <row r="440" spans="1:25" ht="25.5" customHeight="1">
      <c r="A440" s="26" t="s">
        <v>1468</v>
      </c>
      <c r="B440" s="27"/>
      <c r="C440" s="28"/>
      <c r="D440" s="27"/>
      <c r="E440" s="27" t="s">
        <v>1469</v>
      </c>
      <c r="F440" s="29" t="s">
        <v>1463</v>
      </c>
      <c r="G440" s="27"/>
      <c r="H440" s="27"/>
      <c r="I440" s="27">
        <v>1</v>
      </c>
      <c r="J440" s="30">
        <v>11259894</v>
      </c>
      <c r="K440" s="26" t="s">
        <v>206</v>
      </c>
      <c r="L440" s="26" t="s">
        <v>1310</v>
      </c>
      <c r="M440" s="31"/>
      <c r="N440" s="6"/>
      <c r="O440" s="2"/>
      <c r="P440" s="2"/>
      <c r="Q440" s="2"/>
      <c r="R440" s="2"/>
      <c r="S440" s="2"/>
      <c r="T440" s="2"/>
      <c r="U440" s="2"/>
      <c r="V440" s="2"/>
      <c r="W440" s="2"/>
      <c r="X440" s="2"/>
      <c r="Y440" s="2"/>
    </row>
    <row r="441" spans="1:25" ht="25.5" customHeight="1">
      <c r="A441" s="26" t="s">
        <v>1470</v>
      </c>
      <c r="B441" s="27"/>
      <c r="C441" s="28"/>
      <c r="D441" s="27"/>
      <c r="E441" s="27" t="s">
        <v>1471</v>
      </c>
      <c r="F441" s="29" t="s">
        <v>1463</v>
      </c>
      <c r="G441" s="27"/>
      <c r="H441" s="27"/>
      <c r="I441" s="27">
        <v>1</v>
      </c>
      <c r="J441" s="30">
        <v>11259894</v>
      </c>
      <c r="K441" s="26" t="s">
        <v>206</v>
      </c>
      <c r="L441" s="26" t="s">
        <v>1310</v>
      </c>
      <c r="M441" s="31"/>
      <c r="N441" s="6"/>
      <c r="O441" s="2"/>
      <c r="P441" s="2"/>
      <c r="Q441" s="2"/>
      <c r="R441" s="2"/>
      <c r="S441" s="2"/>
      <c r="T441" s="2"/>
      <c r="U441" s="2"/>
      <c r="V441" s="2"/>
      <c r="W441" s="2"/>
      <c r="X441" s="2"/>
      <c r="Y441" s="2"/>
    </row>
    <row r="442" spans="1:25" ht="25.5" customHeight="1">
      <c r="A442" s="26" t="s">
        <v>1472</v>
      </c>
      <c r="B442" s="27"/>
      <c r="C442" s="28"/>
      <c r="D442" s="27"/>
      <c r="E442" s="27" t="s">
        <v>1473</v>
      </c>
      <c r="F442" s="29" t="s">
        <v>1463</v>
      </c>
      <c r="G442" s="27"/>
      <c r="H442" s="27"/>
      <c r="I442" s="27">
        <v>1</v>
      </c>
      <c r="J442" s="30">
        <v>11259894</v>
      </c>
      <c r="K442" s="26" t="s">
        <v>206</v>
      </c>
      <c r="L442" s="26" t="s">
        <v>1310</v>
      </c>
      <c r="M442" s="31"/>
      <c r="N442" s="6"/>
      <c r="O442" s="2"/>
      <c r="P442" s="2"/>
      <c r="Q442" s="2"/>
      <c r="R442" s="2"/>
      <c r="S442" s="2"/>
      <c r="T442" s="2"/>
      <c r="U442" s="2"/>
      <c r="V442" s="2"/>
      <c r="W442" s="2"/>
      <c r="X442" s="2"/>
      <c r="Y442" s="2"/>
    </row>
    <row r="443" spans="1:25" ht="25.5" customHeight="1">
      <c r="A443" s="26" t="s">
        <v>1474</v>
      </c>
      <c r="B443" s="27"/>
      <c r="C443" s="28"/>
      <c r="D443" s="27"/>
      <c r="E443" s="27" t="s">
        <v>1475</v>
      </c>
      <c r="F443" s="29" t="s">
        <v>1463</v>
      </c>
      <c r="G443" s="27"/>
      <c r="H443" s="27"/>
      <c r="I443" s="27">
        <v>1</v>
      </c>
      <c r="J443" s="30">
        <v>11259894</v>
      </c>
      <c r="K443" s="26" t="s">
        <v>206</v>
      </c>
      <c r="L443" s="26" t="s">
        <v>1310</v>
      </c>
      <c r="M443" s="31"/>
      <c r="N443" s="6"/>
      <c r="O443" s="2"/>
      <c r="P443" s="2"/>
      <c r="Q443" s="2"/>
      <c r="R443" s="2"/>
      <c r="S443" s="2"/>
      <c r="T443" s="2"/>
      <c r="U443" s="2"/>
      <c r="V443" s="2"/>
      <c r="W443" s="2"/>
      <c r="X443" s="2"/>
      <c r="Y443" s="2"/>
    </row>
    <row r="444" spans="1:25" ht="25.5" customHeight="1">
      <c r="A444" s="26" t="s">
        <v>1476</v>
      </c>
      <c r="B444" s="27"/>
      <c r="C444" s="28"/>
      <c r="D444" s="27"/>
      <c r="E444" s="27" t="s">
        <v>1477</v>
      </c>
      <c r="F444" s="29" t="s">
        <v>1463</v>
      </c>
      <c r="G444" s="27"/>
      <c r="H444" s="27"/>
      <c r="I444" s="27">
        <v>1</v>
      </c>
      <c r="J444" s="30">
        <v>11259894</v>
      </c>
      <c r="K444" s="26" t="s">
        <v>206</v>
      </c>
      <c r="L444" s="26" t="s">
        <v>1310</v>
      </c>
      <c r="M444" s="31"/>
      <c r="N444" s="6"/>
      <c r="O444" s="2"/>
      <c r="P444" s="2"/>
      <c r="Q444" s="2"/>
      <c r="R444" s="2"/>
      <c r="S444" s="2"/>
      <c r="T444" s="2"/>
      <c r="U444" s="2"/>
      <c r="V444" s="2"/>
      <c r="W444" s="2"/>
      <c r="X444" s="2"/>
      <c r="Y444" s="2"/>
    </row>
    <row r="445" spans="1:25" ht="25.5" customHeight="1">
      <c r="A445" s="26" t="s">
        <v>1478</v>
      </c>
      <c r="B445" s="27"/>
      <c r="C445" s="28"/>
      <c r="D445" s="27"/>
      <c r="E445" s="27" t="s">
        <v>1479</v>
      </c>
      <c r="F445" s="29" t="s">
        <v>1463</v>
      </c>
      <c r="G445" s="27"/>
      <c r="H445" s="27"/>
      <c r="I445" s="27">
        <v>1</v>
      </c>
      <c r="J445" s="30">
        <v>11259894</v>
      </c>
      <c r="K445" s="26" t="s">
        <v>206</v>
      </c>
      <c r="L445" s="26" t="s">
        <v>1310</v>
      </c>
      <c r="M445" s="31"/>
      <c r="N445" s="6"/>
      <c r="O445" s="2"/>
      <c r="P445" s="2"/>
      <c r="Q445" s="2"/>
      <c r="R445" s="2"/>
      <c r="S445" s="2"/>
      <c r="T445" s="2"/>
      <c r="U445" s="2"/>
      <c r="V445" s="2"/>
      <c r="W445" s="2"/>
      <c r="X445" s="2"/>
      <c r="Y445" s="2"/>
    </row>
    <row r="446" spans="1:25" ht="25.5" customHeight="1">
      <c r="A446" s="26" t="s">
        <v>1480</v>
      </c>
      <c r="B446" s="27"/>
      <c r="C446" s="28"/>
      <c r="D446" s="27"/>
      <c r="E446" s="27" t="s">
        <v>1481</v>
      </c>
      <c r="F446" s="29" t="s">
        <v>1463</v>
      </c>
      <c r="G446" s="27"/>
      <c r="H446" s="27"/>
      <c r="I446" s="27">
        <v>1</v>
      </c>
      <c r="J446" s="30">
        <v>11259894</v>
      </c>
      <c r="K446" s="26" t="s">
        <v>206</v>
      </c>
      <c r="L446" s="26" t="s">
        <v>1310</v>
      </c>
      <c r="M446" s="31"/>
      <c r="N446" s="6"/>
      <c r="O446" s="2"/>
      <c r="P446" s="2"/>
      <c r="Q446" s="2"/>
      <c r="R446" s="2"/>
      <c r="S446" s="2"/>
      <c r="T446" s="2"/>
      <c r="U446" s="2"/>
      <c r="V446" s="2"/>
      <c r="W446" s="2"/>
      <c r="X446" s="2"/>
      <c r="Y446" s="2"/>
    </row>
    <row r="447" spans="1:25" ht="12.75" customHeight="1">
      <c r="A447" s="26">
        <v>251</v>
      </c>
      <c r="B447" s="27" t="s">
        <v>1482</v>
      </c>
      <c r="C447" s="28">
        <v>39986</v>
      </c>
      <c r="D447" s="27"/>
      <c r="E447" s="27" t="s">
        <v>1483</v>
      </c>
      <c r="F447" s="29" t="s">
        <v>1484</v>
      </c>
      <c r="G447" s="27"/>
      <c r="H447" s="27" t="s">
        <v>249</v>
      </c>
      <c r="I447" s="27">
        <v>1</v>
      </c>
      <c r="J447" s="30">
        <v>98116052</v>
      </c>
      <c r="K447" s="26" t="s">
        <v>206</v>
      </c>
      <c r="L447" s="46" t="s">
        <v>1310</v>
      </c>
      <c r="M447" s="46" t="s">
        <v>1485</v>
      </c>
      <c r="N447" s="6"/>
      <c r="O447" s="2"/>
      <c r="P447" s="2"/>
      <c r="Q447" s="2"/>
      <c r="R447" s="2"/>
      <c r="S447" s="2"/>
      <c r="T447" s="2"/>
      <c r="U447" s="2"/>
      <c r="V447" s="2"/>
      <c r="W447" s="2"/>
      <c r="X447" s="2"/>
      <c r="Y447" s="2"/>
    </row>
    <row r="448" spans="1:25" ht="38.25" customHeight="1">
      <c r="A448" s="26">
        <v>252</v>
      </c>
      <c r="B448" s="27" t="s">
        <v>1005</v>
      </c>
      <c r="C448" s="28">
        <v>39994</v>
      </c>
      <c r="D448" s="27"/>
      <c r="E448" s="27" t="s">
        <v>1486</v>
      </c>
      <c r="F448" s="29" t="s">
        <v>1487</v>
      </c>
      <c r="G448" s="27" t="s">
        <v>338</v>
      </c>
      <c r="H448" s="27" t="s">
        <v>157</v>
      </c>
      <c r="I448" s="27">
        <v>1</v>
      </c>
      <c r="J448" s="30">
        <v>363433273</v>
      </c>
      <c r="K448" s="26" t="s">
        <v>206</v>
      </c>
      <c r="L448" s="46" t="s">
        <v>1310</v>
      </c>
      <c r="M448" s="46" t="s">
        <v>1488</v>
      </c>
      <c r="N448" s="6"/>
      <c r="O448" s="2"/>
      <c r="P448" s="2"/>
      <c r="Q448" s="2"/>
      <c r="R448" s="2"/>
      <c r="S448" s="2"/>
      <c r="T448" s="2"/>
      <c r="U448" s="2"/>
      <c r="V448" s="2"/>
      <c r="W448" s="2"/>
      <c r="X448" s="2"/>
      <c r="Y448" s="2"/>
    </row>
    <row r="449" spans="1:25" ht="12.75" customHeight="1">
      <c r="A449" s="26">
        <v>253</v>
      </c>
      <c r="B449" s="27" t="s">
        <v>1005</v>
      </c>
      <c r="C449" s="28">
        <v>39994</v>
      </c>
      <c r="D449" s="27"/>
      <c r="E449" s="27" t="s">
        <v>1489</v>
      </c>
      <c r="F449" s="29" t="s">
        <v>1490</v>
      </c>
      <c r="G449" s="27" t="s">
        <v>338</v>
      </c>
      <c r="H449" s="27" t="s">
        <v>157</v>
      </c>
      <c r="I449" s="27">
        <v>1</v>
      </c>
      <c r="J449" s="30">
        <v>416702453</v>
      </c>
      <c r="K449" s="26" t="s">
        <v>206</v>
      </c>
      <c r="L449" s="46" t="s">
        <v>1310</v>
      </c>
      <c r="M449" s="46" t="s">
        <v>1488</v>
      </c>
      <c r="N449" s="6"/>
      <c r="O449" s="2"/>
      <c r="P449" s="2"/>
      <c r="Q449" s="2"/>
      <c r="R449" s="2"/>
      <c r="S449" s="2"/>
      <c r="T449" s="2"/>
      <c r="U449" s="2"/>
      <c r="V449" s="2"/>
      <c r="W449" s="2"/>
      <c r="X449" s="2"/>
      <c r="Y449" s="2"/>
    </row>
    <row r="450" spans="1:25" ht="25.5" customHeight="1">
      <c r="A450" s="26" t="s">
        <v>1491</v>
      </c>
      <c r="B450" s="27"/>
      <c r="C450" s="28"/>
      <c r="D450" s="27"/>
      <c r="E450" s="27" t="s">
        <v>1492</v>
      </c>
      <c r="F450" s="29" t="s">
        <v>1493</v>
      </c>
      <c r="G450" s="27"/>
      <c r="H450" s="27"/>
      <c r="I450" s="27">
        <v>1</v>
      </c>
      <c r="J450" s="30">
        <v>52195204</v>
      </c>
      <c r="K450" s="26" t="s">
        <v>206</v>
      </c>
      <c r="L450" s="26" t="s">
        <v>1310</v>
      </c>
      <c r="M450" s="31"/>
      <c r="N450" s="6"/>
      <c r="O450" s="2"/>
      <c r="P450" s="2"/>
      <c r="Q450" s="2"/>
      <c r="R450" s="2"/>
      <c r="S450" s="2"/>
      <c r="T450" s="2"/>
      <c r="U450" s="2"/>
      <c r="V450" s="2"/>
      <c r="W450" s="2"/>
      <c r="X450" s="2"/>
      <c r="Y450" s="2"/>
    </row>
    <row r="451" spans="1:25" ht="38.25" customHeight="1">
      <c r="A451" s="26" t="s">
        <v>1494</v>
      </c>
      <c r="B451" s="27"/>
      <c r="C451" s="28"/>
      <c r="D451" s="27"/>
      <c r="E451" s="27" t="s">
        <v>1495</v>
      </c>
      <c r="F451" s="29" t="s">
        <v>1496</v>
      </c>
      <c r="G451" s="27"/>
      <c r="H451" s="27"/>
      <c r="I451" s="27">
        <v>1</v>
      </c>
      <c r="J451" s="30">
        <v>55202335</v>
      </c>
      <c r="K451" s="26" t="s">
        <v>206</v>
      </c>
      <c r="L451" s="26" t="s">
        <v>1310</v>
      </c>
      <c r="M451" s="31"/>
      <c r="N451" s="6"/>
      <c r="O451" s="2"/>
      <c r="P451" s="2"/>
      <c r="Q451" s="2"/>
      <c r="R451" s="2"/>
      <c r="S451" s="2"/>
      <c r="T451" s="2"/>
      <c r="U451" s="2"/>
      <c r="V451" s="2"/>
      <c r="W451" s="2"/>
      <c r="X451" s="2"/>
      <c r="Y451" s="2"/>
    </row>
    <row r="452" spans="1:25" ht="38.25" customHeight="1">
      <c r="A452" s="26">
        <v>254</v>
      </c>
      <c r="B452" s="27" t="s">
        <v>1005</v>
      </c>
      <c r="C452" s="28">
        <v>39994</v>
      </c>
      <c r="D452" s="27"/>
      <c r="E452" s="27" t="s">
        <v>1497</v>
      </c>
      <c r="F452" s="29" t="s">
        <v>1498</v>
      </c>
      <c r="G452" s="27" t="s">
        <v>338</v>
      </c>
      <c r="H452" s="27" t="s">
        <v>249</v>
      </c>
      <c r="I452" s="27">
        <v>1</v>
      </c>
      <c r="J452" s="30">
        <v>200833399</v>
      </c>
      <c r="K452" s="26" t="s">
        <v>206</v>
      </c>
      <c r="L452" s="26" t="s">
        <v>1310</v>
      </c>
      <c r="M452" s="31" t="s">
        <v>1499</v>
      </c>
      <c r="N452" s="6"/>
      <c r="O452" s="2"/>
      <c r="P452" s="2"/>
      <c r="Q452" s="2"/>
      <c r="R452" s="2"/>
      <c r="S452" s="2"/>
      <c r="T452" s="2"/>
      <c r="U452" s="2"/>
      <c r="V452" s="2"/>
      <c r="W452" s="2"/>
      <c r="X452" s="2"/>
      <c r="Y452" s="2"/>
    </row>
    <row r="453" spans="1:25" ht="38.25" customHeight="1">
      <c r="A453" s="38">
        <v>255</v>
      </c>
      <c r="B453" s="27" t="s">
        <v>1005</v>
      </c>
      <c r="C453" s="40">
        <v>39994</v>
      </c>
      <c r="D453" s="27"/>
      <c r="E453" s="39" t="s">
        <v>1500</v>
      </c>
      <c r="F453" s="41" t="s">
        <v>1501</v>
      </c>
      <c r="G453" s="27" t="s">
        <v>338</v>
      </c>
      <c r="H453" s="27" t="s">
        <v>249</v>
      </c>
      <c r="I453" s="27">
        <v>1</v>
      </c>
      <c r="J453" s="42">
        <v>200833398</v>
      </c>
      <c r="K453" s="38" t="s">
        <v>206</v>
      </c>
      <c r="L453" s="43" t="s">
        <v>1310</v>
      </c>
      <c r="M453" s="43" t="s">
        <v>1381</v>
      </c>
      <c r="N453" s="6"/>
      <c r="O453" s="2"/>
      <c r="P453" s="2"/>
      <c r="Q453" s="2"/>
      <c r="R453" s="2"/>
      <c r="S453" s="2"/>
      <c r="T453" s="2"/>
      <c r="U453" s="2"/>
      <c r="V453" s="2"/>
      <c r="W453" s="2"/>
      <c r="X453" s="2"/>
      <c r="Y453" s="2"/>
    </row>
    <row r="454" spans="1:25" ht="25.5" customHeight="1">
      <c r="A454" s="38">
        <v>256</v>
      </c>
      <c r="B454" s="27" t="s">
        <v>1005</v>
      </c>
      <c r="C454" s="40">
        <v>39994</v>
      </c>
      <c r="D454" s="27"/>
      <c r="E454" s="39" t="s">
        <v>1502</v>
      </c>
      <c r="F454" s="41" t="s">
        <v>1503</v>
      </c>
      <c r="G454" s="27"/>
      <c r="H454" s="27" t="s">
        <v>249</v>
      </c>
      <c r="I454" s="27">
        <v>1</v>
      </c>
      <c r="J454" s="42">
        <v>38725405</v>
      </c>
      <c r="K454" s="38" t="s">
        <v>206</v>
      </c>
      <c r="L454" s="43" t="s">
        <v>1310</v>
      </c>
      <c r="M454" s="43" t="s">
        <v>1381</v>
      </c>
      <c r="N454" s="6"/>
      <c r="O454" s="2"/>
      <c r="P454" s="2"/>
      <c r="Q454" s="2"/>
      <c r="R454" s="2"/>
      <c r="S454" s="2"/>
      <c r="T454" s="2"/>
      <c r="U454" s="2"/>
      <c r="V454" s="2"/>
      <c r="W454" s="2"/>
      <c r="X454" s="2"/>
      <c r="Y454" s="2"/>
    </row>
    <row r="455" spans="1:25" ht="25.5" customHeight="1">
      <c r="A455" s="26">
        <v>257</v>
      </c>
      <c r="B455" s="27" t="s">
        <v>1005</v>
      </c>
      <c r="C455" s="28">
        <v>39994</v>
      </c>
      <c r="D455" s="27"/>
      <c r="E455" s="27" t="s">
        <v>1504</v>
      </c>
      <c r="F455" s="29" t="s">
        <v>1505</v>
      </c>
      <c r="G455" s="27"/>
      <c r="H455" s="27" t="s">
        <v>249</v>
      </c>
      <c r="I455" s="27">
        <v>1</v>
      </c>
      <c r="J455" s="30">
        <v>38725405</v>
      </c>
      <c r="K455" s="26" t="s">
        <v>20</v>
      </c>
      <c r="L455" s="36" t="s">
        <v>229</v>
      </c>
      <c r="M455" s="48" t="s">
        <v>3310</v>
      </c>
      <c r="N455" s="6"/>
      <c r="O455" s="2"/>
      <c r="P455" s="2"/>
      <c r="Q455" s="2"/>
      <c r="R455" s="2"/>
      <c r="S455" s="2"/>
      <c r="T455" s="2"/>
      <c r="U455" s="2"/>
      <c r="V455" s="2"/>
      <c r="W455" s="2"/>
      <c r="X455" s="2"/>
      <c r="Y455" s="2"/>
    </row>
    <row r="456" spans="1:25" ht="12.75" customHeight="1">
      <c r="A456" s="38">
        <v>259</v>
      </c>
      <c r="B456" s="27" t="s">
        <v>1005</v>
      </c>
      <c r="C456" s="40">
        <v>39994</v>
      </c>
      <c r="D456" s="27"/>
      <c r="E456" s="39" t="s">
        <v>1508</v>
      </c>
      <c r="F456" s="41" t="s">
        <v>1509</v>
      </c>
      <c r="G456" s="27"/>
      <c r="H456" s="27" t="s">
        <v>249</v>
      </c>
      <c r="I456" s="27">
        <v>1</v>
      </c>
      <c r="J456" s="42">
        <v>38655144</v>
      </c>
      <c r="K456" s="38" t="s">
        <v>206</v>
      </c>
      <c r="L456" s="38" t="s">
        <v>1330</v>
      </c>
      <c r="M456" s="43" t="s">
        <v>1510</v>
      </c>
      <c r="N456" s="6"/>
      <c r="O456" s="2"/>
      <c r="P456" s="2"/>
      <c r="Q456" s="2"/>
      <c r="R456" s="2"/>
      <c r="S456" s="2"/>
      <c r="T456" s="2"/>
      <c r="U456" s="2"/>
      <c r="V456" s="2"/>
      <c r="W456" s="2"/>
      <c r="X456" s="2"/>
      <c r="Y456" s="2"/>
    </row>
    <row r="457" spans="1:25" ht="12.75" customHeight="1">
      <c r="A457" s="26">
        <v>260</v>
      </c>
      <c r="B457" s="27" t="s">
        <v>1511</v>
      </c>
      <c r="C457" s="28">
        <v>40178</v>
      </c>
      <c r="D457" s="27"/>
      <c r="E457" s="47" t="s">
        <v>1512</v>
      </c>
      <c r="F457" s="29" t="s">
        <v>1513</v>
      </c>
      <c r="G457" s="27" t="s">
        <v>338</v>
      </c>
      <c r="H457" s="27" t="s">
        <v>249</v>
      </c>
      <c r="I457" s="27">
        <v>1</v>
      </c>
      <c r="J457" s="30">
        <v>171017530</v>
      </c>
      <c r="K457" s="26" t="s">
        <v>206</v>
      </c>
      <c r="L457" s="68" t="s">
        <v>1514</v>
      </c>
      <c r="M457" s="69" t="s">
        <v>1136</v>
      </c>
      <c r="N457" s="6"/>
      <c r="O457" s="2"/>
      <c r="P457" s="2"/>
      <c r="Q457" s="2"/>
      <c r="R457" s="2"/>
      <c r="S457" s="2"/>
      <c r="T457" s="2"/>
      <c r="U457" s="2"/>
      <c r="V457" s="2"/>
      <c r="W457" s="2"/>
      <c r="X457" s="2"/>
      <c r="Y457" s="2"/>
    </row>
    <row r="458" spans="1:25" ht="12.75" customHeight="1">
      <c r="A458" s="26">
        <v>261</v>
      </c>
      <c r="B458" s="27" t="s">
        <v>1511</v>
      </c>
      <c r="C458" s="28">
        <v>40178</v>
      </c>
      <c r="D458" s="27"/>
      <c r="E458" s="27" t="s">
        <v>1515</v>
      </c>
      <c r="F458" s="29" t="s">
        <v>1513</v>
      </c>
      <c r="G458" s="27" t="s">
        <v>338</v>
      </c>
      <c r="H458" s="27" t="s">
        <v>249</v>
      </c>
      <c r="I458" s="27">
        <v>1</v>
      </c>
      <c r="J458" s="30">
        <v>171017530</v>
      </c>
      <c r="K458" s="26" t="s">
        <v>206</v>
      </c>
      <c r="L458" s="68" t="s">
        <v>1514</v>
      </c>
      <c r="M458" s="69" t="s">
        <v>826</v>
      </c>
      <c r="N458" s="6"/>
      <c r="O458" s="2"/>
      <c r="P458" s="2"/>
      <c r="Q458" s="2"/>
      <c r="R458" s="2"/>
      <c r="S458" s="2"/>
      <c r="T458" s="2"/>
      <c r="U458" s="2"/>
      <c r="V458" s="2"/>
      <c r="W458" s="2"/>
      <c r="X458" s="2"/>
      <c r="Y458" s="2"/>
    </row>
    <row r="459" spans="1:25" ht="12.75" customHeight="1">
      <c r="A459" s="26">
        <v>262</v>
      </c>
      <c r="B459" s="27" t="s">
        <v>1516</v>
      </c>
      <c r="C459" s="28">
        <v>40352</v>
      </c>
      <c r="D459" s="27"/>
      <c r="E459" s="27" t="s">
        <v>1517</v>
      </c>
      <c r="F459" s="29" t="s">
        <v>1518</v>
      </c>
      <c r="G459" s="27" t="s">
        <v>338</v>
      </c>
      <c r="H459" s="27" t="s">
        <v>19</v>
      </c>
      <c r="I459" s="27">
        <v>1</v>
      </c>
      <c r="J459" s="30">
        <v>433862205</v>
      </c>
      <c r="K459" s="26" t="s">
        <v>20</v>
      </c>
      <c r="L459" s="36" t="s">
        <v>229</v>
      </c>
      <c r="M459" s="31" t="s">
        <v>1642</v>
      </c>
      <c r="N459" s="6"/>
      <c r="O459" s="2"/>
      <c r="P459" s="2"/>
      <c r="Q459" s="2"/>
      <c r="R459" s="2"/>
      <c r="S459" s="2"/>
      <c r="T459" s="2"/>
      <c r="U459" s="2"/>
      <c r="V459" s="2"/>
      <c r="W459" s="2"/>
      <c r="X459" s="2"/>
      <c r="Y459" s="2"/>
    </row>
    <row r="460" spans="1:25" ht="25.5" customHeight="1">
      <c r="A460" s="26" t="s">
        <v>1519</v>
      </c>
      <c r="B460" s="27"/>
      <c r="C460" s="28"/>
      <c r="D460" s="27"/>
      <c r="E460" s="27" t="s">
        <v>1520</v>
      </c>
      <c r="F460" s="29" t="s">
        <v>1521</v>
      </c>
      <c r="G460" s="27"/>
      <c r="H460" s="27"/>
      <c r="I460" s="27">
        <v>1</v>
      </c>
      <c r="J460" s="30">
        <v>21916668</v>
      </c>
      <c r="K460" s="26" t="s">
        <v>20</v>
      </c>
      <c r="L460" s="36" t="s">
        <v>229</v>
      </c>
      <c r="M460" s="31" t="s">
        <v>5209</v>
      </c>
      <c r="N460" s="6" t="s">
        <v>1522</v>
      </c>
      <c r="O460" s="2"/>
      <c r="P460" s="2"/>
      <c r="Q460" s="2"/>
      <c r="R460" s="2"/>
      <c r="S460" s="2"/>
      <c r="T460" s="2"/>
      <c r="U460" s="2"/>
      <c r="V460" s="2"/>
      <c r="W460" s="2"/>
      <c r="X460" s="2"/>
      <c r="Y460" s="2"/>
    </row>
    <row r="461" spans="1:25" ht="25.5" customHeight="1">
      <c r="A461" s="26" t="s">
        <v>1523</v>
      </c>
      <c r="B461" s="27"/>
      <c r="C461" s="28"/>
      <c r="D461" s="27"/>
      <c r="E461" s="27" t="s">
        <v>1524</v>
      </c>
      <c r="F461" s="29" t="s">
        <v>1525</v>
      </c>
      <c r="G461" s="27"/>
      <c r="H461" s="27"/>
      <c r="I461" s="27">
        <v>1</v>
      </c>
      <c r="J461" s="30">
        <v>21916668</v>
      </c>
      <c r="K461" s="26" t="s">
        <v>20</v>
      </c>
      <c r="L461" s="36" t="s">
        <v>229</v>
      </c>
      <c r="M461" s="31" t="s">
        <v>5209</v>
      </c>
      <c r="N461" s="6" t="s">
        <v>1522</v>
      </c>
      <c r="O461" s="2"/>
      <c r="P461" s="2"/>
      <c r="Q461" s="2"/>
      <c r="R461" s="2"/>
      <c r="S461" s="2"/>
      <c r="T461" s="2"/>
      <c r="U461" s="2"/>
      <c r="V461" s="2"/>
      <c r="W461" s="2"/>
      <c r="X461" s="2"/>
      <c r="Y461" s="2"/>
    </row>
    <row r="462" spans="1:25" ht="25.5" customHeight="1">
      <c r="A462" s="26" t="s">
        <v>1526</v>
      </c>
      <c r="B462" s="27"/>
      <c r="C462" s="28"/>
      <c r="D462" s="27"/>
      <c r="E462" s="27" t="s">
        <v>1527</v>
      </c>
      <c r="F462" s="29" t="s">
        <v>1528</v>
      </c>
      <c r="G462" s="27"/>
      <c r="H462" s="27"/>
      <c r="I462" s="27">
        <v>1</v>
      </c>
      <c r="J462" s="30">
        <v>21916668</v>
      </c>
      <c r="K462" s="26" t="s">
        <v>20</v>
      </c>
      <c r="L462" s="36" t="s">
        <v>229</v>
      </c>
      <c r="M462" s="31" t="s">
        <v>5209</v>
      </c>
      <c r="N462" s="6" t="s">
        <v>1522</v>
      </c>
      <c r="O462" s="2"/>
      <c r="P462" s="2"/>
      <c r="Q462" s="2"/>
      <c r="R462" s="2"/>
      <c r="S462" s="2"/>
      <c r="T462" s="2"/>
      <c r="U462" s="2"/>
      <c r="V462" s="2"/>
      <c r="W462" s="2"/>
      <c r="X462" s="2"/>
      <c r="Y462" s="2"/>
    </row>
    <row r="463" spans="1:25" ht="25.5" customHeight="1">
      <c r="A463" s="26" t="s">
        <v>1529</v>
      </c>
      <c r="B463" s="27"/>
      <c r="C463" s="28"/>
      <c r="D463" s="27"/>
      <c r="E463" s="27" t="s">
        <v>1530</v>
      </c>
      <c r="F463" s="29" t="s">
        <v>1531</v>
      </c>
      <c r="G463" s="27"/>
      <c r="H463" s="27"/>
      <c r="I463" s="27">
        <v>1</v>
      </c>
      <c r="J463" s="30">
        <v>21916670</v>
      </c>
      <c r="K463" s="26" t="s">
        <v>20</v>
      </c>
      <c r="L463" s="36" t="s">
        <v>229</v>
      </c>
      <c r="M463" s="31" t="s">
        <v>5209</v>
      </c>
      <c r="N463" s="6" t="s">
        <v>1522</v>
      </c>
      <c r="O463" s="2"/>
      <c r="P463" s="2"/>
      <c r="Q463" s="2"/>
      <c r="R463" s="2"/>
      <c r="S463" s="2"/>
      <c r="T463" s="2"/>
      <c r="U463" s="2"/>
      <c r="V463" s="2"/>
      <c r="W463" s="2"/>
      <c r="X463" s="2"/>
      <c r="Y463" s="2"/>
    </row>
    <row r="464" spans="1:25" ht="12.75" customHeight="1">
      <c r="A464" s="38">
        <v>263</v>
      </c>
      <c r="B464" s="27" t="s">
        <v>1137</v>
      </c>
      <c r="C464" s="40">
        <v>40441</v>
      </c>
      <c r="D464" s="27"/>
      <c r="E464" s="39" t="s">
        <v>1532</v>
      </c>
      <c r="F464" s="41" t="s">
        <v>1533</v>
      </c>
      <c r="G464" s="27" t="s">
        <v>1008</v>
      </c>
      <c r="H464" s="27" t="s">
        <v>569</v>
      </c>
      <c r="I464" s="27">
        <v>1</v>
      </c>
      <c r="J464" s="42">
        <v>52548350</v>
      </c>
      <c r="K464" s="38" t="s">
        <v>206</v>
      </c>
      <c r="L464" s="38" t="s">
        <v>1330</v>
      </c>
      <c r="M464" s="43" t="s">
        <v>1534</v>
      </c>
      <c r="N464" s="6"/>
      <c r="O464" s="2"/>
      <c r="P464" s="2"/>
      <c r="Q464" s="2"/>
      <c r="R464" s="2"/>
      <c r="S464" s="2"/>
      <c r="T464" s="2"/>
      <c r="U464" s="2"/>
      <c r="V464" s="2"/>
      <c r="W464" s="2"/>
      <c r="X464" s="2"/>
      <c r="Y464" s="2"/>
    </row>
    <row r="465" spans="1:25" ht="25.5" customHeight="1">
      <c r="A465" s="26">
        <v>264</v>
      </c>
      <c r="B465" s="27" t="s">
        <v>1437</v>
      </c>
      <c r="C465" s="28">
        <v>40767</v>
      </c>
      <c r="D465" s="27"/>
      <c r="E465" s="27" t="s">
        <v>1535</v>
      </c>
      <c r="F465" s="29" t="s">
        <v>1536</v>
      </c>
      <c r="G465" s="27" t="s">
        <v>248</v>
      </c>
      <c r="H465" s="27" t="s">
        <v>19</v>
      </c>
      <c r="I465" s="27">
        <v>1</v>
      </c>
      <c r="J465" s="30">
        <v>33378106</v>
      </c>
      <c r="K465" s="26" t="s">
        <v>20</v>
      </c>
      <c r="L465" s="26" t="s">
        <v>233</v>
      </c>
      <c r="M465" s="31" t="s">
        <v>5210</v>
      </c>
      <c r="N465" s="6"/>
      <c r="O465" s="2"/>
      <c r="P465" s="2"/>
      <c r="Q465" s="2"/>
      <c r="R465" s="2"/>
      <c r="S465" s="2"/>
      <c r="T465" s="2"/>
      <c r="U465" s="2"/>
      <c r="V465" s="2"/>
      <c r="W465" s="2"/>
      <c r="X465" s="2"/>
      <c r="Y465" s="2"/>
    </row>
    <row r="466" spans="1:25" ht="12.75" customHeight="1">
      <c r="A466" s="26">
        <v>265</v>
      </c>
      <c r="B466" s="27" t="s">
        <v>1437</v>
      </c>
      <c r="C466" s="28">
        <v>40767</v>
      </c>
      <c r="D466" s="27"/>
      <c r="E466" s="27" t="s">
        <v>1538</v>
      </c>
      <c r="F466" s="29" t="s">
        <v>1539</v>
      </c>
      <c r="G466" s="27" t="s">
        <v>248</v>
      </c>
      <c r="H466" s="27" t="s">
        <v>19</v>
      </c>
      <c r="I466" s="27">
        <v>1</v>
      </c>
      <c r="J466" s="30">
        <v>33378106</v>
      </c>
      <c r="K466" s="26" t="s">
        <v>206</v>
      </c>
      <c r="L466" s="26" t="s">
        <v>1330</v>
      </c>
      <c r="M466" s="31" t="s">
        <v>1534</v>
      </c>
      <c r="N466" s="6"/>
      <c r="O466" s="2"/>
      <c r="P466" s="2"/>
      <c r="Q466" s="2"/>
      <c r="R466" s="2"/>
      <c r="S466" s="2"/>
      <c r="T466" s="2"/>
      <c r="U466" s="2"/>
      <c r="V466" s="2"/>
      <c r="W466" s="2"/>
      <c r="X466" s="2"/>
      <c r="Y466" s="2"/>
    </row>
    <row r="467" spans="1:25" ht="25.5" customHeight="1">
      <c r="A467" s="26">
        <v>266</v>
      </c>
      <c r="B467" s="27" t="s">
        <v>52</v>
      </c>
      <c r="C467" s="28">
        <v>40875</v>
      </c>
      <c r="D467" s="27"/>
      <c r="E467" s="27" t="s">
        <v>1540</v>
      </c>
      <c r="F467" s="29" t="s">
        <v>1541</v>
      </c>
      <c r="G467" s="27" t="s">
        <v>338</v>
      </c>
      <c r="H467" s="27" t="s">
        <v>19</v>
      </c>
      <c r="I467" s="27">
        <v>1</v>
      </c>
      <c r="J467" s="30">
        <v>106049772</v>
      </c>
      <c r="K467" s="26" t="s">
        <v>36</v>
      </c>
      <c r="L467" s="26" t="s">
        <v>1542</v>
      </c>
      <c r="M467" s="31" t="s">
        <v>1543</v>
      </c>
      <c r="N467" s="6"/>
      <c r="O467" s="2"/>
      <c r="P467" s="2"/>
      <c r="Q467" s="2"/>
      <c r="R467" s="2"/>
      <c r="S467" s="2"/>
      <c r="T467" s="2"/>
      <c r="U467" s="2"/>
      <c r="V467" s="2"/>
      <c r="W467" s="2"/>
      <c r="X467" s="2"/>
      <c r="Y467" s="2"/>
    </row>
    <row r="468" spans="1:25" ht="12.75" customHeight="1">
      <c r="A468" s="26" t="s">
        <v>1544</v>
      </c>
      <c r="B468" s="27"/>
      <c r="C468" s="28"/>
      <c r="D468" s="27"/>
      <c r="E468" s="27" t="s">
        <v>1545</v>
      </c>
      <c r="F468" s="29" t="s">
        <v>1546</v>
      </c>
      <c r="G468" s="27"/>
      <c r="H468" s="27"/>
      <c r="I468" s="27">
        <v>1</v>
      </c>
      <c r="J468" s="30">
        <v>28250045</v>
      </c>
      <c r="K468" s="26" t="s">
        <v>36</v>
      </c>
      <c r="L468" s="26" t="s">
        <v>1542</v>
      </c>
      <c r="M468" s="31"/>
      <c r="N468" s="6"/>
      <c r="O468" s="2"/>
      <c r="P468" s="2"/>
      <c r="Q468" s="2"/>
      <c r="R468" s="2"/>
      <c r="S468" s="2"/>
      <c r="T468" s="2"/>
      <c r="U468" s="2"/>
      <c r="V468" s="2"/>
      <c r="W468" s="2"/>
      <c r="X468" s="2"/>
      <c r="Y468" s="2"/>
    </row>
    <row r="469" spans="1:25" ht="25.5" customHeight="1">
      <c r="A469" s="26">
        <v>267</v>
      </c>
      <c r="B469" s="27" t="s">
        <v>52</v>
      </c>
      <c r="C469" s="28">
        <v>40875</v>
      </c>
      <c r="D469" s="27"/>
      <c r="E469" s="27" t="s">
        <v>1547</v>
      </c>
      <c r="F469" s="29" t="s">
        <v>1541</v>
      </c>
      <c r="G469" s="27" t="s">
        <v>338</v>
      </c>
      <c r="H469" s="27" t="s">
        <v>19</v>
      </c>
      <c r="I469" s="27">
        <v>1</v>
      </c>
      <c r="J469" s="30">
        <v>106049771</v>
      </c>
      <c r="K469" s="26" t="s">
        <v>36</v>
      </c>
      <c r="L469" s="26" t="s">
        <v>1542</v>
      </c>
      <c r="M469" s="31" t="s">
        <v>1543</v>
      </c>
      <c r="N469" s="6"/>
      <c r="O469" s="2"/>
      <c r="P469" s="2"/>
      <c r="Q469" s="2"/>
      <c r="R469" s="2"/>
      <c r="S469" s="2"/>
      <c r="T469" s="2"/>
      <c r="U469" s="2"/>
      <c r="V469" s="2"/>
      <c r="W469" s="2"/>
      <c r="X469" s="2"/>
      <c r="Y469" s="2"/>
    </row>
    <row r="470" spans="1:25" ht="12.75" customHeight="1">
      <c r="A470" s="26" t="s">
        <v>1548</v>
      </c>
      <c r="B470" s="27"/>
      <c r="C470" s="28"/>
      <c r="D470" s="27"/>
      <c r="E470" s="27" t="s">
        <v>1549</v>
      </c>
      <c r="F470" s="29" t="s">
        <v>1546</v>
      </c>
      <c r="G470" s="27"/>
      <c r="H470" s="27"/>
      <c r="I470" s="27">
        <v>1</v>
      </c>
      <c r="J470" s="30">
        <v>28250045</v>
      </c>
      <c r="K470" s="26" t="s">
        <v>36</v>
      </c>
      <c r="L470" s="26" t="s">
        <v>1542</v>
      </c>
      <c r="M470" s="31"/>
      <c r="N470" s="6"/>
      <c r="O470" s="2"/>
      <c r="P470" s="2"/>
      <c r="Q470" s="2"/>
      <c r="R470" s="2"/>
      <c r="S470" s="2"/>
      <c r="T470" s="2"/>
      <c r="U470" s="2"/>
      <c r="V470" s="2"/>
      <c r="W470" s="2"/>
      <c r="X470" s="2"/>
      <c r="Y470" s="2"/>
    </row>
    <row r="471" spans="1:25" ht="25.5" customHeight="1">
      <c r="A471" s="26">
        <v>268</v>
      </c>
      <c r="B471" s="27" t="s">
        <v>52</v>
      </c>
      <c r="C471" s="28">
        <v>40875</v>
      </c>
      <c r="D471" s="27"/>
      <c r="E471" s="27" t="s">
        <v>1550</v>
      </c>
      <c r="F471" s="29" t="s">
        <v>1551</v>
      </c>
      <c r="G471" s="27"/>
      <c r="H471" s="27" t="s">
        <v>19</v>
      </c>
      <c r="I471" s="27">
        <v>1</v>
      </c>
      <c r="J471" s="30">
        <v>143447451</v>
      </c>
      <c r="K471" s="26" t="s">
        <v>36</v>
      </c>
      <c r="L471" s="26" t="s">
        <v>1542</v>
      </c>
      <c r="M471" s="31" t="s">
        <v>1543</v>
      </c>
      <c r="N471" s="6"/>
      <c r="O471" s="2"/>
      <c r="P471" s="2"/>
      <c r="Q471" s="2"/>
      <c r="R471" s="2"/>
      <c r="S471" s="2"/>
      <c r="T471" s="2"/>
      <c r="U471" s="2"/>
      <c r="V471" s="2"/>
      <c r="W471" s="2"/>
      <c r="X471" s="2"/>
      <c r="Y471" s="2"/>
    </row>
    <row r="472" spans="1:25" ht="25.5" customHeight="1">
      <c r="A472" s="26" t="s">
        <v>1552</v>
      </c>
      <c r="B472" s="27"/>
      <c r="C472" s="28"/>
      <c r="D472" s="27"/>
      <c r="E472" s="27" t="s">
        <v>1553</v>
      </c>
      <c r="F472" s="29" t="s">
        <v>1554</v>
      </c>
      <c r="G472" s="27"/>
      <c r="H472" s="27"/>
      <c r="I472" s="27">
        <v>1</v>
      </c>
      <c r="J472" s="30">
        <v>28250045</v>
      </c>
      <c r="K472" s="26" t="s">
        <v>36</v>
      </c>
      <c r="L472" s="26" t="s">
        <v>1542</v>
      </c>
      <c r="M472" s="31"/>
      <c r="N472" s="6"/>
      <c r="O472" s="2"/>
      <c r="P472" s="2"/>
      <c r="Q472" s="2"/>
      <c r="R472" s="2"/>
      <c r="S472" s="2"/>
      <c r="T472" s="2"/>
      <c r="U472" s="2"/>
      <c r="V472" s="2"/>
      <c r="W472" s="2"/>
      <c r="X472" s="2"/>
      <c r="Y472" s="2"/>
    </row>
    <row r="473" spans="1:25" ht="12.75" customHeight="1">
      <c r="A473" s="26">
        <v>269</v>
      </c>
      <c r="B473" s="27" t="s">
        <v>197</v>
      </c>
      <c r="C473" s="28">
        <v>40948</v>
      </c>
      <c r="D473" s="27"/>
      <c r="E473" s="27" t="s">
        <v>1555</v>
      </c>
      <c r="F473" s="29" t="s">
        <v>1556</v>
      </c>
      <c r="G473" s="27" t="s">
        <v>338</v>
      </c>
      <c r="H473" s="27" t="s">
        <v>19</v>
      </c>
      <c r="I473" s="27">
        <v>1</v>
      </c>
      <c r="J473" s="30">
        <v>268070586</v>
      </c>
      <c r="K473" s="26" t="s">
        <v>20</v>
      </c>
      <c r="L473" s="36" t="s">
        <v>229</v>
      </c>
      <c r="M473" s="48" t="s">
        <v>3312</v>
      </c>
      <c r="N473" s="6"/>
      <c r="O473" s="2"/>
      <c r="P473" s="2"/>
      <c r="Q473" s="2"/>
      <c r="R473" s="2"/>
      <c r="S473" s="2"/>
      <c r="T473" s="2"/>
      <c r="U473" s="2"/>
      <c r="V473" s="2"/>
      <c r="W473" s="2"/>
      <c r="X473" s="2"/>
      <c r="Y473" s="2"/>
    </row>
    <row r="474" spans="1:25" ht="12.75" customHeight="1">
      <c r="A474" s="26">
        <v>270</v>
      </c>
      <c r="B474" s="27" t="s">
        <v>197</v>
      </c>
      <c r="C474" s="28">
        <v>40948</v>
      </c>
      <c r="D474" s="27"/>
      <c r="E474" s="27" t="s">
        <v>1557</v>
      </c>
      <c r="F474" s="29" t="s">
        <v>1558</v>
      </c>
      <c r="G474" s="27" t="s">
        <v>338</v>
      </c>
      <c r="H474" s="27" t="s">
        <v>19</v>
      </c>
      <c r="I474" s="27">
        <v>1</v>
      </c>
      <c r="J474" s="30">
        <v>268070586</v>
      </c>
      <c r="K474" s="26" t="s">
        <v>206</v>
      </c>
      <c r="L474" s="26" t="s">
        <v>1330</v>
      </c>
      <c r="M474" s="31" t="s">
        <v>1559</v>
      </c>
      <c r="N474" s="6"/>
      <c r="O474" s="2"/>
      <c r="P474" s="2"/>
      <c r="Q474" s="2"/>
      <c r="R474" s="2"/>
      <c r="S474" s="2"/>
      <c r="T474" s="2"/>
      <c r="U474" s="2"/>
      <c r="V474" s="2"/>
      <c r="W474" s="2"/>
      <c r="X474" s="2"/>
      <c r="Y474" s="2"/>
    </row>
    <row r="475" spans="1:25" ht="25.5" customHeight="1">
      <c r="A475" s="26">
        <v>271</v>
      </c>
      <c r="B475" s="27" t="s">
        <v>1560</v>
      </c>
      <c r="C475" s="28">
        <v>40981</v>
      </c>
      <c r="D475" s="27"/>
      <c r="E475" s="27" t="s">
        <v>1561</v>
      </c>
      <c r="F475" s="29" t="s">
        <v>1562</v>
      </c>
      <c r="G475" s="27" t="s">
        <v>55</v>
      </c>
      <c r="H475" s="27" t="s">
        <v>19</v>
      </c>
      <c r="I475" s="27">
        <v>1</v>
      </c>
      <c r="J475" s="30">
        <v>464149240</v>
      </c>
      <c r="K475" s="26" t="s">
        <v>20</v>
      </c>
      <c r="L475" s="26" t="s">
        <v>233</v>
      </c>
      <c r="M475" s="57" t="s">
        <v>5211</v>
      </c>
      <c r="N475" s="6"/>
      <c r="O475" s="2"/>
      <c r="P475" s="2"/>
      <c r="Q475" s="2"/>
      <c r="R475" s="2"/>
      <c r="S475" s="2"/>
      <c r="T475" s="2"/>
      <c r="U475" s="2"/>
      <c r="V475" s="2"/>
      <c r="W475" s="2"/>
      <c r="X475" s="2"/>
      <c r="Y475" s="2"/>
    </row>
    <row r="476" spans="1:25" ht="24" customHeight="1">
      <c r="A476" s="26" t="s">
        <v>1564</v>
      </c>
      <c r="B476" s="27"/>
      <c r="C476" s="28"/>
      <c r="D476" s="27"/>
      <c r="E476" s="27" t="s">
        <v>1565</v>
      </c>
      <c r="F476" s="29" t="s">
        <v>1566</v>
      </c>
      <c r="G476" s="27"/>
      <c r="H476" s="27"/>
      <c r="I476" s="27">
        <v>1</v>
      </c>
      <c r="J476" s="30">
        <v>0</v>
      </c>
      <c r="K476" s="26" t="s">
        <v>20</v>
      </c>
      <c r="L476" s="36" t="s">
        <v>229</v>
      </c>
      <c r="M476" s="31" t="s">
        <v>5212</v>
      </c>
      <c r="N476" s="6"/>
      <c r="O476" s="2"/>
      <c r="P476" s="2"/>
      <c r="Q476" s="2"/>
      <c r="R476" s="2"/>
      <c r="S476" s="2"/>
      <c r="T476" s="2"/>
      <c r="U476" s="2"/>
      <c r="V476" s="2"/>
      <c r="W476" s="2"/>
      <c r="X476" s="2"/>
      <c r="Y476" s="2"/>
    </row>
    <row r="477" spans="1:25" ht="25.5" customHeight="1">
      <c r="A477" s="26">
        <v>272</v>
      </c>
      <c r="B477" s="27" t="s">
        <v>281</v>
      </c>
      <c r="C477" s="28">
        <v>41044</v>
      </c>
      <c r="D477" s="27"/>
      <c r="E477" s="27" t="s">
        <v>1567</v>
      </c>
      <c r="F477" s="29" t="s">
        <v>1568</v>
      </c>
      <c r="G477" s="27" t="s">
        <v>248</v>
      </c>
      <c r="H477" s="27" t="s">
        <v>19</v>
      </c>
      <c r="I477" s="27">
        <v>1</v>
      </c>
      <c r="J477" s="30">
        <v>112936000</v>
      </c>
      <c r="K477" s="26" t="s">
        <v>20</v>
      </c>
      <c r="L477" s="36" t="s">
        <v>229</v>
      </c>
      <c r="M477" s="48" t="s">
        <v>5206</v>
      </c>
      <c r="N477" s="6"/>
      <c r="O477" s="2"/>
      <c r="P477" s="2"/>
      <c r="Q477" s="2"/>
      <c r="R477" s="2"/>
      <c r="S477" s="2"/>
      <c r="T477" s="2"/>
      <c r="U477" s="2"/>
      <c r="V477" s="2"/>
      <c r="W477" s="2"/>
      <c r="X477" s="2"/>
      <c r="Y477" s="2"/>
    </row>
    <row r="478" spans="1:25" ht="12.75" customHeight="1">
      <c r="A478" s="26">
        <v>273</v>
      </c>
      <c r="B478" s="27" t="s">
        <v>212</v>
      </c>
      <c r="C478" s="28">
        <v>41512</v>
      </c>
      <c r="D478" s="27"/>
      <c r="E478" s="27" t="s">
        <v>1569</v>
      </c>
      <c r="F478" s="29" t="s">
        <v>1570</v>
      </c>
      <c r="G478" s="27" t="s">
        <v>338</v>
      </c>
      <c r="H478" s="27" t="s">
        <v>19</v>
      </c>
      <c r="I478" s="27">
        <v>1</v>
      </c>
      <c r="J478" s="30">
        <v>1146053379</v>
      </c>
      <c r="K478" s="26" t="s">
        <v>20</v>
      </c>
      <c r="L478" s="26" t="s">
        <v>233</v>
      </c>
      <c r="M478" s="31" t="s">
        <v>1847</v>
      </c>
      <c r="N478" s="6"/>
      <c r="O478" s="2"/>
      <c r="P478" s="2"/>
      <c r="Q478" s="2"/>
      <c r="R478" s="2"/>
      <c r="S478" s="2"/>
      <c r="T478" s="2"/>
      <c r="U478" s="2"/>
      <c r="V478" s="2"/>
      <c r="W478" s="2"/>
      <c r="X478" s="2"/>
      <c r="Y478" s="2"/>
    </row>
    <row r="479" spans="1:25" ht="15.75" customHeight="1">
      <c r="A479" s="26" t="s">
        <v>1572</v>
      </c>
      <c r="B479" s="27"/>
      <c r="C479" s="28"/>
      <c r="D479" s="27"/>
      <c r="E479" s="27" t="s">
        <v>1573</v>
      </c>
      <c r="F479" s="29" t="s">
        <v>1574</v>
      </c>
      <c r="G479" s="27"/>
      <c r="H479" s="27"/>
      <c r="I479" s="27">
        <v>1</v>
      </c>
      <c r="J479" s="30">
        <v>120465449</v>
      </c>
      <c r="K479" s="26" t="s">
        <v>36</v>
      </c>
      <c r="L479" s="26"/>
      <c r="M479" s="35" t="s">
        <v>1575</v>
      </c>
      <c r="N479" s="6"/>
      <c r="O479" s="2"/>
      <c r="P479" s="2"/>
      <c r="Q479" s="2"/>
      <c r="R479" s="2"/>
      <c r="S479" s="2"/>
      <c r="T479" s="2"/>
      <c r="U479" s="2"/>
      <c r="V479" s="2"/>
      <c r="W479" s="2"/>
      <c r="X479" s="2"/>
      <c r="Y479" s="2"/>
    </row>
    <row r="480" spans="1:25" ht="15.75" customHeight="1">
      <c r="A480" s="26" t="s">
        <v>1576</v>
      </c>
      <c r="B480" s="27"/>
      <c r="C480" s="28"/>
      <c r="D480" s="27"/>
      <c r="E480" s="27" t="s">
        <v>1577</v>
      </c>
      <c r="F480" s="29" t="s">
        <v>1574</v>
      </c>
      <c r="G480" s="27"/>
      <c r="H480" s="27"/>
      <c r="I480" s="27">
        <v>1</v>
      </c>
      <c r="J480" s="30">
        <v>120465449</v>
      </c>
      <c r="K480" s="26" t="s">
        <v>36</v>
      </c>
      <c r="L480" s="26"/>
      <c r="M480" s="35" t="s">
        <v>1575</v>
      </c>
      <c r="N480" s="6"/>
      <c r="O480" s="2"/>
      <c r="P480" s="2"/>
      <c r="Q480" s="2"/>
      <c r="R480" s="2"/>
      <c r="S480" s="2"/>
      <c r="T480" s="2"/>
      <c r="U480" s="2"/>
      <c r="V480" s="2"/>
      <c r="W480" s="2"/>
      <c r="X480" s="2"/>
      <c r="Y480" s="2"/>
    </row>
    <row r="481" spans="1:25" ht="38.25" customHeight="1">
      <c r="A481" s="26" t="s">
        <v>1578</v>
      </c>
      <c r="B481" s="27"/>
      <c r="C481" s="28"/>
      <c r="D481" s="27"/>
      <c r="E481" s="27" t="s">
        <v>1579</v>
      </c>
      <c r="F481" s="29" t="s">
        <v>1580</v>
      </c>
      <c r="G481" s="27"/>
      <c r="H481" s="27"/>
      <c r="I481" s="27">
        <v>1</v>
      </c>
      <c r="J481" s="30">
        <v>96104240</v>
      </c>
      <c r="K481" s="26" t="s">
        <v>20</v>
      </c>
      <c r="L481" s="26" t="s">
        <v>233</v>
      </c>
      <c r="M481" s="31" t="s">
        <v>5213</v>
      </c>
      <c r="N481" s="6"/>
      <c r="O481" s="2"/>
      <c r="P481" s="2"/>
      <c r="Q481" s="2"/>
      <c r="R481" s="2"/>
      <c r="S481" s="2"/>
      <c r="T481" s="2"/>
      <c r="U481" s="2"/>
      <c r="V481" s="2"/>
      <c r="W481" s="2"/>
      <c r="X481" s="2"/>
      <c r="Y481" s="2"/>
    </row>
    <row r="482" spans="1:25" ht="38.25" customHeight="1">
      <c r="A482" s="26" t="s">
        <v>1582</v>
      </c>
      <c r="B482" s="27"/>
      <c r="C482" s="28"/>
      <c r="D482" s="27"/>
      <c r="E482" s="27" t="s">
        <v>1583</v>
      </c>
      <c r="F482" s="29" t="s">
        <v>1580</v>
      </c>
      <c r="G482" s="27"/>
      <c r="H482" s="27"/>
      <c r="I482" s="27">
        <v>1</v>
      </c>
      <c r="J482" s="30">
        <v>96104240</v>
      </c>
      <c r="K482" s="26" t="s">
        <v>20</v>
      </c>
      <c r="L482" s="26" t="s">
        <v>233</v>
      </c>
      <c r="M482" s="31" t="s">
        <v>5213</v>
      </c>
      <c r="N482" s="6"/>
      <c r="O482" s="2"/>
      <c r="P482" s="2"/>
      <c r="Q482" s="2"/>
      <c r="R482" s="2"/>
      <c r="S482" s="2"/>
      <c r="T482" s="2"/>
      <c r="U482" s="2"/>
      <c r="V482" s="2"/>
      <c r="W482" s="2"/>
      <c r="X482" s="2"/>
      <c r="Y482" s="2"/>
    </row>
    <row r="483" spans="1:25" ht="12.75" customHeight="1">
      <c r="A483" s="26" t="s">
        <v>1585</v>
      </c>
      <c r="B483" s="27"/>
      <c r="C483" s="28"/>
      <c r="D483" s="27"/>
      <c r="E483" s="27" t="s">
        <v>1586</v>
      </c>
      <c r="F483" s="29" t="s">
        <v>1587</v>
      </c>
      <c r="G483" s="27"/>
      <c r="H483" s="27"/>
      <c r="I483" s="27">
        <v>1</v>
      </c>
      <c r="J483" s="30">
        <v>95957611</v>
      </c>
      <c r="K483" s="26" t="s">
        <v>20</v>
      </c>
      <c r="L483" s="26" t="s">
        <v>233</v>
      </c>
      <c r="M483" s="31" t="s">
        <v>5214</v>
      </c>
      <c r="N483" s="6"/>
      <c r="O483" s="2"/>
      <c r="P483" s="2"/>
      <c r="Q483" s="2"/>
      <c r="R483" s="2"/>
      <c r="S483" s="2"/>
      <c r="T483" s="2"/>
      <c r="U483" s="2"/>
      <c r="V483" s="2"/>
      <c r="W483" s="2"/>
      <c r="X483" s="2"/>
      <c r="Y483" s="2"/>
    </row>
    <row r="484" spans="1:25" ht="12.75" customHeight="1">
      <c r="A484" s="26">
        <v>274</v>
      </c>
      <c r="B484" s="27" t="s">
        <v>212</v>
      </c>
      <c r="C484" s="28">
        <v>41512</v>
      </c>
      <c r="D484" s="27"/>
      <c r="E484" s="27" t="s">
        <v>1589</v>
      </c>
      <c r="F484" s="29" t="s">
        <v>1570</v>
      </c>
      <c r="G484" s="27" t="s">
        <v>338</v>
      </c>
      <c r="H484" s="27" t="s">
        <v>19</v>
      </c>
      <c r="I484" s="27">
        <v>1</v>
      </c>
      <c r="J484" s="30">
        <v>1146073379</v>
      </c>
      <c r="K484" s="26" t="s">
        <v>20</v>
      </c>
      <c r="L484" s="26" t="s">
        <v>233</v>
      </c>
      <c r="M484" s="72" t="s">
        <v>1847</v>
      </c>
      <c r="N484" s="6"/>
      <c r="O484" s="2"/>
      <c r="P484" s="2"/>
      <c r="Q484" s="2"/>
      <c r="R484" s="2"/>
      <c r="S484" s="2"/>
      <c r="T484" s="2"/>
      <c r="U484" s="2"/>
      <c r="V484" s="2"/>
      <c r="W484" s="2"/>
      <c r="X484" s="2"/>
      <c r="Y484" s="2"/>
    </row>
    <row r="485" spans="1:25" ht="12.75" customHeight="1">
      <c r="A485" s="26" t="s">
        <v>1591</v>
      </c>
      <c r="B485" s="27"/>
      <c r="C485" s="28"/>
      <c r="D485" s="27"/>
      <c r="E485" s="27" t="s">
        <v>1592</v>
      </c>
      <c r="F485" s="29" t="s">
        <v>1574</v>
      </c>
      <c r="G485" s="27"/>
      <c r="H485" s="27"/>
      <c r="I485" s="27">
        <v>1</v>
      </c>
      <c r="J485" s="30">
        <v>120465449</v>
      </c>
      <c r="K485" s="26" t="s">
        <v>20</v>
      </c>
      <c r="L485" s="26" t="s">
        <v>233</v>
      </c>
      <c r="M485" s="72" t="s">
        <v>1593</v>
      </c>
      <c r="N485" s="6"/>
      <c r="O485" s="2"/>
      <c r="P485" s="2"/>
      <c r="Q485" s="2"/>
      <c r="R485" s="2"/>
      <c r="S485" s="2"/>
      <c r="T485" s="2"/>
      <c r="U485" s="2"/>
      <c r="V485" s="2"/>
      <c r="W485" s="2"/>
      <c r="X485" s="2"/>
      <c r="Y485" s="2"/>
    </row>
    <row r="486" spans="1:25" ht="25.5" customHeight="1">
      <c r="A486" s="26" t="s">
        <v>1594</v>
      </c>
      <c r="B486" s="27"/>
      <c r="C486" s="28"/>
      <c r="D486" s="27"/>
      <c r="E486" s="27" t="s">
        <v>1595</v>
      </c>
      <c r="F486" s="29" t="s">
        <v>1574</v>
      </c>
      <c r="G486" s="27"/>
      <c r="H486" s="27"/>
      <c r="I486" s="27">
        <v>1</v>
      </c>
      <c r="J486" s="30">
        <v>120465449</v>
      </c>
      <c r="K486" s="26" t="s">
        <v>20</v>
      </c>
      <c r="L486" s="26" t="s">
        <v>233</v>
      </c>
      <c r="M486" s="31" t="s">
        <v>5215</v>
      </c>
      <c r="N486" s="6"/>
      <c r="O486" s="2"/>
      <c r="P486" s="2"/>
      <c r="Q486" s="2"/>
      <c r="R486" s="2"/>
      <c r="S486" s="2"/>
      <c r="T486" s="2"/>
      <c r="U486" s="2"/>
      <c r="V486" s="2"/>
      <c r="W486" s="2"/>
      <c r="X486" s="2"/>
      <c r="Y486" s="2"/>
    </row>
    <row r="487" spans="1:25" ht="25.5" customHeight="1">
      <c r="A487" s="26" t="s">
        <v>1597</v>
      </c>
      <c r="B487" s="27"/>
      <c r="C487" s="28"/>
      <c r="D487" s="27"/>
      <c r="E487" s="27" t="s">
        <v>1598</v>
      </c>
      <c r="F487" s="29" t="s">
        <v>1580</v>
      </c>
      <c r="G487" s="27"/>
      <c r="H487" s="27"/>
      <c r="I487" s="27">
        <v>1</v>
      </c>
      <c r="J487" s="30">
        <v>96104240</v>
      </c>
      <c r="K487" s="26" t="s">
        <v>20</v>
      </c>
      <c r="L487" s="26" t="s">
        <v>233</v>
      </c>
      <c r="M487" s="72" t="s">
        <v>5214</v>
      </c>
      <c r="N487" s="6"/>
      <c r="O487" s="2"/>
      <c r="P487" s="2"/>
      <c r="Q487" s="2"/>
      <c r="R487" s="2"/>
      <c r="S487" s="2"/>
      <c r="T487" s="2"/>
      <c r="U487" s="2"/>
      <c r="V487" s="2"/>
      <c r="W487" s="2"/>
      <c r="X487" s="2"/>
      <c r="Y487" s="2"/>
    </row>
    <row r="488" spans="1:25" ht="25.5" customHeight="1">
      <c r="A488" s="26" t="s">
        <v>1600</v>
      </c>
      <c r="B488" s="27"/>
      <c r="C488" s="28"/>
      <c r="D488" s="27"/>
      <c r="E488" s="27" t="s">
        <v>1601</v>
      </c>
      <c r="F488" s="29" t="s">
        <v>1580</v>
      </c>
      <c r="G488" s="27"/>
      <c r="H488" s="27"/>
      <c r="I488" s="27">
        <v>1</v>
      </c>
      <c r="J488" s="30">
        <v>96104240</v>
      </c>
      <c r="K488" s="26" t="s">
        <v>20</v>
      </c>
      <c r="L488" s="26" t="s">
        <v>233</v>
      </c>
      <c r="M488" s="72" t="s">
        <v>5216</v>
      </c>
      <c r="N488" s="6"/>
      <c r="O488" s="2"/>
      <c r="P488" s="2"/>
      <c r="Q488" s="2"/>
      <c r="R488" s="2"/>
      <c r="S488" s="2"/>
      <c r="T488" s="2"/>
      <c r="U488" s="2"/>
      <c r="V488" s="2"/>
      <c r="W488" s="2"/>
      <c r="X488" s="2"/>
      <c r="Y488" s="2"/>
    </row>
    <row r="489" spans="1:25" ht="12.75" customHeight="1">
      <c r="A489" s="26" t="s">
        <v>1603</v>
      </c>
      <c r="B489" s="27"/>
      <c r="C489" s="28"/>
      <c r="D489" s="27"/>
      <c r="E489" s="27" t="s">
        <v>1604</v>
      </c>
      <c r="F489" s="29" t="s">
        <v>1587</v>
      </c>
      <c r="G489" s="27"/>
      <c r="H489" s="27"/>
      <c r="I489" s="27">
        <v>1</v>
      </c>
      <c r="J489" s="30">
        <v>95957611</v>
      </c>
      <c r="K489" s="26" t="s">
        <v>20</v>
      </c>
      <c r="L489" s="26" t="s">
        <v>233</v>
      </c>
      <c r="M489" s="72" t="s">
        <v>5214</v>
      </c>
      <c r="N489" s="6"/>
      <c r="O489" s="2"/>
      <c r="P489" s="2"/>
      <c r="Q489" s="2"/>
      <c r="R489" s="2"/>
      <c r="S489" s="2"/>
      <c r="T489" s="2"/>
      <c r="U489" s="2"/>
      <c r="V489" s="2"/>
      <c r="W489" s="2"/>
      <c r="X489" s="2"/>
      <c r="Y489" s="2"/>
    </row>
    <row r="490" spans="1:25" ht="25.5" customHeight="1">
      <c r="A490" s="26">
        <v>275</v>
      </c>
      <c r="B490" s="27" t="s">
        <v>212</v>
      </c>
      <c r="C490" s="28">
        <v>41512</v>
      </c>
      <c r="D490" s="27"/>
      <c r="E490" s="27" t="s">
        <v>1606</v>
      </c>
      <c r="F490" s="29" t="s">
        <v>1607</v>
      </c>
      <c r="G490" s="27" t="s">
        <v>338</v>
      </c>
      <c r="H490" s="27" t="s">
        <v>19</v>
      </c>
      <c r="I490" s="27">
        <v>1</v>
      </c>
      <c r="J490" s="30">
        <v>34394761</v>
      </c>
      <c r="K490" s="26" t="s">
        <v>36</v>
      </c>
      <c r="L490" s="26" t="s">
        <v>1542</v>
      </c>
      <c r="M490" s="31" t="s">
        <v>1608</v>
      </c>
      <c r="N490" s="6"/>
      <c r="O490" s="2"/>
      <c r="P490" s="2"/>
      <c r="Q490" s="2"/>
      <c r="R490" s="2"/>
      <c r="S490" s="2"/>
      <c r="T490" s="2"/>
      <c r="U490" s="2"/>
      <c r="V490" s="2"/>
      <c r="W490" s="2"/>
      <c r="X490" s="2"/>
      <c r="Y490" s="2"/>
    </row>
    <row r="491" spans="1:25" ht="25.5" customHeight="1">
      <c r="A491" s="26">
        <v>276</v>
      </c>
      <c r="B491" s="27" t="s">
        <v>212</v>
      </c>
      <c r="C491" s="28">
        <v>41512</v>
      </c>
      <c r="D491" s="27"/>
      <c r="E491" s="27" t="s">
        <v>1609</v>
      </c>
      <c r="F491" s="29" t="s">
        <v>1610</v>
      </c>
      <c r="G491" s="27" t="s">
        <v>338</v>
      </c>
      <c r="H491" s="27" t="s">
        <v>19</v>
      </c>
      <c r="I491" s="27">
        <v>1</v>
      </c>
      <c r="J491" s="30">
        <v>34394760</v>
      </c>
      <c r="K491" s="26" t="s">
        <v>36</v>
      </c>
      <c r="L491" s="26" t="s">
        <v>1542</v>
      </c>
      <c r="M491" s="31" t="s">
        <v>1608</v>
      </c>
      <c r="N491" s="6"/>
      <c r="O491" s="2"/>
      <c r="P491" s="2"/>
      <c r="Q491" s="2"/>
      <c r="R491" s="2"/>
      <c r="S491" s="2"/>
      <c r="T491" s="2"/>
      <c r="U491" s="2"/>
      <c r="V491" s="2"/>
      <c r="W491" s="2"/>
      <c r="X491" s="2"/>
      <c r="Y491" s="2"/>
    </row>
    <row r="492" spans="1:25" ht="12.75" customHeight="1">
      <c r="A492" s="26">
        <v>277</v>
      </c>
      <c r="B492" s="27" t="s">
        <v>411</v>
      </c>
      <c r="C492" s="28">
        <v>41599</v>
      </c>
      <c r="D492" s="27"/>
      <c r="E492" s="27" t="s">
        <v>1611</v>
      </c>
      <c r="F492" s="29" t="s">
        <v>1612</v>
      </c>
      <c r="G492" s="27" t="s">
        <v>1008</v>
      </c>
      <c r="H492" s="27" t="s">
        <v>19</v>
      </c>
      <c r="I492" s="27">
        <v>1</v>
      </c>
      <c r="J492" s="30">
        <v>982971699</v>
      </c>
      <c r="K492" s="26" t="s">
        <v>20</v>
      </c>
      <c r="L492" s="26" t="s">
        <v>423</v>
      </c>
      <c r="M492" s="31" t="s">
        <v>5204</v>
      </c>
      <c r="N492" s="6"/>
      <c r="O492" s="2"/>
      <c r="P492" s="2"/>
      <c r="Q492" s="2"/>
      <c r="R492" s="2"/>
      <c r="S492" s="2"/>
      <c r="T492" s="2"/>
      <c r="U492" s="2"/>
      <c r="V492" s="2"/>
      <c r="W492" s="2"/>
      <c r="X492" s="2"/>
      <c r="Y492" s="2"/>
    </row>
    <row r="493" spans="1:25" ht="12.75" customHeight="1">
      <c r="A493" s="26" t="s">
        <v>1614</v>
      </c>
      <c r="B493" s="27"/>
      <c r="C493" s="28"/>
      <c r="D493" s="27"/>
      <c r="E493" s="27" t="s">
        <v>1615</v>
      </c>
      <c r="F493" s="29" t="s">
        <v>1616</v>
      </c>
      <c r="G493" s="27"/>
      <c r="H493" s="27"/>
      <c r="I493" s="27">
        <v>1</v>
      </c>
      <c r="J493" s="30">
        <v>0</v>
      </c>
      <c r="K493" s="26" t="s">
        <v>20</v>
      </c>
      <c r="L493" s="26" t="s">
        <v>423</v>
      </c>
      <c r="M493" s="31" t="s">
        <v>5217</v>
      </c>
      <c r="N493" s="6"/>
      <c r="O493" s="2"/>
      <c r="P493" s="2"/>
      <c r="Q493" s="2"/>
      <c r="R493" s="2"/>
      <c r="S493" s="2"/>
      <c r="T493" s="2"/>
      <c r="U493" s="2"/>
      <c r="V493" s="2"/>
      <c r="W493" s="2"/>
      <c r="X493" s="2"/>
      <c r="Y493" s="2"/>
    </row>
    <row r="494" spans="1:25" ht="15.75" customHeight="1">
      <c r="A494" s="26">
        <v>278</v>
      </c>
      <c r="B494" s="27" t="s">
        <v>1618</v>
      </c>
      <c r="C494" s="28">
        <v>41606</v>
      </c>
      <c r="D494" s="27"/>
      <c r="E494" s="27" t="s">
        <v>1619</v>
      </c>
      <c r="F494" s="29" t="s">
        <v>1620</v>
      </c>
      <c r="G494" s="27" t="s">
        <v>45</v>
      </c>
      <c r="H494" s="27" t="s">
        <v>19</v>
      </c>
      <c r="I494" s="27">
        <v>1</v>
      </c>
      <c r="J494" s="30">
        <v>2641956303</v>
      </c>
      <c r="K494" s="26" t="s">
        <v>20</v>
      </c>
      <c r="L494" s="36" t="s">
        <v>229</v>
      </c>
      <c r="M494" s="48" t="s">
        <v>5218</v>
      </c>
      <c r="N494" s="6"/>
      <c r="O494" s="2"/>
      <c r="P494" s="2"/>
      <c r="Q494" s="2"/>
      <c r="R494" s="2"/>
      <c r="S494" s="2"/>
      <c r="T494" s="2"/>
      <c r="U494" s="2"/>
      <c r="V494" s="2"/>
      <c r="W494" s="2"/>
      <c r="X494" s="2"/>
      <c r="Y494" s="2"/>
    </row>
    <row r="495" spans="1:25" ht="12.75" customHeight="1">
      <c r="A495" s="26" t="s">
        <v>1621</v>
      </c>
      <c r="B495" s="27"/>
      <c r="C495" s="28"/>
      <c r="D495" s="27"/>
      <c r="E495" s="27" t="s">
        <v>1622</v>
      </c>
      <c r="F495" s="29" t="s">
        <v>1623</v>
      </c>
      <c r="G495" s="27"/>
      <c r="H495" s="27"/>
      <c r="I495" s="27">
        <v>1</v>
      </c>
      <c r="J495" s="30">
        <v>0</v>
      </c>
      <c r="K495" s="26" t="s">
        <v>20</v>
      </c>
      <c r="L495" s="36" t="s">
        <v>229</v>
      </c>
      <c r="M495" s="31" t="s">
        <v>1234</v>
      </c>
      <c r="N495" s="6"/>
      <c r="O495" s="2"/>
      <c r="P495" s="2"/>
      <c r="Q495" s="2"/>
      <c r="R495" s="2"/>
      <c r="S495" s="2"/>
      <c r="T495" s="2"/>
      <c r="U495" s="2"/>
      <c r="V495" s="2"/>
      <c r="W495" s="2"/>
      <c r="X495" s="2"/>
      <c r="Y495" s="2"/>
    </row>
    <row r="496" spans="1:25" ht="12.75" customHeight="1">
      <c r="A496" s="26" t="s">
        <v>1624</v>
      </c>
      <c r="B496" s="27"/>
      <c r="C496" s="28"/>
      <c r="D496" s="27"/>
      <c r="E496" s="27" t="s">
        <v>1625</v>
      </c>
      <c r="F496" s="29" t="s">
        <v>1626</v>
      </c>
      <c r="G496" s="27"/>
      <c r="H496" s="27"/>
      <c r="I496" s="27">
        <v>1</v>
      </c>
      <c r="J496" s="30">
        <v>0</v>
      </c>
      <c r="K496" s="26" t="s">
        <v>20</v>
      </c>
      <c r="L496" s="36" t="s">
        <v>229</v>
      </c>
      <c r="M496" s="31" t="s">
        <v>1234</v>
      </c>
      <c r="N496" s="6"/>
      <c r="O496" s="2"/>
      <c r="P496" s="2"/>
      <c r="Q496" s="2"/>
      <c r="R496" s="2"/>
      <c r="S496" s="2"/>
      <c r="T496" s="2"/>
      <c r="U496" s="2"/>
      <c r="V496" s="2"/>
      <c r="W496" s="2"/>
      <c r="X496" s="2"/>
      <c r="Y496" s="2"/>
    </row>
    <row r="497" spans="1:25" ht="25.5" customHeight="1">
      <c r="A497" s="26" t="s">
        <v>1627</v>
      </c>
      <c r="B497" s="27"/>
      <c r="C497" s="28"/>
      <c r="D497" s="27"/>
      <c r="E497" s="27" t="s">
        <v>1628</v>
      </c>
      <c r="F497" s="29" t="s">
        <v>1629</v>
      </c>
      <c r="G497" s="27"/>
      <c r="H497" s="27"/>
      <c r="I497" s="27">
        <v>1</v>
      </c>
      <c r="J497" s="30">
        <v>0</v>
      </c>
      <c r="K497" s="26" t="s">
        <v>20</v>
      </c>
      <c r="L497" s="36" t="s">
        <v>229</v>
      </c>
      <c r="M497" s="31" t="s">
        <v>5219</v>
      </c>
      <c r="N497" s="6"/>
      <c r="O497" s="2"/>
      <c r="P497" s="2"/>
      <c r="Q497" s="2"/>
      <c r="R497" s="2"/>
      <c r="S497" s="2"/>
      <c r="T497" s="2"/>
      <c r="U497" s="2"/>
      <c r="V497" s="2"/>
      <c r="W497" s="2"/>
      <c r="X497" s="2"/>
      <c r="Y497" s="2"/>
    </row>
    <row r="498" spans="1:25" ht="12.75" customHeight="1">
      <c r="A498" s="26" t="s">
        <v>1630</v>
      </c>
      <c r="B498" s="27"/>
      <c r="C498" s="28"/>
      <c r="D498" s="27"/>
      <c r="E498" s="27" t="s">
        <v>1631</v>
      </c>
      <c r="F498" s="29" t="s">
        <v>1632</v>
      </c>
      <c r="G498" s="27"/>
      <c r="H498" s="27"/>
      <c r="I498" s="27">
        <v>1</v>
      </c>
      <c r="J498" s="30">
        <v>0</v>
      </c>
      <c r="K498" s="26" t="s">
        <v>20</v>
      </c>
      <c r="L498" s="36" t="s">
        <v>229</v>
      </c>
      <c r="M498" s="31" t="s">
        <v>5220</v>
      </c>
      <c r="N498" s="6"/>
      <c r="O498" s="2"/>
      <c r="P498" s="2"/>
      <c r="Q498" s="2"/>
      <c r="R498" s="2"/>
      <c r="S498" s="2"/>
      <c r="T498" s="2"/>
      <c r="U498" s="2"/>
      <c r="V498" s="2"/>
      <c r="W498" s="2"/>
      <c r="X498" s="2"/>
      <c r="Y498" s="2"/>
    </row>
    <row r="499" spans="1:25" ht="12.75" customHeight="1">
      <c r="A499" s="26">
        <v>279</v>
      </c>
      <c r="B499" s="27" t="s">
        <v>1271</v>
      </c>
      <c r="C499" s="28">
        <v>41626</v>
      </c>
      <c r="D499" s="27"/>
      <c r="E499" s="27" t="s">
        <v>1633</v>
      </c>
      <c r="F499" s="29" t="s">
        <v>1634</v>
      </c>
      <c r="G499" s="27" t="s">
        <v>1635</v>
      </c>
      <c r="H499" s="27" t="s">
        <v>19</v>
      </c>
      <c r="I499" s="27">
        <v>1</v>
      </c>
      <c r="J499" s="30">
        <v>528836726</v>
      </c>
      <c r="K499" s="26" t="s">
        <v>20</v>
      </c>
      <c r="L499" s="26" t="s">
        <v>423</v>
      </c>
      <c r="M499" s="31" t="s">
        <v>5221</v>
      </c>
      <c r="N499" s="6"/>
      <c r="O499" s="2"/>
      <c r="P499" s="2"/>
      <c r="Q499" s="2"/>
      <c r="R499" s="2"/>
      <c r="S499" s="2"/>
      <c r="T499" s="2"/>
      <c r="U499" s="2"/>
      <c r="V499" s="2"/>
      <c r="W499" s="2"/>
      <c r="X499" s="2"/>
      <c r="Y499" s="2"/>
    </row>
    <row r="500" spans="1:25" ht="12.75" customHeight="1">
      <c r="A500" s="26">
        <v>280</v>
      </c>
      <c r="B500" s="27" t="s">
        <v>1271</v>
      </c>
      <c r="C500" s="28">
        <v>41626</v>
      </c>
      <c r="D500" s="27"/>
      <c r="E500" s="27" t="s">
        <v>1637</v>
      </c>
      <c r="F500" s="29" t="s">
        <v>1638</v>
      </c>
      <c r="G500" s="27" t="s">
        <v>45</v>
      </c>
      <c r="H500" s="27" t="s">
        <v>19</v>
      </c>
      <c r="I500" s="27">
        <v>1</v>
      </c>
      <c r="J500" s="30">
        <v>550089044</v>
      </c>
      <c r="K500" s="26" t="s">
        <v>20</v>
      </c>
      <c r="L500" s="26" t="s">
        <v>423</v>
      </c>
      <c r="M500" s="31" t="s">
        <v>5222</v>
      </c>
      <c r="N500" s="6"/>
      <c r="O500" s="2"/>
      <c r="P500" s="2"/>
      <c r="Q500" s="2"/>
      <c r="R500" s="2"/>
      <c r="S500" s="2"/>
      <c r="T500" s="2"/>
      <c r="U500" s="2"/>
      <c r="V500" s="2"/>
      <c r="W500" s="2"/>
      <c r="X500" s="2"/>
      <c r="Y500" s="2"/>
    </row>
    <row r="501" spans="1:25" ht="12.75" customHeight="1">
      <c r="A501" s="26">
        <v>281</v>
      </c>
      <c r="B501" s="27" t="s">
        <v>1271</v>
      </c>
      <c r="C501" s="28">
        <v>41626</v>
      </c>
      <c r="D501" s="27"/>
      <c r="E501" s="27" t="s">
        <v>1640</v>
      </c>
      <c r="F501" s="29" t="s">
        <v>1641</v>
      </c>
      <c r="G501" s="27" t="s">
        <v>45</v>
      </c>
      <c r="H501" s="27" t="s">
        <v>19</v>
      </c>
      <c r="I501" s="27">
        <v>1</v>
      </c>
      <c r="J501" s="30">
        <v>834029886</v>
      </c>
      <c r="K501" s="26" t="s">
        <v>20</v>
      </c>
      <c r="L501" s="26" t="s">
        <v>423</v>
      </c>
      <c r="M501" s="31" t="s">
        <v>5222</v>
      </c>
      <c r="N501" s="6"/>
      <c r="O501" s="2"/>
      <c r="P501" s="2"/>
      <c r="Q501" s="2"/>
      <c r="R501" s="2"/>
      <c r="S501" s="2"/>
      <c r="T501" s="2"/>
      <c r="U501" s="2"/>
      <c r="V501" s="2"/>
      <c r="W501" s="2"/>
      <c r="X501" s="2"/>
      <c r="Y501" s="2"/>
    </row>
    <row r="502" spans="1:25" ht="12.75" customHeight="1">
      <c r="A502" s="26">
        <v>282</v>
      </c>
      <c r="B502" s="27" t="s">
        <v>1271</v>
      </c>
      <c r="C502" s="28">
        <v>41626</v>
      </c>
      <c r="D502" s="27"/>
      <c r="E502" s="27" t="s">
        <v>1643</v>
      </c>
      <c r="F502" s="29" t="s">
        <v>1644</v>
      </c>
      <c r="G502" s="27" t="s">
        <v>45</v>
      </c>
      <c r="H502" s="27" t="s">
        <v>19</v>
      </c>
      <c r="I502" s="27">
        <v>1</v>
      </c>
      <c r="J502" s="30">
        <v>834029885</v>
      </c>
      <c r="K502" s="26" t="s">
        <v>20</v>
      </c>
      <c r="L502" s="26" t="s">
        <v>423</v>
      </c>
      <c r="M502" s="31" t="s">
        <v>5222</v>
      </c>
      <c r="N502" s="6"/>
      <c r="O502" s="2"/>
      <c r="P502" s="2"/>
      <c r="Q502" s="2"/>
      <c r="R502" s="2"/>
      <c r="S502" s="2"/>
      <c r="T502" s="2"/>
      <c r="U502" s="2"/>
      <c r="V502" s="2"/>
      <c r="W502" s="2"/>
      <c r="X502" s="2"/>
      <c r="Y502" s="2"/>
    </row>
    <row r="503" spans="1:25" ht="12.75" customHeight="1">
      <c r="A503" s="26">
        <v>283</v>
      </c>
      <c r="B503" s="27" t="s">
        <v>1271</v>
      </c>
      <c r="C503" s="28">
        <v>41626</v>
      </c>
      <c r="D503" s="27"/>
      <c r="E503" s="27" t="s">
        <v>1646</v>
      </c>
      <c r="F503" s="29" t="s">
        <v>1647</v>
      </c>
      <c r="G503" s="27" t="s">
        <v>45</v>
      </c>
      <c r="H503" s="27" t="s">
        <v>19</v>
      </c>
      <c r="I503" s="27">
        <v>1</v>
      </c>
      <c r="J503" s="30">
        <v>119058961</v>
      </c>
      <c r="K503" s="26" t="s">
        <v>20</v>
      </c>
      <c r="L503" s="26" t="s">
        <v>423</v>
      </c>
      <c r="M503" s="31" t="s">
        <v>5222</v>
      </c>
      <c r="N503" s="6"/>
      <c r="O503" s="2"/>
      <c r="P503" s="2"/>
      <c r="Q503" s="2"/>
      <c r="R503" s="2"/>
      <c r="S503" s="2"/>
      <c r="T503" s="2"/>
      <c r="U503" s="2"/>
      <c r="V503" s="2"/>
      <c r="W503" s="2"/>
      <c r="X503" s="2"/>
      <c r="Y503" s="2"/>
    </row>
    <row r="504" spans="1:25" ht="12.75" customHeight="1">
      <c r="A504" s="26">
        <v>284</v>
      </c>
      <c r="B504" s="27" t="s">
        <v>219</v>
      </c>
      <c r="C504" s="28">
        <v>41635</v>
      </c>
      <c r="D504" s="27"/>
      <c r="E504" s="27" t="s">
        <v>1648</v>
      </c>
      <c r="F504" s="29" t="s">
        <v>1649</v>
      </c>
      <c r="G504" s="27" t="s">
        <v>45</v>
      </c>
      <c r="H504" s="27" t="s">
        <v>19</v>
      </c>
      <c r="I504" s="27">
        <v>1</v>
      </c>
      <c r="J504" s="30">
        <v>130537446</v>
      </c>
      <c r="K504" s="26" t="s">
        <v>20</v>
      </c>
      <c r="L504" s="26" t="s">
        <v>423</v>
      </c>
      <c r="M504" s="31" t="s">
        <v>5222</v>
      </c>
      <c r="N504" s="6"/>
      <c r="O504" s="2"/>
      <c r="P504" s="2"/>
      <c r="Q504" s="2"/>
      <c r="R504" s="2"/>
      <c r="S504" s="2"/>
      <c r="T504" s="2"/>
      <c r="U504" s="2"/>
      <c r="V504" s="2"/>
      <c r="W504" s="2"/>
      <c r="X504" s="2"/>
      <c r="Y504" s="2"/>
    </row>
    <row r="505" spans="1:25" ht="12.75" customHeight="1">
      <c r="A505" s="26" t="s">
        <v>1651</v>
      </c>
      <c r="B505" s="27"/>
      <c r="C505" s="28"/>
      <c r="D505" s="27"/>
      <c r="E505" s="27" t="s">
        <v>1652</v>
      </c>
      <c r="F505" s="29" t="s">
        <v>1653</v>
      </c>
      <c r="G505" s="27"/>
      <c r="H505" s="27"/>
      <c r="I505" s="27">
        <v>1</v>
      </c>
      <c r="J505" s="30">
        <v>0</v>
      </c>
      <c r="K505" s="26" t="s">
        <v>20</v>
      </c>
      <c r="L505" s="26" t="s">
        <v>423</v>
      </c>
      <c r="M505" s="31" t="s">
        <v>5223</v>
      </c>
      <c r="N505" s="6"/>
      <c r="O505" s="2"/>
      <c r="P505" s="2"/>
      <c r="Q505" s="2"/>
      <c r="R505" s="2"/>
      <c r="S505" s="2"/>
      <c r="T505" s="2"/>
      <c r="U505" s="2"/>
      <c r="V505" s="2"/>
      <c r="W505" s="2"/>
      <c r="X505" s="2"/>
      <c r="Y505" s="2"/>
    </row>
    <row r="506" spans="1:25" ht="25.5" customHeight="1">
      <c r="A506" s="38">
        <v>285</v>
      </c>
      <c r="B506" s="27" t="s">
        <v>877</v>
      </c>
      <c r="C506" s="40">
        <v>41981</v>
      </c>
      <c r="D506" s="27"/>
      <c r="E506" s="39" t="s">
        <v>1655</v>
      </c>
      <c r="F506" s="41" t="s">
        <v>1656</v>
      </c>
      <c r="G506" s="27" t="s">
        <v>1435</v>
      </c>
      <c r="H506" s="27" t="s">
        <v>19</v>
      </c>
      <c r="I506" s="27">
        <v>1</v>
      </c>
      <c r="J506" s="42">
        <v>489729924</v>
      </c>
      <c r="K506" s="38" t="s">
        <v>206</v>
      </c>
      <c r="L506" s="38" t="s">
        <v>1330</v>
      </c>
      <c r="M506" s="43" t="s">
        <v>1657</v>
      </c>
      <c r="N506" s="6"/>
      <c r="O506" s="2"/>
      <c r="P506" s="2"/>
      <c r="Q506" s="2"/>
      <c r="R506" s="2"/>
      <c r="S506" s="2"/>
      <c r="T506" s="2"/>
      <c r="U506" s="2"/>
      <c r="V506" s="2"/>
      <c r="W506" s="2"/>
      <c r="X506" s="2"/>
      <c r="Y506" s="2"/>
    </row>
    <row r="507" spans="1:25" ht="25.5" customHeight="1">
      <c r="A507" s="26">
        <v>286</v>
      </c>
      <c r="B507" s="27" t="s">
        <v>877</v>
      </c>
      <c r="C507" s="28">
        <v>41981</v>
      </c>
      <c r="D507" s="27"/>
      <c r="E507" s="27" t="s">
        <v>1658</v>
      </c>
      <c r="F507" s="29" t="s">
        <v>1659</v>
      </c>
      <c r="G507" s="27" t="s">
        <v>55</v>
      </c>
      <c r="H507" s="27" t="s">
        <v>19</v>
      </c>
      <c r="I507" s="27">
        <v>1</v>
      </c>
      <c r="J507" s="30">
        <v>281907402</v>
      </c>
      <c r="K507" s="26" t="s">
        <v>20</v>
      </c>
      <c r="L507" s="26" t="s">
        <v>233</v>
      </c>
      <c r="M507" s="31" t="s">
        <v>1660</v>
      </c>
      <c r="N507" s="6"/>
      <c r="O507" s="2"/>
      <c r="P507" s="2"/>
      <c r="Q507" s="2"/>
      <c r="R507" s="2"/>
      <c r="S507" s="2"/>
      <c r="T507" s="2"/>
      <c r="U507" s="2"/>
      <c r="V507" s="2"/>
      <c r="W507" s="2"/>
      <c r="X507" s="2"/>
      <c r="Y507" s="2"/>
    </row>
    <row r="508" spans="1:25" ht="12.75" customHeight="1">
      <c r="A508" s="26" t="s">
        <v>1661</v>
      </c>
      <c r="B508" s="27"/>
      <c r="C508" s="28"/>
      <c r="D508" s="27"/>
      <c r="E508" s="27" t="s">
        <v>1662</v>
      </c>
      <c r="F508" s="29" t="s">
        <v>1663</v>
      </c>
      <c r="G508" s="27" t="s">
        <v>55</v>
      </c>
      <c r="H508" s="27" t="s">
        <v>249</v>
      </c>
      <c r="I508" s="27">
        <v>1</v>
      </c>
      <c r="J508" s="30">
        <v>0</v>
      </c>
      <c r="K508" s="26" t="s">
        <v>20</v>
      </c>
      <c r="L508" s="26" t="s">
        <v>233</v>
      </c>
      <c r="M508" s="31" t="s">
        <v>1369</v>
      </c>
      <c r="N508" s="6"/>
      <c r="O508" s="2"/>
      <c r="P508" s="2"/>
      <c r="Q508" s="2"/>
      <c r="R508" s="2"/>
      <c r="S508" s="2"/>
      <c r="T508" s="2"/>
      <c r="U508" s="2"/>
      <c r="V508" s="2"/>
      <c r="W508" s="2"/>
      <c r="X508" s="2"/>
      <c r="Y508" s="2"/>
    </row>
    <row r="509" spans="1:25" ht="25.5" customHeight="1">
      <c r="A509" s="26" t="s">
        <v>1664</v>
      </c>
      <c r="B509" s="27"/>
      <c r="C509" s="28"/>
      <c r="D509" s="27"/>
      <c r="E509" s="27" t="s">
        <v>1665</v>
      </c>
      <c r="F509" s="29" t="s">
        <v>1666</v>
      </c>
      <c r="G509" s="27" t="s">
        <v>55</v>
      </c>
      <c r="H509" s="27" t="s">
        <v>249</v>
      </c>
      <c r="I509" s="27">
        <v>1</v>
      </c>
      <c r="J509" s="30">
        <v>0</v>
      </c>
      <c r="K509" s="26" t="s">
        <v>20</v>
      </c>
      <c r="L509" s="26" t="s">
        <v>233</v>
      </c>
      <c r="M509" s="31" t="s">
        <v>5224</v>
      </c>
      <c r="N509" s="6"/>
      <c r="O509" s="2"/>
      <c r="P509" s="2"/>
      <c r="Q509" s="2"/>
      <c r="R509" s="2"/>
      <c r="S509" s="2"/>
      <c r="T509" s="2"/>
      <c r="U509" s="2"/>
      <c r="V509" s="2"/>
      <c r="W509" s="2"/>
      <c r="X509" s="2"/>
      <c r="Y509" s="2"/>
    </row>
    <row r="510" spans="1:25" ht="25.5" customHeight="1">
      <c r="A510" s="26">
        <v>287</v>
      </c>
      <c r="B510" s="27" t="s">
        <v>1668</v>
      </c>
      <c r="C510" s="28">
        <v>41982</v>
      </c>
      <c r="D510" s="27"/>
      <c r="E510" s="27" t="s">
        <v>1669</v>
      </c>
      <c r="F510" s="29" t="s">
        <v>1670</v>
      </c>
      <c r="G510" s="27" t="s">
        <v>45</v>
      </c>
      <c r="H510" s="27" t="s">
        <v>19</v>
      </c>
      <c r="I510" s="27">
        <v>1</v>
      </c>
      <c r="J510" s="30">
        <v>567315000</v>
      </c>
      <c r="K510" s="26" t="s">
        <v>20</v>
      </c>
      <c r="L510" s="26" t="s">
        <v>423</v>
      </c>
      <c r="M510" s="27" t="s">
        <v>5225</v>
      </c>
      <c r="N510" s="6"/>
      <c r="O510" s="2"/>
      <c r="P510" s="2"/>
      <c r="Q510" s="2"/>
      <c r="R510" s="2"/>
      <c r="S510" s="2"/>
      <c r="T510" s="2"/>
      <c r="U510" s="2"/>
      <c r="V510" s="2"/>
      <c r="W510" s="2"/>
      <c r="X510" s="2"/>
      <c r="Y510" s="2"/>
    </row>
    <row r="511" spans="1:25" ht="38.25" customHeight="1">
      <c r="A511" s="26" t="s">
        <v>1672</v>
      </c>
      <c r="B511" s="27"/>
      <c r="C511" s="28"/>
      <c r="D511" s="27"/>
      <c r="E511" s="27" t="s">
        <v>1673</v>
      </c>
      <c r="F511" s="29" t="s">
        <v>1674</v>
      </c>
      <c r="G511" s="27" t="s">
        <v>45</v>
      </c>
      <c r="H511" s="27" t="s">
        <v>249</v>
      </c>
      <c r="I511" s="27">
        <v>1</v>
      </c>
      <c r="J511" s="30">
        <v>0</v>
      </c>
      <c r="K511" s="26" t="s">
        <v>20</v>
      </c>
      <c r="L511" s="26" t="s">
        <v>423</v>
      </c>
      <c r="M511" s="29" t="s">
        <v>1682</v>
      </c>
      <c r="N511" s="6"/>
      <c r="O511" s="2"/>
      <c r="P511" s="2"/>
      <c r="Q511" s="2"/>
      <c r="R511" s="2"/>
      <c r="S511" s="2"/>
      <c r="T511" s="2"/>
      <c r="U511" s="2"/>
      <c r="V511" s="2"/>
      <c r="W511" s="2"/>
      <c r="X511" s="2"/>
      <c r="Y511" s="2"/>
    </row>
    <row r="512" spans="1:25" ht="25.5" customHeight="1">
      <c r="A512" s="26">
        <v>288</v>
      </c>
      <c r="B512" s="27" t="s">
        <v>1668</v>
      </c>
      <c r="C512" s="28">
        <v>41982</v>
      </c>
      <c r="D512" s="27"/>
      <c r="E512" s="27" t="s">
        <v>1676</v>
      </c>
      <c r="F512" s="29" t="s">
        <v>1677</v>
      </c>
      <c r="G512" s="27" t="s">
        <v>45</v>
      </c>
      <c r="H512" s="27" t="s">
        <v>19</v>
      </c>
      <c r="I512" s="27">
        <v>1</v>
      </c>
      <c r="J512" s="30">
        <v>567315000</v>
      </c>
      <c r="K512" s="26" t="s">
        <v>20</v>
      </c>
      <c r="L512" s="26" t="s">
        <v>423</v>
      </c>
      <c r="M512" s="27" t="s">
        <v>5226</v>
      </c>
      <c r="N512" s="6"/>
      <c r="O512" s="2"/>
      <c r="P512" s="2"/>
      <c r="Q512" s="2"/>
      <c r="R512" s="2"/>
      <c r="S512" s="2"/>
      <c r="T512" s="2"/>
      <c r="U512" s="2"/>
      <c r="V512" s="2"/>
      <c r="W512" s="2"/>
      <c r="X512" s="2"/>
      <c r="Y512" s="2"/>
    </row>
    <row r="513" spans="1:25" ht="25.5" customHeight="1">
      <c r="A513" s="26" t="s">
        <v>1679</v>
      </c>
      <c r="B513" s="27"/>
      <c r="C513" s="28"/>
      <c r="D513" s="27"/>
      <c r="E513" s="27" t="s">
        <v>1680</v>
      </c>
      <c r="F513" s="29" t="s">
        <v>1681</v>
      </c>
      <c r="G513" s="27" t="s">
        <v>45</v>
      </c>
      <c r="H513" s="27" t="s">
        <v>249</v>
      </c>
      <c r="I513" s="27">
        <v>1</v>
      </c>
      <c r="J513" s="30">
        <v>0</v>
      </c>
      <c r="K513" s="26" t="s">
        <v>20</v>
      </c>
      <c r="L513" s="26" t="s">
        <v>423</v>
      </c>
      <c r="M513" s="29" t="s">
        <v>1682</v>
      </c>
      <c r="N513" s="6"/>
      <c r="O513" s="2"/>
      <c r="P513" s="2"/>
      <c r="Q513" s="2"/>
      <c r="R513" s="2"/>
      <c r="S513" s="2"/>
      <c r="T513" s="2"/>
      <c r="U513" s="2"/>
      <c r="V513" s="2"/>
      <c r="W513" s="2"/>
      <c r="X513" s="2"/>
      <c r="Y513" s="2"/>
    </row>
    <row r="514" spans="1:25" ht="12.75" customHeight="1">
      <c r="A514" s="26">
        <v>289</v>
      </c>
      <c r="B514" s="27" t="s">
        <v>1683</v>
      </c>
      <c r="C514" s="28">
        <v>42733</v>
      </c>
      <c r="D514" s="27"/>
      <c r="E514" s="27" t="s">
        <v>1684</v>
      </c>
      <c r="F514" s="29" t="s">
        <v>1685</v>
      </c>
      <c r="G514" s="27" t="s">
        <v>338</v>
      </c>
      <c r="H514" s="27" t="s">
        <v>19</v>
      </c>
      <c r="I514" s="27">
        <v>1</v>
      </c>
      <c r="J514" s="30">
        <v>198000000</v>
      </c>
      <c r="K514" s="26" t="s">
        <v>36</v>
      </c>
      <c r="L514" s="26" t="s">
        <v>37</v>
      </c>
      <c r="M514" s="31" t="s">
        <v>1686</v>
      </c>
      <c r="N514" s="6"/>
      <c r="O514" s="2"/>
      <c r="P514" s="2"/>
      <c r="Q514" s="2"/>
      <c r="R514" s="2"/>
      <c r="S514" s="2"/>
      <c r="T514" s="2"/>
      <c r="U514" s="2"/>
      <c r="V514" s="2"/>
      <c r="W514" s="2"/>
      <c r="X514" s="2"/>
      <c r="Y514" s="2"/>
    </row>
    <row r="515" spans="1:25" ht="12.75" customHeight="1">
      <c r="A515" s="26">
        <v>290</v>
      </c>
      <c r="B515" s="27" t="s">
        <v>1683</v>
      </c>
      <c r="C515" s="28">
        <v>42733</v>
      </c>
      <c r="D515" s="27"/>
      <c r="E515" s="27" t="s">
        <v>1687</v>
      </c>
      <c r="F515" s="29" t="s">
        <v>1688</v>
      </c>
      <c r="G515" s="27" t="s">
        <v>338</v>
      </c>
      <c r="H515" s="27" t="s">
        <v>19</v>
      </c>
      <c r="I515" s="27">
        <v>1</v>
      </c>
      <c r="J515" s="30">
        <v>198000000</v>
      </c>
      <c r="K515" s="26" t="s">
        <v>36</v>
      </c>
      <c r="L515" s="26" t="s">
        <v>37</v>
      </c>
      <c r="M515" s="31" t="s">
        <v>1689</v>
      </c>
      <c r="N515" s="6"/>
      <c r="O515" s="2"/>
      <c r="P515" s="2"/>
      <c r="Q515" s="2"/>
      <c r="R515" s="2"/>
      <c r="S515" s="2"/>
      <c r="T515" s="2"/>
      <c r="U515" s="2"/>
      <c r="V515" s="2"/>
      <c r="W515" s="2"/>
      <c r="X515" s="2"/>
      <c r="Y515" s="2"/>
    </row>
    <row r="516" spans="1:25" ht="27" customHeight="1">
      <c r="A516" s="26">
        <v>291</v>
      </c>
      <c r="B516" s="27" t="s">
        <v>1690</v>
      </c>
      <c r="C516" s="28">
        <v>41982</v>
      </c>
      <c r="D516" s="27"/>
      <c r="E516" s="27" t="s">
        <v>1691</v>
      </c>
      <c r="F516" s="29" t="s">
        <v>1692</v>
      </c>
      <c r="G516" s="27" t="s">
        <v>1088</v>
      </c>
      <c r="H516" s="27" t="s">
        <v>19</v>
      </c>
      <c r="I516" s="27">
        <v>1</v>
      </c>
      <c r="J516" s="30">
        <v>99430513</v>
      </c>
      <c r="K516" s="45" t="s">
        <v>206</v>
      </c>
      <c r="L516" s="45" t="s">
        <v>1247</v>
      </c>
      <c r="M516" s="46" t="s">
        <v>1693</v>
      </c>
      <c r="N516" s="6"/>
      <c r="O516" s="2"/>
      <c r="P516" s="2"/>
      <c r="Q516" s="2"/>
      <c r="R516" s="2"/>
      <c r="S516" s="2"/>
      <c r="T516" s="2"/>
      <c r="U516" s="2"/>
      <c r="V516" s="2"/>
      <c r="W516" s="2"/>
      <c r="X516" s="2"/>
      <c r="Y516" s="2"/>
    </row>
    <row r="517" spans="1:25" ht="25.5" customHeight="1">
      <c r="A517" s="26">
        <v>292</v>
      </c>
      <c r="B517" s="27" t="s">
        <v>1690</v>
      </c>
      <c r="C517" s="28">
        <v>41982</v>
      </c>
      <c r="D517" s="27"/>
      <c r="E517" s="27" t="s">
        <v>1694</v>
      </c>
      <c r="F517" s="29" t="s">
        <v>1695</v>
      </c>
      <c r="G517" s="27" t="s">
        <v>1088</v>
      </c>
      <c r="H517" s="27" t="s">
        <v>19</v>
      </c>
      <c r="I517" s="27">
        <v>1</v>
      </c>
      <c r="J517" s="30">
        <v>261272065</v>
      </c>
      <c r="K517" s="26" t="s">
        <v>206</v>
      </c>
      <c r="L517" s="26" t="s">
        <v>1330</v>
      </c>
      <c r="M517" s="31" t="s">
        <v>1696</v>
      </c>
      <c r="N517" s="6"/>
      <c r="O517" s="2"/>
      <c r="P517" s="2"/>
      <c r="Q517" s="2"/>
      <c r="R517" s="2"/>
      <c r="S517" s="2"/>
      <c r="T517" s="2"/>
      <c r="U517" s="2"/>
      <c r="V517" s="2"/>
      <c r="W517" s="2"/>
      <c r="X517" s="2"/>
      <c r="Y517" s="2"/>
    </row>
    <row r="518" spans="1:25" ht="12.75" customHeight="1">
      <c r="A518" s="26">
        <v>293</v>
      </c>
      <c r="B518" s="27" t="s">
        <v>470</v>
      </c>
      <c r="C518" s="28">
        <v>41983</v>
      </c>
      <c r="D518" s="27"/>
      <c r="E518" s="27" t="s">
        <v>1697</v>
      </c>
      <c r="F518" s="29" t="s">
        <v>1698</v>
      </c>
      <c r="G518" s="27" t="s">
        <v>45</v>
      </c>
      <c r="H518" s="27" t="s">
        <v>19</v>
      </c>
      <c r="I518" s="27">
        <v>1</v>
      </c>
      <c r="J518" s="30">
        <v>398006974</v>
      </c>
      <c r="K518" s="26" t="s">
        <v>20</v>
      </c>
      <c r="L518" s="26" t="s">
        <v>423</v>
      </c>
      <c r="M518" s="31" t="s">
        <v>2795</v>
      </c>
      <c r="N518" s="6"/>
      <c r="O518" s="2"/>
      <c r="P518" s="2"/>
      <c r="Q518" s="2"/>
      <c r="R518" s="2"/>
      <c r="S518" s="2"/>
      <c r="T518" s="2"/>
      <c r="U518" s="2"/>
      <c r="V518" s="2"/>
      <c r="W518" s="2"/>
      <c r="X518" s="2"/>
      <c r="Y518" s="2"/>
    </row>
    <row r="519" spans="1:25" ht="12.75" customHeight="1">
      <c r="A519" s="26">
        <v>294</v>
      </c>
      <c r="B519" s="27" t="s">
        <v>470</v>
      </c>
      <c r="C519" s="28">
        <v>41983</v>
      </c>
      <c r="D519" s="27"/>
      <c r="E519" s="27" t="s">
        <v>1700</v>
      </c>
      <c r="F519" s="29" t="s">
        <v>1701</v>
      </c>
      <c r="G519" s="27" t="s">
        <v>45</v>
      </c>
      <c r="H519" s="27" t="s">
        <v>19</v>
      </c>
      <c r="I519" s="27">
        <v>1</v>
      </c>
      <c r="J519" s="30">
        <v>398006974</v>
      </c>
      <c r="K519" s="26" t="s">
        <v>20</v>
      </c>
      <c r="L519" s="26" t="s">
        <v>423</v>
      </c>
      <c r="M519" s="31" t="s">
        <v>2817</v>
      </c>
      <c r="N519" s="6"/>
      <c r="O519" s="2"/>
      <c r="P519" s="2"/>
      <c r="Q519" s="2"/>
      <c r="R519" s="2"/>
      <c r="S519" s="2"/>
      <c r="T519" s="2"/>
      <c r="U519" s="2"/>
      <c r="V519" s="2"/>
      <c r="W519" s="2"/>
      <c r="X519" s="2"/>
      <c r="Y519" s="2"/>
    </row>
    <row r="520" spans="1:25" ht="12.75" customHeight="1">
      <c r="A520" s="26">
        <v>295</v>
      </c>
      <c r="B520" s="27" t="s">
        <v>470</v>
      </c>
      <c r="C520" s="28">
        <v>41983</v>
      </c>
      <c r="D520" s="27"/>
      <c r="E520" s="27" t="s">
        <v>1703</v>
      </c>
      <c r="F520" s="29" t="s">
        <v>1704</v>
      </c>
      <c r="G520" s="27" t="s">
        <v>45</v>
      </c>
      <c r="H520" s="27" t="s">
        <v>19</v>
      </c>
      <c r="I520" s="27">
        <v>1</v>
      </c>
      <c r="J520" s="30">
        <v>398006974</v>
      </c>
      <c r="K520" s="26" t="s">
        <v>20</v>
      </c>
      <c r="L520" s="26" t="s">
        <v>423</v>
      </c>
      <c r="M520" s="31" t="s">
        <v>2807</v>
      </c>
      <c r="N520" s="6"/>
      <c r="O520" s="2"/>
      <c r="P520" s="2"/>
      <c r="Q520" s="2"/>
      <c r="R520" s="2"/>
      <c r="S520" s="2"/>
      <c r="T520" s="2"/>
      <c r="U520" s="2"/>
      <c r="V520" s="2"/>
      <c r="W520" s="2"/>
      <c r="X520" s="2"/>
      <c r="Y520" s="2"/>
    </row>
    <row r="521" spans="1:25" ht="12.75" customHeight="1">
      <c r="A521" s="26">
        <v>296</v>
      </c>
      <c r="B521" s="27" t="s">
        <v>470</v>
      </c>
      <c r="C521" s="28">
        <v>41983</v>
      </c>
      <c r="D521" s="27"/>
      <c r="E521" s="27" t="s">
        <v>1706</v>
      </c>
      <c r="F521" s="29" t="s">
        <v>1707</v>
      </c>
      <c r="G521" s="27" t="s">
        <v>45</v>
      </c>
      <c r="H521" s="27" t="s">
        <v>19</v>
      </c>
      <c r="I521" s="27">
        <v>1</v>
      </c>
      <c r="J521" s="30">
        <v>398006974</v>
      </c>
      <c r="K521" s="26" t="s">
        <v>20</v>
      </c>
      <c r="L521" s="26" t="s">
        <v>423</v>
      </c>
      <c r="M521" s="31" t="s">
        <v>2813</v>
      </c>
      <c r="N521" s="6"/>
      <c r="O521" s="2"/>
      <c r="P521" s="2"/>
      <c r="Q521" s="2"/>
      <c r="R521" s="2"/>
      <c r="S521" s="2"/>
      <c r="T521" s="2"/>
      <c r="U521" s="2"/>
      <c r="V521" s="2"/>
      <c r="W521" s="2"/>
      <c r="X521" s="2"/>
      <c r="Y521" s="2"/>
    </row>
    <row r="522" spans="1:25" ht="12.75" customHeight="1">
      <c r="A522" s="26">
        <v>297</v>
      </c>
      <c r="B522" s="27" t="s">
        <v>470</v>
      </c>
      <c r="C522" s="28">
        <v>41983</v>
      </c>
      <c r="D522" s="27"/>
      <c r="E522" s="27" t="s">
        <v>1709</v>
      </c>
      <c r="F522" s="29" t="s">
        <v>1710</v>
      </c>
      <c r="G522" s="27" t="s">
        <v>45</v>
      </c>
      <c r="H522" s="27" t="s">
        <v>19</v>
      </c>
      <c r="I522" s="27">
        <v>1</v>
      </c>
      <c r="J522" s="30">
        <v>75994860</v>
      </c>
      <c r="K522" s="26" t="s">
        <v>20</v>
      </c>
      <c r="L522" s="26" t="s">
        <v>423</v>
      </c>
      <c r="M522" s="31" t="s">
        <v>2813</v>
      </c>
      <c r="N522" s="6"/>
      <c r="O522" s="2"/>
      <c r="P522" s="2"/>
      <c r="Q522" s="2"/>
      <c r="R522" s="2"/>
      <c r="S522" s="2"/>
      <c r="T522" s="2"/>
      <c r="U522" s="2"/>
      <c r="V522" s="2"/>
      <c r="W522" s="2"/>
      <c r="X522" s="2"/>
      <c r="Y522" s="2"/>
    </row>
    <row r="523" spans="1:25" ht="12.75" customHeight="1">
      <c r="A523" s="26">
        <v>298</v>
      </c>
      <c r="B523" s="27" t="s">
        <v>470</v>
      </c>
      <c r="C523" s="28">
        <v>41983</v>
      </c>
      <c r="D523" s="27"/>
      <c r="E523" s="27" t="s">
        <v>1712</v>
      </c>
      <c r="F523" s="29" t="s">
        <v>1713</v>
      </c>
      <c r="G523" s="27" t="s">
        <v>45</v>
      </c>
      <c r="H523" s="27" t="s">
        <v>19</v>
      </c>
      <c r="I523" s="27">
        <v>1</v>
      </c>
      <c r="J523" s="30">
        <v>75994860</v>
      </c>
      <c r="K523" s="26" t="s">
        <v>20</v>
      </c>
      <c r="L523" s="26" t="s">
        <v>423</v>
      </c>
      <c r="M523" s="31" t="s">
        <v>2807</v>
      </c>
      <c r="N523" s="6"/>
      <c r="O523" s="2"/>
      <c r="P523" s="2"/>
      <c r="Q523" s="2"/>
      <c r="R523" s="2"/>
      <c r="S523" s="2"/>
      <c r="T523" s="2"/>
      <c r="U523" s="2"/>
      <c r="V523" s="2"/>
      <c r="W523" s="2"/>
      <c r="X523" s="2"/>
      <c r="Y523" s="2"/>
    </row>
    <row r="524" spans="1:25" ht="12.75" customHeight="1">
      <c r="A524" s="26">
        <v>299</v>
      </c>
      <c r="B524" s="27" t="s">
        <v>470</v>
      </c>
      <c r="C524" s="28">
        <v>41983</v>
      </c>
      <c r="D524" s="27"/>
      <c r="E524" s="27" t="s">
        <v>1715</v>
      </c>
      <c r="F524" s="29" t="s">
        <v>1716</v>
      </c>
      <c r="G524" s="27" t="s">
        <v>45</v>
      </c>
      <c r="H524" s="27" t="s">
        <v>19</v>
      </c>
      <c r="I524" s="27">
        <v>1</v>
      </c>
      <c r="J524" s="30">
        <v>75994860</v>
      </c>
      <c r="K524" s="26" t="s">
        <v>20</v>
      </c>
      <c r="L524" s="26" t="s">
        <v>423</v>
      </c>
      <c r="M524" s="31" t="s">
        <v>2817</v>
      </c>
      <c r="N524" s="6"/>
      <c r="O524" s="2"/>
      <c r="P524" s="2"/>
      <c r="Q524" s="2"/>
      <c r="R524" s="2"/>
      <c r="S524" s="2"/>
      <c r="T524" s="2"/>
      <c r="U524" s="2"/>
      <c r="V524" s="2"/>
      <c r="W524" s="2"/>
      <c r="X524" s="2"/>
      <c r="Y524" s="2"/>
    </row>
    <row r="525" spans="1:25" ht="12.75" customHeight="1">
      <c r="A525" s="26">
        <v>300</v>
      </c>
      <c r="B525" s="27" t="s">
        <v>470</v>
      </c>
      <c r="C525" s="28">
        <v>41983</v>
      </c>
      <c r="D525" s="27"/>
      <c r="E525" s="27" t="s">
        <v>1718</v>
      </c>
      <c r="F525" s="29" t="s">
        <v>1719</v>
      </c>
      <c r="G525" s="27" t="s">
        <v>45</v>
      </c>
      <c r="H525" s="27" t="s">
        <v>19</v>
      </c>
      <c r="I525" s="27">
        <v>1</v>
      </c>
      <c r="J525" s="30">
        <v>75994860</v>
      </c>
      <c r="K525" s="26" t="s">
        <v>20</v>
      </c>
      <c r="L525" s="26" t="s">
        <v>423</v>
      </c>
      <c r="M525" s="31" t="s">
        <v>2795</v>
      </c>
      <c r="N525" s="6"/>
      <c r="O525" s="2"/>
      <c r="P525" s="2"/>
      <c r="Q525" s="2"/>
      <c r="R525" s="2"/>
      <c r="S525" s="2"/>
      <c r="T525" s="2"/>
      <c r="U525" s="2"/>
      <c r="V525" s="2"/>
      <c r="W525" s="2"/>
      <c r="X525" s="2"/>
      <c r="Y525" s="2"/>
    </row>
    <row r="526" spans="1:25" ht="12.75" customHeight="1">
      <c r="A526" s="26">
        <v>301</v>
      </c>
      <c r="B526" s="27" t="s">
        <v>470</v>
      </c>
      <c r="C526" s="28">
        <v>41983</v>
      </c>
      <c r="D526" s="27"/>
      <c r="E526" s="27" t="s">
        <v>1721</v>
      </c>
      <c r="F526" s="29" t="s">
        <v>1722</v>
      </c>
      <c r="G526" s="27" t="s">
        <v>55</v>
      </c>
      <c r="H526" s="27" t="s">
        <v>19</v>
      </c>
      <c r="I526" s="27">
        <v>1</v>
      </c>
      <c r="J526" s="30">
        <v>217293775</v>
      </c>
      <c r="K526" s="26" t="s">
        <v>20</v>
      </c>
      <c r="L526" s="26" t="s">
        <v>423</v>
      </c>
      <c r="M526" s="31" t="s">
        <v>5221</v>
      </c>
      <c r="N526" s="6"/>
      <c r="O526" s="2"/>
      <c r="P526" s="2"/>
      <c r="Q526" s="2"/>
      <c r="R526" s="2"/>
      <c r="S526" s="2"/>
      <c r="T526" s="2"/>
      <c r="U526" s="2"/>
      <c r="V526" s="2"/>
      <c r="W526" s="2"/>
      <c r="X526" s="2"/>
      <c r="Y526" s="2"/>
    </row>
    <row r="527" spans="1:25" ht="12.75" customHeight="1">
      <c r="A527" s="26">
        <v>302</v>
      </c>
      <c r="B527" s="27" t="s">
        <v>470</v>
      </c>
      <c r="C527" s="28">
        <v>41983</v>
      </c>
      <c r="D527" s="27"/>
      <c r="E527" s="27" t="s">
        <v>1724</v>
      </c>
      <c r="F527" s="29" t="s">
        <v>1725</v>
      </c>
      <c r="G527" s="27" t="s">
        <v>55</v>
      </c>
      <c r="H527" s="27" t="s">
        <v>19</v>
      </c>
      <c r="I527" s="27">
        <v>1</v>
      </c>
      <c r="J527" s="30">
        <v>217293776</v>
      </c>
      <c r="K527" s="26" t="s">
        <v>20</v>
      </c>
      <c r="L527" s="26" t="s">
        <v>423</v>
      </c>
      <c r="M527" s="31" t="s">
        <v>5221</v>
      </c>
      <c r="N527" s="6"/>
      <c r="O527" s="2"/>
      <c r="P527" s="2"/>
      <c r="Q527" s="2"/>
      <c r="R527" s="2"/>
      <c r="S527" s="2"/>
      <c r="T527" s="2"/>
      <c r="U527" s="2"/>
      <c r="V527" s="2"/>
      <c r="W527" s="2"/>
      <c r="X527" s="2"/>
      <c r="Y527" s="2"/>
    </row>
    <row r="528" spans="1:25" ht="12.75" customHeight="1">
      <c r="A528" s="26" t="s">
        <v>1727</v>
      </c>
      <c r="B528" s="27"/>
      <c r="C528" s="28"/>
      <c r="D528" s="27"/>
      <c r="E528" s="27" t="s">
        <v>1728</v>
      </c>
      <c r="F528" s="29" t="s">
        <v>1729</v>
      </c>
      <c r="G528" s="27" t="s">
        <v>55</v>
      </c>
      <c r="H528" s="27" t="s">
        <v>19</v>
      </c>
      <c r="I528" s="27">
        <v>1</v>
      </c>
      <c r="J528" s="30">
        <v>0</v>
      </c>
      <c r="K528" s="26" t="s">
        <v>20</v>
      </c>
      <c r="L528" s="26" t="s">
        <v>423</v>
      </c>
      <c r="M528" s="31" t="s">
        <v>5227</v>
      </c>
      <c r="N528" s="6"/>
      <c r="O528" s="2"/>
      <c r="P528" s="2"/>
      <c r="Q528" s="2"/>
      <c r="R528" s="2"/>
      <c r="S528" s="2"/>
      <c r="T528" s="2"/>
      <c r="U528" s="2"/>
      <c r="V528" s="2"/>
      <c r="W528" s="2"/>
      <c r="X528" s="2"/>
      <c r="Y528" s="2"/>
    </row>
    <row r="529" spans="1:25" ht="38.25" customHeight="1">
      <c r="A529" s="26">
        <v>303</v>
      </c>
      <c r="B529" s="27" t="s">
        <v>470</v>
      </c>
      <c r="C529" s="28">
        <v>41983</v>
      </c>
      <c r="D529" s="27"/>
      <c r="E529" s="27" t="s">
        <v>1731</v>
      </c>
      <c r="F529" s="29" t="s">
        <v>1732</v>
      </c>
      <c r="G529" s="27" t="s">
        <v>45</v>
      </c>
      <c r="H529" s="27" t="s">
        <v>19</v>
      </c>
      <c r="I529" s="27">
        <v>1</v>
      </c>
      <c r="J529" s="30">
        <v>2456211629</v>
      </c>
      <c r="K529" s="26" t="s">
        <v>20</v>
      </c>
      <c r="L529" s="36" t="s">
        <v>229</v>
      </c>
      <c r="M529" s="57" t="s">
        <v>5228</v>
      </c>
      <c r="N529" s="6"/>
      <c r="O529" s="2"/>
      <c r="P529" s="2"/>
      <c r="Q529" s="2"/>
      <c r="R529" s="2"/>
      <c r="S529" s="2"/>
      <c r="T529" s="2"/>
      <c r="U529" s="2"/>
      <c r="V529" s="2"/>
      <c r="W529" s="2"/>
      <c r="X529" s="2"/>
      <c r="Y529" s="2"/>
    </row>
    <row r="530" spans="1:25" ht="38.25" customHeight="1">
      <c r="A530" s="26" t="s">
        <v>1733</v>
      </c>
      <c r="B530" s="27"/>
      <c r="C530" s="28"/>
      <c r="D530" s="27"/>
      <c r="E530" s="27" t="s">
        <v>1734</v>
      </c>
      <c r="F530" s="29" t="s">
        <v>1735</v>
      </c>
      <c r="G530" s="27" t="s">
        <v>248</v>
      </c>
      <c r="H530" s="27" t="s">
        <v>249</v>
      </c>
      <c r="I530" s="27">
        <v>1</v>
      </c>
      <c r="J530" s="30">
        <v>0</v>
      </c>
      <c r="K530" s="26" t="s">
        <v>20</v>
      </c>
      <c r="L530" s="26" t="s">
        <v>423</v>
      </c>
      <c r="M530" s="57" t="s">
        <v>5229</v>
      </c>
      <c r="N530" s="6"/>
      <c r="O530" s="2"/>
      <c r="P530" s="2"/>
      <c r="Q530" s="2"/>
      <c r="R530" s="2"/>
      <c r="S530" s="2"/>
      <c r="T530" s="2"/>
      <c r="U530" s="2"/>
      <c r="V530" s="2"/>
      <c r="W530" s="2"/>
      <c r="X530" s="2"/>
      <c r="Y530" s="2"/>
    </row>
    <row r="531" spans="1:25" ht="38.25" customHeight="1">
      <c r="A531" s="26" t="s">
        <v>1737</v>
      </c>
      <c r="B531" s="27"/>
      <c r="C531" s="28"/>
      <c r="D531" s="27"/>
      <c r="E531" s="27" t="s">
        <v>1738</v>
      </c>
      <c r="F531" s="29" t="s">
        <v>1739</v>
      </c>
      <c r="G531" s="27"/>
      <c r="H531" s="27" t="s">
        <v>249</v>
      </c>
      <c r="I531" s="27">
        <v>1</v>
      </c>
      <c r="J531" s="30">
        <v>0</v>
      </c>
      <c r="K531" s="26" t="s">
        <v>20</v>
      </c>
      <c r="L531" s="36" t="s">
        <v>229</v>
      </c>
      <c r="M531" s="57" t="s">
        <v>5229</v>
      </c>
      <c r="N531" s="6"/>
      <c r="O531" s="2"/>
      <c r="P531" s="2"/>
      <c r="Q531" s="2"/>
      <c r="R531" s="2"/>
      <c r="S531" s="2"/>
      <c r="T531" s="2"/>
      <c r="U531" s="2"/>
      <c r="V531" s="2"/>
      <c r="W531" s="2"/>
      <c r="X531" s="2"/>
      <c r="Y531" s="2"/>
    </row>
    <row r="532" spans="1:25" ht="25.5" customHeight="1">
      <c r="A532" s="26">
        <v>304</v>
      </c>
      <c r="B532" s="27" t="s">
        <v>938</v>
      </c>
      <c r="C532" s="28">
        <v>42368</v>
      </c>
      <c r="D532" s="27"/>
      <c r="E532" s="27" t="s">
        <v>1740</v>
      </c>
      <c r="F532" s="29" t="s">
        <v>1741</v>
      </c>
      <c r="G532" s="27" t="s">
        <v>45</v>
      </c>
      <c r="H532" s="27" t="s">
        <v>19</v>
      </c>
      <c r="I532" s="27">
        <v>1</v>
      </c>
      <c r="J532" s="30">
        <v>2070481906</v>
      </c>
      <c r="K532" s="26" t="s">
        <v>20</v>
      </c>
      <c r="L532" s="26" t="s">
        <v>423</v>
      </c>
      <c r="M532" s="31" t="s">
        <v>5230</v>
      </c>
      <c r="N532" s="6"/>
      <c r="O532" s="2"/>
      <c r="P532" s="2"/>
      <c r="Q532" s="2"/>
      <c r="R532" s="2"/>
      <c r="S532" s="2"/>
      <c r="T532" s="2"/>
      <c r="U532" s="2"/>
      <c r="V532" s="2"/>
      <c r="W532" s="2"/>
      <c r="X532" s="2"/>
      <c r="Y532" s="2"/>
    </row>
    <row r="533" spans="1:25" ht="12.75" customHeight="1">
      <c r="A533" s="26" t="s">
        <v>1742</v>
      </c>
      <c r="B533" s="27"/>
      <c r="C533" s="28"/>
      <c r="D533" s="27"/>
      <c r="E533" s="27" t="s">
        <v>1743</v>
      </c>
      <c r="F533" s="29" t="s">
        <v>1744</v>
      </c>
      <c r="G533" s="27" t="s">
        <v>45</v>
      </c>
      <c r="H533" s="27" t="s">
        <v>249</v>
      </c>
      <c r="I533" s="27">
        <v>1</v>
      </c>
      <c r="J533" s="30">
        <v>0</v>
      </c>
      <c r="K533" s="26" t="s">
        <v>20</v>
      </c>
      <c r="L533" s="26" t="s">
        <v>423</v>
      </c>
      <c r="M533" s="31" t="s">
        <v>5230</v>
      </c>
      <c r="N533" s="6"/>
      <c r="O533" s="2"/>
      <c r="P533" s="2"/>
      <c r="Q533" s="2"/>
      <c r="R533" s="2"/>
      <c r="S533" s="2"/>
      <c r="T533" s="2"/>
      <c r="U533" s="2"/>
      <c r="V533" s="2"/>
      <c r="W533" s="2"/>
      <c r="X533" s="2"/>
      <c r="Y533" s="2"/>
    </row>
    <row r="534" spans="1:25" ht="12.75" customHeight="1">
      <c r="A534" s="26" t="s">
        <v>1746</v>
      </c>
      <c r="B534" s="27"/>
      <c r="C534" s="28"/>
      <c r="D534" s="27"/>
      <c r="E534" s="27" t="s">
        <v>1747</v>
      </c>
      <c r="F534" s="29" t="s">
        <v>1748</v>
      </c>
      <c r="G534" s="27" t="s">
        <v>45</v>
      </c>
      <c r="H534" s="27" t="s">
        <v>249</v>
      </c>
      <c r="I534" s="27">
        <v>1</v>
      </c>
      <c r="J534" s="30">
        <v>0</v>
      </c>
      <c r="K534" s="26" t="s">
        <v>20</v>
      </c>
      <c r="L534" s="26" t="s">
        <v>423</v>
      </c>
      <c r="M534" s="31" t="s">
        <v>5230</v>
      </c>
      <c r="N534" s="6"/>
      <c r="O534" s="2"/>
      <c r="P534" s="2"/>
      <c r="Q534" s="2"/>
      <c r="R534" s="2"/>
      <c r="S534" s="2"/>
      <c r="T534" s="2"/>
      <c r="U534" s="2"/>
      <c r="V534" s="2"/>
      <c r="W534" s="2"/>
      <c r="X534" s="2"/>
      <c r="Y534" s="2"/>
    </row>
    <row r="535" spans="1:25" ht="25.5" customHeight="1">
      <c r="A535" s="26">
        <v>305</v>
      </c>
      <c r="B535" s="27" t="s">
        <v>909</v>
      </c>
      <c r="C535" s="28">
        <v>41999</v>
      </c>
      <c r="D535" s="27"/>
      <c r="E535" s="27" t="s">
        <v>1749</v>
      </c>
      <c r="F535" s="29" t="s">
        <v>1750</v>
      </c>
      <c r="G535" s="27" t="s">
        <v>55</v>
      </c>
      <c r="H535" s="27" t="s">
        <v>19</v>
      </c>
      <c r="I535" s="27">
        <v>1</v>
      </c>
      <c r="J535" s="30">
        <v>230928375</v>
      </c>
      <c r="K535" s="26" t="s">
        <v>20</v>
      </c>
      <c r="L535" s="26" t="s">
        <v>233</v>
      </c>
      <c r="M535" s="31" t="s">
        <v>5231</v>
      </c>
      <c r="N535" s="6"/>
      <c r="O535" s="2"/>
      <c r="P535" s="2"/>
      <c r="Q535" s="2"/>
      <c r="R535" s="2"/>
      <c r="S535" s="2"/>
      <c r="T535" s="2"/>
      <c r="U535" s="2"/>
      <c r="V535" s="2"/>
      <c r="W535" s="2"/>
      <c r="X535" s="2"/>
      <c r="Y535" s="2"/>
    </row>
    <row r="536" spans="1:25" ht="25.5" customHeight="1">
      <c r="A536" s="26">
        <v>306</v>
      </c>
      <c r="B536" s="27" t="s">
        <v>909</v>
      </c>
      <c r="C536" s="28">
        <v>41999</v>
      </c>
      <c r="D536" s="27"/>
      <c r="E536" s="27" t="s">
        <v>1752</v>
      </c>
      <c r="F536" s="29" t="s">
        <v>1753</v>
      </c>
      <c r="G536" s="27" t="s">
        <v>1754</v>
      </c>
      <c r="H536" s="27" t="s">
        <v>19</v>
      </c>
      <c r="I536" s="27">
        <v>1</v>
      </c>
      <c r="J536" s="30">
        <v>185816786</v>
      </c>
      <c r="K536" s="26" t="s">
        <v>20</v>
      </c>
      <c r="L536" s="26" t="s">
        <v>233</v>
      </c>
      <c r="M536" s="31" t="s">
        <v>1660</v>
      </c>
      <c r="N536" s="6"/>
      <c r="O536" s="2"/>
      <c r="P536" s="2"/>
      <c r="Q536" s="2"/>
      <c r="R536" s="2"/>
      <c r="S536" s="2"/>
      <c r="T536" s="2"/>
      <c r="U536" s="2"/>
      <c r="V536" s="2"/>
      <c r="W536" s="2"/>
      <c r="X536" s="2"/>
      <c r="Y536" s="2"/>
    </row>
    <row r="537" spans="1:25" ht="25.5" customHeight="1">
      <c r="A537" s="26">
        <v>307</v>
      </c>
      <c r="B537" s="27" t="s">
        <v>909</v>
      </c>
      <c r="C537" s="28">
        <v>41999</v>
      </c>
      <c r="D537" s="27"/>
      <c r="E537" s="27" t="s">
        <v>1756</v>
      </c>
      <c r="F537" s="29" t="s">
        <v>1757</v>
      </c>
      <c r="G537" s="27" t="s">
        <v>1754</v>
      </c>
      <c r="H537" s="27" t="s">
        <v>19</v>
      </c>
      <c r="I537" s="27">
        <v>1</v>
      </c>
      <c r="J537" s="30">
        <v>185816786</v>
      </c>
      <c r="K537" s="26" t="s">
        <v>20</v>
      </c>
      <c r="L537" s="26" t="s">
        <v>233</v>
      </c>
      <c r="M537" s="31" t="s">
        <v>1660</v>
      </c>
      <c r="N537" s="6"/>
      <c r="O537" s="2"/>
      <c r="P537" s="2"/>
      <c r="Q537" s="2"/>
      <c r="R537" s="2"/>
      <c r="S537" s="2"/>
      <c r="T537" s="2"/>
      <c r="U537" s="2"/>
      <c r="V537" s="2"/>
      <c r="W537" s="2"/>
      <c r="X537" s="2"/>
      <c r="Y537" s="2"/>
    </row>
    <row r="538" spans="1:25" ht="12.75" customHeight="1">
      <c r="A538" s="26">
        <v>308</v>
      </c>
      <c r="B538" s="27" t="s">
        <v>909</v>
      </c>
      <c r="C538" s="28">
        <v>41999</v>
      </c>
      <c r="D538" s="27"/>
      <c r="E538" s="27" t="s">
        <v>1758</v>
      </c>
      <c r="F538" s="29" t="s">
        <v>1759</v>
      </c>
      <c r="G538" s="27" t="s">
        <v>248</v>
      </c>
      <c r="H538" s="27" t="s">
        <v>19</v>
      </c>
      <c r="I538" s="27">
        <v>1</v>
      </c>
      <c r="J538" s="30">
        <v>73898164</v>
      </c>
      <c r="K538" s="26" t="s">
        <v>20</v>
      </c>
      <c r="L538" s="26" t="s">
        <v>233</v>
      </c>
      <c r="M538" s="31" t="s">
        <v>2353</v>
      </c>
      <c r="N538" s="6"/>
      <c r="O538" s="2"/>
      <c r="P538" s="2"/>
      <c r="Q538" s="2"/>
      <c r="R538" s="2"/>
      <c r="S538" s="2"/>
      <c r="T538" s="2"/>
      <c r="U538" s="2"/>
      <c r="V538" s="2"/>
      <c r="W538" s="2"/>
      <c r="X538" s="2"/>
      <c r="Y538" s="2"/>
    </row>
    <row r="539" spans="1:25" ht="12.75" customHeight="1">
      <c r="A539" s="26">
        <v>309</v>
      </c>
      <c r="B539" s="27" t="s">
        <v>1683</v>
      </c>
      <c r="C539" s="28">
        <v>42733</v>
      </c>
      <c r="D539" s="27"/>
      <c r="E539" s="27" t="s">
        <v>1761</v>
      </c>
      <c r="F539" s="29" t="s">
        <v>1762</v>
      </c>
      <c r="G539" s="27" t="s">
        <v>248</v>
      </c>
      <c r="H539" s="27" t="s">
        <v>19</v>
      </c>
      <c r="I539" s="27">
        <v>1</v>
      </c>
      <c r="J539" s="30">
        <v>95000000</v>
      </c>
      <c r="K539" s="26" t="s">
        <v>20</v>
      </c>
      <c r="L539" s="36" t="s">
        <v>229</v>
      </c>
      <c r="M539" s="31" t="s">
        <v>5232</v>
      </c>
      <c r="N539" s="6"/>
      <c r="O539" s="2"/>
      <c r="P539" s="2"/>
      <c r="Q539" s="2"/>
      <c r="R539" s="2"/>
      <c r="S539" s="2"/>
      <c r="T539" s="2"/>
      <c r="U539" s="2"/>
      <c r="V539" s="2"/>
      <c r="W539" s="2"/>
      <c r="X539" s="2"/>
      <c r="Y539" s="2"/>
    </row>
    <row r="540" spans="1:25" ht="25.5" customHeight="1">
      <c r="A540" s="26">
        <v>310</v>
      </c>
      <c r="B540" s="27" t="s">
        <v>1763</v>
      </c>
      <c r="C540" s="28">
        <v>42368</v>
      </c>
      <c r="D540" s="27"/>
      <c r="E540" s="27" t="s">
        <v>1764</v>
      </c>
      <c r="F540" s="29" t="s">
        <v>1765</v>
      </c>
      <c r="G540" s="27" t="s">
        <v>1088</v>
      </c>
      <c r="H540" s="27" t="s">
        <v>19</v>
      </c>
      <c r="I540" s="27">
        <v>1</v>
      </c>
      <c r="J540" s="30">
        <v>585429876</v>
      </c>
      <c r="K540" s="26" t="s">
        <v>206</v>
      </c>
      <c r="L540" s="26" t="s">
        <v>1330</v>
      </c>
      <c r="M540" s="31" t="s">
        <v>1766</v>
      </c>
      <c r="N540" s="6"/>
      <c r="O540" s="2"/>
      <c r="P540" s="2"/>
      <c r="Q540" s="2"/>
      <c r="R540" s="2"/>
      <c r="S540" s="2"/>
      <c r="T540" s="2"/>
      <c r="U540" s="2"/>
      <c r="V540" s="2"/>
      <c r="W540" s="2"/>
      <c r="X540" s="2"/>
      <c r="Y540" s="2"/>
    </row>
    <row r="541" spans="1:25" ht="12.75" customHeight="1">
      <c r="A541" s="26" t="s">
        <v>1767</v>
      </c>
      <c r="B541" s="27"/>
      <c r="C541" s="28"/>
      <c r="D541" s="27"/>
      <c r="E541" s="27" t="s">
        <v>1768</v>
      </c>
      <c r="F541" s="29" t="s">
        <v>1769</v>
      </c>
      <c r="G541" s="27" t="s">
        <v>1088</v>
      </c>
      <c r="H541" s="27" t="s">
        <v>249</v>
      </c>
      <c r="I541" s="27">
        <v>1</v>
      </c>
      <c r="J541" s="30">
        <v>63441241</v>
      </c>
      <c r="K541" s="26" t="s">
        <v>206</v>
      </c>
      <c r="L541" s="45" t="s">
        <v>1330</v>
      </c>
      <c r="M541" s="46" t="s">
        <v>1770</v>
      </c>
      <c r="N541" s="6"/>
      <c r="O541" s="2"/>
      <c r="P541" s="2"/>
      <c r="Q541" s="2"/>
      <c r="R541" s="2"/>
      <c r="S541" s="2"/>
      <c r="T541" s="2"/>
      <c r="U541" s="2"/>
      <c r="V541" s="2"/>
      <c r="W541" s="2"/>
      <c r="X541" s="2"/>
      <c r="Y541" s="2"/>
    </row>
    <row r="542" spans="1:25" ht="12.75" customHeight="1">
      <c r="A542" s="26" t="s">
        <v>1771</v>
      </c>
      <c r="B542" s="27"/>
      <c r="C542" s="28"/>
      <c r="D542" s="27"/>
      <c r="E542" s="27" t="s">
        <v>1772</v>
      </c>
      <c r="F542" s="29" t="s">
        <v>1773</v>
      </c>
      <c r="G542" s="27" t="s">
        <v>1088</v>
      </c>
      <c r="H542" s="27" t="s">
        <v>249</v>
      </c>
      <c r="I542" s="27">
        <v>1</v>
      </c>
      <c r="J542" s="30">
        <v>63441241</v>
      </c>
      <c r="K542" s="26" t="s">
        <v>206</v>
      </c>
      <c r="L542" s="26" t="s">
        <v>1330</v>
      </c>
      <c r="M542" s="31" t="s">
        <v>1774</v>
      </c>
      <c r="N542" s="6"/>
      <c r="O542" s="2"/>
      <c r="P542" s="2"/>
      <c r="Q542" s="2"/>
      <c r="R542" s="2"/>
      <c r="S542" s="2"/>
      <c r="T542" s="2"/>
      <c r="U542" s="2"/>
      <c r="V542" s="2"/>
      <c r="W542" s="2"/>
      <c r="X542" s="2"/>
      <c r="Y542" s="2"/>
    </row>
    <row r="543" spans="1:25" ht="12.75" customHeight="1">
      <c r="A543" s="26" t="s">
        <v>1775</v>
      </c>
      <c r="B543" s="27"/>
      <c r="C543" s="28"/>
      <c r="D543" s="27"/>
      <c r="E543" s="27" t="s">
        <v>1776</v>
      </c>
      <c r="F543" s="29" t="s">
        <v>1777</v>
      </c>
      <c r="G543" s="27" t="s">
        <v>1088</v>
      </c>
      <c r="H543" s="27" t="s">
        <v>249</v>
      </c>
      <c r="I543" s="27">
        <v>1</v>
      </c>
      <c r="J543" s="30">
        <v>63441241</v>
      </c>
      <c r="K543" s="26" t="s">
        <v>206</v>
      </c>
      <c r="L543" s="45" t="s">
        <v>1330</v>
      </c>
      <c r="M543" s="46" t="s">
        <v>1778</v>
      </c>
      <c r="N543" s="6"/>
      <c r="O543" s="2"/>
      <c r="P543" s="2"/>
      <c r="Q543" s="2"/>
      <c r="R543" s="2"/>
      <c r="S543" s="2"/>
      <c r="T543" s="2"/>
      <c r="U543" s="2"/>
      <c r="V543" s="2"/>
      <c r="W543" s="2"/>
      <c r="X543" s="2"/>
      <c r="Y543" s="2"/>
    </row>
    <row r="544" spans="1:25" ht="25.5" customHeight="1">
      <c r="A544" s="26" t="s">
        <v>1779</v>
      </c>
      <c r="B544" s="27"/>
      <c r="C544" s="28"/>
      <c r="D544" s="27"/>
      <c r="E544" s="27" t="s">
        <v>1780</v>
      </c>
      <c r="F544" s="29" t="s">
        <v>1781</v>
      </c>
      <c r="G544" s="27" t="s">
        <v>1088</v>
      </c>
      <c r="H544" s="27" t="s">
        <v>249</v>
      </c>
      <c r="I544" s="27">
        <v>1</v>
      </c>
      <c r="J544" s="30">
        <v>63441241</v>
      </c>
      <c r="K544" s="26" t="s">
        <v>206</v>
      </c>
      <c r="L544" s="26" t="s">
        <v>1330</v>
      </c>
      <c r="M544" s="31" t="s">
        <v>1782</v>
      </c>
      <c r="N544" s="6"/>
      <c r="O544" s="2"/>
      <c r="P544" s="2"/>
      <c r="Q544" s="2"/>
      <c r="R544" s="2"/>
      <c r="S544" s="2"/>
      <c r="T544" s="2"/>
      <c r="U544" s="2"/>
      <c r="V544" s="2"/>
      <c r="W544" s="2"/>
      <c r="X544" s="2"/>
      <c r="Y544" s="2"/>
    </row>
    <row r="545" spans="1:25" ht="12.75" customHeight="1">
      <c r="A545" s="26" t="s">
        <v>1783</v>
      </c>
      <c r="B545" s="27"/>
      <c r="C545" s="28"/>
      <c r="D545" s="27"/>
      <c r="E545" s="27" t="s">
        <v>1784</v>
      </c>
      <c r="F545" s="29" t="s">
        <v>1785</v>
      </c>
      <c r="G545" s="27" t="s">
        <v>1088</v>
      </c>
      <c r="H545" s="27" t="s">
        <v>249</v>
      </c>
      <c r="I545" s="27">
        <v>1</v>
      </c>
      <c r="J545" s="30">
        <v>63441241</v>
      </c>
      <c r="K545" s="26" t="s">
        <v>206</v>
      </c>
      <c r="L545" s="45" t="s">
        <v>1330</v>
      </c>
      <c r="M545" s="46" t="s">
        <v>1786</v>
      </c>
      <c r="N545" s="6"/>
      <c r="O545" s="2"/>
      <c r="P545" s="2"/>
      <c r="Q545" s="2"/>
      <c r="R545" s="2"/>
      <c r="S545" s="2"/>
      <c r="T545" s="2"/>
      <c r="U545" s="2"/>
      <c r="V545" s="2"/>
      <c r="W545" s="2"/>
      <c r="X545" s="2"/>
      <c r="Y545" s="2"/>
    </row>
    <row r="546" spans="1:25" ht="12.75" customHeight="1">
      <c r="A546" s="26" t="s">
        <v>1787</v>
      </c>
      <c r="B546" s="27"/>
      <c r="C546" s="28"/>
      <c r="D546" s="27"/>
      <c r="E546" s="27" t="s">
        <v>1788</v>
      </c>
      <c r="F546" s="29" t="s">
        <v>1789</v>
      </c>
      <c r="G546" s="27" t="s">
        <v>1088</v>
      </c>
      <c r="H546" s="27" t="s">
        <v>249</v>
      </c>
      <c r="I546" s="27">
        <v>1</v>
      </c>
      <c r="J546" s="30">
        <v>63441241</v>
      </c>
      <c r="K546" s="26" t="s">
        <v>206</v>
      </c>
      <c r="L546" s="45" t="s">
        <v>1330</v>
      </c>
      <c r="M546" s="46" t="s">
        <v>1790</v>
      </c>
      <c r="N546" s="6"/>
      <c r="O546" s="2"/>
      <c r="P546" s="2"/>
      <c r="Q546" s="2"/>
      <c r="R546" s="2"/>
      <c r="S546" s="2"/>
      <c r="T546" s="2"/>
      <c r="U546" s="2"/>
      <c r="V546" s="2"/>
      <c r="W546" s="2"/>
      <c r="X546" s="2"/>
      <c r="Y546" s="2"/>
    </row>
    <row r="547" spans="1:25" ht="12.75" customHeight="1">
      <c r="A547" s="26" t="s">
        <v>1791</v>
      </c>
      <c r="B547" s="27"/>
      <c r="C547" s="28"/>
      <c r="D547" s="27"/>
      <c r="E547" s="27" t="s">
        <v>1792</v>
      </c>
      <c r="F547" s="29" t="s">
        <v>1793</v>
      </c>
      <c r="G547" s="27" t="s">
        <v>1088</v>
      </c>
      <c r="H547" s="27" t="s">
        <v>249</v>
      </c>
      <c r="I547" s="27">
        <v>1</v>
      </c>
      <c r="J547" s="30">
        <v>63441241</v>
      </c>
      <c r="K547" s="26" t="s">
        <v>206</v>
      </c>
      <c r="L547" s="26" t="s">
        <v>1330</v>
      </c>
      <c r="M547" s="71"/>
      <c r="N547" s="6"/>
      <c r="O547" s="2"/>
      <c r="P547" s="2"/>
      <c r="Q547" s="2"/>
      <c r="R547" s="2"/>
      <c r="S547" s="2"/>
      <c r="T547" s="2"/>
      <c r="U547" s="2"/>
      <c r="V547" s="2"/>
      <c r="W547" s="2"/>
      <c r="X547" s="2"/>
      <c r="Y547" s="2"/>
    </row>
    <row r="548" spans="1:25" ht="12.75" customHeight="1">
      <c r="A548" s="26" t="s">
        <v>1794</v>
      </c>
      <c r="B548" s="27"/>
      <c r="C548" s="28"/>
      <c r="D548" s="27"/>
      <c r="E548" s="27" t="s">
        <v>1795</v>
      </c>
      <c r="F548" s="29" t="s">
        <v>1796</v>
      </c>
      <c r="G548" s="27" t="s">
        <v>1088</v>
      </c>
      <c r="H548" s="27" t="s">
        <v>249</v>
      </c>
      <c r="I548" s="27">
        <v>1</v>
      </c>
      <c r="J548" s="30">
        <v>63441241</v>
      </c>
      <c r="K548" s="26" t="s">
        <v>206</v>
      </c>
      <c r="L548" s="26" t="s">
        <v>1330</v>
      </c>
      <c r="M548" s="31" t="s">
        <v>1797</v>
      </c>
      <c r="N548" s="6"/>
      <c r="O548" s="2"/>
      <c r="P548" s="2"/>
      <c r="Q548" s="2"/>
      <c r="R548" s="2"/>
      <c r="S548" s="2"/>
      <c r="T548" s="2"/>
      <c r="U548" s="2"/>
      <c r="V548" s="2"/>
      <c r="W548" s="2"/>
      <c r="X548" s="2"/>
      <c r="Y548" s="2"/>
    </row>
    <row r="549" spans="1:25" ht="25.5" customHeight="1">
      <c r="A549" s="26">
        <v>311</v>
      </c>
      <c r="B549" s="27" t="s">
        <v>938</v>
      </c>
      <c r="C549" s="28">
        <v>42368</v>
      </c>
      <c r="D549" s="27"/>
      <c r="E549" s="27" t="s">
        <v>1798</v>
      </c>
      <c r="F549" s="29" t="s">
        <v>1799</v>
      </c>
      <c r="G549" s="27" t="s">
        <v>45</v>
      </c>
      <c r="H549" s="27" t="s">
        <v>19</v>
      </c>
      <c r="I549" s="27">
        <v>1</v>
      </c>
      <c r="J549" s="30">
        <v>1429447954</v>
      </c>
      <c r="K549" s="26" t="s">
        <v>20</v>
      </c>
      <c r="L549" s="26" t="s">
        <v>233</v>
      </c>
      <c r="M549" s="31" t="s">
        <v>1800</v>
      </c>
      <c r="N549" s="6"/>
      <c r="O549" s="2"/>
      <c r="P549" s="2"/>
      <c r="Q549" s="2"/>
      <c r="R549" s="2"/>
      <c r="S549" s="2"/>
      <c r="T549" s="2"/>
      <c r="U549" s="2"/>
      <c r="V549" s="2"/>
      <c r="W549" s="2"/>
      <c r="X549" s="2"/>
      <c r="Y549" s="2"/>
    </row>
    <row r="550" spans="1:25" ht="25.5" customHeight="1">
      <c r="A550" s="26" t="s">
        <v>1801</v>
      </c>
      <c r="B550" s="27"/>
      <c r="C550" s="28"/>
      <c r="D550" s="27"/>
      <c r="E550" s="27" t="s">
        <v>1802</v>
      </c>
      <c r="F550" s="29" t="s">
        <v>1803</v>
      </c>
      <c r="G550" s="27" t="s">
        <v>45</v>
      </c>
      <c r="H550" s="27" t="s">
        <v>249</v>
      </c>
      <c r="I550" s="27">
        <v>1</v>
      </c>
      <c r="J550" s="30">
        <v>0</v>
      </c>
      <c r="K550" s="26" t="s">
        <v>20</v>
      </c>
      <c r="L550" s="26" t="s">
        <v>233</v>
      </c>
      <c r="M550" s="31" t="s">
        <v>1369</v>
      </c>
      <c r="N550" s="6"/>
      <c r="O550" s="2"/>
      <c r="P550" s="2"/>
      <c r="Q550" s="2"/>
      <c r="R550" s="2"/>
      <c r="S550" s="2"/>
      <c r="T550" s="2"/>
      <c r="U550" s="2"/>
      <c r="V550" s="2"/>
      <c r="W550" s="2"/>
      <c r="X550" s="2"/>
      <c r="Y550" s="2"/>
    </row>
    <row r="551" spans="1:25" ht="12.75" customHeight="1">
      <c r="A551" s="26" t="s">
        <v>1804</v>
      </c>
      <c r="B551" s="27"/>
      <c r="C551" s="28"/>
      <c r="D551" s="27"/>
      <c r="E551" s="27" t="s">
        <v>1805</v>
      </c>
      <c r="F551" s="29" t="s">
        <v>1806</v>
      </c>
      <c r="G551" s="27" t="s">
        <v>45</v>
      </c>
      <c r="H551" s="27" t="s">
        <v>249</v>
      </c>
      <c r="I551" s="27">
        <v>1</v>
      </c>
      <c r="J551" s="30">
        <v>163319280</v>
      </c>
      <c r="K551" s="26" t="s">
        <v>20</v>
      </c>
      <c r="L551" s="26" t="s">
        <v>233</v>
      </c>
      <c r="M551" s="72" t="s">
        <v>1369</v>
      </c>
      <c r="N551" s="6"/>
      <c r="O551" s="2"/>
      <c r="P551" s="2"/>
      <c r="Q551" s="2"/>
      <c r="R551" s="2"/>
      <c r="S551" s="2"/>
      <c r="T551" s="2"/>
      <c r="U551" s="2"/>
      <c r="V551" s="2"/>
      <c r="W551" s="2"/>
      <c r="X551" s="2"/>
      <c r="Y551" s="2"/>
    </row>
    <row r="552" spans="1:25" ht="12.75" customHeight="1">
      <c r="A552" s="26" t="s">
        <v>1807</v>
      </c>
      <c r="B552" s="27"/>
      <c r="C552" s="28"/>
      <c r="D552" s="27"/>
      <c r="E552" s="27" t="s">
        <v>1808</v>
      </c>
      <c r="F552" s="29" t="s">
        <v>1809</v>
      </c>
      <c r="G552" s="27" t="s">
        <v>45</v>
      </c>
      <c r="H552" s="27" t="s">
        <v>249</v>
      </c>
      <c r="I552" s="27">
        <v>1</v>
      </c>
      <c r="J552" s="30">
        <v>175839013</v>
      </c>
      <c r="K552" s="26" t="s">
        <v>20</v>
      </c>
      <c r="L552" s="26" t="s">
        <v>233</v>
      </c>
      <c r="M552" s="31" t="s">
        <v>5233</v>
      </c>
      <c r="N552" s="6"/>
      <c r="O552" s="2"/>
      <c r="P552" s="2"/>
      <c r="Q552" s="2"/>
      <c r="R552" s="2"/>
      <c r="S552" s="2"/>
      <c r="T552" s="2"/>
      <c r="U552" s="2"/>
      <c r="V552" s="2"/>
      <c r="W552" s="2"/>
      <c r="X552" s="2"/>
      <c r="Y552" s="2"/>
    </row>
    <row r="553" spans="1:25" ht="12.75" customHeight="1">
      <c r="A553" s="26" t="s">
        <v>1811</v>
      </c>
      <c r="B553" s="27"/>
      <c r="C553" s="28"/>
      <c r="D553" s="27"/>
      <c r="E553" s="27" t="s">
        <v>1812</v>
      </c>
      <c r="F553" s="29" t="s">
        <v>1813</v>
      </c>
      <c r="G553" s="27" t="s">
        <v>45</v>
      </c>
      <c r="H553" s="27" t="s">
        <v>249</v>
      </c>
      <c r="I553" s="27">
        <v>1</v>
      </c>
      <c r="J553" s="30">
        <v>175839013</v>
      </c>
      <c r="K553" s="26" t="s">
        <v>20</v>
      </c>
      <c r="L553" s="26" t="s">
        <v>233</v>
      </c>
      <c r="M553" s="72" t="s">
        <v>1369</v>
      </c>
      <c r="N553" s="6"/>
      <c r="O553" s="2"/>
      <c r="P553" s="2"/>
      <c r="Q553" s="2"/>
      <c r="R553" s="2"/>
      <c r="S553" s="2"/>
      <c r="T553" s="2"/>
      <c r="U553" s="2"/>
      <c r="V553" s="2"/>
      <c r="W553" s="2"/>
      <c r="X553" s="2"/>
      <c r="Y553" s="2"/>
    </row>
    <row r="554" spans="1:25" ht="12.75" customHeight="1">
      <c r="A554" s="26" t="s">
        <v>1814</v>
      </c>
      <c r="B554" s="27"/>
      <c r="C554" s="28"/>
      <c r="D554" s="27"/>
      <c r="E554" s="27" t="s">
        <v>1815</v>
      </c>
      <c r="F554" s="29" t="s">
        <v>1816</v>
      </c>
      <c r="G554" s="27" t="s">
        <v>45</v>
      </c>
      <c r="H554" s="27" t="s">
        <v>249</v>
      </c>
      <c r="I554" s="27">
        <v>1</v>
      </c>
      <c r="J554" s="30">
        <v>175839013</v>
      </c>
      <c r="K554" s="26" t="s">
        <v>20</v>
      </c>
      <c r="L554" s="26" t="s">
        <v>233</v>
      </c>
      <c r="M554" s="72" t="s">
        <v>1821</v>
      </c>
      <c r="N554" s="6"/>
      <c r="O554" s="2"/>
      <c r="P554" s="2"/>
      <c r="Q554" s="2"/>
      <c r="R554" s="2"/>
      <c r="S554" s="2"/>
      <c r="T554" s="2"/>
      <c r="U554" s="2"/>
      <c r="V554" s="2"/>
      <c r="W554" s="2"/>
      <c r="X554" s="2"/>
      <c r="Y554" s="2"/>
    </row>
    <row r="555" spans="1:25" ht="12.75" customHeight="1">
      <c r="A555" s="26" t="s">
        <v>1818</v>
      </c>
      <c r="B555" s="27"/>
      <c r="C555" s="28"/>
      <c r="D555" s="27"/>
      <c r="E555" s="27" t="s">
        <v>1819</v>
      </c>
      <c r="F555" s="29" t="s">
        <v>1820</v>
      </c>
      <c r="G555" s="27" t="s">
        <v>45</v>
      </c>
      <c r="H555" s="27" t="s">
        <v>249</v>
      </c>
      <c r="I555" s="27">
        <v>1</v>
      </c>
      <c r="J555" s="30">
        <v>175839013</v>
      </c>
      <c r="K555" s="26" t="s">
        <v>20</v>
      </c>
      <c r="L555" s="26" t="s">
        <v>233</v>
      </c>
      <c r="M555" s="72" t="s">
        <v>1821</v>
      </c>
      <c r="N555" s="6"/>
      <c r="O555" s="2"/>
      <c r="P555" s="2"/>
      <c r="Q555" s="2"/>
      <c r="R555" s="2"/>
      <c r="S555" s="2"/>
      <c r="T555" s="2"/>
      <c r="U555" s="2"/>
      <c r="V555" s="2"/>
      <c r="W555" s="2"/>
      <c r="X555" s="2"/>
      <c r="Y555" s="2"/>
    </row>
    <row r="556" spans="1:25" ht="12.75" customHeight="1">
      <c r="A556" s="26" t="s">
        <v>1822</v>
      </c>
      <c r="B556" s="27"/>
      <c r="C556" s="28"/>
      <c r="D556" s="27"/>
      <c r="E556" s="27" t="s">
        <v>1823</v>
      </c>
      <c r="F556" s="29" t="s">
        <v>1824</v>
      </c>
      <c r="G556" s="27" t="s">
        <v>45</v>
      </c>
      <c r="H556" s="27" t="s">
        <v>249</v>
      </c>
      <c r="I556" s="27">
        <v>1</v>
      </c>
      <c r="J556" s="30">
        <v>175839013</v>
      </c>
      <c r="K556" s="26" t="s">
        <v>20</v>
      </c>
      <c r="L556" s="26" t="s">
        <v>233</v>
      </c>
      <c r="M556" s="72" t="s">
        <v>1369</v>
      </c>
      <c r="N556" s="6"/>
      <c r="O556" s="2"/>
      <c r="P556" s="2"/>
      <c r="Q556" s="2"/>
      <c r="R556" s="2"/>
      <c r="S556" s="2"/>
      <c r="T556" s="2"/>
      <c r="U556" s="2"/>
      <c r="V556" s="2"/>
      <c r="W556" s="2"/>
      <c r="X556" s="2"/>
      <c r="Y556" s="2"/>
    </row>
    <row r="557" spans="1:25" ht="12.75" customHeight="1">
      <c r="A557" s="26" t="s">
        <v>1825</v>
      </c>
      <c r="B557" s="27"/>
      <c r="C557" s="28"/>
      <c r="D557" s="27"/>
      <c r="E557" s="27" t="s">
        <v>1826</v>
      </c>
      <c r="F557" s="29" t="s">
        <v>1827</v>
      </c>
      <c r="G557" s="27" t="s">
        <v>45</v>
      </c>
      <c r="H557" s="27" t="s">
        <v>249</v>
      </c>
      <c r="I557" s="27">
        <v>1</v>
      </c>
      <c r="J557" s="30">
        <v>57981810</v>
      </c>
      <c r="K557" s="26" t="s">
        <v>20</v>
      </c>
      <c r="L557" s="26" t="s">
        <v>233</v>
      </c>
      <c r="M557" s="31" t="s">
        <v>5234</v>
      </c>
      <c r="N557" s="6"/>
      <c r="O557" s="2"/>
      <c r="P557" s="2"/>
      <c r="Q557" s="2"/>
      <c r="R557" s="2"/>
      <c r="S557" s="2"/>
      <c r="T557" s="2"/>
      <c r="U557" s="2"/>
      <c r="V557" s="2"/>
      <c r="W557" s="2"/>
      <c r="X557" s="2"/>
      <c r="Y557" s="2"/>
    </row>
    <row r="558" spans="1:25" ht="12.75" customHeight="1">
      <c r="A558" s="26" t="s">
        <v>1829</v>
      </c>
      <c r="B558" s="27"/>
      <c r="C558" s="28"/>
      <c r="D558" s="27"/>
      <c r="E558" s="27" t="s">
        <v>1830</v>
      </c>
      <c r="F558" s="29" t="s">
        <v>1831</v>
      </c>
      <c r="G558" s="27" t="s">
        <v>45</v>
      </c>
      <c r="H558" s="27" t="s">
        <v>249</v>
      </c>
      <c r="I558" s="27">
        <v>1</v>
      </c>
      <c r="J558" s="30">
        <v>62426581</v>
      </c>
      <c r="K558" s="26" t="s">
        <v>20</v>
      </c>
      <c r="L558" s="26" t="s">
        <v>233</v>
      </c>
      <c r="M558" s="31" t="s">
        <v>5235</v>
      </c>
      <c r="N558" s="6"/>
      <c r="O558" s="2"/>
      <c r="P558" s="2"/>
      <c r="Q558" s="2"/>
      <c r="R558" s="2"/>
      <c r="S558" s="2"/>
      <c r="T558" s="2"/>
      <c r="U558" s="2"/>
      <c r="V558" s="2"/>
      <c r="W558" s="2"/>
      <c r="X558" s="2"/>
      <c r="Y558" s="2"/>
    </row>
    <row r="559" spans="1:25" ht="12.75" customHeight="1">
      <c r="A559" s="26" t="s">
        <v>1833</v>
      </c>
      <c r="B559" s="27"/>
      <c r="C559" s="28"/>
      <c r="D559" s="27"/>
      <c r="E559" s="27" t="s">
        <v>1834</v>
      </c>
      <c r="F559" s="29" t="s">
        <v>1835</v>
      </c>
      <c r="G559" s="27" t="s">
        <v>45</v>
      </c>
      <c r="H559" s="27" t="s">
        <v>249</v>
      </c>
      <c r="I559" s="27">
        <v>1</v>
      </c>
      <c r="J559" s="30">
        <v>62426581</v>
      </c>
      <c r="K559" s="26" t="s">
        <v>20</v>
      </c>
      <c r="L559" s="26" t="s">
        <v>233</v>
      </c>
      <c r="M559" s="31" t="s">
        <v>5236</v>
      </c>
      <c r="N559" s="6"/>
      <c r="O559" s="2"/>
      <c r="P559" s="2"/>
      <c r="Q559" s="2"/>
      <c r="R559" s="2"/>
      <c r="S559" s="2"/>
      <c r="T559" s="2"/>
      <c r="U559" s="2"/>
      <c r="V559" s="2"/>
      <c r="W559" s="2"/>
      <c r="X559" s="2"/>
      <c r="Y559" s="2"/>
    </row>
    <row r="560" spans="1:25" ht="25.5" customHeight="1">
      <c r="A560" s="26" t="s">
        <v>1837</v>
      </c>
      <c r="B560" s="27"/>
      <c r="C560" s="28"/>
      <c r="D560" s="27"/>
      <c r="E560" s="27" t="s">
        <v>1838</v>
      </c>
      <c r="F560" s="29" t="s">
        <v>1839</v>
      </c>
      <c r="G560" s="27" t="s">
        <v>45</v>
      </c>
      <c r="H560" s="27" t="s">
        <v>249</v>
      </c>
      <c r="I560" s="27">
        <v>1</v>
      </c>
      <c r="J560" s="30">
        <v>62426581</v>
      </c>
      <c r="K560" s="26" t="s">
        <v>20</v>
      </c>
      <c r="L560" s="26" t="s">
        <v>233</v>
      </c>
      <c r="M560" s="31" t="s">
        <v>5237</v>
      </c>
      <c r="N560" s="6"/>
      <c r="O560" s="2"/>
      <c r="P560" s="2"/>
      <c r="Q560" s="2"/>
      <c r="R560" s="2"/>
      <c r="S560" s="2"/>
      <c r="T560" s="2"/>
      <c r="U560" s="2"/>
      <c r="V560" s="2"/>
      <c r="W560" s="2"/>
      <c r="X560" s="2"/>
      <c r="Y560" s="2"/>
    </row>
    <row r="561" spans="1:25" ht="25.5" customHeight="1">
      <c r="A561" s="26" t="s">
        <v>1841</v>
      </c>
      <c r="B561" s="27"/>
      <c r="C561" s="28"/>
      <c r="D561" s="27"/>
      <c r="E561" s="27" t="s">
        <v>1842</v>
      </c>
      <c r="F561" s="29" t="s">
        <v>1843</v>
      </c>
      <c r="G561" s="27" t="s">
        <v>45</v>
      </c>
      <c r="H561" s="27" t="s">
        <v>249</v>
      </c>
      <c r="I561" s="27">
        <v>1</v>
      </c>
      <c r="J561" s="30">
        <v>62426581</v>
      </c>
      <c r="K561" s="26" t="s">
        <v>20</v>
      </c>
      <c r="L561" s="26" t="s">
        <v>233</v>
      </c>
      <c r="M561" s="31" t="s">
        <v>5237</v>
      </c>
      <c r="N561" s="6"/>
      <c r="O561" s="2"/>
      <c r="P561" s="2"/>
      <c r="Q561" s="2"/>
      <c r="R561" s="2"/>
      <c r="S561" s="2"/>
      <c r="T561" s="2"/>
      <c r="U561" s="2"/>
      <c r="V561" s="2"/>
      <c r="W561" s="2"/>
      <c r="X561" s="2"/>
      <c r="Y561" s="2"/>
    </row>
    <row r="562" spans="1:25" ht="25.5" customHeight="1">
      <c r="A562" s="26">
        <v>312</v>
      </c>
      <c r="B562" s="27" t="s">
        <v>938</v>
      </c>
      <c r="C562" s="28">
        <v>42368</v>
      </c>
      <c r="D562" s="27"/>
      <c r="E562" s="27" t="s">
        <v>1845</v>
      </c>
      <c r="F562" s="29" t="s">
        <v>1846</v>
      </c>
      <c r="G562" s="27" t="s">
        <v>45</v>
      </c>
      <c r="H562" s="27" t="s">
        <v>19</v>
      </c>
      <c r="I562" s="27">
        <v>1</v>
      </c>
      <c r="J562" s="30">
        <v>656280161</v>
      </c>
      <c r="K562" s="26" t="s">
        <v>20</v>
      </c>
      <c r="L562" s="26" t="s">
        <v>233</v>
      </c>
      <c r="M562" s="31" t="s">
        <v>1847</v>
      </c>
      <c r="N562" s="6"/>
      <c r="O562" s="2"/>
      <c r="P562" s="2"/>
      <c r="Q562" s="2"/>
      <c r="R562" s="2"/>
      <c r="S562" s="2"/>
      <c r="T562" s="2"/>
      <c r="U562" s="2"/>
      <c r="V562" s="2"/>
      <c r="W562" s="2"/>
      <c r="X562" s="2"/>
      <c r="Y562" s="2"/>
    </row>
    <row r="563" spans="1:25" ht="12.75" customHeight="1">
      <c r="A563" s="26" t="s">
        <v>1851</v>
      </c>
      <c r="B563" s="27"/>
      <c r="C563" s="28"/>
      <c r="D563" s="27"/>
      <c r="E563" s="27" t="s">
        <v>1852</v>
      </c>
      <c r="F563" s="29" t="s">
        <v>1853</v>
      </c>
      <c r="G563" s="27" t="s">
        <v>45</v>
      </c>
      <c r="H563" s="27" t="s">
        <v>249</v>
      </c>
      <c r="I563" s="27">
        <v>1</v>
      </c>
      <c r="J563" s="30">
        <v>0</v>
      </c>
      <c r="K563" s="26" t="s">
        <v>20</v>
      </c>
      <c r="L563" s="26" t="s">
        <v>233</v>
      </c>
      <c r="M563" s="31" t="s">
        <v>1369</v>
      </c>
      <c r="N563" s="6"/>
      <c r="O563" s="2"/>
      <c r="P563" s="2"/>
      <c r="Q563" s="2"/>
      <c r="R563" s="2"/>
      <c r="S563" s="2"/>
      <c r="T563" s="2"/>
      <c r="U563" s="2"/>
      <c r="V563" s="2"/>
      <c r="W563" s="2"/>
      <c r="X563" s="2"/>
      <c r="Y563" s="2"/>
    </row>
    <row r="564" spans="1:25" ht="12.75" customHeight="1">
      <c r="A564" s="26">
        <v>313</v>
      </c>
      <c r="B564" s="27" t="s">
        <v>938</v>
      </c>
      <c r="C564" s="28">
        <v>42368</v>
      </c>
      <c r="D564" s="27"/>
      <c r="E564" s="27" t="s">
        <v>1854</v>
      </c>
      <c r="F564" s="34" t="s">
        <v>1855</v>
      </c>
      <c r="G564" s="27" t="s">
        <v>1008</v>
      </c>
      <c r="H564" s="27" t="s">
        <v>19</v>
      </c>
      <c r="I564" s="27">
        <v>1</v>
      </c>
      <c r="J564" s="30">
        <v>41696365</v>
      </c>
      <c r="K564" s="26" t="s">
        <v>20</v>
      </c>
      <c r="L564" s="26" t="s">
        <v>233</v>
      </c>
      <c r="M564" s="31" t="s">
        <v>1847</v>
      </c>
      <c r="N564" s="6"/>
      <c r="O564" s="2"/>
      <c r="P564" s="2"/>
      <c r="Q564" s="2"/>
      <c r="R564" s="2"/>
      <c r="S564" s="2"/>
      <c r="T564" s="2"/>
      <c r="U564" s="2"/>
      <c r="V564" s="2"/>
      <c r="W564" s="2"/>
      <c r="X564" s="2"/>
      <c r="Y564" s="2"/>
    </row>
    <row r="565" spans="1:25" ht="25.5" customHeight="1">
      <c r="A565" s="26">
        <v>314</v>
      </c>
      <c r="B565" s="27" t="s">
        <v>241</v>
      </c>
      <c r="C565" s="28">
        <v>42726</v>
      </c>
      <c r="D565" s="27"/>
      <c r="E565" s="27" t="s">
        <v>1856</v>
      </c>
      <c r="F565" s="29" t="s">
        <v>1857</v>
      </c>
      <c r="G565" s="27" t="s">
        <v>338</v>
      </c>
      <c r="H565" s="27" t="s">
        <v>19</v>
      </c>
      <c r="I565" s="27">
        <v>1</v>
      </c>
      <c r="J565" s="30">
        <v>166800000</v>
      </c>
      <c r="K565" s="26" t="s">
        <v>206</v>
      </c>
      <c r="L565" s="26" t="s">
        <v>1330</v>
      </c>
      <c r="M565" s="31" t="s">
        <v>1858</v>
      </c>
      <c r="N565" s="6"/>
      <c r="O565" s="2"/>
      <c r="P565" s="2"/>
      <c r="Q565" s="2"/>
      <c r="R565" s="2"/>
      <c r="S565" s="2"/>
      <c r="T565" s="2"/>
      <c r="U565" s="2"/>
      <c r="V565" s="2"/>
      <c r="W565" s="2"/>
      <c r="X565" s="2"/>
      <c r="Y565" s="2"/>
    </row>
    <row r="566" spans="1:25" ht="25.5" customHeight="1">
      <c r="A566" s="26">
        <v>315</v>
      </c>
      <c r="B566" s="27" t="s">
        <v>241</v>
      </c>
      <c r="C566" s="28">
        <v>42726</v>
      </c>
      <c r="D566" s="27"/>
      <c r="E566" s="27" t="s">
        <v>1859</v>
      </c>
      <c r="F566" s="29" t="s">
        <v>1860</v>
      </c>
      <c r="G566" s="27" t="s">
        <v>338</v>
      </c>
      <c r="H566" s="27" t="s">
        <v>19</v>
      </c>
      <c r="I566" s="27">
        <v>1</v>
      </c>
      <c r="J566" s="30">
        <v>263500000</v>
      </c>
      <c r="K566" s="26" t="s">
        <v>20</v>
      </c>
      <c r="L566" s="26" t="s">
        <v>423</v>
      </c>
      <c r="M566" s="31" t="s">
        <v>5222</v>
      </c>
      <c r="N566" s="6"/>
      <c r="O566" s="2"/>
      <c r="P566" s="2"/>
      <c r="Q566" s="2"/>
      <c r="R566" s="2"/>
      <c r="S566" s="2"/>
      <c r="T566" s="2"/>
      <c r="U566" s="2"/>
      <c r="V566" s="2"/>
      <c r="W566" s="2"/>
      <c r="X566" s="2"/>
      <c r="Y566" s="2"/>
    </row>
    <row r="567" spans="1:25" ht="25.5" customHeight="1">
      <c r="A567" s="26">
        <v>316</v>
      </c>
      <c r="B567" s="27" t="s">
        <v>241</v>
      </c>
      <c r="C567" s="28">
        <v>42726</v>
      </c>
      <c r="D567" s="27"/>
      <c r="E567" s="27" t="s">
        <v>1861</v>
      </c>
      <c r="F567" s="29" t="s">
        <v>1862</v>
      </c>
      <c r="G567" s="27" t="s">
        <v>307</v>
      </c>
      <c r="H567" s="27" t="s">
        <v>19</v>
      </c>
      <c r="I567" s="27">
        <v>1</v>
      </c>
      <c r="J567" s="30">
        <v>81740000</v>
      </c>
      <c r="K567" s="26" t="s">
        <v>206</v>
      </c>
      <c r="L567" s="26" t="s">
        <v>1330</v>
      </c>
      <c r="M567" s="31" t="s">
        <v>1559</v>
      </c>
      <c r="N567" s="6"/>
      <c r="O567" s="2"/>
      <c r="P567" s="2"/>
      <c r="Q567" s="2"/>
      <c r="R567" s="2"/>
      <c r="S567" s="2"/>
      <c r="T567" s="2"/>
      <c r="U567" s="2"/>
      <c r="V567" s="2"/>
      <c r="W567" s="2"/>
      <c r="X567" s="2"/>
      <c r="Y567" s="2"/>
    </row>
    <row r="568" spans="1:25" ht="25.5" customHeight="1">
      <c r="A568" s="26">
        <v>317</v>
      </c>
      <c r="B568" s="27" t="s">
        <v>241</v>
      </c>
      <c r="C568" s="28">
        <v>42726</v>
      </c>
      <c r="D568" s="27"/>
      <c r="E568" s="27" t="s">
        <v>1863</v>
      </c>
      <c r="F568" s="29" t="s">
        <v>1864</v>
      </c>
      <c r="G568" s="27" t="s">
        <v>307</v>
      </c>
      <c r="H568" s="27" t="s">
        <v>19</v>
      </c>
      <c r="I568" s="27">
        <v>1</v>
      </c>
      <c r="J568" s="30">
        <v>81740000</v>
      </c>
      <c r="K568" s="26" t="s">
        <v>206</v>
      </c>
      <c r="L568" s="26" t="s">
        <v>1330</v>
      </c>
      <c r="M568" s="31" t="s">
        <v>1865</v>
      </c>
      <c r="N568" s="6"/>
      <c r="O568" s="2"/>
      <c r="P568" s="2"/>
      <c r="Q568" s="2"/>
      <c r="R568" s="2"/>
      <c r="S568" s="2"/>
      <c r="T568" s="2"/>
      <c r="U568" s="2"/>
      <c r="V568" s="2"/>
      <c r="W568" s="2"/>
      <c r="X568" s="2"/>
      <c r="Y568" s="2"/>
    </row>
    <row r="569" spans="1:25" ht="25.5" customHeight="1">
      <c r="A569" s="26">
        <v>318</v>
      </c>
      <c r="B569" s="27" t="s">
        <v>241</v>
      </c>
      <c r="C569" s="28">
        <v>42726</v>
      </c>
      <c r="D569" s="27"/>
      <c r="E569" s="27" t="s">
        <v>1866</v>
      </c>
      <c r="F569" s="29" t="s">
        <v>1867</v>
      </c>
      <c r="G569" s="27" t="s">
        <v>1868</v>
      </c>
      <c r="H569" s="27" t="s">
        <v>19</v>
      </c>
      <c r="I569" s="27">
        <v>1</v>
      </c>
      <c r="J569" s="30">
        <v>95000000</v>
      </c>
      <c r="K569" s="26" t="s">
        <v>36</v>
      </c>
      <c r="L569" s="26" t="s">
        <v>1146</v>
      </c>
      <c r="M569" s="31" t="s">
        <v>1288</v>
      </c>
      <c r="N569" s="6"/>
      <c r="O569" s="2"/>
      <c r="P569" s="2"/>
      <c r="Q569" s="2"/>
      <c r="R569" s="2"/>
      <c r="S569" s="2"/>
      <c r="T569" s="2"/>
      <c r="U569" s="2"/>
      <c r="V569" s="2"/>
      <c r="W569" s="2"/>
      <c r="X569" s="2"/>
      <c r="Y569" s="2"/>
    </row>
    <row r="570" spans="1:25" ht="25.5" customHeight="1">
      <c r="A570" s="26">
        <v>319</v>
      </c>
      <c r="B570" s="27" t="s">
        <v>241</v>
      </c>
      <c r="C570" s="28">
        <v>42726</v>
      </c>
      <c r="D570" s="27"/>
      <c r="E570" s="27" t="s">
        <v>1869</v>
      </c>
      <c r="F570" s="29" t="s">
        <v>1870</v>
      </c>
      <c r="G570" s="27" t="s">
        <v>1868</v>
      </c>
      <c r="H570" s="27" t="s">
        <v>19</v>
      </c>
      <c r="I570" s="27">
        <v>1</v>
      </c>
      <c r="J570" s="30">
        <v>95000000</v>
      </c>
      <c r="K570" s="26" t="s">
        <v>36</v>
      </c>
      <c r="L570" s="26" t="s">
        <v>1146</v>
      </c>
      <c r="M570" s="31" t="s">
        <v>1291</v>
      </c>
      <c r="N570" s="6"/>
      <c r="O570" s="2"/>
      <c r="P570" s="2"/>
      <c r="Q570" s="2"/>
      <c r="R570" s="2"/>
      <c r="S570" s="2"/>
      <c r="T570" s="2"/>
      <c r="U570" s="2"/>
      <c r="V570" s="2"/>
      <c r="W570" s="2"/>
      <c r="X570" s="2"/>
      <c r="Y570" s="2"/>
    </row>
    <row r="571" spans="1:25" ht="25.5" customHeight="1">
      <c r="A571" s="26">
        <v>320</v>
      </c>
      <c r="B571" s="27" t="s">
        <v>241</v>
      </c>
      <c r="C571" s="28">
        <v>42726</v>
      </c>
      <c r="D571" s="27"/>
      <c r="E571" s="27" t="s">
        <v>1871</v>
      </c>
      <c r="F571" s="29" t="s">
        <v>1872</v>
      </c>
      <c r="G571" s="27" t="s">
        <v>338</v>
      </c>
      <c r="H571" s="27" t="s">
        <v>19</v>
      </c>
      <c r="I571" s="27">
        <v>1</v>
      </c>
      <c r="J571" s="30">
        <v>145450000</v>
      </c>
      <c r="K571" s="26" t="s">
        <v>206</v>
      </c>
      <c r="L571" s="26" t="s">
        <v>1330</v>
      </c>
      <c r="M571" s="31" t="s">
        <v>1865</v>
      </c>
      <c r="N571" s="6"/>
      <c r="O571" s="2"/>
      <c r="P571" s="2"/>
      <c r="Q571" s="2"/>
      <c r="R571" s="2"/>
      <c r="S571" s="2"/>
      <c r="T571" s="2"/>
      <c r="U571" s="2"/>
      <c r="V571" s="2"/>
      <c r="W571" s="2"/>
      <c r="X571" s="2"/>
      <c r="Y571" s="2"/>
    </row>
    <row r="572" spans="1:25" ht="25.5" customHeight="1">
      <c r="A572" s="26">
        <v>321</v>
      </c>
      <c r="B572" s="27" t="s">
        <v>241</v>
      </c>
      <c r="C572" s="28">
        <v>42726</v>
      </c>
      <c r="D572" s="27"/>
      <c r="E572" s="27" t="s">
        <v>1873</v>
      </c>
      <c r="F572" s="29" t="s">
        <v>1874</v>
      </c>
      <c r="G572" s="27" t="s">
        <v>338</v>
      </c>
      <c r="H572" s="27" t="s">
        <v>19</v>
      </c>
      <c r="I572" s="27">
        <v>1</v>
      </c>
      <c r="J572" s="30">
        <v>242150000</v>
      </c>
      <c r="K572" s="26" t="s">
        <v>20</v>
      </c>
      <c r="L572" s="36" t="s">
        <v>229</v>
      </c>
      <c r="M572" s="31" t="s">
        <v>1642</v>
      </c>
      <c r="N572" s="6"/>
      <c r="O572" s="2"/>
      <c r="P572" s="2"/>
      <c r="Q572" s="2"/>
      <c r="R572" s="2"/>
      <c r="S572" s="2"/>
      <c r="T572" s="2"/>
      <c r="U572" s="2"/>
      <c r="V572" s="2"/>
      <c r="W572" s="2"/>
      <c r="X572" s="2"/>
      <c r="Y572" s="2"/>
    </row>
    <row r="573" spans="1:25" ht="25.5" customHeight="1">
      <c r="A573" s="26">
        <v>322</v>
      </c>
      <c r="B573" s="27" t="s">
        <v>241</v>
      </c>
      <c r="C573" s="28">
        <v>42726</v>
      </c>
      <c r="D573" s="27"/>
      <c r="E573" s="27" t="s">
        <v>1875</v>
      </c>
      <c r="F573" s="29" t="s">
        <v>1876</v>
      </c>
      <c r="G573" s="27" t="s">
        <v>307</v>
      </c>
      <c r="H573" s="27" t="s">
        <v>19</v>
      </c>
      <c r="I573" s="27">
        <v>1</v>
      </c>
      <c r="J573" s="30">
        <v>245230000</v>
      </c>
      <c r="K573" s="26" t="s">
        <v>20</v>
      </c>
      <c r="L573" s="36" t="s">
        <v>229</v>
      </c>
      <c r="M573" s="31" t="s">
        <v>3318</v>
      </c>
      <c r="N573" s="6"/>
      <c r="O573" s="2"/>
      <c r="P573" s="2"/>
      <c r="Q573" s="2"/>
      <c r="R573" s="2"/>
      <c r="S573" s="2"/>
      <c r="T573" s="2"/>
      <c r="U573" s="2"/>
      <c r="V573" s="2"/>
      <c r="W573" s="2"/>
      <c r="X573" s="2"/>
      <c r="Y573" s="2"/>
    </row>
    <row r="574" spans="1:25" ht="25.5" customHeight="1">
      <c r="A574" s="26" t="s">
        <v>1877</v>
      </c>
      <c r="B574" s="27"/>
      <c r="C574" s="28"/>
      <c r="D574" s="27"/>
      <c r="E574" s="27" t="s">
        <v>1878</v>
      </c>
      <c r="F574" s="29" t="s">
        <v>1879</v>
      </c>
      <c r="G574" s="27" t="s">
        <v>1088</v>
      </c>
      <c r="H574" s="27" t="s">
        <v>249</v>
      </c>
      <c r="I574" s="27">
        <v>1</v>
      </c>
      <c r="J574" s="30">
        <v>0</v>
      </c>
      <c r="K574" s="26" t="s">
        <v>20</v>
      </c>
      <c r="L574" s="36" t="s">
        <v>229</v>
      </c>
      <c r="M574" s="31" t="s">
        <v>5238</v>
      </c>
      <c r="N574" s="6"/>
      <c r="O574" s="2"/>
      <c r="P574" s="2"/>
      <c r="Q574" s="2"/>
      <c r="R574" s="2"/>
      <c r="S574" s="2"/>
      <c r="T574" s="2"/>
      <c r="U574" s="2"/>
      <c r="V574" s="2"/>
      <c r="W574" s="2"/>
      <c r="X574" s="2"/>
      <c r="Y574" s="2"/>
    </row>
    <row r="575" spans="1:25" ht="25.5" customHeight="1">
      <c r="A575" s="26">
        <v>323</v>
      </c>
      <c r="B575" s="27" t="s">
        <v>599</v>
      </c>
      <c r="C575" s="28">
        <v>42671</v>
      </c>
      <c r="D575" s="27"/>
      <c r="E575" s="27" t="s">
        <v>1880</v>
      </c>
      <c r="F575" s="29" t="s">
        <v>1881</v>
      </c>
      <c r="G575" s="27" t="s">
        <v>1435</v>
      </c>
      <c r="H575" s="27" t="s">
        <v>19</v>
      </c>
      <c r="I575" s="27">
        <v>1</v>
      </c>
      <c r="J575" s="30">
        <v>1266624540</v>
      </c>
      <c r="K575" s="26" t="s">
        <v>36</v>
      </c>
      <c r="L575" s="26" t="s">
        <v>1542</v>
      </c>
      <c r="M575" s="31" t="s">
        <v>1882</v>
      </c>
      <c r="N575" s="6"/>
      <c r="O575" s="2"/>
      <c r="P575" s="2"/>
      <c r="Q575" s="2"/>
      <c r="R575" s="2"/>
      <c r="S575" s="2"/>
      <c r="T575" s="2"/>
      <c r="U575" s="2"/>
      <c r="V575" s="2"/>
      <c r="W575" s="2"/>
      <c r="X575" s="2"/>
      <c r="Y575" s="2"/>
    </row>
    <row r="576" spans="1:25" ht="25.5" customHeight="1">
      <c r="A576" s="26">
        <v>324</v>
      </c>
      <c r="B576" s="27" t="s">
        <v>599</v>
      </c>
      <c r="C576" s="28">
        <v>42671</v>
      </c>
      <c r="D576" s="27"/>
      <c r="E576" s="27" t="s">
        <v>1883</v>
      </c>
      <c r="F576" s="29" t="s">
        <v>1884</v>
      </c>
      <c r="G576" s="27" t="s">
        <v>1435</v>
      </c>
      <c r="H576" s="27" t="s">
        <v>19</v>
      </c>
      <c r="I576" s="27">
        <v>1</v>
      </c>
      <c r="J576" s="30">
        <v>1266624541</v>
      </c>
      <c r="K576" s="26" t="s">
        <v>36</v>
      </c>
      <c r="L576" s="26" t="s">
        <v>1542</v>
      </c>
      <c r="M576" s="31" t="s">
        <v>1885</v>
      </c>
      <c r="N576" s="6"/>
      <c r="O576" s="2"/>
      <c r="P576" s="2"/>
      <c r="Q576" s="2"/>
      <c r="R576" s="2"/>
      <c r="S576" s="2"/>
      <c r="T576" s="2"/>
      <c r="U576" s="2"/>
      <c r="V576" s="2"/>
      <c r="W576" s="2"/>
      <c r="X576" s="2"/>
      <c r="Y576" s="2"/>
    </row>
    <row r="577" spans="1:25" ht="25.5" customHeight="1">
      <c r="A577" s="26">
        <v>325</v>
      </c>
      <c r="B577" s="27" t="s">
        <v>599</v>
      </c>
      <c r="C577" s="28">
        <v>42671</v>
      </c>
      <c r="D577" s="27"/>
      <c r="E577" s="27" t="s">
        <v>1886</v>
      </c>
      <c r="F577" s="29" t="s">
        <v>1887</v>
      </c>
      <c r="G577" s="27" t="s">
        <v>1435</v>
      </c>
      <c r="H577" s="27" t="s">
        <v>19</v>
      </c>
      <c r="I577" s="27">
        <v>1</v>
      </c>
      <c r="J577" s="30">
        <v>1458476195</v>
      </c>
      <c r="K577" s="26" t="s">
        <v>36</v>
      </c>
      <c r="L577" s="26" t="s">
        <v>1542</v>
      </c>
      <c r="M577" s="31" t="s">
        <v>1888</v>
      </c>
      <c r="N577" s="6"/>
      <c r="O577" s="2"/>
      <c r="P577" s="2"/>
      <c r="Q577" s="2"/>
      <c r="R577" s="2"/>
      <c r="S577" s="2"/>
      <c r="T577" s="2"/>
      <c r="U577" s="2"/>
      <c r="V577" s="2"/>
      <c r="W577" s="2"/>
      <c r="X577" s="2"/>
      <c r="Y577" s="2"/>
    </row>
    <row r="578" spans="1:25" ht="25.5" customHeight="1">
      <c r="A578" s="26">
        <v>326</v>
      </c>
      <c r="B578" s="27" t="s">
        <v>599</v>
      </c>
      <c r="C578" s="28">
        <v>42671</v>
      </c>
      <c r="D578" s="27"/>
      <c r="E578" s="27" t="s">
        <v>1889</v>
      </c>
      <c r="F578" s="29" t="s">
        <v>1890</v>
      </c>
      <c r="G578" s="27" t="s">
        <v>338</v>
      </c>
      <c r="H578" s="27" t="s">
        <v>19</v>
      </c>
      <c r="I578" s="27">
        <v>1</v>
      </c>
      <c r="J578" s="30">
        <v>78592695</v>
      </c>
      <c r="K578" s="26" t="s">
        <v>36</v>
      </c>
      <c r="L578" s="26" t="s">
        <v>1542</v>
      </c>
      <c r="M578" s="31" t="s">
        <v>1891</v>
      </c>
      <c r="N578" s="6"/>
      <c r="O578" s="2"/>
      <c r="P578" s="2"/>
      <c r="Q578" s="2"/>
      <c r="R578" s="2"/>
      <c r="S578" s="2"/>
      <c r="T578" s="2"/>
      <c r="U578" s="2"/>
      <c r="V578" s="2"/>
      <c r="W578" s="2"/>
      <c r="X578" s="2"/>
      <c r="Y578" s="2"/>
    </row>
    <row r="579" spans="1:25" ht="25.5" customHeight="1">
      <c r="A579" s="26">
        <v>327</v>
      </c>
      <c r="B579" s="27" t="s">
        <v>599</v>
      </c>
      <c r="C579" s="28">
        <v>42671</v>
      </c>
      <c r="D579" s="27"/>
      <c r="E579" s="27" t="s">
        <v>1892</v>
      </c>
      <c r="F579" s="29" t="s">
        <v>1893</v>
      </c>
      <c r="G579" s="27" t="s">
        <v>338</v>
      </c>
      <c r="H579" s="27" t="s">
        <v>19</v>
      </c>
      <c r="I579" s="27">
        <v>1</v>
      </c>
      <c r="J579" s="30">
        <v>78592695</v>
      </c>
      <c r="K579" s="26" t="s">
        <v>36</v>
      </c>
      <c r="L579" s="26" t="s">
        <v>1542</v>
      </c>
      <c r="M579" s="31" t="s">
        <v>1894</v>
      </c>
      <c r="N579" s="6"/>
      <c r="O579" s="2"/>
      <c r="P579" s="2"/>
      <c r="Q579" s="2"/>
      <c r="R579" s="2"/>
      <c r="S579" s="2"/>
      <c r="T579" s="2"/>
      <c r="U579" s="2"/>
      <c r="V579" s="2"/>
      <c r="W579" s="2"/>
      <c r="X579" s="2"/>
      <c r="Y579" s="2"/>
    </row>
    <row r="580" spans="1:25" ht="25.5" customHeight="1">
      <c r="A580" s="26">
        <v>328</v>
      </c>
      <c r="B580" s="27" t="s">
        <v>599</v>
      </c>
      <c r="C580" s="28">
        <v>42671</v>
      </c>
      <c r="D580" s="27"/>
      <c r="E580" s="27" t="s">
        <v>1895</v>
      </c>
      <c r="F580" s="29" t="s">
        <v>1896</v>
      </c>
      <c r="G580" s="27" t="s">
        <v>1435</v>
      </c>
      <c r="H580" s="27" t="s">
        <v>19</v>
      </c>
      <c r="I580" s="27">
        <v>1</v>
      </c>
      <c r="J580" s="30">
        <v>1659706731</v>
      </c>
      <c r="K580" s="26" t="s">
        <v>36</v>
      </c>
      <c r="L580" s="26" t="s">
        <v>1542</v>
      </c>
      <c r="M580" s="31" t="s">
        <v>1897</v>
      </c>
      <c r="N580" s="6"/>
      <c r="O580" s="2"/>
      <c r="P580" s="2"/>
      <c r="Q580" s="2"/>
      <c r="R580" s="2"/>
      <c r="S580" s="2"/>
      <c r="T580" s="2"/>
      <c r="U580" s="2"/>
      <c r="V580" s="2"/>
      <c r="W580" s="2"/>
      <c r="X580" s="2"/>
      <c r="Y580" s="2"/>
    </row>
    <row r="581" spans="1:25" ht="25.5" customHeight="1">
      <c r="A581" s="26">
        <v>329</v>
      </c>
      <c r="B581" s="27" t="s">
        <v>599</v>
      </c>
      <c r="C581" s="28">
        <v>42671</v>
      </c>
      <c r="D581" s="27"/>
      <c r="E581" s="27" t="s">
        <v>1898</v>
      </c>
      <c r="F581" s="29" t="s">
        <v>1899</v>
      </c>
      <c r="G581" s="27" t="s">
        <v>1635</v>
      </c>
      <c r="H581" s="27" t="s">
        <v>19</v>
      </c>
      <c r="I581" s="27">
        <v>1</v>
      </c>
      <c r="J581" s="30">
        <v>304873169</v>
      </c>
      <c r="K581" s="26" t="s">
        <v>36</v>
      </c>
      <c r="L581" s="26" t="s">
        <v>1542</v>
      </c>
      <c r="M581" s="31" t="s">
        <v>1900</v>
      </c>
      <c r="N581" s="6"/>
      <c r="O581" s="2"/>
      <c r="P581" s="2"/>
      <c r="Q581" s="2"/>
      <c r="R581" s="2"/>
      <c r="S581" s="2"/>
      <c r="T581" s="2"/>
      <c r="U581" s="2"/>
      <c r="V581" s="2"/>
      <c r="W581" s="2"/>
      <c r="X581" s="2"/>
      <c r="Y581" s="2"/>
    </row>
    <row r="582" spans="1:25" ht="12.75" customHeight="1">
      <c r="A582" s="26" t="s">
        <v>1901</v>
      </c>
      <c r="B582" s="27"/>
      <c r="C582" s="28"/>
      <c r="D582" s="27"/>
      <c r="E582" s="27" t="s">
        <v>1902</v>
      </c>
      <c r="F582" s="29" t="s">
        <v>1903</v>
      </c>
      <c r="G582" s="27"/>
      <c r="H582" s="27" t="s">
        <v>249</v>
      </c>
      <c r="I582" s="27">
        <v>1</v>
      </c>
      <c r="J582" s="30">
        <v>8476755</v>
      </c>
      <c r="K582" s="26" t="s">
        <v>36</v>
      </c>
      <c r="L582" s="26" t="s">
        <v>1542</v>
      </c>
      <c r="M582" s="31"/>
      <c r="N582" s="6"/>
      <c r="O582" s="2"/>
      <c r="P582" s="2"/>
      <c r="Q582" s="2"/>
      <c r="R582" s="2"/>
      <c r="S582" s="2"/>
      <c r="T582" s="2"/>
      <c r="U582" s="2"/>
      <c r="V582" s="2"/>
      <c r="W582" s="2"/>
      <c r="X582" s="2"/>
      <c r="Y582" s="2"/>
    </row>
    <row r="583" spans="1:25" ht="12.75" customHeight="1">
      <c r="A583" s="26" t="s">
        <v>1904</v>
      </c>
      <c r="B583" s="27"/>
      <c r="C583" s="28"/>
      <c r="D583" s="27"/>
      <c r="E583" s="27" t="s">
        <v>1905</v>
      </c>
      <c r="F583" s="29" t="s">
        <v>1906</v>
      </c>
      <c r="G583" s="27"/>
      <c r="H583" s="27" t="s">
        <v>249</v>
      </c>
      <c r="I583" s="27">
        <v>1</v>
      </c>
      <c r="J583" s="30">
        <v>8476755</v>
      </c>
      <c r="K583" s="26" t="s">
        <v>36</v>
      </c>
      <c r="L583" s="26" t="s">
        <v>1542</v>
      </c>
      <c r="M583" s="31"/>
      <c r="N583" s="6"/>
      <c r="O583" s="2"/>
      <c r="P583" s="2"/>
      <c r="Q583" s="2"/>
      <c r="R583" s="2"/>
      <c r="S583" s="2"/>
      <c r="T583" s="2"/>
      <c r="U583" s="2"/>
      <c r="V583" s="2"/>
      <c r="W583" s="2"/>
      <c r="X583" s="2"/>
      <c r="Y583" s="2"/>
    </row>
    <row r="584" spans="1:25" ht="25.5" customHeight="1">
      <c r="A584" s="26">
        <v>330</v>
      </c>
      <c r="B584" s="27" t="s">
        <v>599</v>
      </c>
      <c r="C584" s="28">
        <v>42671</v>
      </c>
      <c r="D584" s="27"/>
      <c r="E584" s="27" t="s">
        <v>1907</v>
      </c>
      <c r="F584" s="29" t="s">
        <v>1908</v>
      </c>
      <c r="G584" s="27" t="s">
        <v>1635</v>
      </c>
      <c r="H584" s="27" t="s">
        <v>19</v>
      </c>
      <c r="I584" s="27">
        <v>1</v>
      </c>
      <c r="J584" s="30">
        <v>310473170</v>
      </c>
      <c r="K584" s="26" t="s">
        <v>36</v>
      </c>
      <c r="L584" s="26" t="s">
        <v>1542</v>
      </c>
      <c r="M584" s="31" t="s">
        <v>1909</v>
      </c>
      <c r="N584" s="6"/>
      <c r="O584" s="2"/>
      <c r="P584" s="2"/>
      <c r="Q584" s="2"/>
      <c r="R584" s="2"/>
      <c r="S584" s="2"/>
      <c r="T584" s="2"/>
      <c r="U584" s="2"/>
      <c r="V584" s="2"/>
      <c r="W584" s="2"/>
      <c r="X584" s="2"/>
      <c r="Y584" s="2"/>
    </row>
    <row r="585" spans="1:25" ht="12.75" customHeight="1">
      <c r="A585" s="26" t="s">
        <v>1910</v>
      </c>
      <c r="B585" s="27"/>
      <c r="C585" s="28"/>
      <c r="D585" s="27"/>
      <c r="E585" s="27" t="s">
        <v>1911</v>
      </c>
      <c r="F585" s="29" t="s">
        <v>1903</v>
      </c>
      <c r="G585" s="27"/>
      <c r="H585" s="27" t="s">
        <v>249</v>
      </c>
      <c r="I585" s="27">
        <v>1</v>
      </c>
      <c r="J585" s="30">
        <v>8476755</v>
      </c>
      <c r="K585" s="26" t="s">
        <v>36</v>
      </c>
      <c r="L585" s="26" t="s">
        <v>1542</v>
      </c>
      <c r="M585" s="31"/>
      <c r="N585" s="6"/>
      <c r="O585" s="2"/>
      <c r="P585" s="2"/>
      <c r="Q585" s="2"/>
      <c r="R585" s="2"/>
      <c r="S585" s="2"/>
      <c r="T585" s="2"/>
      <c r="U585" s="2"/>
      <c r="V585" s="2"/>
      <c r="W585" s="2"/>
      <c r="X585" s="2"/>
      <c r="Y585" s="2"/>
    </row>
    <row r="586" spans="1:25" ht="12.75" customHeight="1">
      <c r="A586" s="26" t="s">
        <v>1912</v>
      </c>
      <c r="B586" s="27"/>
      <c r="C586" s="28"/>
      <c r="D586" s="27"/>
      <c r="E586" s="27" t="s">
        <v>1913</v>
      </c>
      <c r="F586" s="29" t="s">
        <v>1906</v>
      </c>
      <c r="G586" s="27"/>
      <c r="H586" s="27" t="s">
        <v>249</v>
      </c>
      <c r="I586" s="27">
        <v>1</v>
      </c>
      <c r="J586" s="30">
        <v>8476755</v>
      </c>
      <c r="K586" s="26" t="s">
        <v>36</v>
      </c>
      <c r="L586" s="26" t="s">
        <v>1542</v>
      </c>
      <c r="M586" s="31"/>
      <c r="N586" s="6"/>
      <c r="O586" s="2"/>
      <c r="P586" s="2"/>
      <c r="Q586" s="2"/>
      <c r="R586" s="2"/>
      <c r="S586" s="2"/>
      <c r="T586" s="2"/>
      <c r="U586" s="2"/>
      <c r="V586" s="2"/>
      <c r="W586" s="2"/>
      <c r="X586" s="2"/>
      <c r="Y586" s="2"/>
    </row>
    <row r="587" spans="1:25" ht="102" customHeight="1">
      <c r="A587" s="26">
        <v>331</v>
      </c>
      <c r="B587" s="27" t="s">
        <v>599</v>
      </c>
      <c r="C587" s="28">
        <v>42671</v>
      </c>
      <c r="D587" s="27"/>
      <c r="E587" s="27" t="s">
        <v>1914</v>
      </c>
      <c r="F587" s="29" t="s">
        <v>1915</v>
      </c>
      <c r="G587" s="27" t="s">
        <v>338</v>
      </c>
      <c r="H587" s="27" t="s">
        <v>19</v>
      </c>
      <c r="I587" s="27">
        <v>1</v>
      </c>
      <c r="J587" s="30">
        <v>1070142808</v>
      </c>
      <c r="K587" s="26" t="s">
        <v>36</v>
      </c>
      <c r="L587" s="26" t="s">
        <v>1542</v>
      </c>
      <c r="M587" s="31" t="s">
        <v>1900</v>
      </c>
      <c r="N587" s="6"/>
      <c r="O587" s="2"/>
      <c r="P587" s="2"/>
      <c r="Q587" s="2"/>
      <c r="R587" s="2"/>
      <c r="S587" s="2"/>
      <c r="T587" s="2"/>
      <c r="U587" s="2"/>
      <c r="V587" s="2"/>
      <c r="W587" s="2"/>
      <c r="X587" s="2"/>
      <c r="Y587" s="2"/>
    </row>
    <row r="588" spans="1:25" ht="102" customHeight="1">
      <c r="A588" s="26">
        <v>332</v>
      </c>
      <c r="B588" s="27" t="s">
        <v>599</v>
      </c>
      <c r="C588" s="28">
        <v>42671</v>
      </c>
      <c r="D588" s="27"/>
      <c r="E588" s="27" t="s">
        <v>1916</v>
      </c>
      <c r="F588" s="29" t="s">
        <v>1917</v>
      </c>
      <c r="G588" s="27" t="s">
        <v>338</v>
      </c>
      <c r="H588" s="27" t="s">
        <v>19</v>
      </c>
      <c r="I588" s="27">
        <v>1</v>
      </c>
      <c r="J588" s="30">
        <v>1070142808</v>
      </c>
      <c r="K588" s="26" t="s">
        <v>36</v>
      </c>
      <c r="L588" s="26" t="s">
        <v>1542</v>
      </c>
      <c r="M588" s="31" t="s">
        <v>1909</v>
      </c>
      <c r="N588" s="6"/>
      <c r="O588" s="2"/>
      <c r="P588" s="2"/>
      <c r="Q588" s="2"/>
      <c r="R588" s="2"/>
      <c r="S588" s="2"/>
      <c r="T588" s="2"/>
      <c r="U588" s="2"/>
      <c r="V588" s="2"/>
      <c r="W588" s="2"/>
      <c r="X588" s="2"/>
      <c r="Y588" s="2"/>
    </row>
    <row r="589" spans="1:25" ht="25.5" customHeight="1">
      <c r="A589" s="26">
        <v>333</v>
      </c>
      <c r="B589" s="27" t="s">
        <v>599</v>
      </c>
      <c r="C589" s="28">
        <v>42671</v>
      </c>
      <c r="D589" s="27"/>
      <c r="E589" s="27" t="s">
        <v>1918</v>
      </c>
      <c r="F589" s="29" t="s">
        <v>1919</v>
      </c>
      <c r="G589" s="27" t="s">
        <v>338</v>
      </c>
      <c r="H589" s="27" t="s">
        <v>19</v>
      </c>
      <c r="I589" s="27">
        <v>1</v>
      </c>
      <c r="J589" s="30">
        <v>893606052</v>
      </c>
      <c r="K589" s="26" t="s">
        <v>36</v>
      </c>
      <c r="L589" s="26" t="s">
        <v>1542</v>
      </c>
      <c r="M589" s="31" t="s">
        <v>1909</v>
      </c>
      <c r="N589" s="6"/>
      <c r="O589" s="2"/>
      <c r="P589" s="2"/>
      <c r="Q589" s="2"/>
      <c r="R589" s="2"/>
      <c r="S589" s="2"/>
      <c r="T589" s="2"/>
      <c r="U589" s="2"/>
      <c r="V589" s="2"/>
      <c r="W589" s="2"/>
      <c r="X589" s="2"/>
      <c r="Y589" s="2"/>
    </row>
    <row r="590" spans="1:25" ht="51" customHeight="1">
      <c r="A590" s="26">
        <v>334</v>
      </c>
      <c r="B590" s="27" t="s">
        <v>599</v>
      </c>
      <c r="C590" s="28">
        <v>42671</v>
      </c>
      <c r="D590" s="27"/>
      <c r="E590" s="27" t="s">
        <v>1920</v>
      </c>
      <c r="F590" s="29" t="s">
        <v>1921</v>
      </c>
      <c r="G590" s="27" t="s">
        <v>338</v>
      </c>
      <c r="H590" s="27" t="s">
        <v>19</v>
      </c>
      <c r="I590" s="27">
        <v>1</v>
      </c>
      <c r="J590" s="30">
        <v>1061001362</v>
      </c>
      <c r="K590" s="26" t="s">
        <v>36</v>
      </c>
      <c r="L590" s="26" t="s">
        <v>1542</v>
      </c>
      <c r="M590" s="31" t="s">
        <v>1922</v>
      </c>
      <c r="N590" s="6"/>
      <c r="O590" s="2"/>
      <c r="P590" s="2"/>
      <c r="Q590" s="2"/>
      <c r="R590" s="2"/>
      <c r="S590" s="2"/>
      <c r="T590" s="2"/>
      <c r="U590" s="2"/>
      <c r="V590" s="2"/>
      <c r="W590" s="2"/>
      <c r="X590" s="2"/>
      <c r="Y590" s="2"/>
    </row>
    <row r="591" spans="1:25" ht="63.75" customHeight="1">
      <c r="A591" s="26">
        <v>335</v>
      </c>
      <c r="B591" s="27" t="s">
        <v>599</v>
      </c>
      <c r="C591" s="28">
        <v>42671</v>
      </c>
      <c r="D591" s="27"/>
      <c r="E591" s="27" t="s">
        <v>1923</v>
      </c>
      <c r="F591" s="29" t="s">
        <v>1924</v>
      </c>
      <c r="G591" s="27" t="s">
        <v>338</v>
      </c>
      <c r="H591" s="27" t="s">
        <v>19</v>
      </c>
      <c r="I591" s="27">
        <v>1</v>
      </c>
      <c r="J591" s="30">
        <v>1087594659</v>
      </c>
      <c r="K591" s="26" t="s">
        <v>36</v>
      </c>
      <c r="L591" s="26" t="s">
        <v>1542</v>
      </c>
      <c r="M591" s="31" t="s">
        <v>1925</v>
      </c>
      <c r="N591" s="6"/>
      <c r="O591" s="2"/>
      <c r="P591" s="2"/>
      <c r="Q591" s="2"/>
      <c r="R591" s="2"/>
      <c r="S591" s="2"/>
      <c r="T591" s="2"/>
      <c r="U591" s="2"/>
      <c r="V591" s="2"/>
      <c r="W591" s="2"/>
      <c r="X591" s="2"/>
      <c r="Y591" s="2"/>
    </row>
    <row r="592" spans="1:25" ht="25.5" customHeight="1">
      <c r="A592" s="26">
        <v>336</v>
      </c>
      <c r="B592" s="27" t="s">
        <v>797</v>
      </c>
      <c r="C592" s="28">
        <v>42671</v>
      </c>
      <c r="D592" s="27"/>
      <c r="E592" s="27" t="s">
        <v>1926</v>
      </c>
      <c r="F592" s="29" t="s">
        <v>1927</v>
      </c>
      <c r="G592" s="27" t="s">
        <v>55</v>
      </c>
      <c r="H592" s="27" t="s">
        <v>157</v>
      </c>
      <c r="I592" s="27">
        <v>1</v>
      </c>
      <c r="J592" s="30">
        <v>2245866770</v>
      </c>
      <c r="K592" s="26" t="s">
        <v>206</v>
      </c>
      <c r="L592" s="26" t="s">
        <v>1330</v>
      </c>
      <c r="M592" s="31" t="s">
        <v>1559</v>
      </c>
      <c r="N592" s="6"/>
      <c r="O592" s="2"/>
      <c r="P592" s="2"/>
      <c r="Q592" s="2"/>
      <c r="R592" s="2"/>
      <c r="S592" s="2"/>
      <c r="T592" s="2"/>
      <c r="U592" s="2"/>
      <c r="V592" s="2"/>
      <c r="W592" s="2"/>
      <c r="X592" s="2"/>
      <c r="Y592" s="2"/>
    </row>
    <row r="593" spans="1:25" ht="25.5" customHeight="1">
      <c r="A593" s="26">
        <v>337</v>
      </c>
      <c r="B593" s="27" t="s">
        <v>797</v>
      </c>
      <c r="C593" s="28">
        <v>42671</v>
      </c>
      <c r="D593" s="27"/>
      <c r="E593" s="27" t="s">
        <v>1928</v>
      </c>
      <c r="F593" s="29" t="s">
        <v>1929</v>
      </c>
      <c r="G593" s="27" t="s">
        <v>55</v>
      </c>
      <c r="H593" s="27" t="s">
        <v>157</v>
      </c>
      <c r="I593" s="27">
        <v>1</v>
      </c>
      <c r="J593" s="30">
        <v>2245866771</v>
      </c>
      <c r="K593" s="26" t="s">
        <v>206</v>
      </c>
      <c r="L593" s="26" t="s">
        <v>1330</v>
      </c>
      <c r="M593" s="31" t="s">
        <v>1559</v>
      </c>
      <c r="N593" s="6"/>
      <c r="O593" s="2"/>
      <c r="P593" s="2"/>
      <c r="Q593" s="2"/>
      <c r="R593" s="2"/>
      <c r="S593" s="2"/>
      <c r="T593" s="2"/>
      <c r="U593" s="2"/>
      <c r="V593" s="2"/>
      <c r="W593" s="2"/>
      <c r="X593" s="2"/>
      <c r="Y593" s="2"/>
    </row>
    <row r="594" spans="1:25" ht="25.5" customHeight="1">
      <c r="A594" s="26">
        <v>338</v>
      </c>
      <c r="B594" s="27" t="s">
        <v>797</v>
      </c>
      <c r="C594" s="28">
        <v>42671</v>
      </c>
      <c r="D594" s="27"/>
      <c r="E594" s="27" t="s">
        <v>1930</v>
      </c>
      <c r="F594" s="29" t="s">
        <v>1931</v>
      </c>
      <c r="G594" s="27" t="s">
        <v>338</v>
      </c>
      <c r="H594" s="27" t="s">
        <v>157</v>
      </c>
      <c r="I594" s="27">
        <v>1</v>
      </c>
      <c r="J594" s="30">
        <v>1703497608</v>
      </c>
      <c r="K594" s="26" t="s">
        <v>206</v>
      </c>
      <c r="L594" s="26" t="s">
        <v>1330</v>
      </c>
      <c r="M594" s="31" t="s">
        <v>1559</v>
      </c>
      <c r="N594" s="6"/>
      <c r="O594" s="2"/>
      <c r="P594" s="2"/>
      <c r="Q594" s="2"/>
      <c r="R594" s="2"/>
      <c r="S594" s="2"/>
      <c r="T594" s="2"/>
      <c r="U594" s="2"/>
      <c r="V594" s="2"/>
      <c r="W594" s="2"/>
      <c r="X594" s="2"/>
      <c r="Y594" s="2"/>
    </row>
    <row r="595" spans="1:25" ht="25.5" customHeight="1">
      <c r="A595" s="26">
        <v>339</v>
      </c>
      <c r="B595" s="27" t="s">
        <v>797</v>
      </c>
      <c r="C595" s="28">
        <v>42671</v>
      </c>
      <c r="D595" s="27"/>
      <c r="E595" s="27" t="s">
        <v>1932</v>
      </c>
      <c r="F595" s="29" t="s">
        <v>1933</v>
      </c>
      <c r="G595" s="27" t="s">
        <v>338</v>
      </c>
      <c r="H595" s="27" t="s">
        <v>157</v>
      </c>
      <c r="I595" s="27">
        <v>1</v>
      </c>
      <c r="J595" s="30">
        <v>1703497608</v>
      </c>
      <c r="K595" s="26" t="s">
        <v>206</v>
      </c>
      <c r="L595" s="26" t="s">
        <v>1330</v>
      </c>
      <c r="M595" s="31" t="s">
        <v>1559</v>
      </c>
      <c r="N595" s="6"/>
      <c r="O595" s="2"/>
      <c r="P595" s="2"/>
      <c r="Q595" s="2"/>
      <c r="R595" s="2"/>
      <c r="S595" s="2"/>
      <c r="T595" s="2"/>
      <c r="U595" s="2"/>
      <c r="V595" s="2"/>
      <c r="W595" s="2"/>
      <c r="X595" s="2"/>
      <c r="Y595" s="2"/>
    </row>
    <row r="596" spans="1:25" ht="25.5" customHeight="1">
      <c r="A596" s="26">
        <v>340</v>
      </c>
      <c r="B596" s="27" t="s">
        <v>797</v>
      </c>
      <c r="C596" s="28">
        <v>42671</v>
      </c>
      <c r="D596" s="27"/>
      <c r="E596" s="27" t="s">
        <v>1934</v>
      </c>
      <c r="F596" s="29" t="s">
        <v>1935</v>
      </c>
      <c r="G596" s="27" t="s">
        <v>338</v>
      </c>
      <c r="H596" s="27" t="s">
        <v>157</v>
      </c>
      <c r="I596" s="27">
        <v>1</v>
      </c>
      <c r="J596" s="30">
        <v>148549229</v>
      </c>
      <c r="K596" s="26" t="s">
        <v>206</v>
      </c>
      <c r="L596" s="45" t="s">
        <v>1330</v>
      </c>
      <c r="M596" s="46" t="s">
        <v>1936</v>
      </c>
      <c r="N596" s="6"/>
      <c r="O596" s="2"/>
      <c r="P596" s="2"/>
      <c r="Q596" s="2"/>
      <c r="R596" s="2"/>
      <c r="S596" s="2"/>
      <c r="T596" s="2"/>
      <c r="U596" s="2"/>
      <c r="V596" s="2"/>
      <c r="W596" s="2"/>
      <c r="X596" s="2"/>
      <c r="Y596" s="2"/>
    </row>
    <row r="597" spans="1:25" ht="25.5" customHeight="1">
      <c r="A597" s="26">
        <v>341</v>
      </c>
      <c r="B597" s="27" t="s">
        <v>797</v>
      </c>
      <c r="C597" s="28">
        <v>42671</v>
      </c>
      <c r="D597" s="27"/>
      <c r="E597" s="27" t="s">
        <v>1937</v>
      </c>
      <c r="F597" s="29" t="s">
        <v>1938</v>
      </c>
      <c r="G597" s="27" t="s">
        <v>338</v>
      </c>
      <c r="H597" s="27" t="s">
        <v>157</v>
      </c>
      <c r="I597" s="27">
        <v>1</v>
      </c>
      <c r="J597" s="30">
        <v>148549229</v>
      </c>
      <c r="K597" s="26" t="s">
        <v>206</v>
      </c>
      <c r="L597" s="26" t="s">
        <v>1330</v>
      </c>
      <c r="M597" s="31" t="s">
        <v>1559</v>
      </c>
      <c r="N597" s="6"/>
      <c r="O597" s="2"/>
      <c r="P597" s="2"/>
      <c r="Q597" s="2"/>
      <c r="R597" s="2"/>
      <c r="S597" s="2"/>
      <c r="T597" s="2"/>
      <c r="U597" s="2"/>
      <c r="V597" s="2"/>
      <c r="W597" s="2"/>
      <c r="X597" s="2"/>
      <c r="Y597" s="2"/>
    </row>
    <row r="598" spans="1:25" ht="25.5" customHeight="1">
      <c r="A598" s="26">
        <v>342</v>
      </c>
      <c r="B598" s="27" t="s">
        <v>797</v>
      </c>
      <c r="C598" s="28">
        <v>42671</v>
      </c>
      <c r="D598" s="27"/>
      <c r="E598" s="27" t="s">
        <v>1939</v>
      </c>
      <c r="F598" s="29" t="s">
        <v>1940</v>
      </c>
      <c r="G598" s="27" t="s">
        <v>338</v>
      </c>
      <c r="H598" s="27" t="s">
        <v>157</v>
      </c>
      <c r="I598" s="27">
        <v>1</v>
      </c>
      <c r="J598" s="30">
        <v>299919012</v>
      </c>
      <c r="K598" s="26" t="s">
        <v>206</v>
      </c>
      <c r="L598" s="26" t="s">
        <v>1330</v>
      </c>
      <c r="M598" s="31" t="s">
        <v>1559</v>
      </c>
      <c r="N598" s="6"/>
      <c r="O598" s="2"/>
      <c r="P598" s="2"/>
      <c r="Q598" s="2"/>
      <c r="R598" s="2"/>
      <c r="S598" s="2"/>
      <c r="T598" s="2"/>
      <c r="U598" s="2"/>
      <c r="V598" s="2"/>
      <c r="W598" s="2"/>
      <c r="X598" s="2"/>
      <c r="Y598" s="2"/>
    </row>
    <row r="599" spans="1:25" ht="25.5" customHeight="1">
      <c r="A599" s="26">
        <v>343</v>
      </c>
      <c r="B599" s="27" t="s">
        <v>797</v>
      </c>
      <c r="C599" s="28">
        <v>42671</v>
      </c>
      <c r="D599" s="27"/>
      <c r="E599" s="27" t="s">
        <v>1941</v>
      </c>
      <c r="F599" s="29" t="s">
        <v>1942</v>
      </c>
      <c r="G599" s="27" t="s">
        <v>338</v>
      </c>
      <c r="H599" s="27" t="s">
        <v>157</v>
      </c>
      <c r="I599" s="27">
        <v>1</v>
      </c>
      <c r="J599" s="30">
        <v>299919012</v>
      </c>
      <c r="K599" s="26" t="s">
        <v>206</v>
      </c>
      <c r="L599" s="26" t="s">
        <v>1330</v>
      </c>
      <c r="M599" s="31" t="s">
        <v>1559</v>
      </c>
      <c r="N599" s="6"/>
      <c r="O599" s="2"/>
      <c r="P599" s="2"/>
      <c r="Q599" s="2"/>
      <c r="R599" s="2"/>
      <c r="S599" s="2"/>
      <c r="T599" s="2"/>
      <c r="U599" s="2"/>
      <c r="V599" s="2"/>
      <c r="W599" s="2"/>
      <c r="X599" s="2"/>
      <c r="Y599" s="2"/>
    </row>
    <row r="600" spans="1:25" ht="25.5" customHeight="1">
      <c r="A600" s="26">
        <v>344</v>
      </c>
      <c r="B600" s="27" t="s">
        <v>797</v>
      </c>
      <c r="C600" s="28">
        <v>42671</v>
      </c>
      <c r="D600" s="27"/>
      <c r="E600" s="27" t="s">
        <v>1943</v>
      </c>
      <c r="F600" s="29" t="s">
        <v>1944</v>
      </c>
      <c r="G600" s="27" t="s">
        <v>338</v>
      </c>
      <c r="H600" s="27" t="s">
        <v>157</v>
      </c>
      <c r="I600" s="27">
        <v>1</v>
      </c>
      <c r="J600" s="30">
        <v>103890434</v>
      </c>
      <c r="K600" s="26" t="s">
        <v>206</v>
      </c>
      <c r="L600" s="26" t="s">
        <v>1330</v>
      </c>
      <c r="M600" s="31" t="s">
        <v>1559</v>
      </c>
      <c r="N600" s="6"/>
      <c r="O600" s="2"/>
      <c r="P600" s="2"/>
      <c r="Q600" s="2"/>
      <c r="R600" s="2"/>
      <c r="S600" s="2"/>
      <c r="T600" s="2"/>
      <c r="U600" s="2"/>
      <c r="V600" s="2"/>
      <c r="W600" s="2"/>
      <c r="X600" s="2"/>
      <c r="Y600" s="2"/>
    </row>
    <row r="601" spans="1:25" ht="25.5" customHeight="1">
      <c r="A601" s="26">
        <v>345</v>
      </c>
      <c r="B601" s="27" t="s">
        <v>797</v>
      </c>
      <c r="C601" s="28">
        <v>42671</v>
      </c>
      <c r="D601" s="27"/>
      <c r="E601" s="27" t="s">
        <v>1945</v>
      </c>
      <c r="F601" s="29" t="s">
        <v>1946</v>
      </c>
      <c r="G601" s="27" t="s">
        <v>338</v>
      </c>
      <c r="H601" s="27" t="s">
        <v>157</v>
      </c>
      <c r="I601" s="27">
        <v>1</v>
      </c>
      <c r="J601" s="30">
        <v>103890434</v>
      </c>
      <c r="K601" s="26" t="s">
        <v>206</v>
      </c>
      <c r="L601" s="26" t="s">
        <v>1330</v>
      </c>
      <c r="M601" s="31" t="s">
        <v>1559</v>
      </c>
      <c r="N601" s="6"/>
      <c r="O601" s="2"/>
      <c r="P601" s="2"/>
      <c r="Q601" s="2"/>
      <c r="R601" s="2"/>
      <c r="S601" s="2"/>
      <c r="T601" s="2"/>
      <c r="U601" s="2"/>
      <c r="V601" s="2"/>
      <c r="W601" s="2"/>
      <c r="X601" s="2"/>
      <c r="Y601" s="2"/>
    </row>
    <row r="602" spans="1:25" ht="25.5" customHeight="1">
      <c r="A602" s="26">
        <v>346</v>
      </c>
      <c r="B602" s="27" t="s">
        <v>797</v>
      </c>
      <c r="C602" s="28">
        <v>42671</v>
      </c>
      <c r="D602" s="27"/>
      <c r="E602" s="27" t="s">
        <v>1947</v>
      </c>
      <c r="F602" s="29" t="s">
        <v>1948</v>
      </c>
      <c r="G602" s="27" t="s">
        <v>338</v>
      </c>
      <c r="H602" s="27" t="s">
        <v>157</v>
      </c>
      <c r="I602" s="27">
        <v>1</v>
      </c>
      <c r="J602" s="30">
        <v>788345084</v>
      </c>
      <c r="K602" s="26" t="s">
        <v>206</v>
      </c>
      <c r="L602" s="26" t="s">
        <v>1330</v>
      </c>
      <c r="M602" s="31" t="s">
        <v>1559</v>
      </c>
      <c r="N602" s="6"/>
      <c r="O602" s="2"/>
      <c r="P602" s="2"/>
      <c r="Q602" s="2"/>
      <c r="R602" s="2"/>
      <c r="S602" s="2"/>
      <c r="T602" s="2"/>
      <c r="U602" s="2"/>
      <c r="V602" s="2"/>
      <c r="W602" s="2"/>
      <c r="X602" s="2"/>
      <c r="Y602" s="2"/>
    </row>
    <row r="603" spans="1:25" ht="25.5" customHeight="1">
      <c r="A603" s="26">
        <v>347</v>
      </c>
      <c r="B603" s="27" t="s">
        <v>797</v>
      </c>
      <c r="C603" s="28">
        <v>42671</v>
      </c>
      <c r="D603" s="27"/>
      <c r="E603" s="27" t="s">
        <v>1949</v>
      </c>
      <c r="F603" s="29" t="s">
        <v>1950</v>
      </c>
      <c r="G603" s="27" t="s">
        <v>338</v>
      </c>
      <c r="H603" s="27" t="s">
        <v>157</v>
      </c>
      <c r="I603" s="27">
        <v>1</v>
      </c>
      <c r="J603" s="30">
        <v>788345084</v>
      </c>
      <c r="K603" s="26" t="s">
        <v>206</v>
      </c>
      <c r="L603" s="45" t="s">
        <v>1330</v>
      </c>
      <c r="M603" s="46" t="s">
        <v>1951</v>
      </c>
      <c r="N603" s="6"/>
      <c r="O603" s="2"/>
      <c r="P603" s="2"/>
      <c r="Q603" s="2"/>
      <c r="R603" s="2"/>
      <c r="S603" s="2"/>
      <c r="T603" s="2"/>
      <c r="U603" s="2"/>
      <c r="V603" s="2"/>
      <c r="W603" s="2"/>
      <c r="X603" s="2"/>
      <c r="Y603" s="2"/>
    </row>
    <row r="604" spans="1:25" ht="25.5" customHeight="1">
      <c r="A604" s="26">
        <v>348</v>
      </c>
      <c r="B604" s="27" t="s">
        <v>797</v>
      </c>
      <c r="C604" s="28">
        <v>42671</v>
      </c>
      <c r="D604" s="27"/>
      <c r="E604" s="27" t="s">
        <v>1952</v>
      </c>
      <c r="F604" s="29" t="s">
        <v>1953</v>
      </c>
      <c r="G604" s="27" t="s">
        <v>1754</v>
      </c>
      <c r="H604" s="27" t="s">
        <v>19</v>
      </c>
      <c r="I604" s="27">
        <v>1</v>
      </c>
      <c r="J604" s="30">
        <v>227172189</v>
      </c>
      <c r="K604" s="26" t="s">
        <v>206</v>
      </c>
      <c r="L604" s="26" t="s">
        <v>1514</v>
      </c>
      <c r="M604" s="31" t="s">
        <v>1954</v>
      </c>
      <c r="N604" s="6"/>
      <c r="O604" s="2"/>
      <c r="P604" s="2"/>
      <c r="Q604" s="2"/>
      <c r="R604" s="2"/>
      <c r="S604" s="2"/>
      <c r="T604" s="2"/>
      <c r="U604" s="2"/>
      <c r="V604" s="2"/>
      <c r="W604" s="2"/>
      <c r="X604" s="2"/>
      <c r="Y604" s="2"/>
    </row>
    <row r="605" spans="1:25" ht="25.5" customHeight="1">
      <c r="A605" s="26">
        <v>349</v>
      </c>
      <c r="B605" s="27" t="s">
        <v>797</v>
      </c>
      <c r="C605" s="28">
        <v>42671</v>
      </c>
      <c r="D605" s="27"/>
      <c r="E605" s="27" t="s">
        <v>1955</v>
      </c>
      <c r="F605" s="29" t="s">
        <v>1956</v>
      </c>
      <c r="G605" s="27" t="s">
        <v>1754</v>
      </c>
      <c r="H605" s="27" t="s">
        <v>19</v>
      </c>
      <c r="I605" s="27">
        <v>1</v>
      </c>
      <c r="J605" s="30">
        <v>227172189</v>
      </c>
      <c r="K605" s="26" t="s">
        <v>206</v>
      </c>
      <c r="L605" s="45" t="s">
        <v>1514</v>
      </c>
      <c r="M605" s="46" t="s">
        <v>1957</v>
      </c>
      <c r="N605" s="6"/>
      <c r="O605" s="2"/>
      <c r="P605" s="2"/>
      <c r="Q605" s="2"/>
      <c r="R605" s="2"/>
      <c r="S605" s="2"/>
      <c r="T605" s="2"/>
      <c r="U605" s="2"/>
      <c r="V605" s="2"/>
      <c r="W605" s="2"/>
      <c r="X605" s="2"/>
      <c r="Y605" s="2"/>
    </row>
    <row r="606" spans="1:25" ht="25.5" customHeight="1">
      <c r="A606" s="26">
        <v>350</v>
      </c>
      <c r="B606" s="27" t="s">
        <v>797</v>
      </c>
      <c r="C606" s="28">
        <v>42671</v>
      </c>
      <c r="D606" s="27"/>
      <c r="E606" s="27" t="s">
        <v>1958</v>
      </c>
      <c r="F606" s="29" t="s">
        <v>1959</v>
      </c>
      <c r="G606" s="27" t="s">
        <v>1754</v>
      </c>
      <c r="H606" s="27" t="s">
        <v>19</v>
      </c>
      <c r="I606" s="27">
        <v>1</v>
      </c>
      <c r="J606" s="30">
        <v>227172189</v>
      </c>
      <c r="K606" s="26" t="s">
        <v>206</v>
      </c>
      <c r="L606" s="26" t="s">
        <v>1514</v>
      </c>
      <c r="M606" s="31" t="s">
        <v>1954</v>
      </c>
      <c r="N606" s="6"/>
      <c r="O606" s="2"/>
      <c r="P606" s="2"/>
      <c r="Q606" s="2"/>
      <c r="R606" s="2"/>
      <c r="S606" s="2"/>
      <c r="T606" s="2"/>
      <c r="U606" s="2"/>
      <c r="V606" s="2"/>
      <c r="W606" s="2"/>
      <c r="X606" s="2"/>
      <c r="Y606" s="2"/>
    </row>
    <row r="607" spans="1:25" ht="25.5" customHeight="1">
      <c r="A607" s="26">
        <v>351</v>
      </c>
      <c r="B607" s="27" t="s">
        <v>797</v>
      </c>
      <c r="C607" s="28">
        <v>42671</v>
      </c>
      <c r="D607" s="27"/>
      <c r="E607" s="27" t="s">
        <v>1960</v>
      </c>
      <c r="F607" s="29" t="s">
        <v>1961</v>
      </c>
      <c r="G607" s="27" t="s">
        <v>1754</v>
      </c>
      <c r="H607" s="27" t="s">
        <v>19</v>
      </c>
      <c r="I607" s="27">
        <v>1</v>
      </c>
      <c r="J607" s="30">
        <v>227172189</v>
      </c>
      <c r="K607" s="26" t="s">
        <v>206</v>
      </c>
      <c r="L607" s="26" t="s">
        <v>1514</v>
      </c>
      <c r="M607" s="31" t="s">
        <v>1954</v>
      </c>
      <c r="N607" s="6"/>
      <c r="O607" s="2"/>
      <c r="P607" s="2"/>
      <c r="Q607" s="2"/>
      <c r="R607" s="2"/>
      <c r="S607" s="2"/>
      <c r="T607" s="2"/>
      <c r="U607" s="2"/>
      <c r="V607" s="2"/>
      <c r="W607" s="2"/>
      <c r="X607" s="2"/>
      <c r="Y607" s="2"/>
    </row>
    <row r="608" spans="1:25" ht="25.5" customHeight="1">
      <c r="A608" s="26">
        <v>352</v>
      </c>
      <c r="B608" s="27" t="s">
        <v>797</v>
      </c>
      <c r="C608" s="28">
        <v>42671</v>
      </c>
      <c r="D608" s="27"/>
      <c r="E608" s="27" t="s">
        <v>1962</v>
      </c>
      <c r="F608" s="29" t="s">
        <v>1963</v>
      </c>
      <c r="G608" s="27" t="s">
        <v>1754</v>
      </c>
      <c r="H608" s="27" t="s">
        <v>19</v>
      </c>
      <c r="I608" s="27">
        <v>1</v>
      </c>
      <c r="J608" s="30">
        <v>227172189</v>
      </c>
      <c r="K608" s="26" t="s">
        <v>206</v>
      </c>
      <c r="L608" s="45" t="s">
        <v>1514</v>
      </c>
      <c r="M608" s="46" t="s">
        <v>1957</v>
      </c>
      <c r="N608" s="6"/>
      <c r="O608" s="2"/>
      <c r="P608" s="2"/>
      <c r="Q608" s="2"/>
      <c r="R608" s="2"/>
      <c r="S608" s="2"/>
      <c r="T608" s="2"/>
      <c r="U608" s="2"/>
      <c r="V608" s="2"/>
      <c r="W608" s="2"/>
      <c r="X608" s="2"/>
      <c r="Y608" s="2"/>
    </row>
    <row r="609" spans="1:25" ht="25.5" customHeight="1">
      <c r="A609" s="26">
        <v>353</v>
      </c>
      <c r="B609" s="27" t="s">
        <v>797</v>
      </c>
      <c r="C609" s="28">
        <v>42671</v>
      </c>
      <c r="D609" s="27"/>
      <c r="E609" s="27" t="s">
        <v>1964</v>
      </c>
      <c r="F609" s="29" t="s">
        <v>1965</v>
      </c>
      <c r="G609" s="27" t="s">
        <v>1754</v>
      </c>
      <c r="H609" s="27" t="s">
        <v>19</v>
      </c>
      <c r="I609" s="27">
        <v>1</v>
      </c>
      <c r="J609" s="30">
        <v>227172189</v>
      </c>
      <c r="K609" s="26" t="s">
        <v>206</v>
      </c>
      <c r="L609" s="26" t="s">
        <v>1514</v>
      </c>
      <c r="M609" s="31" t="s">
        <v>1954</v>
      </c>
      <c r="N609" s="6"/>
      <c r="O609" s="2"/>
      <c r="P609" s="2"/>
      <c r="Q609" s="2"/>
      <c r="R609" s="2"/>
      <c r="S609" s="2"/>
      <c r="T609" s="2"/>
      <c r="U609" s="2"/>
      <c r="V609" s="2"/>
      <c r="W609" s="2"/>
      <c r="X609" s="2"/>
      <c r="Y609" s="2"/>
    </row>
    <row r="610" spans="1:25" ht="25.5" customHeight="1">
      <c r="A610" s="26">
        <v>354</v>
      </c>
      <c r="B610" s="27" t="s">
        <v>797</v>
      </c>
      <c r="C610" s="28">
        <v>42671</v>
      </c>
      <c r="D610" s="27"/>
      <c r="E610" s="27" t="s">
        <v>1966</v>
      </c>
      <c r="F610" s="29" t="s">
        <v>1967</v>
      </c>
      <c r="G610" s="27" t="s">
        <v>1754</v>
      </c>
      <c r="H610" s="27" t="s">
        <v>19</v>
      </c>
      <c r="I610" s="27">
        <v>1</v>
      </c>
      <c r="J610" s="30">
        <v>227172189</v>
      </c>
      <c r="K610" s="26" t="s">
        <v>206</v>
      </c>
      <c r="L610" s="26" t="s">
        <v>1514</v>
      </c>
      <c r="M610" s="31" t="s">
        <v>1954</v>
      </c>
      <c r="N610" s="6"/>
      <c r="O610" s="2"/>
      <c r="P610" s="2"/>
      <c r="Q610" s="2"/>
      <c r="R610" s="2"/>
      <c r="S610" s="2"/>
      <c r="T610" s="2"/>
      <c r="U610" s="2"/>
      <c r="V610" s="2"/>
      <c r="W610" s="2"/>
      <c r="X610" s="2"/>
      <c r="Y610" s="2"/>
    </row>
    <row r="611" spans="1:25" ht="25.5" customHeight="1">
      <c r="A611" s="26">
        <v>355</v>
      </c>
      <c r="B611" s="27" t="s">
        <v>797</v>
      </c>
      <c r="C611" s="28">
        <v>42671</v>
      </c>
      <c r="D611" s="27"/>
      <c r="E611" s="27" t="s">
        <v>1968</v>
      </c>
      <c r="F611" s="29" t="s">
        <v>1969</v>
      </c>
      <c r="G611" s="27" t="s">
        <v>1754</v>
      </c>
      <c r="H611" s="27" t="s">
        <v>19</v>
      </c>
      <c r="I611" s="27">
        <v>1</v>
      </c>
      <c r="J611" s="30">
        <v>227172189</v>
      </c>
      <c r="K611" s="26" t="s">
        <v>206</v>
      </c>
      <c r="L611" s="26" t="s">
        <v>1514</v>
      </c>
      <c r="M611" s="31" t="s">
        <v>1954</v>
      </c>
      <c r="N611" s="6"/>
      <c r="O611" s="2"/>
      <c r="P611" s="2"/>
      <c r="Q611" s="2"/>
      <c r="R611" s="2"/>
      <c r="S611" s="2"/>
      <c r="T611" s="2"/>
      <c r="U611" s="2"/>
      <c r="V611" s="2"/>
      <c r="W611" s="2"/>
      <c r="X611" s="2"/>
      <c r="Y611" s="2"/>
    </row>
    <row r="612" spans="1:25" ht="38.25" customHeight="1">
      <c r="A612" s="26">
        <v>356</v>
      </c>
      <c r="B612" s="27" t="s">
        <v>797</v>
      </c>
      <c r="C612" s="28">
        <v>42671</v>
      </c>
      <c r="D612" s="27"/>
      <c r="E612" s="27" t="s">
        <v>1970</v>
      </c>
      <c r="F612" s="29" t="s">
        <v>1971</v>
      </c>
      <c r="G612" s="27" t="s">
        <v>45</v>
      </c>
      <c r="H612" s="27" t="s">
        <v>19</v>
      </c>
      <c r="I612" s="27">
        <v>1</v>
      </c>
      <c r="J612" s="30">
        <v>251264429</v>
      </c>
      <c r="K612" s="26" t="s">
        <v>206</v>
      </c>
      <c r="L612" s="26" t="s">
        <v>1514</v>
      </c>
      <c r="M612" s="31" t="s">
        <v>1954</v>
      </c>
      <c r="N612" s="6"/>
      <c r="O612" s="2"/>
      <c r="P612" s="2"/>
      <c r="Q612" s="2"/>
      <c r="R612" s="2"/>
      <c r="S612" s="2"/>
      <c r="T612" s="2"/>
      <c r="U612" s="2"/>
      <c r="V612" s="2"/>
      <c r="W612" s="2"/>
      <c r="X612" s="2"/>
      <c r="Y612" s="2"/>
    </row>
    <row r="613" spans="1:25" ht="63.75" customHeight="1">
      <c r="A613" s="26">
        <v>357</v>
      </c>
      <c r="B613" s="27" t="s">
        <v>797</v>
      </c>
      <c r="C613" s="28">
        <v>42671</v>
      </c>
      <c r="D613" s="27"/>
      <c r="E613" s="27" t="s">
        <v>1972</v>
      </c>
      <c r="F613" s="29" t="s">
        <v>1973</v>
      </c>
      <c r="G613" s="27" t="s">
        <v>45</v>
      </c>
      <c r="H613" s="27" t="s">
        <v>19</v>
      </c>
      <c r="I613" s="27">
        <v>1</v>
      </c>
      <c r="J613" s="30">
        <v>526151003</v>
      </c>
      <c r="K613" s="26" t="s">
        <v>206</v>
      </c>
      <c r="L613" s="26" t="s">
        <v>1514</v>
      </c>
      <c r="M613" s="31" t="s">
        <v>1954</v>
      </c>
      <c r="N613" s="6"/>
      <c r="O613" s="2"/>
      <c r="P613" s="2"/>
      <c r="Q613" s="2"/>
      <c r="R613" s="2"/>
      <c r="S613" s="2"/>
      <c r="T613" s="2"/>
      <c r="U613" s="2"/>
      <c r="V613" s="2"/>
      <c r="W613" s="2"/>
      <c r="X613" s="2"/>
      <c r="Y613" s="2"/>
    </row>
    <row r="614" spans="1:25" ht="25.5" customHeight="1">
      <c r="A614" s="26">
        <v>358</v>
      </c>
      <c r="B614" s="27" t="s">
        <v>797</v>
      </c>
      <c r="C614" s="28">
        <v>42671</v>
      </c>
      <c r="D614" s="27"/>
      <c r="E614" s="27" t="s">
        <v>1974</v>
      </c>
      <c r="F614" s="29" t="s">
        <v>1975</v>
      </c>
      <c r="G614" s="27" t="s">
        <v>45</v>
      </c>
      <c r="H614" s="27" t="s">
        <v>19</v>
      </c>
      <c r="I614" s="27">
        <v>1</v>
      </c>
      <c r="J614" s="30">
        <v>141027743</v>
      </c>
      <c r="K614" s="26" t="s">
        <v>206</v>
      </c>
      <c r="L614" s="26" t="s">
        <v>1514</v>
      </c>
      <c r="M614" s="31" t="s">
        <v>1954</v>
      </c>
      <c r="N614" s="6"/>
      <c r="O614" s="2"/>
      <c r="P614" s="2"/>
      <c r="Q614" s="2"/>
      <c r="R614" s="2"/>
      <c r="S614" s="2"/>
      <c r="T614" s="2"/>
      <c r="U614" s="2"/>
      <c r="V614" s="2"/>
      <c r="W614" s="2"/>
      <c r="X614" s="2"/>
      <c r="Y614" s="2"/>
    </row>
    <row r="615" spans="1:25" ht="25.5" customHeight="1">
      <c r="A615" s="26">
        <v>359</v>
      </c>
      <c r="B615" s="27" t="s">
        <v>797</v>
      </c>
      <c r="C615" s="28">
        <v>42671</v>
      </c>
      <c r="D615" s="27"/>
      <c r="E615" s="27" t="s">
        <v>1976</v>
      </c>
      <c r="F615" s="29" t="s">
        <v>1977</v>
      </c>
      <c r="G615" s="27" t="s">
        <v>307</v>
      </c>
      <c r="H615" s="27" t="s">
        <v>19</v>
      </c>
      <c r="I615" s="27">
        <v>1</v>
      </c>
      <c r="J615" s="30">
        <v>68633502</v>
      </c>
      <c r="K615" s="26" t="s">
        <v>206</v>
      </c>
      <c r="L615" s="26" t="s">
        <v>1514</v>
      </c>
      <c r="M615" s="31" t="s">
        <v>1954</v>
      </c>
      <c r="N615" s="6"/>
      <c r="O615" s="2"/>
      <c r="P615" s="2"/>
      <c r="Q615" s="2"/>
      <c r="R615" s="2"/>
      <c r="S615" s="2"/>
      <c r="T615" s="2"/>
      <c r="U615" s="2"/>
      <c r="V615" s="2"/>
      <c r="W615" s="2"/>
      <c r="X615" s="2"/>
      <c r="Y615" s="2"/>
    </row>
    <row r="616" spans="1:25" ht="25.5" customHeight="1">
      <c r="A616" s="26">
        <v>360</v>
      </c>
      <c r="B616" s="27" t="s">
        <v>797</v>
      </c>
      <c r="C616" s="28">
        <v>42671</v>
      </c>
      <c r="D616" s="27"/>
      <c r="E616" s="27" t="s">
        <v>1978</v>
      </c>
      <c r="F616" s="29" t="s">
        <v>1979</v>
      </c>
      <c r="G616" s="27" t="s">
        <v>307</v>
      </c>
      <c r="H616" s="27" t="s">
        <v>19</v>
      </c>
      <c r="I616" s="27">
        <v>1</v>
      </c>
      <c r="J616" s="30">
        <v>68633502</v>
      </c>
      <c r="K616" s="26" t="s">
        <v>206</v>
      </c>
      <c r="L616" s="26" t="s">
        <v>1514</v>
      </c>
      <c r="M616" s="31" t="s">
        <v>1954</v>
      </c>
      <c r="N616" s="6"/>
      <c r="O616" s="2"/>
      <c r="P616" s="2"/>
      <c r="Q616" s="2"/>
      <c r="R616" s="2"/>
      <c r="S616" s="2"/>
      <c r="T616" s="2"/>
      <c r="U616" s="2"/>
      <c r="V616" s="2"/>
      <c r="W616" s="2"/>
      <c r="X616" s="2"/>
      <c r="Y616" s="2"/>
    </row>
    <row r="617" spans="1:25" ht="25.5" customHeight="1">
      <c r="A617" s="26">
        <v>361</v>
      </c>
      <c r="B617" s="27" t="s">
        <v>797</v>
      </c>
      <c r="C617" s="28">
        <v>42671</v>
      </c>
      <c r="D617" s="27"/>
      <c r="E617" s="27" t="s">
        <v>1980</v>
      </c>
      <c r="F617" s="29" t="s">
        <v>1981</v>
      </c>
      <c r="G617" s="27" t="s">
        <v>307</v>
      </c>
      <c r="H617" s="27" t="s">
        <v>19</v>
      </c>
      <c r="I617" s="27">
        <v>1</v>
      </c>
      <c r="J617" s="30">
        <v>68633502</v>
      </c>
      <c r="K617" s="26" t="s">
        <v>206</v>
      </c>
      <c r="L617" s="26" t="s">
        <v>1514</v>
      </c>
      <c r="M617" s="31" t="s">
        <v>1954</v>
      </c>
      <c r="N617" s="6"/>
      <c r="O617" s="2"/>
      <c r="P617" s="2"/>
      <c r="Q617" s="2"/>
      <c r="R617" s="2"/>
      <c r="S617" s="2"/>
      <c r="T617" s="2"/>
      <c r="U617" s="2"/>
      <c r="V617" s="2"/>
      <c r="W617" s="2"/>
      <c r="X617" s="2"/>
      <c r="Y617" s="2"/>
    </row>
    <row r="618" spans="1:25" ht="25.5" customHeight="1">
      <c r="A618" s="26">
        <v>362</v>
      </c>
      <c r="B618" s="27" t="s">
        <v>797</v>
      </c>
      <c r="C618" s="28">
        <v>42671</v>
      </c>
      <c r="D618" s="27"/>
      <c r="E618" s="27" t="s">
        <v>1982</v>
      </c>
      <c r="F618" s="29" t="s">
        <v>1983</v>
      </c>
      <c r="G618" s="27" t="s">
        <v>307</v>
      </c>
      <c r="H618" s="27" t="s">
        <v>19</v>
      </c>
      <c r="I618" s="27">
        <v>1</v>
      </c>
      <c r="J618" s="30">
        <v>68633502</v>
      </c>
      <c r="K618" s="26" t="s">
        <v>206</v>
      </c>
      <c r="L618" s="26" t="s">
        <v>1514</v>
      </c>
      <c r="M618" s="31" t="s">
        <v>1954</v>
      </c>
      <c r="N618" s="6"/>
      <c r="O618" s="2"/>
      <c r="P618" s="2"/>
      <c r="Q618" s="2"/>
      <c r="R618" s="2"/>
      <c r="S618" s="2"/>
      <c r="T618" s="2"/>
      <c r="U618" s="2"/>
      <c r="V618" s="2"/>
      <c r="W618" s="2"/>
      <c r="X618" s="2"/>
      <c r="Y618" s="2"/>
    </row>
    <row r="619" spans="1:25" ht="25.5" customHeight="1">
      <c r="A619" s="26">
        <v>363</v>
      </c>
      <c r="B619" s="27" t="s">
        <v>797</v>
      </c>
      <c r="C619" s="28">
        <v>42671</v>
      </c>
      <c r="D619" s="27"/>
      <c r="E619" s="27" t="s">
        <v>1984</v>
      </c>
      <c r="F619" s="29" t="s">
        <v>1985</v>
      </c>
      <c r="G619" s="27" t="s">
        <v>338</v>
      </c>
      <c r="H619" s="27" t="s">
        <v>19</v>
      </c>
      <c r="I619" s="27">
        <v>1</v>
      </c>
      <c r="J619" s="30">
        <v>559527568</v>
      </c>
      <c r="K619" s="26" t="s">
        <v>206</v>
      </c>
      <c r="L619" s="26" t="s">
        <v>1514</v>
      </c>
      <c r="M619" s="31" t="s">
        <v>1986</v>
      </c>
      <c r="N619" s="6"/>
      <c r="O619" s="2"/>
      <c r="P619" s="2"/>
      <c r="Q619" s="2"/>
      <c r="R619" s="2"/>
      <c r="S619" s="2"/>
      <c r="T619" s="2"/>
      <c r="U619" s="2"/>
      <c r="V619" s="2"/>
      <c r="W619" s="2"/>
      <c r="X619" s="2"/>
      <c r="Y619" s="2"/>
    </row>
    <row r="620" spans="1:25" ht="25.5" customHeight="1">
      <c r="A620" s="26">
        <v>364</v>
      </c>
      <c r="B620" s="27" t="s">
        <v>797</v>
      </c>
      <c r="C620" s="28">
        <v>42671</v>
      </c>
      <c r="D620" s="27"/>
      <c r="E620" s="27" t="s">
        <v>1987</v>
      </c>
      <c r="F620" s="29" t="s">
        <v>1988</v>
      </c>
      <c r="G620" s="27" t="s">
        <v>338</v>
      </c>
      <c r="H620" s="27" t="s">
        <v>19</v>
      </c>
      <c r="I620" s="27">
        <v>1</v>
      </c>
      <c r="J620" s="30">
        <v>559527568</v>
      </c>
      <c r="K620" s="26" t="s">
        <v>206</v>
      </c>
      <c r="L620" s="26" t="s">
        <v>1514</v>
      </c>
      <c r="M620" s="31" t="s">
        <v>1986</v>
      </c>
      <c r="N620" s="6"/>
      <c r="O620" s="2"/>
      <c r="P620" s="2"/>
      <c r="Q620" s="2"/>
      <c r="R620" s="2"/>
      <c r="S620" s="2"/>
      <c r="T620" s="2"/>
      <c r="U620" s="2"/>
      <c r="V620" s="2"/>
      <c r="W620" s="2"/>
      <c r="X620" s="2"/>
      <c r="Y620" s="2"/>
    </row>
    <row r="621" spans="1:25" ht="25.5" customHeight="1">
      <c r="A621" s="26">
        <v>365</v>
      </c>
      <c r="B621" s="27" t="s">
        <v>1989</v>
      </c>
      <c r="C621" s="28">
        <v>43827</v>
      </c>
      <c r="D621" s="27"/>
      <c r="E621" s="27" t="s">
        <v>1990</v>
      </c>
      <c r="F621" s="29" t="s">
        <v>1991</v>
      </c>
      <c r="G621" s="27" t="s">
        <v>248</v>
      </c>
      <c r="H621" s="27" t="s">
        <v>19</v>
      </c>
      <c r="I621" s="27">
        <v>1</v>
      </c>
      <c r="J621" s="30">
        <v>65900000</v>
      </c>
      <c r="K621" s="26" t="s">
        <v>20</v>
      </c>
      <c r="L621" s="26" t="s">
        <v>423</v>
      </c>
      <c r="M621" s="31" t="s">
        <v>5239</v>
      </c>
      <c r="N621" s="6"/>
      <c r="O621" s="2"/>
      <c r="P621" s="2"/>
      <c r="Q621" s="2"/>
      <c r="R621" s="2"/>
      <c r="S621" s="2"/>
      <c r="T621" s="2"/>
      <c r="U621" s="2"/>
      <c r="V621" s="2"/>
      <c r="W621" s="2"/>
      <c r="X621" s="2"/>
      <c r="Y621" s="2"/>
    </row>
    <row r="622" spans="1:25" ht="25.5" customHeight="1">
      <c r="A622" s="26">
        <v>366</v>
      </c>
      <c r="B622" s="27" t="s">
        <v>1993</v>
      </c>
      <c r="C622" s="28">
        <v>42956</v>
      </c>
      <c r="D622" s="27"/>
      <c r="E622" s="27" t="s">
        <v>1994</v>
      </c>
      <c r="F622" s="29" t="s">
        <v>1995</v>
      </c>
      <c r="G622" s="27" t="s">
        <v>338</v>
      </c>
      <c r="H622" s="27" t="s">
        <v>249</v>
      </c>
      <c r="I622" s="27">
        <v>1</v>
      </c>
      <c r="J622" s="30">
        <v>157350000</v>
      </c>
      <c r="K622" s="26" t="s">
        <v>36</v>
      </c>
      <c r="L622" s="26" t="s">
        <v>1542</v>
      </c>
      <c r="M622" s="31" t="s">
        <v>1996</v>
      </c>
      <c r="N622" s="6"/>
      <c r="O622" s="2"/>
      <c r="P622" s="2"/>
      <c r="Q622" s="2"/>
      <c r="R622" s="2"/>
      <c r="S622" s="2"/>
      <c r="T622" s="2"/>
      <c r="U622" s="2"/>
      <c r="V622" s="2"/>
      <c r="W622" s="2"/>
      <c r="X622" s="2"/>
      <c r="Y622" s="2"/>
    </row>
    <row r="623" spans="1:25" ht="25.5" customHeight="1">
      <c r="A623" s="26">
        <v>367</v>
      </c>
      <c r="B623" s="27" t="s">
        <v>1993</v>
      </c>
      <c r="C623" s="28">
        <v>42956</v>
      </c>
      <c r="D623" s="27"/>
      <c r="E623" s="27" t="s">
        <v>1997</v>
      </c>
      <c r="F623" s="29" t="s">
        <v>1998</v>
      </c>
      <c r="G623" s="27" t="s">
        <v>338</v>
      </c>
      <c r="H623" s="27" t="s">
        <v>249</v>
      </c>
      <c r="I623" s="27">
        <v>1</v>
      </c>
      <c r="J623" s="30">
        <v>157350000</v>
      </c>
      <c r="K623" s="26" t="s">
        <v>36</v>
      </c>
      <c r="L623" s="26" t="s">
        <v>1542</v>
      </c>
      <c r="M623" s="31" t="s">
        <v>1996</v>
      </c>
      <c r="N623" s="6"/>
      <c r="O623" s="2"/>
      <c r="P623" s="2"/>
      <c r="Q623" s="2"/>
      <c r="R623" s="2"/>
      <c r="S623" s="2"/>
      <c r="T623" s="2"/>
      <c r="U623" s="2"/>
      <c r="V623" s="2"/>
      <c r="W623" s="2"/>
      <c r="X623" s="2"/>
      <c r="Y623" s="2"/>
    </row>
    <row r="624" spans="1:25" ht="25.5" customHeight="1">
      <c r="A624" s="26">
        <v>368</v>
      </c>
      <c r="B624" s="27" t="s">
        <v>973</v>
      </c>
      <c r="C624" s="28">
        <v>43799</v>
      </c>
      <c r="D624" s="27"/>
      <c r="E624" s="27" t="s">
        <v>1999</v>
      </c>
      <c r="F624" s="29" t="s">
        <v>2000</v>
      </c>
      <c r="G624" s="27" t="s">
        <v>55</v>
      </c>
      <c r="H624" s="27" t="s">
        <v>19</v>
      </c>
      <c r="I624" s="27">
        <v>1</v>
      </c>
      <c r="J624" s="30">
        <v>385252778</v>
      </c>
      <c r="K624" s="26" t="s">
        <v>20</v>
      </c>
      <c r="L624" s="394" t="s">
        <v>295</v>
      </c>
      <c r="M624" s="31" t="s">
        <v>2001</v>
      </c>
      <c r="N624" s="6"/>
      <c r="O624" s="2"/>
      <c r="P624" s="2"/>
      <c r="Q624" s="2"/>
      <c r="R624" s="2"/>
      <c r="S624" s="2"/>
      <c r="T624" s="2"/>
      <c r="U624" s="2"/>
      <c r="V624" s="2"/>
      <c r="W624" s="2"/>
      <c r="X624" s="2"/>
      <c r="Y624" s="2"/>
    </row>
    <row r="625" spans="1:25" ht="25.5" customHeight="1">
      <c r="A625" s="26">
        <v>369</v>
      </c>
      <c r="B625" s="27" t="s">
        <v>973</v>
      </c>
      <c r="C625" s="28">
        <v>43799</v>
      </c>
      <c r="D625" s="27"/>
      <c r="E625" s="27" t="s">
        <v>2002</v>
      </c>
      <c r="F625" s="29" t="s">
        <v>2003</v>
      </c>
      <c r="G625" s="27" t="s">
        <v>55</v>
      </c>
      <c r="H625" s="27" t="s">
        <v>19</v>
      </c>
      <c r="I625" s="27">
        <v>1</v>
      </c>
      <c r="J625" s="30">
        <v>385252778</v>
      </c>
      <c r="K625" s="26" t="s">
        <v>20</v>
      </c>
      <c r="L625" s="394" t="s">
        <v>295</v>
      </c>
      <c r="M625" s="395" t="s">
        <v>2004</v>
      </c>
      <c r="N625" s="6"/>
      <c r="O625" s="2"/>
      <c r="P625" s="2"/>
      <c r="Q625" s="2"/>
      <c r="R625" s="2"/>
      <c r="S625" s="2"/>
      <c r="T625" s="2"/>
      <c r="U625" s="2"/>
      <c r="V625" s="2"/>
      <c r="W625" s="2"/>
      <c r="X625" s="2"/>
      <c r="Y625" s="2"/>
    </row>
    <row r="626" spans="1:25" ht="25.5" customHeight="1">
      <c r="A626" s="26">
        <v>370</v>
      </c>
      <c r="B626" s="27" t="s">
        <v>973</v>
      </c>
      <c r="C626" s="28">
        <v>43799</v>
      </c>
      <c r="D626" s="27"/>
      <c r="E626" s="27" t="s">
        <v>2005</v>
      </c>
      <c r="F626" s="29" t="s">
        <v>2006</v>
      </c>
      <c r="G626" s="27" t="s">
        <v>55</v>
      </c>
      <c r="H626" s="27" t="s">
        <v>19</v>
      </c>
      <c r="I626" s="27">
        <v>1</v>
      </c>
      <c r="J626" s="30">
        <v>385252778</v>
      </c>
      <c r="K626" s="26" t="s">
        <v>20</v>
      </c>
      <c r="L626" s="394" t="s">
        <v>295</v>
      </c>
      <c r="M626" s="31" t="s">
        <v>2004</v>
      </c>
      <c r="N626" s="6"/>
      <c r="O626" s="2"/>
      <c r="P626" s="2"/>
      <c r="Q626" s="2"/>
      <c r="R626" s="2"/>
      <c r="S626" s="2"/>
      <c r="T626" s="2"/>
      <c r="U626" s="2"/>
      <c r="V626" s="2"/>
      <c r="W626" s="2"/>
      <c r="X626" s="2"/>
      <c r="Y626" s="2"/>
    </row>
    <row r="627" spans="1:25" ht="25.5" customHeight="1">
      <c r="A627" s="26">
        <v>371</v>
      </c>
      <c r="B627" s="27" t="s">
        <v>973</v>
      </c>
      <c r="C627" s="28">
        <v>43799</v>
      </c>
      <c r="D627" s="27"/>
      <c r="E627" s="27" t="s">
        <v>2007</v>
      </c>
      <c r="F627" s="29" t="s">
        <v>2008</v>
      </c>
      <c r="G627" s="27" t="s">
        <v>55</v>
      </c>
      <c r="H627" s="27" t="s">
        <v>19</v>
      </c>
      <c r="I627" s="27">
        <v>1</v>
      </c>
      <c r="J627" s="30">
        <v>385252778</v>
      </c>
      <c r="K627" s="26" t="s">
        <v>20</v>
      </c>
      <c r="L627" s="394" t="s">
        <v>295</v>
      </c>
      <c r="M627" s="31" t="s">
        <v>2004</v>
      </c>
      <c r="N627" s="6"/>
      <c r="O627" s="2"/>
      <c r="P627" s="2"/>
      <c r="Q627" s="2"/>
      <c r="R627" s="2"/>
      <c r="S627" s="2"/>
      <c r="T627" s="2"/>
      <c r="U627" s="2"/>
      <c r="V627" s="2"/>
      <c r="W627" s="2"/>
      <c r="X627" s="2"/>
      <c r="Y627" s="2"/>
    </row>
    <row r="628" spans="1:25" ht="25.5" customHeight="1">
      <c r="A628" s="26">
        <v>372</v>
      </c>
      <c r="B628" s="27" t="s">
        <v>973</v>
      </c>
      <c r="C628" s="28">
        <v>43799</v>
      </c>
      <c r="D628" s="27"/>
      <c r="E628" s="27" t="s">
        <v>2009</v>
      </c>
      <c r="F628" s="29" t="s">
        <v>2010</v>
      </c>
      <c r="G628" s="27" t="s">
        <v>55</v>
      </c>
      <c r="H628" s="27" t="s">
        <v>19</v>
      </c>
      <c r="I628" s="27">
        <v>1</v>
      </c>
      <c r="J628" s="30">
        <v>153080573</v>
      </c>
      <c r="K628" s="26" t="s">
        <v>20</v>
      </c>
      <c r="L628" s="394" t="s">
        <v>295</v>
      </c>
      <c r="M628" s="395" t="s">
        <v>5240</v>
      </c>
      <c r="N628" s="6"/>
      <c r="O628" s="2"/>
      <c r="P628" s="2"/>
      <c r="Q628" s="2"/>
      <c r="R628" s="2"/>
      <c r="S628" s="2"/>
      <c r="T628" s="2"/>
      <c r="U628" s="2"/>
      <c r="V628" s="2"/>
      <c r="W628" s="2"/>
      <c r="X628" s="2"/>
      <c r="Y628" s="2"/>
    </row>
    <row r="629" spans="1:25" ht="25.5" customHeight="1">
      <c r="A629" s="26">
        <v>373</v>
      </c>
      <c r="B629" s="27" t="s">
        <v>2012</v>
      </c>
      <c r="C629" s="28">
        <v>43798</v>
      </c>
      <c r="D629" s="27"/>
      <c r="E629" s="27" t="s">
        <v>2013</v>
      </c>
      <c r="F629" s="29" t="s">
        <v>2014</v>
      </c>
      <c r="G629" s="27" t="s">
        <v>2015</v>
      </c>
      <c r="H629" s="27" t="s">
        <v>249</v>
      </c>
      <c r="I629" s="27">
        <v>1</v>
      </c>
      <c r="J629" s="30">
        <v>72900000</v>
      </c>
      <c r="K629" s="26" t="s">
        <v>20</v>
      </c>
      <c r="L629" s="36" t="s">
        <v>229</v>
      </c>
      <c r="M629" s="31" t="s">
        <v>5241</v>
      </c>
      <c r="N629" s="6"/>
      <c r="O629" s="2"/>
      <c r="P629" s="2"/>
      <c r="Q629" s="2"/>
      <c r="R629" s="2"/>
      <c r="S629" s="2"/>
      <c r="T629" s="2"/>
      <c r="U629" s="2"/>
      <c r="V629" s="2"/>
      <c r="W629" s="2"/>
      <c r="X629" s="2"/>
      <c r="Y629" s="2"/>
    </row>
    <row r="630" spans="1:25" ht="25.5" customHeight="1">
      <c r="A630" s="26">
        <v>374</v>
      </c>
      <c r="B630" s="27" t="s">
        <v>1989</v>
      </c>
      <c r="C630" s="28">
        <v>43827</v>
      </c>
      <c r="D630" s="27"/>
      <c r="E630" s="27" t="s">
        <v>2016</v>
      </c>
      <c r="F630" s="29" t="s">
        <v>2017</v>
      </c>
      <c r="G630" s="27" t="s">
        <v>2018</v>
      </c>
      <c r="H630" s="27" t="s">
        <v>19</v>
      </c>
      <c r="I630" s="27">
        <v>1</v>
      </c>
      <c r="J630" s="30">
        <v>219000000</v>
      </c>
      <c r="K630" s="26" t="s">
        <v>20</v>
      </c>
      <c r="L630" s="36" t="s">
        <v>229</v>
      </c>
      <c r="M630" s="31" t="s">
        <v>5242</v>
      </c>
      <c r="N630" s="6"/>
      <c r="O630" s="2"/>
      <c r="P630" s="2"/>
      <c r="Q630" s="2"/>
      <c r="R630" s="2"/>
      <c r="S630" s="2"/>
      <c r="T630" s="2"/>
      <c r="U630" s="2"/>
      <c r="V630" s="2"/>
      <c r="W630" s="2"/>
      <c r="X630" s="2"/>
      <c r="Y630" s="2"/>
    </row>
    <row r="631" spans="1:25" ht="25.5" customHeight="1">
      <c r="A631" s="26">
        <v>375</v>
      </c>
      <c r="B631" s="27" t="s">
        <v>1989</v>
      </c>
      <c r="C631" s="28">
        <v>43827</v>
      </c>
      <c r="D631" s="27"/>
      <c r="E631" s="27" t="s">
        <v>2019</v>
      </c>
      <c r="F631" s="29" t="s">
        <v>2020</v>
      </c>
      <c r="G631" s="27" t="s">
        <v>2018</v>
      </c>
      <c r="H631" s="27" t="s">
        <v>19</v>
      </c>
      <c r="I631" s="27">
        <v>1</v>
      </c>
      <c r="J631" s="30">
        <v>219000000</v>
      </c>
      <c r="K631" s="26" t="s">
        <v>20</v>
      </c>
      <c r="L631" s="396" t="s">
        <v>229</v>
      </c>
      <c r="M631" s="395" t="s">
        <v>1642</v>
      </c>
      <c r="N631" s="6"/>
      <c r="O631" s="2"/>
      <c r="P631" s="2"/>
      <c r="Q631" s="2"/>
      <c r="R631" s="2"/>
      <c r="S631" s="2"/>
      <c r="T631" s="2"/>
      <c r="U631" s="2"/>
      <c r="V631" s="2"/>
      <c r="W631" s="2"/>
      <c r="X631" s="2"/>
      <c r="Y631" s="2"/>
    </row>
    <row r="632" spans="1:25" ht="12.75" customHeight="1">
      <c r="A632" s="26">
        <v>376</v>
      </c>
      <c r="B632" s="27" t="s">
        <v>52</v>
      </c>
      <c r="C632" s="28">
        <v>40875</v>
      </c>
      <c r="D632" s="27"/>
      <c r="E632" s="27" t="s">
        <v>2021</v>
      </c>
      <c r="F632" s="29" t="s">
        <v>2022</v>
      </c>
      <c r="G632" s="27" t="s">
        <v>55</v>
      </c>
      <c r="H632" s="27" t="s">
        <v>19</v>
      </c>
      <c r="I632" s="27">
        <v>1</v>
      </c>
      <c r="J632" s="30">
        <v>59863190</v>
      </c>
      <c r="K632" s="26" t="s">
        <v>36</v>
      </c>
      <c r="L632" s="26" t="s">
        <v>1542</v>
      </c>
      <c r="M632" s="31" t="s">
        <v>2023</v>
      </c>
      <c r="N632" s="6"/>
      <c r="O632" s="2"/>
      <c r="P632" s="2"/>
      <c r="Q632" s="2"/>
      <c r="R632" s="2"/>
      <c r="S632" s="2"/>
      <c r="T632" s="2"/>
      <c r="U632" s="2"/>
      <c r="V632" s="2"/>
      <c r="W632" s="2"/>
      <c r="X632" s="2"/>
      <c r="Y632" s="2"/>
    </row>
    <row r="633" spans="1:25" ht="12.75" customHeight="1">
      <c r="A633" s="26">
        <v>377</v>
      </c>
      <c r="B633" s="27" t="s">
        <v>52</v>
      </c>
      <c r="C633" s="28">
        <v>40875</v>
      </c>
      <c r="D633" s="27"/>
      <c r="E633" s="27" t="s">
        <v>2024</v>
      </c>
      <c r="F633" s="29" t="s">
        <v>2025</v>
      </c>
      <c r="G633" s="27" t="s">
        <v>55</v>
      </c>
      <c r="H633" s="27" t="s">
        <v>19</v>
      </c>
      <c r="I633" s="27">
        <v>1</v>
      </c>
      <c r="J633" s="30">
        <v>59863190</v>
      </c>
      <c r="K633" s="26" t="s">
        <v>36</v>
      </c>
      <c r="L633" s="26" t="s">
        <v>1542</v>
      </c>
      <c r="M633" s="31" t="s">
        <v>2023</v>
      </c>
      <c r="N633" s="6"/>
      <c r="O633" s="2"/>
      <c r="P633" s="2"/>
      <c r="Q633" s="2"/>
      <c r="R633" s="2"/>
      <c r="S633" s="2"/>
      <c r="T633" s="2"/>
      <c r="U633" s="2"/>
      <c r="V633" s="2"/>
      <c r="W633" s="2"/>
      <c r="X633" s="2"/>
      <c r="Y633" s="2"/>
    </row>
    <row r="634" spans="1:25" ht="12.75" customHeight="1">
      <c r="A634" s="26">
        <v>378</v>
      </c>
      <c r="B634" s="27" t="s">
        <v>470</v>
      </c>
      <c r="C634" s="28">
        <v>41983</v>
      </c>
      <c r="D634" s="27"/>
      <c r="E634" s="27" t="s">
        <v>2026</v>
      </c>
      <c r="F634" s="29" t="s">
        <v>2027</v>
      </c>
      <c r="G634" s="27" t="s">
        <v>248</v>
      </c>
      <c r="H634" s="27" t="s">
        <v>19</v>
      </c>
      <c r="I634" s="27">
        <v>1</v>
      </c>
      <c r="J634" s="30">
        <v>160748450</v>
      </c>
      <c r="K634" s="26" t="s">
        <v>20</v>
      </c>
      <c r="L634" s="26" t="s">
        <v>423</v>
      </c>
      <c r="M634" s="31" t="s">
        <v>5243</v>
      </c>
      <c r="N634" s="6"/>
      <c r="O634" s="2"/>
      <c r="P634" s="2"/>
      <c r="Q634" s="2"/>
      <c r="R634" s="2"/>
      <c r="S634" s="2"/>
      <c r="T634" s="2"/>
      <c r="U634" s="2"/>
      <c r="V634" s="2"/>
      <c r="W634" s="2"/>
      <c r="X634" s="2"/>
      <c r="Y634" s="2"/>
    </row>
    <row r="635" spans="1:25" ht="12.75" customHeight="1">
      <c r="A635" s="26" t="s">
        <v>2028</v>
      </c>
      <c r="B635" s="27"/>
      <c r="C635" s="28"/>
      <c r="D635" s="27"/>
      <c r="E635" s="27" t="s">
        <v>2029</v>
      </c>
      <c r="F635" s="29" t="s">
        <v>2030</v>
      </c>
      <c r="G635" s="27" t="s">
        <v>248</v>
      </c>
      <c r="H635" s="27" t="s">
        <v>19</v>
      </c>
      <c r="I635" s="27">
        <v>1</v>
      </c>
      <c r="J635" s="30">
        <v>33231650</v>
      </c>
      <c r="K635" s="26" t="s">
        <v>20</v>
      </c>
      <c r="L635" s="26" t="s">
        <v>423</v>
      </c>
      <c r="M635" s="31" t="s">
        <v>5244</v>
      </c>
      <c r="N635" s="6"/>
      <c r="O635" s="2"/>
      <c r="P635" s="2"/>
      <c r="Q635" s="2"/>
      <c r="R635" s="2"/>
      <c r="S635" s="2"/>
      <c r="T635" s="2"/>
      <c r="U635" s="2"/>
      <c r="V635" s="2"/>
      <c r="W635" s="2"/>
      <c r="X635" s="2"/>
      <c r="Y635" s="2"/>
    </row>
    <row r="636" spans="1:25" ht="12.75" customHeight="1">
      <c r="A636" s="26">
        <v>379</v>
      </c>
      <c r="B636" s="27" t="s">
        <v>909</v>
      </c>
      <c r="C636" s="28">
        <v>41999</v>
      </c>
      <c r="D636" s="27"/>
      <c r="E636" s="27" t="s">
        <v>2032</v>
      </c>
      <c r="F636" s="29" t="s">
        <v>2033</v>
      </c>
      <c r="G636" s="27" t="s">
        <v>55</v>
      </c>
      <c r="H636" s="27" t="s">
        <v>19</v>
      </c>
      <c r="I636" s="27">
        <v>1</v>
      </c>
      <c r="J636" s="30">
        <v>49407932</v>
      </c>
      <c r="K636" s="26" t="s">
        <v>20</v>
      </c>
      <c r="L636" s="26" t="s">
        <v>233</v>
      </c>
      <c r="M636" s="31" t="s">
        <v>2034</v>
      </c>
      <c r="N636" s="6"/>
      <c r="O636" s="2"/>
      <c r="P636" s="2"/>
      <c r="Q636" s="2"/>
      <c r="R636" s="2"/>
      <c r="S636" s="2"/>
      <c r="T636" s="2"/>
      <c r="U636" s="2"/>
      <c r="V636" s="2"/>
      <c r="W636" s="2"/>
      <c r="X636" s="2"/>
      <c r="Y636" s="2"/>
    </row>
    <row r="637" spans="1:25" ht="25.5" customHeight="1">
      <c r="A637" s="26" t="s">
        <v>2035</v>
      </c>
      <c r="B637" s="27"/>
      <c r="C637" s="28"/>
      <c r="D637" s="27"/>
      <c r="E637" s="27" t="s">
        <v>2036</v>
      </c>
      <c r="F637" s="29" t="s">
        <v>2037</v>
      </c>
      <c r="G637" s="27" t="s">
        <v>55</v>
      </c>
      <c r="H637" s="27" t="s">
        <v>19</v>
      </c>
      <c r="I637" s="27">
        <v>1</v>
      </c>
      <c r="J637" s="30">
        <v>10740855</v>
      </c>
      <c r="K637" s="26" t="s">
        <v>20</v>
      </c>
      <c r="L637" s="26" t="s">
        <v>233</v>
      </c>
      <c r="M637" s="31" t="s">
        <v>1369</v>
      </c>
      <c r="N637" s="6"/>
      <c r="O637" s="2"/>
      <c r="P637" s="2"/>
      <c r="Q637" s="2"/>
      <c r="R637" s="2"/>
      <c r="S637" s="2"/>
      <c r="T637" s="2"/>
      <c r="U637" s="2"/>
      <c r="V637" s="2"/>
      <c r="W637" s="2"/>
      <c r="X637" s="2"/>
      <c r="Y637" s="2"/>
    </row>
    <row r="638" spans="1:25" ht="25.5" customHeight="1">
      <c r="A638" s="26" t="s">
        <v>2038</v>
      </c>
      <c r="B638" s="27"/>
      <c r="C638" s="28"/>
      <c r="D638" s="27"/>
      <c r="E638" s="27" t="s">
        <v>2039</v>
      </c>
      <c r="F638" s="29" t="s">
        <v>2040</v>
      </c>
      <c r="G638" s="27" t="s">
        <v>55</v>
      </c>
      <c r="H638" s="27" t="s">
        <v>19</v>
      </c>
      <c r="I638" s="27">
        <v>1</v>
      </c>
      <c r="J638" s="30">
        <v>10740855</v>
      </c>
      <c r="K638" s="26" t="s">
        <v>20</v>
      </c>
      <c r="L638" s="26" t="s">
        <v>233</v>
      </c>
      <c r="M638" s="31" t="s">
        <v>1369</v>
      </c>
      <c r="N638" s="6"/>
      <c r="O638" s="2"/>
      <c r="P638" s="2"/>
      <c r="Q638" s="2"/>
      <c r="R638" s="2"/>
      <c r="S638" s="2"/>
      <c r="T638" s="2"/>
      <c r="U638" s="2"/>
      <c r="V638" s="2"/>
      <c r="W638" s="2"/>
      <c r="X638" s="2"/>
      <c r="Y638" s="2"/>
    </row>
    <row r="639" spans="1:25" ht="25.5" customHeight="1">
      <c r="A639" s="26">
        <v>380</v>
      </c>
      <c r="B639" s="27" t="s">
        <v>2041</v>
      </c>
      <c r="C639" s="28">
        <v>42184</v>
      </c>
      <c r="D639" s="27"/>
      <c r="E639" s="27" t="s">
        <v>2042</v>
      </c>
      <c r="F639" s="29" t="s">
        <v>2043</v>
      </c>
      <c r="G639" s="27" t="s">
        <v>55</v>
      </c>
      <c r="H639" s="27" t="s">
        <v>19</v>
      </c>
      <c r="I639" s="27">
        <v>1</v>
      </c>
      <c r="J639" s="30">
        <v>57165919</v>
      </c>
      <c r="K639" s="26" t="s">
        <v>20</v>
      </c>
      <c r="L639" s="26" t="s">
        <v>423</v>
      </c>
      <c r="M639" s="31" t="s">
        <v>5245</v>
      </c>
      <c r="N639" s="6"/>
      <c r="O639" s="2"/>
      <c r="P639" s="2"/>
      <c r="Q639" s="2"/>
      <c r="R639" s="2"/>
      <c r="S639" s="2"/>
      <c r="T639" s="2"/>
      <c r="U639" s="2"/>
      <c r="V639" s="2"/>
      <c r="W639" s="2"/>
      <c r="X639" s="2"/>
      <c r="Y639" s="2"/>
    </row>
    <row r="640" spans="1:25" ht="38.25" customHeight="1">
      <c r="A640" s="26" t="s">
        <v>2045</v>
      </c>
      <c r="B640" s="27"/>
      <c r="C640" s="28"/>
      <c r="D640" s="27"/>
      <c r="E640" s="27" t="s">
        <v>2046</v>
      </c>
      <c r="F640" s="29" t="s">
        <v>2047</v>
      </c>
      <c r="G640" s="27" t="s">
        <v>55</v>
      </c>
      <c r="H640" s="27" t="s">
        <v>249</v>
      </c>
      <c r="I640" s="27">
        <v>1</v>
      </c>
      <c r="J640" s="30">
        <v>0</v>
      </c>
      <c r="K640" s="26" t="s">
        <v>20</v>
      </c>
      <c r="L640" s="26" t="s">
        <v>423</v>
      </c>
      <c r="M640" s="31" t="s">
        <v>5246</v>
      </c>
      <c r="N640" s="6"/>
      <c r="O640" s="2"/>
      <c r="P640" s="2"/>
      <c r="Q640" s="2"/>
      <c r="R640" s="2"/>
      <c r="S640" s="2"/>
      <c r="T640" s="2"/>
      <c r="U640" s="2"/>
      <c r="V640" s="2"/>
      <c r="W640" s="2"/>
      <c r="X640" s="2"/>
      <c r="Y640" s="2"/>
    </row>
    <row r="641" spans="1:25" ht="38.25" customHeight="1">
      <c r="A641" s="26" t="s">
        <v>2049</v>
      </c>
      <c r="B641" s="27"/>
      <c r="C641" s="28"/>
      <c r="D641" s="27"/>
      <c r="E641" s="27" t="s">
        <v>2050</v>
      </c>
      <c r="F641" s="29" t="s">
        <v>2051</v>
      </c>
      <c r="G641" s="27" t="s">
        <v>55</v>
      </c>
      <c r="H641" s="27" t="s">
        <v>249</v>
      </c>
      <c r="I641" s="27">
        <v>1</v>
      </c>
      <c r="J641" s="30">
        <v>0</v>
      </c>
      <c r="K641" s="26" t="s">
        <v>20</v>
      </c>
      <c r="L641" s="26" t="s">
        <v>423</v>
      </c>
      <c r="M641" s="31" t="s">
        <v>5246</v>
      </c>
      <c r="N641" s="6"/>
      <c r="O641" s="2"/>
      <c r="P641" s="2"/>
      <c r="Q641" s="2"/>
      <c r="R641" s="2"/>
      <c r="S641" s="2"/>
      <c r="T641" s="2"/>
      <c r="U641" s="2"/>
      <c r="V641" s="2"/>
      <c r="W641" s="2"/>
      <c r="X641" s="2"/>
      <c r="Y641" s="2"/>
    </row>
    <row r="642" spans="1:25" ht="25.5" customHeight="1">
      <c r="A642" s="26">
        <v>381</v>
      </c>
      <c r="B642" s="27" t="s">
        <v>599</v>
      </c>
      <c r="C642" s="28">
        <v>42671</v>
      </c>
      <c r="D642" s="27"/>
      <c r="E642" s="27" t="s">
        <v>2052</v>
      </c>
      <c r="F642" s="29" t="s">
        <v>2053</v>
      </c>
      <c r="G642" s="27" t="s">
        <v>307</v>
      </c>
      <c r="H642" s="27" t="s">
        <v>19</v>
      </c>
      <c r="I642" s="27">
        <v>1</v>
      </c>
      <c r="J642" s="30">
        <v>46981879</v>
      </c>
      <c r="K642" s="26" t="s">
        <v>36</v>
      </c>
      <c r="L642" s="26" t="s">
        <v>2054</v>
      </c>
      <c r="M642" s="31" t="s">
        <v>2055</v>
      </c>
      <c r="N642" s="6"/>
      <c r="O642" s="2"/>
      <c r="P642" s="2"/>
      <c r="Q642" s="2"/>
      <c r="R642" s="2"/>
      <c r="S642" s="2"/>
      <c r="T642" s="2"/>
      <c r="U642" s="2"/>
      <c r="V642" s="2"/>
      <c r="W642" s="2"/>
      <c r="X642" s="2"/>
      <c r="Y642" s="2"/>
    </row>
    <row r="643" spans="1:25" ht="25.5" customHeight="1">
      <c r="A643" s="26">
        <v>382</v>
      </c>
      <c r="B643" s="27" t="s">
        <v>599</v>
      </c>
      <c r="C643" s="28">
        <v>42671</v>
      </c>
      <c r="D643" s="27"/>
      <c r="E643" s="27" t="s">
        <v>2056</v>
      </c>
      <c r="F643" s="29" t="s">
        <v>2057</v>
      </c>
      <c r="G643" s="27" t="s">
        <v>307</v>
      </c>
      <c r="H643" s="27" t="s">
        <v>19</v>
      </c>
      <c r="I643" s="27">
        <v>1</v>
      </c>
      <c r="J643" s="30">
        <v>46981879</v>
      </c>
      <c r="K643" s="26" t="s">
        <v>36</v>
      </c>
      <c r="L643" s="26" t="s">
        <v>2054</v>
      </c>
      <c r="M643" s="31" t="s">
        <v>2058</v>
      </c>
      <c r="N643" s="6"/>
      <c r="O643" s="2"/>
      <c r="P643" s="2"/>
      <c r="Q643" s="2"/>
      <c r="R643" s="2"/>
      <c r="S643" s="2"/>
      <c r="T643" s="2"/>
      <c r="U643" s="2"/>
      <c r="V643" s="2"/>
      <c r="W643" s="2"/>
      <c r="X643" s="2"/>
      <c r="Y643" s="2"/>
    </row>
    <row r="644" spans="1:25" ht="25.5" customHeight="1">
      <c r="A644" s="26">
        <v>383</v>
      </c>
      <c r="B644" s="27" t="s">
        <v>1993</v>
      </c>
      <c r="C644" s="28">
        <v>42956</v>
      </c>
      <c r="D644" s="27"/>
      <c r="E644" s="27" t="s">
        <v>2059</v>
      </c>
      <c r="F644" s="29" t="s">
        <v>2060</v>
      </c>
      <c r="G644" s="27" t="s">
        <v>307</v>
      </c>
      <c r="H644" s="27" t="s">
        <v>19</v>
      </c>
      <c r="I644" s="27">
        <v>1</v>
      </c>
      <c r="J644" s="30">
        <v>40750000</v>
      </c>
      <c r="K644" s="26" t="s">
        <v>36</v>
      </c>
      <c r="L644" s="26" t="s">
        <v>2054</v>
      </c>
      <c r="M644" s="31" t="s">
        <v>2061</v>
      </c>
      <c r="N644" s="6"/>
      <c r="O644" s="2"/>
      <c r="P644" s="2"/>
      <c r="Q644" s="2"/>
      <c r="R644" s="2"/>
      <c r="S644" s="2"/>
      <c r="T644" s="2"/>
      <c r="U644" s="2"/>
      <c r="V644" s="2"/>
      <c r="W644" s="2"/>
      <c r="X644" s="2"/>
      <c r="Y644" s="2"/>
    </row>
    <row r="645" spans="1:25" ht="25.5" customHeight="1">
      <c r="A645" s="26">
        <v>384</v>
      </c>
      <c r="B645" s="27" t="s">
        <v>1993</v>
      </c>
      <c r="C645" s="28">
        <v>42956</v>
      </c>
      <c r="D645" s="27"/>
      <c r="E645" s="27" t="s">
        <v>2062</v>
      </c>
      <c r="F645" s="29" t="s">
        <v>2063</v>
      </c>
      <c r="G645" s="27" t="s">
        <v>307</v>
      </c>
      <c r="H645" s="27" t="s">
        <v>19</v>
      </c>
      <c r="I645" s="27">
        <v>1</v>
      </c>
      <c r="J645" s="30">
        <v>40750000</v>
      </c>
      <c r="K645" s="26" t="s">
        <v>36</v>
      </c>
      <c r="L645" s="26" t="s">
        <v>2054</v>
      </c>
      <c r="M645" s="31" t="s">
        <v>2064</v>
      </c>
      <c r="N645" s="6"/>
      <c r="O645" s="2"/>
      <c r="P645" s="2"/>
      <c r="Q645" s="2"/>
      <c r="R645" s="2"/>
      <c r="S645" s="2"/>
      <c r="T645" s="2"/>
      <c r="U645" s="2"/>
      <c r="V645" s="2"/>
      <c r="W645" s="2"/>
      <c r="X645" s="2"/>
      <c r="Y645" s="2"/>
    </row>
    <row r="646" spans="1:25" ht="25.5" customHeight="1">
      <c r="A646" s="26">
        <v>385</v>
      </c>
      <c r="B646" s="27" t="s">
        <v>797</v>
      </c>
      <c r="C646" s="28">
        <v>42671</v>
      </c>
      <c r="D646" s="27"/>
      <c r="E646" s="27" t="s">
        <v>2065</v>
      </c>
      <c r="F646" s="29" t="s">
        <v>2066</v>
      </c>
      <c r="G646" s="27" t="s">
        <v>307</v>
      </c>
      <c r="H646" s="27" t="s">
        <v>19</v>
      </c>
      <c r="I646" s="27">
        <v>1</v>
      </c>
      <c r="J646" s="30">
        <v>46539155</v>
      </c>
      <c r="K646" s="26" t="s">
        <v>206</v>
      </c>
      <c r="L646" s="26" t="s">
        <v>1514</v>
      </c>
      <c r="M646" s="31" t="s">
        <v>2067</v>
      </c>
      <c r="N646" s="6"/>
      <c r="O646" s="2"/>
      <c r="P646" s="2"/>
      <c r="Q646" s="2"/>
      <c r="R646" s="2"/>
      <c r="S646" s="2"/>
      <c r="T646" s="2"/>
      <c r="U646" s="2"/>
      <c r="V646" s="2"/>
      <c r="W646" s="2"/>
      <c r="X646" s="2"/>
      <c r="Y646" s="2"/>
    </row>
    <row r="647" spans="1:25" ht="25.5" customHeight="1">
      <c r="A647" s="26">
        <v>386</v>
      </c>
      <c r="B647" s="27" t="s">
        <v>1989</v>
      </c>
      <c r="C647" s="28">
        <v>43827</v>
      </c>
      <c r="D647" s="27"/>
      <c r="E647" s="27" t="s">
        <v>2068</v>
      </c>
      <c r="F647" s="29" t="s">
        <v>2069</v>
      </c>
      <c r="G647" s="27" t="s">
        <v>2070</v>
      </c>
      <c r="H647" s="27" t="s">
        <v>19</v>
      </c>
      <c r="I647" s="27">
        <v>1</v>
      </c>
      <c r="J647" s="30">
        <v>48450000</v>
      </c>
      <c r="K647" s="26" t="s">
        <v>20</v>
      </c>
      <c r="L647" s="394" t="s">
        <v>295</v>
      </c>
      <c r="M647" s="31" t="s">
        <v>2071</v>
      </c>
      <c r="N647" s="6"/>
      <c r="O647" s="2"/>
      <c r="P647" s="2"/>
      <c r="Q647" s="2"/>
      <c r="R647" s="2"/>
      <c r="S647" s="2"/>
      <c r="T647" s="2"/>
      <c r="U647" s="2"/>
      <c r="V647" s="2"/>
      <c r="W647" s="2"/>
      <c r="X647" s="2"/>
      <c r="Y647" s="2"/>
    </row>
    <row r="648" spans="1:25" ht="25.5" customHeight="1">
      <c r="A648" s="26">
        <v>387</v>
      </c>
      <c r="B648" s="27" t="s">
        <v>1989</v>
      </c>
      <c r="C648" s="28">
        <v>43827</v>
      </c>
      <c r="D648" s="27"/>
      <c r="E648" s="27" t="s">
        <v>2072</v>
      </c>
      <c r="F648" s="29" t="s">
        <v>2073</v>
      </c>
      <c r="G648" s="27" t="s">
        <v>2070</v>
      </c>
      <c r="H648" s="27" t="s">
        <v>19</v>
      </c>
      <c r="I648" s="27">
        <v>1</v>
      </c>
      <c r="J648" s="30">
        <v>48450000</v>
      </c>
      <c r="K648" s="26" t="s">
        <v>20</v>
      </c>
      <c r="L648" s="26" t="s">
        <v>233</v>
      </c>
      <c r="M648" s="31" t="s">
        <v>2074</v>
      </c>
      <c r="N648" s="6"/>
      <c r="O648" s="2"/>
      <c r="P648" s="2"/>
      <c r="Q648" s="2"/>
      <c r="R648" s="2"/>
      <c r="S648" s="2"/>
      <c r="T648" s="2"/>
      <c r="U648" s="2"/>
      <c r="V648" s="2"/>
      <c r="W648" s="2"/>
      <c r="X648" s="2"/>
      <c r="Y648" s="2"/>
    </row>
    <row r="649" spans="1:25" ht="25.5" customHeight="1">
      <c r="A649" s="26">
        <v>388</v>
      </c>
      <c r="B649" s="27" t="s">
        <v>1989</v>
      </c>
      <c r="C649" s="28">
        <v>43827</v>
      </c>
      <c r="D649" s="27"/>
      <c r="E649" s="27" t="s">
        <v>2075</v>
      </c>
      <c r="F649" s="29" t="s">
        <v>2076</v>
      </c>
      <c r="G649" s="27" t="s">
        <v>2070</v>
      </c>
      <c r="H649" s="27" t="s">
        <v>19</v>
      </c>
      <c r="I649" s="27">
        <v>1</v>
      </c>
      <c r="J649" s="30">
        <v>48450000</v>
      </c>
      <c r="K649" s="26" t="s">
        <v>20</v>
      </c>
      <c r="L649" s="394" t="s">
        <v>295</v>
      </c>
      <c r="M649" s="395" t="s">
        <v>5247</v>
      </c>
      <c r="N649" s="6"/>
      <c r="O649" s="2"/>
      <c r="P649" s="2"/>
      <c r="Q649" s="2"/>
      <c r="R649" s="2"/>
      <c r="S649" s="2"/>
      <c r="T649" s="2"/>
      <c r="U649" s="2"/>
      <c r="V649" s="2"/>
      <c r="W649" s="2"/>
      <c r="X649" s="2"/>
      <c r="Y649" s="2"/>
    </row>
    <row r="650" spans="1:25" ht="25.5" customHeight="1">
      <c r="A650" s="26">
        <v>389</v>
      </c>
      <c r="B650" s="27" t="s">
        <v>1989</v>
      </c>
      <c r="C650" s="28">
        <v>43827</v>
      </c>
      <c r="D650" s="27"/>
      <c r="E650" s="27" t="s">
        <v>2078</v>
      </c>
      <c r="F650" s="29" t="s">
        <v>2079</v>
      </c>
      <c r="G650" s="27" t="s">
        <v>2070</v>
      </c>
      <c r="H650" s="27" t="s">
        <v>19</v>
      </c>
      <c r="I650" s="27">
        <v>1</v>
      </c>
      <c r="J650" s="30">
        <v>48450000</v>
      </c>
      <c r="K650" s="26" t="s">
        <v>20</v>
      </c>
      <c r="L650" s="26" t="s">
        <v>423</v>
      </c>
      <c r="M650" s="31" t="s">
        <v>5248</v>
      </c>
      <c r="N650" s="6"/>
      <c r="O650" s="2"/>
      <c r="P650" s="2"/>
      <c r="Q650" s="2"/>
      <c r="R650" s="2"/>
      <c r="S650" s="2"/>
      <c r="T650" s="2"/>
      <c r="U650" s="2"/>
      <c r="V650" s="2"/>
      <c r="W650" s="2"/>
      <c r="X650" s="2"/>
      <c r="Y650" s="2"/>
    </row>
    <row r="651" spans="1:25" ht="12.75" customHeight="1">
      <c r="A651" s="26">
        <v>394</v>
      </c>
      <c r="B651" s="27" t="s">
        <v>2115</v>
      </c>
      <c r="C651" s="28">
        <v>39813</v>
      </c>
      <c r="D651" s="27"/>
      <c r="E651" s="27" t="s">
        <v>2116</v>
      </c>
      <c r="F651" s="29" t="s">
        <v>2117</v>
      </c>
      <c r="G651" s="27" t="s">
        <v>2070</v>
      </c>
      <c r="H651" s="27" t="s">
        <v>249</v>
      </c>
      <c r="I651" s="27">
        <v>1</v>
      </c>
      <c r="J651" s="30">
        <v>30833841</v>
      </c>
      <c r="K651" s="26" t="s">
        <v>20</v>
      </c>
      <c r="L651" s="26" t="s">
        <v>284</v>
      </c>
      <c r="M651" s="31" t="s">
        <v>1224</v>
      </c>
      <c r="N651" s="6"/>
      <c r="O651" s="2"/>
      <c r="P651" s="2"/>
      <c r="Q651" s="2"/>
      <c r="R651" s="2"/>
      <c r="S651" s="2"/>
      <c r="T651" s="2"/>
      <c r="U651" s="2"/>
      <c r="V651" s="2"/>
      <c r="W651" s="2"/>
      <c r="X651" s="2"/>
      <c r="Y651" s="2"/>
    </row>
    <row r="652" spans="1:25" ht="12.75" customHeight="1">
      <c r="A652" s="26">
        <v>395</v>
      </c>
      <c r="B652" s="27" t="s">
        <v>2115</v>
      </c>
      <c r="C652" s="28">
        <v>39813</v>
      </c>
      <c r="D652" s="27"/>
      <c r="E652" s="27" t="s">
        <v>2118</v>
      </c>
      <c r="F652" s="29" t="s">
        <v>2119</v>
      </c>
      <c r="G652" s="27" t="s">
        <v>2070</v>
      </c>
      <c r="H652" s="27" t="s">
        <v>249</v>
      </c>
      <c r="I652" s="27">
        <v>1</v>
      </c>
      <c r="J652" s="30">
        <v>30833841</v>
      </c>
      <c r="K652" s="26" t="s">
        <v>20</v>
      </c>
      <c r="L652" s="26" t="s">
        <v>284</v>
      </c>
      <c r="M652" s="31" t="s">
        <v>1224</v>
      </c>
      <c r="N652" s="6"/>
      <c r="O652" s="2"/>
      <c r="P652" s="2"/>
      <c r="Q652" s="2"/>
      <c r="R652" s="2"/>
      <c r="S652" s="2"/>
      <c r="T652" s="2"/>
      <c r="U652" s="2"/>
      <c r="V652" s="2"/>
      <c r="W652" s="2"/>
      <c r="X652" s="2"/>
      <c r="Y652" s="2"/>
    </row>
    <row r="653" spans="1:25" ht="25.5" customHeight="1">
      <c r="A653" s="26">
        <v>396</v>
      </c>
      <c r="B653" s="27" t="s">
        <v>1444</v>
      </c>
      <c r="C653" s="28">
        <v>39980</v>
      </c>
      <c r="D653" s="27"/>
      <c r="E653" s="27" t="s">
        <v>2120</v>
      </c>
      <c r="F653" s="29" t="s">
        <v>2121</v>
      </c>
      <c r="G653" s="27" t="s">
        <v>573</v>
      </c>
      <c r="H653" s="27" t="s">
        <v>249</v>
      </c>
      <c r="I653" s="27">
        <v>1</v>
      </c>
      <c r="J653" s="30">
        <v>44886906</v>
      </c>
      <c r="K653" s="26" t="s">
        <v>20</v>
      </c>
      <c r="L653" s="26" t="s">
        <v>284</v>
      </c>
      <c r="M653" s="31" t="s">
        <v>2122</v>
      </c>
      <c r="N653" s="6"/>
      <c r="O653" s="2"/>
      <c r="P653" s="2"/>
      <c r="Q653" s="2"/>
      <c r="R653" s="2"/>
      <c r="S653" s="2"/>
      <c r="T653" s="2"/>
      <c r="U653" s="2"/>
      <c r="V653" s="2"/>
      <c r="W653" s="2"/>
      <c r="X653" s="2"/>
      <c r="Y653" s="2"/>
    </row>
    <row r="654" spans="1:25" ht="25.5" customHeight="1">
      <c r="A654" s="26">
        <v>397</v>
      </c>
      <c r="B654" s="27" t="s">
        <v>1444</v>
      </c>
      <c r="C654" s="28">
        <v>39980</v>
      </c>
      <c r="D654" s="27"/>
      <c r="E654" s="27" t="s">
        <v>2123</v>
      </c>
      <c r="F654" s="29" t="s">
        <v>2124</v>
      </c>
      <c r="G654" s="27" t="s">
        <v>573</v>
      </c>
      <c r="H654" s="27" t="s">
        <v>249</v>
      </c>
      <c r="I654" s="27">
        <v>1</v>
      </c>
      <c r="J654" s="30">
        <v>44886906</v>
      </c>
      <c r="K654" s="26" t="s">
        <v>20</v>
      </c>
      <c r="L654" s="26" t="s">
        <v>284</v>
      </c>
      <c r="M654" s="31" t="s">
        <v>2122</v>
      </c>
      <c r="N654" s="6"/>
      <c r="O654" s="2"/>
      <c r="P654" s="2"/>
      <c r="Q654" s="2"/>
      <c r="R654" s="2"/>
      <c r="S654" s="2"/>
      <c r="T654" s="2"/>
      <c r="U654" s="2"/>
      <c r="V654" s="2"/>
      <c r="W654" s="2"/>
      <c r="X654" s="2"/>
      <c r="Y654" s="2"/>
    </row>
    <row r="655" spans="1:25" ht="25.5" customHeight="1">
      <c r="A655" s="26">
        <v>398</v>
      </c>
      <c r="B655" s="27" t="s">
        <v>1444</v>
      </c>
      <c r="C655" s="28">
        <v>39980</v>
      </c>
      <c r="D655" s="27"/>
      <c r="E655" s="27" t="s">
        <v>2125</v>
      </c>
      <c r="F655" s="29" t="s">
        <v>2126</v>
      </c>
      <c r="G655" s="27" t="s">
        <v>573</v>
      </c>
      <c r="H655" s="27" t="s">
        <v>249</v>
      </c>
      <c r="I655" s="27">
        <v>1</v>
      </c>
      <c r="J655" s="30">
        <v>44886906</v>
      </c>
      <c r="K655" s="26" t="s">
        <v>20</v>
      </c>
      <c r="L655" s="26" t="s">
        <v>284</v>
      </c>
      <c r="M655" s="31" t="s">
        <v>2122</v>
      </c>
      <c r="N655" s="6"/>
      <c r="O655" s="2"/>
      <c r="P655" s="2"/>
      <c r="Q655" s="2"/>
      <c r="R655" s="2"/>
      <c r="S655" s="2"/>
      <c r="T655" s="2"/>
      <c r="U655" s="2"/>
      <c r="V655" s="2"/>
      <c r="W655" s="2"/>
      <c r="X655" s="2"/>
      <c r="Y655" s="2"/>
    </row>
    <row r="656" spans="1:25" ht="25.5" customHeight="1">
      <c r="A656" s="26">
        <v>399</v>
      </c>
      <c r="B656" s="27" t="s">
        <v>1444</v>
      </c>
      <c r="C656" s="28">
        <v>39980</v>
      </c>
      <c r="D656" s="27"/>
      <c r="E656" s="27" t="s">
        <v>2127</v>
      </c>
      <c r="F656" s="29" t="s">
        <v>2128</v>
      </c>
      <c r="G656" s="27" t="s">
        <v>573</v>
      </c>
      <c r="H656" s="27" t="s">
        <v>249</v>
      </c>
      <c r="I656" s="27">
        <v>1</v>
      </c>
      <c r="J656" s="30">
        <v>44886906</v>
      </c>
      <c r="K656" s="26" t="s">
        <v>20</v>
      </c>
      <c r="L656" s="26" t="s">
        <v>284</v>
      </c>
      <c r="M656" s="31" t="s">
        <v>2122</v>
      </c>
      <c r="N656" s="6"/>
      <c r="O656" s="2"/>
      <c r="P656" s="2"/>
      <c r="Q656" s="2"/>
      <c r="R656" s="2"/>
      <c r="S656" s="2"/>
      <c r="T656" s="2"/>
      <c r="U656" s="2"/>
      <c r="V656" s="2"/>
      <c r="W656" s="2"/>
      <c r="X656" s="2"/>
      <c r="Y656" s="2"/>
    </row>
    <row r="657" spans="1:25" ht="25.5" customHeight="1">
      <c r="A657" s="26">
        <v>400</v>
      </c>
      <c r="B657" s="27" t="s">
        <v>1444</v>
      </c>
      <c r="C657" s="28">
        <v>39980</v>
      </c>
      <c r="D657" s="27"/>
      <c r="E657" s="27" t="s">
        <v>2129</v>
      </c>
      <c r="F657" s="29" t="s">
        <v>2130</v>
      </c>
      <c r="G657" s="27" t="s">
        <v>573</v>
      </c>
      <c r="H657" s="27" t="s">
        <v>249</v>
      </c>
      <c r="I657" s="27">
        <v>1</v>
      </c>
      <c r="J657" s="30">
        <v>44886906</v>
      </c>
      <c r="K657" s="26" t="s">
        <v>20</v>
      </c>
      <c r="L657" s="26" t="s">
        <v>284</v>
      </c>
      <c r="M657" s="31" t="s">
        <v>2122</v>
      </c>
      <c r="N657" s="6"/>
      <c r="O657" s="2"/>
      <c r="P657" s="2"/>
      <c r="Q657" s="2"/>
      <c r="R657" s="2"/>
      <c r="S657" s="2"/>
      <c r="T657" s="2"/>
      <c r="U657" s="2"/>
      <c r="V657" s="2"/>
      <c r="W657" s="2"/>
      <c r="X657" s="2"/>
      <c r="Y657" s="2"/>
    </row>
    <row r="658" spans="1:25" ht="25.5" customHeight="1">
      <c r="A658" s="26">
        <v>401</v>
      </c>
      <c r="B658" s="27" t="s">
        <v>1444</v>
      </c>
      <c r="C658" s="28">
        <v>39980</v>
      </c>
      <c r="D658" s="27"/>
      <c r="E658" s="27" t="s">
        <v>2131</v>
      </c>
      <c r="F658" s="29" t="s">
        <v>2132</v>
      </c>
      <c r="G658" s="27" t="s">
        <v>573</v>
      </c>
      <c r="H658" s="27" t="s">
        <v>249</v>
      </c>
      <c r="I658" s="27">
        <v>1</v>
      </c>
      <c r="J658" s="30">
        <v>44886906</v>
      </c>
      <c r="K658" s="26" t="s">
        <v>20</v>
      </c>
      <c r="L658" s="26" t="s">
        <v>284</v>
      </c>
      <c r="M658" s="31" t="s">
        <v>2122</v>
      </c>
      <c r="N658" s="6"/>
      <c r="O658" s="2"/>
      <c r="P658" s="2"/>
      <c r="Q658" s="2"/>
      <c r="R658" s="2"/>
      <c r="S658" s="2"/>
      <c r="T658" s="2"/>
      <c r="U658" s="2"/>
      <c r="V658" s="2"/>
      <c r="W658" s="2"/>
      <c r="X658" s="2"/>
      <c r="Y658" s="2"/>
    </row>
    <row r="659" spans="1:25" ht="25.5" customHeight="1">
      <c r="A659" s="26">
        <v>402</v>
      </c>
      <c r="B659" s="27" t="s">
        <v>1444</v>
      </c>
      <c r="C659" s="28">
        <v>39980</v>
      </c>
      <c r="D659" s="27"/>
      <c r="E659" s="27" t="s">
        <v>2133</v>
      </c>
      <c r="F659" s="29" t="s">
        <v>2134</v>
      </c>
      <c r="G659" s="27" t="s">
        <v>573</v>
      </c>
      <c r="H659" s="27" t="s">
        <v>249</v>
      </c>
      <c r="I659" s="27">
        <v>1</v>
      </c>
      <c r="J659" s="30">
        <v>44886906</v>
      </c>
      <c r="K659" s="26" t="s">
        <v>20</v>
      </c>
      <c r="L659" s="26" t="s">
        <v>284</v>
      </c>
      <c r="M659" s="31" t="s">
        <v>2122</v>
      </c>
      <c r="N659" s="6"/>
      <c r="O659" s="2"/>
      <c r="P659" s="2"/>
      <c r="Q659" s="2"/>
      <c r="R659" s="2"/>
      <c r="S659" s="2"/>
      <c r="T659" s="2"/>
      <c r="U659" s="2"/>
      <c r="V659" s="2"/>
      <c r="W659" s="2"/>
      <c r="X659" s="2"/>
      <c r="Y659" s="2"/>
    </row>
    <row r="660" spans="1:25" ht="25.5" customHeight="1">
      <c r="A660" s="26">
        <v>403</v>
      </c>
      <c r="B660" s="27" t="s">
        <v>1444</v>
      </c>
      <c r="C660" s="28">
        <v>39980</v>
      </c>
      <c r="D660" s="27"/>
      <c r="E660" s="27" t="s">
        <v>2135</v>
      </c>
      <c r="F660" s="29" t="s">
        <v>2136</v>
      </c>
      <c r="G660" s="27" t="s">
        <v>573</v>
      </c>
      <c r="H660" s="27" t="s">
        <v>249</v>
      </c>
      <c r="I660" s="27">
        <v>1</v>
      </c>
      <c r="J660" s="30">
        <v>44886906</v>
      </c>
      <c r="K660" s="26" t="s">
        <v>20</v>
      </c>
      <c r="L660" s="26" t="s">
        <v>284</v>
      </c>
      <c r="M660" s="31" t="s">
        <v>2122</v>
      </c>
      <c r="N660" s="6"/>
      <c r="O660" s="2"/>
      <c r="P660" s="2"/>
      <c r="Q660" s="2"/>
      <c r="R660" s="2"/>
      <c r="S660" s="2"/>
      <c r="T660" s="2"/>
      <c r="U660" s="2"/>
      <c r="V660" s="2"/>
      <c r="W660" s="2"/>
      <c r="X660" s="2"/>
      <c r="Y660" s="2"/>
    </row>
    <row r="661" spans="1:25" ht="25.5" customHeight="1">
      <c r="A661" s="26">
        <v>404</v>
      </c>
      <c r="B661" s="27" t="s">
        <v>1444</v>
      </c>
      <c r="C661" s="28">
        <v>39980</v>
      </c>
      <c r="D661" s="27"/>
      <c r="E661" s="27" t="s">
        <v>2137</v>
      </c>
      <c r="F661" s="29" t="s">
        <v>2138</v>
      </c>
      <c r="G661" s="27" t="s">
        <v>573</v>
      </c>
      <c r="H661" s="27" t="s">
        <v>249</v>
      </c>
      <c r="I661" s="27">
        <v>1</v>
      </c>
      <c r="J661" s="30">
        <v>44886906</v>
      </c>
      <c r="K661" s="26" t="s">
        <v>20</v>
      </c>
      <c r="L661" s="26" t="s">
        <v>284</v>
      </c>
      <c r="M661" s="31" t="s">
        <v>2122</v>
      </c>
      <c r="N661" s="6"/>
      <c r="O661" s="2"/>
      <c r="P661" s="2"/>
      <c r="Q661" s="2"/>
      <c r="R661" s="2"/>
      <c r="S661" s="2"/>
      <c r="T661" s="2"/>
      <c r="U661" s="2"/>
      <c r="V661" s="2"/>
      <c r="W661" s="2"/>
      <c r="X661" s="2"/>
      <c r="Y661" s="2"/>
    </row>
    <row r="662" spans="1:25" ht="25.5" customHeight="1">
      <c r="A662" s="26">
        <v>405</v>
      </c>
      <c r="B662" s="27" t="s">
        <v>1444</v>
      </c>
      <c r="C662" s="28">
        <v>39980</v>
      </c>
      <c r="D662" s="27"/>
      <c r="E662" s="27" t="s">
        <v>2139</v>
      </c>
      <c r="F662" s="29" t="s">
        <v>2140</v>
      </c>
      <c r="G662" s="27" t="s">
        <v>573</v>
      </c>
      <c r="H662" s="27" t="s">
        <v>249</v>
      </c>
      <c r="I662" s="27">
        <v>1</v>
      </c>
      <c r="J662" s="30">
        <v>44886906</v>
      </c>
      <c r="K662" s="26" t="s">
        <v>20</v>
      </c>
      <c r="L662" s="26" t="s">
        <v>284</v>
      </c>
      <c r="M662" s="31" t="s">
        <v>2122</v>
      </c>
      <c r="N662" s="6"/>
      <c r="O662" s="2"/>
      <c r="P662" s="2"/>
      <c r="Q662" s="2"/>
      <c r="R662" s="2"/>
      <c r="S662" s="2"/>
      <c r="T662" s="2"/>
      <c r="U662" s="2"/>
      <c r="V662" s="2"/>
      <c r="W662" s="2"/>
      <c r="X662" s="2"/>
      <c r="Y662" s="2"/>
    </row>
    <row r="663" spans="1:25" ht="12.75" customHeight="1">
      <c r="A663" s="26">
        <v>406</v>
      </c>
      <c r="B663" s="27" t="s">
        <v>1516</v>
      </c>
      <c r="C663" s="28">
        <v>40352</v>
      </c>
      <c r="D663" s="27"/>
      <c r="E663" s="27" t="s">
        <v>2141</v>
      </c>
      <c r="F663" s="29" t="s">
        <v>2142</v>
      </c>
      <c r="G663" s="27" t="s">
        <v>573</v>
      </c>
      <c r="H663" s="27" t="s">
        <v>19</v>
      </c>
      <c r="I663" s="27">
        <v>1</v>
      </c>
      <c r="J663" s="30">
        <v>47554119</v>
      </c>
      <c r="K663" s="26" t="s">
        <v>20</v>
      </c>
      <c r="L663" s="26" t="s">
        <v>284</v>
      </c>
      <c r="M663" s="31" t="s">
        <v>2143</v>
      </c>
      <c r="N663" s="6"/>
      <c r="O663" s="2"/>
      <c r="P663" s="2"/>
      <c r="Q663" s="2"/>
      <c r="R663" s="2"/>
      <c r="S663" s="2"/>
      <c r="T663" s="2"/>
      <c r="U663" s="2"/>
      <c r="V663" s="2"/>
      <c r="W663" s="2"/>
      <c r="X663" s="2"/>
      <c r="Y663" s="2"/>
    </row>
    <row r="664" spans="1:25" ht="12.75" customHeight="1">
      <c r="A664" s="26">
        <v>407</v>
      </c>
      <c r="B664" s="27" t="s">
        <v>1516</v>
      </c>
      <c r="C664" s="28">
        <v>40352</v>
      </c>
      <c r="D664" s="27"/>
      <c r="E664" s="27" t="s">
        <v>2144</v>
      </c>
      <c r="F664" s="29" t="s">
        <v>2142</v>
      </c>
      <c r="G664" s="27" t="s">
        <v>573</v>
      </c>
      <c r="H664" s="27" t="s">
        <v>19</v>
      </c>
      <c r="I664" s="27">
        <v>1</v>
      </c>
      <c r="J664" s="30">
        <v>47554119</v>
      </c>
      <c r="K664" s="26" t="s">
        <v>20</v>
      </c>
      <c r="L664" s="26" t="s">
        <v>284</v>
      </c>
      <c r="M664" s="31" t="s">
        <v>2145</v>
      </c>
      <c r="N664" s="6"/>
      <c r="O664" s="2"/>
      <c r="P664" s="2"/>
      <c r="Q664" s="2"/>
      <c r="R664" s="2"/>
      <c r="S664" s="2"/>
      <c r="T664" s="2"/>
      <c r="U664" s="2"/>
      <c r="V664" s="2"/>
      <c r="W664" s="2"/>
      <c r="X664" s="2"/>
      <c r="Y664" s="2"/>
    </row>
    <row r="665" spans="1:25" ht="12.75" customHeight="1">
      <c r="A665" s="26">
        <v>408</v>
      </c>
      <c r="B665" s="27" t="s">
        <v>1516</v>
      </c>
      <c r="C665" s="28">
        <v>40352</v>
      </c>
      <c r="D665" s="27"/>
      <c r="E665" s="27" t="s">
        <v>2146</v>
      </c>
      <c r="F665" s="29" t="s">
        <v>2142</v>
      </c>
      <c r="G665" s="27" t="s">
        <v>573</v>
      </c>
      <c r="H665" s="27" t="s">
        <v>19</v>
      </c>
      <c r="I665" s="27">
        <v>1</v>
      </c>
      <c r="J665" s="30">
        <v>47554119</v>
      </c>
      <c r="K665" s="26" t="s">
        <v>20</v>
      </c>
      <c r="L665" s="26" t="s">
        <v>284</v>
      </c>
      <c r="M665" s="31" t="s">
        <v>2145</v>
      </c>
      <c r="N665" s="6"/>
      <c r="O665" s="2"/>
      <c r="P665" s="2"/>
      <c r="Q665" s="2"/>
      <c r="R665" s="2"/>
      <c r="S665" s="2"/>
      <c r="T665" s="2"/>
      <c r="U665" s="2"/>
      <c r="V665" s="2"/>
      <c r="W665" s="2"/>
      <c r="X665" s="2"/>
      <c r="Y665" s="2"/>
    </row>
    <row r="666" spans="1:25" ht="12.75" customHeight="1">
      <c r="A666" s="26">
        <v>409</v>
      </c>
      <c r="B666" s="27" t="s">
        <v>1516</v>
      </c>
      <c r="C666" s="28">
        <v>40352</v>
      </c>
      <c r="D666" s="27"/>
      <c r="E666" s="27" t="s">
        <v>2147</v>
      </c>
      <c r="F666" s="29" t="s">
        <v>2142</v>
      </c>
      <c r="G666" s="27" t="s">
        <v>573</v>
      </c>
      <c r="H666" s="27" t="s">
        <v>19</v>
      </c>
      <c r="I666" s="27">
        <v>1</v>
      </c>
      <c r="J666" s="30">
        <v>47554119</v>
      </c>
      <c r="K666" s="26" t="s">
        <v>20</v>
      </c>
      <c r="L666" s="26" t="s">
        <v>284</v>
      </c>
      <c r="M666" s="31" t="s">
        <v>2145</v>
      </c>
      <c r="N666" s="6"/>
      <c r="O666" s="2"/>
      <c r="P666" s="2"/>
      <c r="Q666" s="2"/>
      <c r="R666" s="2"/>
      <c r="S666" s="2"/>
      <c r="T666" s="2"/>
      <c r="U666" s="2"/>
      <c r="V666" s="2"/>
      <c r="W666" s="2"/>
      <c r="X666" s="2"/>
      <c r="Y666" s="2"/>
    </row>
    <row r="667" spans="1:25" ht="12.75" customHeight="1">
      <c r="A667" s="26">
        <v>410</v>
      </c>
      <c r="B667" s="27" t="s">
        <v>1516</v>
      </c>
      <c r="C667" s="28">
        <v>40352</v>
      </c>
      <c r="D667" s="27"/>
      <c r="E667" s="27" t="s">
        <v>2148</v>
      </c>
      <c r="F667" s="29" t="s">
        <v>2142</v>
      </c>
      <c r="G667" s="27" t="s">
        <v>573</v>
      </c>
      <c r="H667" s="27" t="s">
        <v>19</v>
      </c>
      <c r="I667" s="27">
        <v>1</v>
      </c>
      <c r="J667" s="30">
        <v>47554119</v>
      </c>
      <c r="K667" s="26" t="s">
        <v>20</v>
      </c>
      <c r="L667" s="26" t="s">
        <v>284</v>
      </c>
      <c r="M667" s="31" t="s">
        <v>2145</v>
      </c>
      <c r="N667" s="6"/>
      <c r="O667" s="2"/>
      <c r="P667" s="2"/>
      <c r="Q667" s="2"/>
      <c r="R667" s="2"/>
      <c r="S667" s="2"/>
      <c r="T667" s="2"/>
      <c r="U667" s="2"/>
      <c r="V667" s="2"/>
      <c r="W667" s="2"/>
      <c r="X667" s="2"/>
      <c r="Y667" s="2"/>
    </row>
    <row r="668" spans="1:25" ht="12.75" customHeight="1">
      <c r="A668" s="26">
        <v>411</v>
      </c>
      <c r="B668" s="27" t="s">
        <v>1516</v>
      </c>
      <c r="C668" s="28">
        <v>40352</v>
      </c>
      <c r="D668" s="27"/>
      <c r="E668" s="27" t="s">
        <v>2149</v>
      </c>
      <c r="F668" s="29" t="s">
        <v>2142</v>
      </c>
      <c r="G668" s="27" t="s">
        <v>573</v>
      </c>
      <c r="H668" s="27" t="s">
        <v>19</v>
      </c>
      <c r="I668" s="27">
        <v>1</v>
      </c>
      <c r="J668" s="30">
        <v>47554119</v>
      </c>
      <c r="K668" s="26" t="s">
        <v>20</v>
      </c>
      <c r="L668" s="26" t="s">
        <v>284</v>
      </c>
      <c r="M668" s="31" t="s">
        <v>2145</v>
      </c>
      <c r="N668" s="6"/>
      <c r="O668" s="2"/>
      <c r="P668" s="2"/>
      <c r="Q668" s="2"/>
      <c r="R668" s="2"/>
      <c r="S668" s="2"/>
      <c r="T668" s="2"/>
      <c r="U668" s="2"/>
      <c r="V668" s="2"/>
      <c r="W668" s="2"/>
      <c r="X668" s="2"/>
      <c r="Y668" s="2"/>
    </row>
    <row r="669" spans="1:25" ht="12.75" customHeight="1">
      <c r="A669" s="26">
        <v>412</v>
      </c>
      <c r="B669" s="27" t="s">
        <v>1516</v>
      </c>
      <c r="C669" s="28">
        <v>40352</v>
      </c>
      <c r="D669" s="27"/>
      <c r="E669" s="27" t="s">
        <v>2150</v>
      </c>
      <c r="F669" s="29" t="s">
        <v>2142</v>
      </c>
      <c r="G669" s="27" t="s">
        <v>573</v>
      </c>
      <c r="H669" s="27" t="s">
        <v>19</v>
      </c>
      <c r="I669" s="27">
        <v>1</v>
      </c>
      <c r="J669" s="30">
        <v>47554119</v>
      </c>
      <c r="K669" s="26" t="s">
        <v>20</v>
      </c>
      <c r="L669" s="26" t="s">
        <v>284</v>
      </c>
      <c r="M669" s="31" t="s">
        <v>2145</v>
      </c>
      <c r="N669" s="6"/>
      <c r="O669" s="2"/>
      <c r="P669" s="2"/>
      <c r="Q669" s="2"/>
      <c r="R669" s="2"/>
      <c r="S669" s="2"/>
      <c r="T669" s="2"/>
      <c r="U669" s="2"/>
      <c r="V669" s="2"/>
      <c r="W669" s="2"/>
      <c r="X669" s="2"/>
      <c r="Y669" s="2"/>
    </row>
    <row r="670" spans="1:25" ht="12.75" customHeight="1">
      <c r="A670" s="26">
        <v>413</v>
      </c>
      <c r="B670" s="27" t="s">
        <v>1516</v>
      </c>
      <c r="C670" s="28">
        <v>40352</v>
      </c>
      <c r="D670" s="27"/>
      <c r="E670" s="27" t="s">
        <v>2151</v>
      </c>
      <c r="F670" s="29" t="s">
        <v>2142</v>
      </c>
      <c r="G670" s="27" t="s">
        <v>573</v>
      </c>
      <c r="H670" s="27" t="s">
        <v>19</v>
      </c>
      <c r="I670" s="27">
        <v>1</v>
      </c>
      <c r="J670" s="30">
        <v>47554119</v>
      </c>
      <c r="K670" s="26" t="s">
        <v>20</v>
      </c>
      <c r="L670" s="26" t="s">
        <v>284</v>
      </c>
      <c r="M670" s="31" t="s">
        <v>2145</v>
      </c>
      <c r="N670" s="6"/>
      <c r="O670" s="2"/>
      <c r="P670" s="2"/>
      <c r="Q670" s="2"/>
      <c r="R670" s="2"/>
      <c r="S670" s="2"/>
      <c r="T670" s="2"/>
      <c r="U670" s="2"/>
      <c r="V670" s="2"/>
      <c r="W670" s="2"/>
      <c r="X670" s="2"/>
      <c r="Y670" s="2"/>
    </row>
    <row r="671" spans="1:25" ht="12.75" customHeight="1">
      <c r="A671" s="26">
        <v>414</v>
      </c>
      <c r="B671" s="27" t="s">
        <v>1516</v>
      </c>
      <c r="C671" s="28">
        <v>40352</v>
      </c>
      <c r="D671" s="27"/>
      <c r="E671" s="27" t="s">
        <v>2152</v>
      </c>
      <c r="F671" s="29" t="s">
        <v>2142</v>
      </c>
      <c r="G671" s="27" t="s">
        <v>573</v>
      </c>
      <c r="H671" s="27" t="s">
        <v>19</v>
      </c>
      <c r="I671" s="27">
        <v>1</v>
      </c>
      <c r="J671" s="30">
        <v>47554119</v>
      </c>
      <c r="K671" s="26" t="s">
        <v>20</v>
      </c>
      <c r="L671" s="26" t="s">
        <v>284</v>
      </c>
      <c r="M671" s="31" t="s">
        <v>2145</v>
      </c>
      <c r="N671" s="6"/>
      <c r="O671" s="2"/>
      <c r="P671" s="2"/>
      <c r="Q671" s="2"/>
      <c r="R671" s="2"/>
      <c r="S671" s="2"/>
      <c r="T671" s="2"/>
      <c r="U671" s="2"/>
      <c r="V671" s="2"/>
      <c r="W671" s="2"/>
      <c r="X671" s="2"/>
      <c r="Y671" s="2"/>
    </row>
    <row r="672" spans="1:25" ht="12.75" customHeight="1">
      <c r="A672" s="26">
        <v>415</v>
      </c>
      <c r="B672" s="27" t="s">
        <v>1516</v>
      </c>
      <c r="C672" s="28">
        <v>40352</v>
      </c>
      <c r="D672" s="27"/>
      <c r="E672" s="27" t="s">
        <v>2153</v>
      </c>
      <c r="F672" s="29" t="s">
        <v>2142</v>
      </c>
      <c r="G672" s="27" t="s">
        <v>573</v>
      </c>
      <c r="H672" s="27" t="s">
        <v>19</v>
      </c>
      <c r="I672" s="27">
        <v>1</v>
      </c>
      <c r="J672" s="30">
        <v>47554119</v>
      </c>
      <c r="K672" s="26" t="s">
        <v>20</v>
      </c>
      <c r="L672" s="26" t="s">
        <v>284</v>
      </c>
      <c r="M672" s="31" t="s">
        <v>2145</v>
      </c>
      <c r="N672" s="6"/>
      <c r="O672" s="2"/>
      <c r="P672" s="2"/>
      <c r="Q672" s="2"/>
      <c r="R672" s="2"/>
      <c r="S672" s="2"/>
      <c r="T672" s="2"/>
      <c r="U672" s="2"/>
      <c r="V672" s="2"/>
      <c r="W672" s="2"/>
      <c r="X672" s="2"/>
      <c r="Y672" s="2"/>
    </row>
    <row r="673" spans="1:25" ht="12.75" customHeight="1">
      <c r="A673" s="26">
        <v>416</v>
      </c>
      <c r="B673" s="27" t="s">
        <v>1516</v>
      </c>
      <c r="C673" s="28">
        <v>40352</v>
      </c>
      <c r="D673" s="27"/>
      <c r="E673" s="27" t="s">
        <v>2154</v>
      </c>
      <c r="F673" s="29" t="s">
        <v>2142</v>
      </c>
      <c r="G673" s="27" t="s">
        <v>573</v>
      </c>
      <c r="H673" s="27" t="s">
        <v>19</v>
      </c>
      <c r="I673" s="27">
        <v>1</v>
      </c>
      <c r="J673" s="30">
        <v>47554119</v>
      </c>
      <c r="K673" s="26" t="s">
        <v>20</v>
      </c>
      <c r="L673" s="26" t="s">
        <v>284</v>
      </c>
      <c r="M673" s="31" t="s">
        <v>2145</v>
      </c>
      <c r="N673" s="6"/>
      <c r="O673" s="2"/>
      <c r="P673" s="2"/>
      <c r="Q673" s="2"/>
      <c r="R673" s="2"/>
      <c r="S673" s="2"/>
      <c r="T673" s="2"/>
      <c r="U673" s="2"/>
      <c r="V673" s="2"/>
      <c r="W673" s="2"/>
      <c r="X673" s="2"/>
      <c r="Y673" s="2"/>
    </row>
    <row r="674" spans="1:25" ht="12.75" customHeight="1">
      <c r="A674" s="26">
        <v>417</v>
      </c>
      <c r="B674" s="27" t="s">
        <v>1516</v>
      </c>
      <c r="C674" s="28">
        <v>40352</v>
      </c>
      <c r="D674" s="27"/>
      <c r="E674" s="27" t="s">
        <v>2155</v>
      </c>
      <c r="F674" s="29" t="s">
        <v>2142</v>
      </c>
      <c r="G674" s="27" t="s">
        <v>573</v>
      </c>
      <c r="H674" s="27" t="s">
        <v>19</v>
      </c>
      <c r="I674" s="27">
        <v>1</v>
      </c>
      <c r="J674" s="30">
        <v>47554119</v>
      </c>
      <c r="K674" s="26" t="s">
        <v>20</v>
      </c>
      <c r="L674" s="26" t="s">
        <v>284</v>
      </c>
      <c r="M674" s="31" t="s">
        <v>2145</v>
      </c>
      <c r="N674" s="6"/>
      <c r="O674" s="2"/>
      <c r="P674" s="2"/>
      <c r="Q674" s="2"/>
      <c r="R674" s="2"/>
      <c r="S674" s="2"/>
      <c r="T674" s="2"/>
      <c r="U674" s="2"/>
      <c r="V674" s="2"/>
      <c r="W674" s="2"/>
      <c r="X674" s="2"/>
      <c r="Y674" s="2"/>
    </row>
    <row r="675" spans="1:25" ht="12.75" customHeight="1">
      <c r="A675" s="26">
        <v>418</v>
      </c>
      <c r="B675" s="27" t="s">
        <v>1516</v>
      </c>
      <c r="C675" s="28">
        <v>40352</v>
      </c>
      <c r="D675" s="27"/>
      <c r="E675" s="27" t="s">
        <v>2156</v>
      </c>
      <c r="F675" s="29" t="s">
        <v>2142</v>
      </c>
      <c r="G675" s="27" t="s">
        <v>573</v>
      </c>
      <c r="H675" s="27" t="s">
        <v>19</v>
      </c>
      <c r="I675" s="27">
        <v>1</v>
      </c>
      <c r="J675" s="30">
        <v>47554119</v>
      </c>
      <c r="K675" s="26" t="s">
        <v>20</v>
      </c>
      <c r="L675" s="26" t="s">
        <v>284</v>
      </c>
      <c r="M675" s="31" t="s">
        <v>2145</v>
      </c>
      <c r="N675" s="6"/>
      <c r="O675" s="2"/>
      <c r="P675" s="2"/>
      <c r="Q675" s="2"/>
      <c r="R675" s="2"/>
      <c r="S675" s="2"/>
      <c r="T675" s="2"/>
      <c r="U675" s="2"/>
      <c r="V675" s="2"/>
      <c r="W675" s="2"/>
      <c r="X675" s="2"/>
      <c r="Y675" s="2"/>
    </row>
    <row r="676" spans="1:25" ht="12.75" customHeight="1">
      <c r="A676" s="26">
        <v>419</v>
      </c>
      <c r="B676" s="27" t="s">
        <v>1516</v>
      </c>
      <c r="C676" s="28">
        <v>40352</v>
      </c>
      <c r="D676" s="27"/>
      <c r="E676" s="27" t="s">
        <v>2157</v>
      </c>
      <c r="F676" s="29" t="s">
        <v>2142</v>
      </c>
      <c r="G676" s="27" t="s">
        <v>573</v>
      </c>
      <c r="H676" s="27" t="s">
        <v>19</v>
      </c>
      <c r="I676" s="27">
        <v>1</v>
      </c>
      <c r="J676" s="30">
        <v>47554119</v>
      </c>
      <c r="K676" s="26" t="s">
        <v>20</v>
      </c>
      <c r="L676" s="26" t="s">
        <v>284</v>
      </c>
      <c r="M676" s="31" t="s">
        <v>1224</v>
      </c>
      <c r="N676" s="6"/>
      <c r="O676" s="2"/>
      <c r="P676" s="2"/>
      <c r="Q676" s="2"/>
      <c r="R676" s="2"/>
      <c r="S676" s="2"/>
      <c r="T676" s="2"/>
      <c r="U676" s="2"/>
      <c r="V676" s="2"/>
      <c r="W676" s="2"/>
      <c r="X676" s="2"/>
      <c r="Y676" s="2"/>
    </row>
    <row r="677" spans="1:25" ht="12.75" customHeight="1">
      <c r="A677" s="26">
        <v>420</v>
      </c>
      <c r="B677" s="27" t="s">
        <v>1516</v>
      </c>
      <c r="C677" s="28">
        <v>40352</v>
      </c>
      <c r="D677" s="27"/>
      <c r="E677" s="27" t="s">
        <v>2158</v>
      </c>
      <c r="F677" s="29" t="s">
        <v>2159</v>
      </c>
      <c r="G677" s="27" t="s">
        <v>573</v>
      </c>
      <c r="H677" s="27" t="s">
        <v>19</v>
      </c>
      <c r="I677" s="27">
        <v>1</v>
      </c>
      <c r="J677" s="30">
        <v>41172398</v>
      </c>
      <c r="K677" s="26" t="s">
        <v>20</v>
      </c>
      <c r="L677" s="26" t="s">
        <v>284</v>
      </c>
      <c r="M677" s="31" t="s">
        <v>1224</v>
      </c>
      <c r="N677" s="6"/>
      <c r="O677" s="2"/>
      <c r="P677" s="2"/>
      <c r="Q677" s="2"/>
      <c r="R677" s="2"/>
      <c r="S677" s="2"/>
      <c r="T677" s="2"/>
      <c r="U677" s="2"/>
      <c r="V677" s="2"/>
      <c r="W677" s="2"/>
      <c r="X677" s="2"/>
      <c r="Y677" s="2"/>
    </row>
    <row r="678" spans="1:25" ht="12.75" customHeight="1">
      <c r="A678" s="26">
        <v>421</v>
      </c>
      <c r="B678" s="27" t="s">
        <v>1516</v>
      </c>
      <c r="C678" s="28">
        <v>40352</v>
      </c>
      <c r="D678" s="27"/>
      <c r="E678" s="27" t="s">
        <v>2160</v>
      </c>
      <c r="F678" s="29" t="s">
        <v>2159</v>
      </c>
      <c r="G678" s="27" t="s">
        <v>573</v>
      </c>
      <c r="H678" s="27" t="s">
        <v>19</v>
      </c>
      <c r="I678" s="27">
        <v>1</v>
      </c>
      <c r="J678" s="30">
        <v>41172398</v>
      </c>
      <c r="K678" s="26" t="s">
        <v>20</v>
      </c>
      <c r="L678" s="26" t="s">
        <v>284</v>
      </c>
      <c r="M678" s="31" t="s">
        <v>2145</v>
      </c>
      <c r="N678" s="6"/>
      <c r="O678" s="2"/>
      <c r="P678" s="2"/>
      <c r="Q678" s="2"/>
      <c r="R678" s="2"/>
      <c r="S678" s="2"/>
      <c r="T678" s="2"/>
      <c r="U678" s="2"/>
      <c r="V678" s="2"/>
      <c r="W678" s="2"/>
      <c r="X678" s="2"/>
      <c r="Y678" s="2"/>
    </row>
    <row r="679" spans="1:25" ht="12.75" customHeight="1">
      <c r="A679" s="26">
        <v>422</v>
      </c>
      <c r="B679" s="27" t="s">
        <v>1516</v>
      </c>
      <c r="C679" s="28">
        <v>40352</v>
      </c>
      <c r="D679" s="27"/>
      <c r="E679" s="27" t="s">
        <v>2161</v>
      </c>
      <c r="F679" s="29" t="s">
        <v>2159</v>
      </c>
      <c r="G679" s="27" t="s">
        <v>573</v>
      </c>
      <c r="H679" s="27" t="s">
        <v>19</v>
      </c>
      <c r="I679" s="27">
        <v>1</v>
      </c>
      <c r="J679" s="30">
        <v>41172398</v>
      </c>
      <c r="K679" s="26" t="s">
        <v>20</v>
      </c>
      <c r="L679" s="26" t="s">
        <v>284</v>
      </c>
      <c r="M679" s="31" t="s">
        <v>2145</v>
      </c>
      <c r="N679" s="6"/>
      <c r="O679" s="2"/>
      <c r="P679" s="2"/>
      <c r="Q679" s="2"/>
      <c r="R679" s="2"/>
      <c r="S679" s="2"/>
      <c r="T679" s="2"/>
      <c r="U679" s="2"/>
      <c r="V679" s="2"/>
      <c r="W679" s="2"/>
      <c r="X679" s="2"/>
      <c r="Y679" s="2"/>
    </row>
    <row r="680" spans="1:25" ht="12.75" customHeight="1">
      <c r="A680" s="26">
        <v>423</v>
      </c>
      <c r="B680" s="27" t="s">
        <v>1516</v>
      </c>
      <c r="C680" s="28">
        <v>40352</v>
      </c>
      <c r="D680" s="27"/>
      <c r="E680" s="27" t="s">
        <v>2162</v>
      </c>
      <c r="F680" s="29" t="s">
        <v>2159</v>
      </c>
      <c r="G680" s="27" t="s">
        <v>573</v>
      </c>
      <c r="H680" s="27" t="s">
        <v>19</v>
      </c>
      <c r="I680" s="27">
        <v>1</v>
      </c>
      <c r="J680" s="30">
        <v>41172398</v>
      </c>
      <c r="K680" s="26" t="s">
        <v>20</v>
      </c>
      <c r="L680" s="26" t="s">
        <v>284</v>
      </c>
      <c r="M680" s="31" t="s">
        <v>2145</v>
      </c>
      <c r="N680" s="6"/>
      <c r="O680" s="2"/>
      <c r="P680" s="2"/>
      <c r="Q680" s="2"/>
      <c r="R680" s="2"/>
      <c r="S680" s="2"/>
      <c r="T680" s="2"/>
      <c r="U680" s="2"/>
      <c r="V680" s="2"/>
      <c r="W680" s="2"/>
      <c r="X680" s="2"/>
      <c r="Y680" s="2"/>
    </row>
    <row r="681" spans="1:25" ht="12.75" customHeight="1">
      <c r="A681" s="26">
        <v>424</v>
      </c>
      <c r="B681" s="27" t="s">
        <v>1516</v>
      </c>
      <c r="C681" s="28">
        <v>40352</v>
      </c>
      <c r="D681" s="27"/>
      <c r="E681" s="27" t="s">
        <v>2163</v>
      </c>
      <c r="F681" s="29" t="s">
        <v>2159</v>
      </c>
      <c r="G681" s="27" t="s">
        <v>573</v>
      </c>
      <c r="H681" s="27" t="s">
        <v>19</v>
      </c>
      <c r="I681" s="27">
        <v>1</v>
      </c>
      <c r="J681" s="30">
        <v>41172398</v>
      </c>
      <c r="K681" s="26" t="s">
        <v>20</v>
      </c>
      <c r="L681" s="26" t="s">
        <v>284</v>
      </c>
      <c r="M681" s="31" t="s">
        <v>2145</v>
      </c>
      <c r="N681" s="6"/>
      <c r="O681" s="2"/>
      <c r="P681" s="2"/>
      <c r="Q681" s="2"/>
      <c r="R681" s="2"/>
      <c r="S681" s="2"/>
      <c r="T681" s="2"/>
      <c r="U681" s="2"/>
      <c r="V681" s="2"/>
      <c r="W681" s="2"/>
      <c r="X681" s="2"/>
      <c r="Y681" s="2"/>
    </row>
    <row r="682" spans="1:25" ht="12.75" customHeight="1">
      <c r="A682" s="26">
        <v>425</v>
      </c>
      <c r="B682" s="27" t="s">
        <v>1516</v>
      </c>
      <c r="C682" s="28">
        <v>40352</v>
      </c>
      <c r="D682" s="27"/>
      <c r="E682" s="27" t="s">
        <v>2164</v>
      </c>
      <c r="F682" s="29" t="s">
        <v>2159</v>
      </c>
      <c r="G682" s="27" t="s">
        <v>573</v>
      </c>
      <c r="H682" s="27" t="s">
        <v>19</v>
      </c>
      <c r="I682" s="27">
        <v>1</v>
      </c>
      <c r="J682" s="30">
        <v>41172398</v>
      </c>
      <c r="K682" s="26" t="s">
        <v>20</v>
      </c>
      <c r="L682" s="26" t="s">
        <v>284</v>
      </c>
      <c r="M682" s="31" t="s">
        <v>2145</v>
      </c>
      <c r="N682" s="6"/>
      <c r="O682" s="2"/>
      <c r="P682" s="2"/>
      <c r="Q682" s="2"/>
      <c r="R682" s="2"/>
      <c r="S682" s="2"/>
      <c r="T682" s="2"/>
      <c r="U682" s="2"/>
      <c r="V682" s="2"/>
      <c r="W682" s="2"/>
      <c r="X682" s="2"/>
      <c r="Y682" s="2"/>
    </row>
    <row r="683" spans="1:25" ht="12.75" customHeight="1">
      <c r="A683" s="26">
        <v>426</v>
      </c>
      <c r="B683" s="27" t="s">
        <v>1516</v>
      </c>
      <c r="C683" s="28">
        <v>40352</v>
      </c>
      <c r="D683" s="27"/>
      <c r="E683" s="27" t="s">
        <v>2165</v>
      </c>
      <c r="F683" s="29" t="s">
        <v>2159</v>
      </c>
      <c r="G683" s="27" t="s">
        <v>573</v>
      </c>
      <c r="H683" s="27" t="s">
        <v>19</v>
      </c>
      <c r="I683" s="27">
        <v>1</v>
      </c>
      <c r="J683" s="30">
        <v>41172398</v>
      </c>
      <c r="K683" s="26" t="s">
        <v>20</v>
      </c>
      <c r="L683" s="26" t="s">
        <v>284</v>
      </c>
      <c r="M683" s="31" t="s">
        <v>1224</v>
      </c>
      <c r="N683" s="6"/>
      <c r="O683" s="2"/>
      <c r="P683" s="2"/>
      <c r="Q683" s="2"/>
      <c r="R683" s="2"/>
      <c r="S683" s="2"/>
      <c r="T683" s="2"/>
      <c r="U683" s="2"/>
      <c r="V683" s="2"/>
      <c r="W683" s="2"/>
      <c r="X683" s="2"/>
      <c r="Y683" s="2"/>
    </row>
    <row r="684" spans="1:25" ht="12.75" customHeight="1">
      <c r="A684" s="26">
        <v>427</v>
      </c>
      <c r="B684" s="27" t="s">
        <v>1516</v>
      </c>
      <c r="C684" s="28">
        <v>40352</v>
      </c>
      <c r="D684" s="27"/>
      <c r="E684" s="27" t="s">
        <v>2166</v>
      </c>
      <c r="F684" s="29" t="s">
        <v>2159</v>
      </c>
      <c r="G684" s="27" t="s">
        <v>573</v>
      </c>
      <c r="H684" s="27" t="s">
        <v>19</v>
      </c>
      <c r="I684" s="27">
        <v>1</v>
      </c>
      <c r="J684" s="30">
        <v>41172398</v>
      </c>
      <c r="K684" s="26" t="s">
        <v>20</v>
      </c>
      <c r="L684" s="26" t="s">
        <v>284</v>
      </c>
      <c r="M684" s="31" t="s">
        <v>1224</v>
      </c>
      <c r="N684" s="6"/>
      <c r="O684" s="2"/>
      <c r="P684" s="2"/>
      <c r="Q684" s="2"/>
      <c r="R684" s="2"/>
      <c r="S684" s="2"/>
      <c r="T684" s="2"/>
      <c r="U684" s="2"/>
      <c r="V684" s="2"/>
      <c r="W684" s="2"/>
      <c r="X684" s="2"/>
      <c r="Y684" s="2"/>
    </row>
    <row r="685" spans="1:25" ht="12.75" customHeight="1">
      <c r="A685" s="26">
        <v>428</v>
      </c>
      <c r="B685" s="27" t="s">
        <v>1516</v>
      </c>
      <c r="C685" s="28">
        <v>40352</v>
      </c>
      <c r="D685" s="27"/>
      <c r="E685" s="27" t="s">
        <v>2167</v>
      </c>
      <c r="F685" s="29" t="s">
        <v>2159</v>
      </c>
      <c r="G685" s="27" t="s">
        <v>573</v>
      </c>
      <c r="H685" s="27" t="s">
        <v>19</v>
      </c>
      <c r="I685" s="27">
        <v>1</v>
      </c>
      <c r="J685" s="30">
        <v>41172398</v>
      </c>
      <c r="K685" s="26" t="s">
        <v>20</v>
      </c>
      <c r="L685" s="26" t="s">
        <v>284</v>
      </c>
      <c r="M685" s="31" t="s">
        <v>1224</v>
      </c>
      <c r="N685" s="6"/>
      <c r="O685" s="2"/>
      <c r="P685" s="2"/>
      <c r="Q685" s="2"/>
      <c r="R685" s="2"/>
      <c r="S685" s="2"/>
      <c r="T685" s="2"/>
      <c r="U685" s="2"/>
      <c r="V685" s="2"/>
      <c r="W685" s="2"/>
      <c r="X685" s="2"/>
      <c r="Y685" s="2"/>
    </row>
    <row r="686" spans="1:25" ht="12.75" customHeight="1">
      <c r="A686" s="26">
        <v>429</v>
      </c>
      <c r="B686" s="27" t="s">
        <v>1516</v>
      </c>
      <c r="C686" s="28">
        <v>40352</v>
      </c>
      <c r="D686" s="27"/>
      <c r="E686" s="27" t="s">
        <v>2168</v>
      </c>
      <c r="F686" s="29" t="s">
        <v>2159</v>
      </c>
      <c r="G686" s="27" t="s">
        <v>573</v>
      </c>
      <c r="H686" s="27" t="s">
        <v>19</v>
      </c>
      <c r="I686" s="27">
        <v>1</v>
      </c>
      <c r="J686" s="30">
        <v>41172398</v>
      </c>
      <c r="K686" s="26" t="s">
        <v>20</v>
      </c>
      <c r="L686" s="26" t="s">
        <v>284</v>
      </c>
      <c r="M686" s="31" t="s">
        <v>1224</v>
      </c>
      <c r="N686" s="6"/>
      <c r="O686" s="2"/>
      <c r="P686" s="2"/>
      <c r="Q686" s="2"/>
      <c r="R686" s="2"/>
      <c r="S686" s="2"/>
      <c r="T686" s="2"/>
      <c r="U686" s="2"/>
      <c r="V686" s="2"/>
      <c r="W686" s="2"/>
      <c r="X686" s="2"/>
      <c r="Y686" s="2"/>
    </row>
    <row r="687" spans="1:25" ht="12.75" customHeight="1">
      <c r="A687" s="26">
        <v>430</v>
      </c>
      <c r="B687" s="27" t="s">
        <v>1516</v>
      </c>
      <c r="C687" s="28">
        <v>40352</v>
      </c>
      <c r="D687" s="27"/>
      <c r="E687" s="27" t="s">
        <v>2169</v>
      </c>
      <c r="F687" s="29" t="s">
        <v>2159</v>
      </c>
      <c r="G687" s="27" t="s">
        <v>573</v>
      </c>
      <c r="H687" s="27" t="s">
        <v>19</v>
      </c>
      <c r="I687" s="27">
        <v>1</v>
      </c>
      <c r="J687" s="30">
        <v>41172398</v>
      </c>
      <c r="K687" s="26" t="s">
        <v>20</v>
      </c>
      <c r="L687" s="26" t="s">
        <v>284</v>
      </c>
      <c r="M687" s="31" t="s">
        <v>1224</v>
      </c>
      <c r="N687" s="6"/>
      <c r="O687" s="2"/>
      <c r="P687" s="2"/>
      <c r="Q687" s="2"/>
      <c r="R687" s="2"/>
      <c r="S687" s="2"/>
      <c r="T687" s="2"/>
      <c r="U687" s="2"/>
      <c r="V687" s="2"/>
      <c r="W687" s="2"/>
      <c r="X687" s="2"/>
      <c r="Y687" s="2"/>
    </row>
    <row r="688" spans="1:25" ht="12.75" customHeight="1">
      <c r="A688" s="26">
        <v>431</v>
      </c>
      <c r="B688" s="27" t="s">
        <v>1516</v>
      </c>
      <c r="C688" s="28">
        <v>40352</v>
      </c>
      <c r="D688" s="27"/>
      <c r="E688" s="27" t="s">
        <v>2170</v>
      </c>
      <c r="F688" s="29" t="s">
        <v>2159</v>
      </c>
      <c r="G688" s="27" t="s">
        <v>573</v>
      </c>
      <c r="H688" s="27" t="s">
        <v>19</v>
      </c>
      <c r="I688" s="27">
        <v>1</v>
      </c>
      <c r="J688" s="30">
        <v>41172398</v>
      </c>
      <c r="K688" s="26" t="s">
        <v>20</v>
      </c>
      <c r="L688" s="26" t="s">
        <v>284</v>
      </c>
      <c r="M688" s="31" t="s">
        <v>1224</v>
      </c>
      <c r="N688" s="6"/>
      <c r="O688" s="2"/>
      <c r="P688" s="2"/>
      <c r="Q688" s="2"/>
      <c r="R688" s="2"/>
      <c r="S688" s="2"/>
      <c r="T688" s="2"/>
      <c r="U688" s="2"/>
      <c r="V688" s="2"/>
      <c r="W688" s="2"/>
      <c r="X688" s="2"/>
      <c r="Y688" s="2"/>
    </row>
    <row r="689" spans="1:25" ht="25.5" customHeight="1">
      <c r="A689" s="26">
        <v>432</v>
      </c>
      <c r="B689" s="27" t="s">
        <v>1516</v>
      </c>
      <c r="C689" s="28">
        <v>40352</v>
      </c>
      <c r="D689" s="27"/>
      <c r="E689" s="27" t="s">
        <v>2171</v>
      </c>
      <c r="F689" s="29" t="s">
        <v>2172</v>
      </c>
      <c r="G689" s="27" t="s">
        <v>248</v>
      </c>
      <c r="H689" s="27" t="s">
        <v>19</v>
      </c>
      <c r="I689" s="27">
        <v>1</v>
      </c>
      <c r="J689" s="30">
        <v>120164584</v>
      </c>
      <c r="K689" s="26" t="s">
        <v>20</v>
      </c>
      <c r="L689" s="26" t="s">
        <v>284</v>
      </c>
      <c r="M689" s="31" t="s">
        <v>1224</v>
      </c>
      <c r="N689" s="6"/>
      <c r="O689" s="2"/>
      <c r="P689" s="2"/>
      <c r="Q689" s="2"/>
      <c r="R689" s="2"/>
      <c r="S689" s="2"/>
      <c r="T689" s="2"/>
      <c r="U689" s="2"/>
      <c r="V689" s="2"/>
      <c r="W689" s="2"/>
      <c r="X689" s="2"/>
      <c r="Y689" s="2"/>
    </row>
    <row r="690" spans="1:25" ht="25.5" customHeight="1">
      <c r="A690" s="26">
        <v>433</v>
      </c>
      <c r="B690" s="27" t="s">
        <v>1516</v>
      </c>
      <c r="C690" s="28">
        <v>40352</v>
      </c>
      <c r="D690" s="27"/>
      <c r="E690" s="27" t="s">
        <v>2174</v>
      </c>
      <c r="F690" s="29" t="s">
        <v>2175</v>
      </c>
      <c r="G690" s="27" t="s">
        <v>248</v>
      </c>
      <c r="H690" s="27" t="s">
        <v>19</v>
      </c>
      <c r="I690" s="27">
        <v>1</v>
      </c>
      <c r="J690" s="30">
        <v>120164584</v>
      </c>
      <c r="K690" s="26" t="s">
        <v>20</v>
      </c>
      <c r="L690" s="26" t="s">
        <v>284</v>
      </c>
      <c r="M690" s="31" t="s">
        <v>2145</v>
      </c>
      <c r="N690" s="6"/>
      <c r="O690" s="2"/>
      <c r="P690" s="2"/>
      <c r="Q690" s="2"/>
      <c r="R690" s="2"/>
      <c r="S690" s="2"/>
      <c r="T690" s="2"/>
      <c r="U690" s="2"/>
      <c r="V690" s="2"/>
      <c r="W690" s="2"/>
      <c r="X690" s="2"/>
      <c r="Y690" s="2"/>
    </row>
    <row r="691" spans="1:25" ht="25.5" customHeight="1">
      <c r="A691" s="26">
        <v>434</v>
      </c>
      <c r="B691" s="27" t="s">
        <v>1516</v>
      </c>
      <c r="C691" s="28">
        <v>40352</v>
      </c>
      <c r="D691" s="27"/>
      <c r="E691" s="27" t="s">
        <v>2177</v>
      </c>
      <c r="F691" s="29" t="s">
        <v>2178</v>
      </c>
      <c r="G691" s="27" t="s">
        <v>248</v>
      </c>
      <c r="H691" s="27" t="s">
        <v>19</v>
      </c>
      <c r="I691" s="27">
        <v>1</v>
      </c>
      <c r="J691" s="30">
        <v>120164585</v>
      </c>
      <c r="K691" s="26" t="s">
        <v>20</v>
      </c>
      <c r="L691" s="26" t="s">
        <v>284</v>
      </c>
      <c r="M691" s="31" t="s">
        <v>2145</v>
      </c>
      <c r="N691" s="6"/>
      <c r="O691" s="2"/>
      <c r="P691" s="2"/>
      <c r="Q691" s="2"/>
      <c r="R691" s="2"/>
      <c r="S691" s="2"/>
      <c r="T691" s="2"/>
      <c r="U691" s="2"/>
      <c r="V691" s="2"/>
      <c r="W691" s="2"/>
      <c r="X691" s="2"/>
      <c r="Y691" s="2"/>
    </row>
    <row r="692" spans="1:25" ht="25.5" customHeight="1">
      <c r="A692" s="26">
        <v>435</v>
      </c>
      <c r="B692" s="27" t="s">
        <v>2180</v>
      </c>
      <c r="C692" s="28">
        <v>40408</v>
      </c>
      <c r="D692" s="27"/>
      <c r="E692" s="27" t="s">
        <v>2181</v>
      </c>
      <c r="F692" s="29" t="s">
        <v>2182</v>
      </c>
      <c r="G692" s="27"/>
      <c r="H692" s="27" t="s">
        <v>19</v>
      </c>
      <c r="I692" s="27">
        <v>1</v>
      </c>
      <c r="J692" s="30">
        <v>63956667</v>
      </c>
      <c r="K692" s="26" t="s">
        <v>20</v>
      </c>
      <c r="L692" s="26" t="s">
        <v>233</v>
      </c>
      <c r="M692" s="31" t="s">
        <v>2183</v>
      </c>
      <c r="N692" s="6"/>
      <c r="O692" s="2"/>
      <c r="P692" s="2"/>
      <c r="Q692" s="2"/>
      <c r="R692" s="2"/>
      <c r="S692" s="2"/>
      <c r="T692" s="2"/>
      <c r="U692" s="2"/>
      <c r="V692" s="2"/>
      <c r="W692" s="2"/>
      <c r="X692" s="2"/>
      <c r="Y692" s="2"/>
    </row>
    <row r="693" spans="1:25" ht="25.5" customHeight="1">
      <c r="A693" s="26">
        <v>436</v>
      </c>
      <c r="B693" s="27" t="s">
        <v>2180</v>
      </c>
      <c r="C693" s="28">
        <v>40408</v>
      </c>
      <c r="D693" s="27"/>
      <c r="E693" s="27" t="s">
        <v>2184</v>
      </c>
      <c r="F693" s="29" t="s">
        <v>2185</v>
      </c>
      <c r="G693" s="27"/>
      <c r="H693" s="27" t="s">
        <v>19</v>
      </c>
      <c r="I693" s="27">
        <v>1</v>
      </c>
      <c r="J693" s="30">
        <v>63956667</v>
      </c>
      <c r="K693" s="26" t="s">
        <v>20</v>
      </c>
      <c r="L693" s="26" t="s">
        <v>233</v>
      </c>
      <c r="M693" s="31" t="s">
        <v>2183</v>
      </c>
      <c r="N693" s="6"/>
      <c r="O693" s="2"/>
      <c r="P693" s="2"/>
      <c r="Q693" s="2"/>
      <c r="R693" s="2"/>
      <c r="S693" s="2"/>
      <c r="T693" s="2"/>
      <c r="U693" s="2"/>
      <c r="V693" s="2"/>
      <c r="W693" s="2"/>
      <c r="X693" s="2"/>
      <c r="Y693" s="2"/>
    </row>
    <row r="694" spans="1:25" ht="12.75" customHeight="1">
      <c r="A694" s="26">
        <v>438</v>
      </c>
      <c r="B694" s="27" t="s">
        <v>2188</v>
      </c>
      <c r="C694" s="28">
        <v>41411</v>
      </c>
      <c r="D694" s="27"/>
      <c r="E694" s="27" t="s">
        <v>2189</v>
      </c>
      <c r="F694" s="29" t="s">
        <v>2190</v>
      </c>
      <c r="G694" s="27" t="s">
        <v>55</v>
      </c>
      <c r="H694" s="27" t="s">
        <v>19</v>
      </c>
      <c r="I694" s="27">
        <v>1</v>
      </c>
      <c r="J694" s="30">
        <v>104228947</v>
      </c>
      <c r="K694" s="26" t="s">
        <v>20</v>
      </c>
      <c r="L694" s="26" t="s">
        <v>233</v>
      </c>
      <c r="M694" s="31" t="s">
        <v>2183</v>
      </c>
      <c r="N694" s="6"/>
      <c r="O694" s="2"/>
      <c r="P694" s="2"/>
      <c r="Q694" s="2"/>
      <c r="R694" s="2"/>
      <c r="S694" s="2"/>
      <c r="T694" s="2"/>
      <c r="U694" s="2"/>
      <c r="V694" s="2"/>
      <c r="W694" s="2"/>
      <c r="X694" s="2"/>
      <c r="Y694" s="2"/>
    </row>
    <row r="695" spans="1:25" ht="12.75" customHeight="1">
      <c r="A695" s="26">
        <v>439</v>
      </c>
      <c r="B695" s="27" t="s">
        <v>2188</v>
      </c>
      <c r="C695" s="28">
        <v>41411</v>
      </c>
      <c r="D695" s="27"/>
      <c r="E695" s="27" t="s">
        <v>2191</v>
      </c>
      <c r="F695" s="29" t="s">
        <v>2192</v>
      </c>
      <c r="G695" s="27" t="s">
        <v>55</v>
      </c>
      <c r="H695" s="27" t="s">
        <v>19</v>
      </c>
      <c r="I695" s="27">
        <v>1</v>
      </c>
      <c r="J695" s="30">
        <v>110438469</v>
      </c>
      <c r="K695" s="26" t="s">
        <v>20</v>
      </c>
      <c r="L695" s="26" t="s">
        <v>233</v>
      </c>
      <c r="M695" s="31" t="s">
        <v>2183</v>
      </c>
      <c r="N695" s="6"/>
      <c r="O695" s="2"/>
      <c r="P695" s="2"/>
      <c r="Q695" s="2"/>
      <c r="R695" s="2"/>
      <c r="S695" s="2"/>
      <c r="T695" s="2"/>
      <c r="U695" s="2"/>
      <c r="V695" s="2"/>
      <c r="W695" s="2"/>
      <c r="X695" s="2"/>
      <c r="Y695" s="2"/>
    </row>
    <row r="696" spans="1:25" ht="12.75" customHeight="1">
      <c r="A696" s="26">
        <v>440</v>
      </c>
      <c r="B696" s="27" t="s">
        <v>2188</v>
      </c>
      <c r="C696" s="28">
        <v>41411</v>
      </c>
      <c r="D696" s="27"/>
      <c r="E696" s="27" t="s">
        <v>2193</v>
      </c>
      <c r="F696" s="29" t="s">
        <v>2194</v>
      </c>
      <c r="G696" s="27" t="s">
        <v>55</v>
      </c>
      <c r="H696" s="27" t="s">
        <v>19</v>
      </c>
      <c r="I696" s="27">
        <v>1</v>
      </c>
      <c r="J696" s="30">
        <v>55853472</v>
      </c>
      <c r="K696" s="26" t="s">
        <v>20</v>
      </c>
      <c r="L696" s="26" t="s">
        <v>233</v>
      </c>
      <c r="M696" s="31" t="s">
        <v>2183</v>
      </c>
      <c r="N696" s="6"/>
      <c r="O696" s="2"/>
      <c r="P696" s="2"/>
      <c r="Q696" s="2"/>
      <c r="R696" s="2"/>
      <c r="S696" s="2"/>
      <c r="T696" s="2"/>
      <c r="U696" s="2"/>
      <c r="V696" s="2"/>
      <c r="W696" s="2"/>
      <c r="X696" s="2"/>
      <c r="Y696" s="2"/>
    </row>
    <row r="697" spans="1:25" ht="12.75" customHeight="1">
      <c r="A697" s="26">
        <v>441</v>
      </c>
      <c r="B697" s="27" t="s">
        <v>2188</v>
      </c>
      <c r="C697" s="28">
        <v>41411</v>
      </c>
      <c r="D697" s="27"/>
      <c r="E697" s="27" t="s">
        <v>2195</v>
      </c>
      <c r="F697" s="29" t="s">
        <v>2196</v>
      </c>
      <c r="G697" s="27" t="s">
        <v>55</v>
      </c>
      <c r="H697" s="27" t="s">
        <v>19</v>
      </c>
      <c r="I697" s="27">
        <v>1</v>
      </c>
      <c r="J697" s="30">
        <v>55853472</v>
      </c>
      <c r="K697" s="26" t="s">
        <v>20</v>
      </c>
      <c r="L697" s="26" t="s">
        <v>233</v>
      </c>
      <c r="M697" s="31" t="s">
        <v>2183</v>
      </c>
      <c r="N697" s="6"/>
      <c r="O697" s="2"/>
      <c r="P697" s="2"/>
      <c r="Q697" s="2"/>
      <c r="R697" s="2"/>
      <c r="S697" s="2"/>
      <c r="T697" s="2"/>
      <c r="U697" s="2"/>
      <c r="V697" s="2"/>
      <c r="W697" s="2"/>
      <c r="X697" s="2"/>
      <c r="Y697" s="2"/>
    </row>
    <row r="698" spans="1:25" ht="12.75" customHeight="1">
      <c r="A698" s="26">
        <v>442</v>
      </c>
      <c r="B698" s="27" t="s">
        <v>2188</v>
      </c>
      <c r="C698" s="28">
        <v>41411</v>
      </c>
      <c r="D698" s="27"/>
      <c r="E698" s="27" t="s">
        <v>2197</v>
      </c>
      <c r="F698" s="29" t="s">
        <v>2198</v>
      </c>
      <c r="G698" s="27" t="s">
        <v>55</v>
      </c>
      <c r="H698" s="27" t="s">
        <v>19</v>
      </c>
      <c r="I698" s="27">
        <v>1</v>
      </c>
      <c r="J698" s="30">
        <v>61869620</v>
      </c>
      <c r="K698" s="26" t="s">
        <v>20</v>
      </c>
      <c r="L698" s="26" t="s">
        <v>233</v>
      </c>
      <c r="M698" s="72" t="s">
        <v>1369</v>
      </c>
      <c r="N698" s="6"/>
      <c r="O698" s="2"/>
      <c r="P698" s="2"/>
      <c r="Q698" s="2"/>
      <c r="R698" s="2"/>
      <c r="S698" s="2"/>
      <c r="T698" s="2"/>
      <c r="U698" s="2"/>
      <c r="V698" s="2"/>
      <c r="W698" s="2"/>
      <c r="X698" s="2"/>
      <c r="Y698" s="2"/>
    </row>
    <row r="699" spans="1:25" ht="25.5" customHeight="1">
      <c r="A699" s="26">
        <v>444</v>
      </c>
      <c r="B699" s="27" t="s">
        <v>2188</v>
      </c>
      <c r="C699" s="28">
        <v>41411</v>
      </c>
      <c r="D699" s="27"/>
      <c r="E699" s="27" t="s">
        <v>2201</v>
      </c>
      <c r="F699" s="29" t="s">
        <v>2202</v>
      </c>
      <c r="G699" s="27" t="s">
        <v>55</v>
      </c>
      <c r="H699" s="27" t="s">
        <v>19</v>
      </c>
      <c r="I699" s="27">
        <v>1</v>
      </c>
      <c r="J699" s="30">
        <v>83395536</v>
      </c>
      <c r="K699" s="26" t="s">
        <v>20</v>
      </c>
      <c r="L699" s="26" t="s">
        <v>233</v>
      </c>
      <c r="M699" s="31" t="s">
        <v>2183</v>
      </c>
      <c r="N699" s="6"/>
      <c r="O699" s="2"/>
      <c r="P699" s="2"/>
      <c r="Q699" s="2"/>
      <c r="R699" s="2"/>
      <c r="S699" s="2"/>
      <c r="T699" s="2"/>
      <c r="U699" s="2"/>
      <c r="V699" s="2"/>
      <c r="W699" s="2"/>
      <c r="X699" s="2"/>
      <c r="Y699" s="2"/>
    </row>
    <row r="700" spans="1:25" ht="25.5" customHeight="1">
      <c r="A700" s="26">
        <v>445</v>
      </c>
      <c r="B700" s="27" t="s">
        <v>2188</v>
      </c>
      <c r="C700" s="28">
        <v>41411</v>
      </c>
      <c r="D700" s="27"/>
      <c r="E700" s="27" t="s">
        <v>2203</v>
      </c>
      <c r="F700" s="29" t="s">
        <v>2204</v>
      </c>
      <c r="G700" s="27" t="s">
        <v>55</v>
      </c>
      <c r="H700" s="27" t="s">
        <v>19</v>
      </c>
      <c r="I700" s="27">
        <v>1</v>
      </c>
      <c r="J700" s="30">
        <v>83395536</v>
      </c>
      <c r="K700" s="26" t="s">
        <v>20</v>
      </c>
      <c r="L700" s="26" t="s">
        <v>233</v>
      </c>
      <c r="M700" s="31" t="s">
        <v>2183</v>
      </c>
      <c r="N700" s="6"/>
      <c r="O700" s="2"/>
      <c r="P700" s="2"/>
      <c r="Q700" s="2"/>
      <c r="R700" s="2"/>
      <c r="S700" s="2"/>
      <c r="T700" s="2"/>
      <c r="U700" s="2"/>
      <c r="V700" s="2"/>
      <c r="W700" s="2"/>
      <c r="X700" s="2"/>
      <c r="Y700" s="2"/>
    </row>
    <row r="701" spans="1:25" ht="25.5" customHeight="1">
      <c r="A701" s="26">
        <v>446</v>
      </c>
      <c r="B701" s="27" t="s">
        <v>2188</v>
      </c>
      <c r="C701" s="28">
        <v>41411</v>
      </c>
      <c r="D701" s="27"/>
      <c r="E701" s="27" t="s">
        <v>2205</v>
      </c>
      <c r="F701" s="29" t="s">
        <v>2206</v>
      </c>
      <c r="G701" s="27" t="s">
        <v>55</v>
      </c>
      <c r="H701" s="27" t="s">
        <v>19</v>
      </c>
      <c r="I701" s="27">
        <v>1</v>
      </c>
      <c r="J701" s="30">
        <v>83395536</v>
      </c>
      <c r="K701" s="26" t="s">
        <v>20</v>
      </c>
      <c r="L701" s="26" t="s">
        <v>233</v>
      </c>
      <c r="M701" s="31" t="s">
        <v>2183</v>
      </c>
      <c r="N701" s="6"/>
      <c r="O701" s="2"/>
      <c r="P701" s="2"/>
      <c r="Q701" s="2"/>
      <c r="R701" s="2"/>
      <c r="S701" s="2"/>
      <c r="T701" s="2"/>
      <c r="U701" s="2"/>
      <c r="V701" s="2"/>
      <c r="W701" s="2"/>
      <c r="X701" s="2"/>
      <c r="Y701" s="2"/>
    </row>
    <row r="702" spans="1:25" ht="25.5" customHeight="1">
      <c r="A702" s="26">
        <v>447</v>
      </c>
      <c r="B702" s="27" t="s">
        <v>2188</v>
      </c>
      <c r="C702" s="28">
        <v>41411</v>
      </c>
      <c r="D702" s="27"/>
      <c r="E702" s="27" t="s">
        <v>2207</v>
      </c>
      <c r="F702" s="29" t="s">
        <v>2208</v>
      </c>
      <c r="G702" s="27" t="s">
        <v>55</v>
      </c>
      <c r="H702" s="27" t="s">
        <v>19</v>
      </c>
      <c r="I702" s="27">
        <v>1</v>
      </c>
      <c r="J702" s="30">
        <v>83395536</v>
      </c>
      <c r="K702" s="26" t="s">
        <v>20</v>
      </c>
      <c r="L702" s="26" t="s">
        <v>233</v>
      </c>
      <c r="M702" s="31" t="s">
        <v>2183</v>
      </c>
      <c r="N702" s="6"/>
      <c r="O702" s="2"/>
      <c r="P702" s="2"/>
      <c r="Q702" s="2"/>
      <c r="R702" s="2"/>
      <c r="S702" s="2"/>
      <c r="T702" s="2"/>
      <c r="U702" s="2"/>
      <c r="V702" s="2"/>
      <c r="W702" s="2"/>
      <c r="X702" s="2"/>
      <c r="Y702" s="2"/>
    </row>
    <row r="703" spans="1:25" ht="25.5" customHeight="1">
      <c r="A703" s="26">
        <v>448</v>
      </c>
      <c r="B703" s="27" t="s">
        <v>2188</v>
      </c>
      <c r="C703" s="28">
        <v>41411</v>
      </c>
      <c r="D703" s="27"/>
      <c r="E703" s="27" t="s">
        <v>2209</v>
      </c>
      <c r="F703" s="29" t="s">
        <v>2210</v>
      </c>
      <c r="G703" s="27" t="s">
        <v>55</v>
      </c>
      <c r="H703" s="27" t="s">
        <v>19</v>
      </c>
      <c r="I703" s="27">
        <v>1</v>
      </c>
      <c r="J703" s="30">
        <v>83395536</v>
      </c>
      <c r="K703" s="26" t="s">
        <v>20</v>
      </c>
      <c r="L703" s="26" t="s">
        <v>233</v>
      </c>
      <c r="M703" s="31" t="s">
        <v>2183</v>
      </c>
      <c r="N703" s="6"/>
      <c r="O703" s="2"/>
      <c r="P703" s="2"/>
      <c r="Q703" s="2"/>
      <c r="R703" s="2"/>
      <c r="S703" s="2"/>
      <c r="T703" s="2"/>
      <c r="U703" s="2"/>
      <c r="V703" s="2"/>
      <c r="W703" s="2"/>
      <c r="X703" s="2"/>
      <c r="Y703" s="2"/>
    </row>
    <row r="704" spans="1:25" ht="25.5" customHeight="1">
      <c r="A704" s="26">
        <v>449</v>
      </c>
      <c r="B704" s="27" t="s">
        <v>2188</v>
      </c>
      <c r="C704" s="28">
        <v>41411</v>
      </c>
      <c r="D704" s="27"/>
      <c r="E704" s="27" t="s">
        <v>2211</v>
      </c>
      <c r="F704" s="29" t="s">
        <v>2212</v>
      </c>
      <c r="G704" s="27" t="s">
        <v>55</v>
      </c>
      <c r="H704" s="27" t="s">
        <v>19</v>
      </c>
      <c r="I704" s="27">
        <v>1</v>
      </c>
      <c r="J704" s="30">
        <v>83395536</v>
      </c>
      <c r="K704" s="26" t="s">
        <v>20</v>
      </c>
      <c r="L704" s="26" t="s">
        <v>233</v>
      </c>
      <c r="M704" s="31" t="s">
        <v>2183</v>
      </c>
      <c r="N704" s="6"/>
      <c r="O704" s="2"/>
      <c r="P704" s="2"/>
      <c r="Q704" s="2"/>
      <c r="R704" s="2"/>
      <c r="S704" s="2"/>
      <c r="T704" s="2"/>
      <c r="U704" s="2"/>
      <c r="V704" s="2"/>
      <c r="W704" s="2"/>
      <c r="X704" s="2"/>
      <c r="Y704" s="2"/>
    </row>
    <row r="705" spans="1:25" ht="25.5" customHeight="1">
      <c r="A705" s="26">
        <v>450</v>
      </c>
      <c r="B705" s="27" t="s">
        <v>2188</v>
      </c>
      <c r="C705" s="28">
        <v>41411</v>
      </c>
      <c r="D705" s="27"/>
      <c r="E705" s="27" t="s">
        <v>2213</v>
      </c>
      <c r="F705" s="29" t="s">
        <v>2214</v>
      </c>
      <c r="G705" s="27" t="s">
        <v>55</v>
      </c>
      <c r="H705" s="27" t="s">
        <v>19</v>
      </c>
      <c r="I705" s="27">
        <v>1</v>
      </c>
      <c r="J705" s="30">
        <v>62095224</v>
      </c>
      <c r="K705" s="26" t="s">
        <v>20</v>
      </c>
      <c r="L705" s="26" t="s">
        <v>233</v>
      </c>
      <c r="M705" s="31" t="s">
        <v>2183</v>
      </c>
      <c r="N705" s="6"/>
      <c r="O705" s="2"/>
      <c r="P705" s="2"/>
      <c r="Q705" s="2"/>
      <c r="R705" s="2"/>
      <c r="S705" s="2"/>
      <c r="T705" s="2"/>
      <c r="U705" s="2"/>
      <c r="V705" s="2"/>
      <c r="W705" s="2"/>
      <c r="X705" s="2"/>
      <c r="Y705" s="2"/>
    </row>
    <row r="706" spans="1:25" ht="25.5" customHeight="1">
      <c r="A706" s="26">
        <v>451</v>
      </c>
      <c r="B706" s="27" t="s">
        <v>2188</v>
      </c>
      <c r="C706" s="28">
        <v>41411</v>
      </c>
      <c r="D706" s="27"/>
      <c r="E706" s="27" t="s">
        <v>2215</v>
      </c>
      <c r="F706" s="29" t="s">
        <v>2216</v>
      </c>
      <c r="G706" s="27" t="s">
        <v>55</v>
      </c>
      <c r="H706" s="27" t="s">
        <v>19</v>
      </c>
      <c r="I706" s="27">
        <v>1</v>
      </c>
      <c r="J706" s="30">
        <v>62095224</v>
      </c>
      <c r="K706" s="26" t="s">
        <v>20</v>
      </c>
      <c r="L706" s="26" t="s">
        <v>233</v>
      </c>
      <c r="M706" s="31" t="s">
        <v>2183</v>
      </c>
      <c r="N706" s="6"/>
      <c r="O706" s="2"/>
      <c r="P706" s="2"/>
      <c r="Q706" s="2"/>
      <c r="R706" s="2"/>
      <c r="S706" s="2"/>
      <c r="T706" s="2"/>
      <c r="U706" s="2"/>
      <c r="V706" s="2"/>
      <c r="W706" s="2"/>
      <c r="X706" s="2"/>
      <c r="Y706" s="2"/>
    </row>
    <row r="707" spans="1:25" ht="25.5" customHeight="1">
      <c r="A707" s="26">
        <v>452</v>
      </c>
      <c r="B707" s="27" t="s">
        <v>2188</v>
      </c>
      <c r="C707" s="28">
        <v>41411</v>
      </c>
      <c r="D707" s="27"/>
      <c r="E707" s="27" t="s">
        <v>2217</v>
      </c>
      <c r="F707" s="29" t="s">
        <v>2218</v>
      </c>
      <c r="G707" s="27" t="s">
        <v>55</v>
      </c>
      <c r="H707" s="27" t="s">
        <v>19</v>
      </c>
      <c r="I707" s="27">
        <v>1</v>
      </c>
      <c r="J707" s="30">
        <v>69379058</v>
      </c>
      <c r="K707" s="26" t="s">
        <v>20</v>
      </c>
      <c r="L707" s="26" t="s">
        <v>233</v>
      </c>
      <c r="M707" s="31" t="s">
        <v>2183</v>
      </c>
      <c r="N707" s="6"/>
      <c r="O707" s="2"/>
      <c r="P707" s="2"/>
      <c r="Q707" s="2"/>
      <c r="R707" s="2"/>
      <c r="S707" s="2"/>
      <c r="T707" s="2"/>
      <c r="U707" s="2"/>
      <c r="V707" s="2"/>
      <c r="W707" s="2"/>
      <c r="X707" s="2"/>
      <c r="Y707" s="2"/>
    </row>
    <row r="708" spans="1:25" ht="25.5" customHeight="1">
      <c r="A708" s="26">
        <v>453</v>
      </c>
      <c r="B708" s="27" t="s">
        <v>1690</v>
      </c>
      <c r="C708" s="28">
        <v>41982</v>
      </c>
      <c r="D708" s="27"/>
      <c r="E708" s="27" t="s">
        <v>2219</v>
      </c>
      <c r="F708" s="29" t="s">
        <v>2220</v>
      </c>
      <c r="G708" s="27" t="s">
        <v>407</v>
      </c>
      <c r="H708" s="27" t="s">
        <v>19</v>
      </c>
      <c r="I708" s="27">
        <v>1</v>
      </c>
      <c r="J708" s="30">
        <v>37978476</v>
      </c>
      <c r="K708" s="26" t="s">
        <v>20</v>
      </c>
      <c r="L708" s="26" t="s">
        <v>284</v>
      </c>
      <c r="M708" s="31" t="s">
        <v>2145</v>
      </c>
      <c r="N708" s="6"/>
      <c r="O708" s="2"/>
      <c r="P708" s="2"/>
      <c r="Q708" s="2"/>
      <c r="R708" s="2"/>
      <c r="S708" s="2"/>
      <c r="T708" s="2"/>
      <c r="U708" s="2"/>
      <c r="V708" s="2"/>
      <c r="W708" s="2"/>
      <c r="X708" s="2"/>
      <c r="Y708" s="2"/>
    </row>
    <row r="709" spans="1:25" ht="25.5" customHeight="1">
      <c r="A709" s="26">
        <v>454</v>
      </c>
      <c r="B709" s="27" t="s">
        <v>1690</v>
      </c>
      <c r="C709" s="28">
        <v>41982</v>
      </c>
      <c r="D709" s="27"/>
      <c r="E709" s="27" t="s">
        <v>2221</v>
      </c>
      <c r="F709" s="29" t="s">
        <v>2222</v>
      </c>
      <c r="G709" s="27" t="s">
        <v>407</v>
      </c>
      <c r="H709" s="27" t="s">
        <v>19</v>
      </c>
      <c r="I709" s="27">
        <v>1</v>
      </c>
      <c r="J709" s="30">
        <v>37978476</v>
      </c>
      <c r="K709" s="26" t="s">
        <v>20</v>
      </c>
      <c r="L709" s="26" t="s">
        <v>284</v>
      </c>
      <c r="M709" s="31" t="s">
        <v>1224</v>
      </c>
      <c r="N709" s="6"/>
      <c r="O709" s="2"/>
      <c r="P709" s="2"/>
      <c r="Q709" s="2"/>
      <c r="R709" s="2"/>
      <c r="S709" s="2"/>
      <c r="T709" s="2"/>
      <c r="U709" s="2"/>
      <c r="V709" s="2"/>
      <c r="W709" s="2"/>
      <c r="X709" s="2"/>
      <c r="Y709" s="2"/>
    </row>
    <row r="710" spans="1:25" ht="25.5" customHeight="1">
      <c r="A710" s="26">
        <v>455</v>
      </c>
      <c r="B710" s="27" t="s">
        <v>1690</v>
      </c>
      <c r="C710" s="28">
        <v>41982</v>
      </c>
      <c r="D710" s="27"/>
      <c r="E710" s="27" t="s">
        <v>2223</v>
      </c>
      <c r="F710" s="29" t="s">
        <v>2224</v>
      </c>
      <c r="G710" s="27" t="s">
        <v>407</v>
      </c>
      <c r="H710" s="27" t="s">
        <v>19</v>
      </c>
      <c r="I710" s="27">
        <v>1</v>
      </c>
      <c r="J710" s="30">
        <v>37978476</v>
      </c>
      <c r="K710" s="26" t="s">
        <v>20</v>
      </c>
      <c r="L710" s="26" t="s">
        <v>284</v>
      </c>
      <c r="M710" s="31" t="s">
        <v>2145</v>
      </c>
      <c r="N710" s="6"/>
      <c r="O710" s="2"/>
      <c r="P710" s="2"/>
      <c r="Q710" s="2"/>
      <c r="R710" s="2"/>
      <c r="S710" s="2"/>
      <c r="T710" s="2"/>
      <c r="U710" s="2"/>
      <c r="V710" s="2"/>
      <c r="W710" s="2"/>
      <c r="X710" s="2"/>
      <c r="Y710" s="2"/>
    </row>
    <row r="711" spans="1:25" ht="25.5" customHeight="1">
      <c r="A711" s="26">
        <v>456</v>
      </c>
      <c r="B711" s="27" t="s">
        <v>1690</v>
      </c>
      <c r="C711" s="28">
        <v>41982</v>
      </c>
      <c r="D711" s="27"/>
      <c r="E711" s="27" t="s">
        <v>2225</v>
      </c>
      <c r="F711" s="29" t="s">
        <v>2226</v>
      </c>
      <c r="G711" s="27" t="s">
        <v>407</v>
      </c>
      <c r="H711" s="27" t="s">
        <v>19</v>
      </c>
      <c r="I711" s="27">
        <v>1</v>
      </c>
      <c r="J711" s="30">
        <v>37978476</v>
      </c>
      <c r="K711" s="26" t="s">
        <v>20</v>
      </c>
      <c r="L711" s="26" t="s">
        <v>284</v>
      </c>
      <c r="M711" s="31" t="s">
        <v>1224</v>
      </c>
      <c r="N711" s="6"/>
      <c r="O711" s="2"/>
      <c r="P711" s="2"/>
      <c r="Q711" s="2"/>
      <c r="R711" s="2"/>
      <c r="S711" s="2"/>
      <c r="T711" s="2"/>
      <c r="U711" s="2"/>
      <c r="V711" s="2"/>
      <c r="W711" s="2"/>
      <c r="X711" s="2"/>
      <c r="Y711" s="2"/>
    </row>
    <row r="712" spans="1:25" ht="12.75" customHeight="1">
      <c r="A712" s="26">
        <v>465</v>
      </c>
      <c r="B712" s="27" t="s">
        <v>1690</v>
      </c>
      <c r="C712" s="28">
        <v>41982</v>
      </c>
      <c r="D712" s="27"/>
      <c r="E712" s="27" t="s">
        <v>2243</v>
      </c>
      <c r="F712" s="29" t="s">
        <v>2244</v>
      </c>
      <c r="G712" s="27" t="s">
        <v>55</v>
      </c>
      <c r="H712" s="27" t="s">
        <v>19</v>
      </c>
      <c r="I712" s="27">
        <v>1</v>
      </c>
      <c r="J712" s="30">
        <v>176467423</v>
      </c>
      <c r="K712" s="26" t="s">
        <v>20</v>
      </c>
      <c r="L712" s="26" t="s">
        <v>233</v>
      </c>
      <c r="M712" s="31" t="s">
        <v>2245</v>
      </c>
      <c r="N712" s="6"/>
      <c r="O712" s="2"/>
      <c r="P712" s="2"/>
      <c r="Q712" s="2"/>
      <c r="R712" s="2"/>
      <c r="S712" s="2"/>
      <c r="T712" s="2"/>
      <c r="U712" s="2"/>
      <c r="V712" s="2"/>
      <c r="W712" s="2"/>
      <c r="X712" s="2"/>
      <c r="Y712" s="2"/>
    </row>
    <row r="713" spans="1:25" ht="12.75" customHeight="1">
      <c r="A713" s="26">
        <v>466</v>
      </c>
      <c r="B713" s="27" t="s">
        <v>1690</v>
      </c>
      <c r="C713" s="28">
        <v>41982</v>
      </c>
      <c r="D713" s="27"/>
      <c r="E713" s="27" t="s">
        <v>2246</v>
      </c>
      <c r="F713" s="29" t="s">
        <v>2247</v>
      </c>
      <c r="G713" s="27" t="s">
        <v>55</v>
      </c>
      <c r="H713" s="27" t="s">
        <v>19</v>
      </c>
      <c r="I713" s="27">
        <v>1</v>
      </c>
      <c r="J713" s="30">
        <v>176467423</v>
      </c>
      <c r="K713" s="26" t="s">
        <v>20</v>
      </c>
      <c r="L713" s="26" t="s">
        <v>233</v>
      </c>
      <c r="M713" s="31" t="s">
        <v>2183</v>
      </c>
      <c r="N713" s="6"/>
      <c r="O713" s="2"/>
      <c r="P713" s="2"/>
      <c r="Q713" s="2"/>
      <c r="R713" s="2"/>
      <c r="S713" s="2"/>
      <c r="T713" s="2"/>
      <c r="U713" s="2"/>
      <c r="V713" s="2"/>
      <c r="W713" s="2"/>
      <c r="X713" s="2"/>
      <c r="Y713" s="2"/>
    </row>
    <row r="714" spans="1:25" ht="12.75" customHeight="1">
      <c r="A714" s="26">
        <v>467</v>
      </c>
      <c r="B714" s="27" t="s">
        <v>1690</v>
      </c>
      <c r="C714" s="28">
        <v>41982</v>
      </c>
      <c r="D714" s="27"/>
      <c r="E714" s="27" t="s">
        <v>2248</v>
      </c>
      <c r="F714" s="29" t="s">
        <v>2249</v>
      </c>
      <c r="G714" s="27" t="s">
        <v>55</v>
      </c>
      <c r="H714" s="27" t="s">
        <v>19</v>
      </c>
      <c r="I714" s="27">
        <v>1</v>
      </c>
      <c r="J714" s="30">
        <v>176467423</v>
      </c>
      <c r="K714" s="26" t="s">
        <v>20</v>
      </c>
      <c r="L714" s="394" t="s">
        <v>284</v>
      </c>
      <c r="M714" s="31" t="s">
        <v>5249</v>
      </c>
      <c r="N714" s="6"/>
      <c r="O714" s="2"/>
      <c r="P714" s="2"/>
      <c r="Q714" s="2"/>
      <c r="R714" s="2"/>
      <c r="S714" s="2"/>
      <c r="T714" s="2"/>
      <c r="U714" s="2"/>
      <c r="V714" s="2"/>
      <c r="W714" s="2"/>
      <c r="X714" s="2"/>
      <c r="Y714" s="2"/>
    </row>
    <row r="715" spans="1:25" ht="12.75" customHeight="1">
      <c r="A715" s="26">
        <v>468</v>
      </c>
      <c r="B715" s="27" t="s">
        <v>1690</v>
      </c>
      <c r="C715" s="28">
        <v>41982</v>
      </c>
      <c r="D715" s="27"/>
      <c r="E715" s="27" t="s">
        <v>2251</v>
      </c>
      <c r="F715" s="29" t="s">
        <v>2252</v>
      </c>
      <c r="G715" s="27" t="s">
        <v>55</v>
      </c>
      <c r="H715" s="27" t="s">
        <v>19</v>
      </c>
      <c r="I715" s="27">
        <v>1</v>
      </c>
      <c r="J715" s="30">
        <v>176467423</v>
      </c>
      <c r="K715" s="26" t="s">
        <v>20</v>
      </c>
      <c r="L715" s="394" t="s">
        <v>284</v>
      </c>
      <c r="M715" s="31" t="s">
        <v>5249</v>
      </c>
      <c r="N715" s="6"/>
      <c r="O715" s="2"/>
      <c r="P715" s="2"/>
      <c r="Q715" s="2"/>
      <c r="R715" s="2"/>
      <c r="S715" s="2"/>
      <c r="T715" s="2"/>
      <c r="U715" s="2"/>
      <c r="V715" s="2"/>
      <c r="W715" s="2"/>
      <c r="X715" s="2"/>
      <c r="Y715" s="2"/>
    </row>
    <row r="716" spans="1:25" ht="25.5" customHeight="1">
      <c r="A716" s="26">
        <v>469</v>
      </c>
      <c r="B716" s="27" t="s">
        <v>470</v>
      </c>
      <c r="C716" s="28">
        <v>41983</v>
      </c>
      <c r="D716" s="27"/>
      <c r="E716" s="27" t="s">
        <v>2253</v>
      </c>
      <c r="F716" s="29" t="s">
        <v>2254</v>
      </c>
      <c r="G716" s="27" t="s">
        <v>407</v>
      </c>
      <c r="H716" s="27" t="s">
        <v>19</v>
      </c>
      <c r="I716" s="27">
        <v>1</v>
      </c>
      <c r="J716" s="30">
        <v>53582816</v>
      </c>
      <c r="K716" s="26" t="s">
        <v>20</v>
      </c>
      <c r="L716" s="26" t="s">
        <v>284</v>
      </c>
      <c r="M716" s="31" t="s">
        <v>2023</v>
      </c>
      <c r="N716" s="6"/>
      <c r="O716" s="2"/>
      <c r="P716" s="2"/>
      <c r="Q716" s="2"/>
      <c r="R716" s="2"/>
      <c r="S716" s="2"/>
      <c r="T716" s="2"/>
      <c r="U716" s="2"/>
      <c r="V716" s="2"/>
      <c r="W716" s="2"/>
      <c r="X716" s="2"/>
      <c r="Y716" s="2"/>
    </row>
    <row r="717" spans="1:25" ht="25.5" customHeight="1">
      <c r="A717" s="26">
        <v>470</v>
      </c>
      <c r="B717" s="27" t="s">
        <v>470</v>
      </c>
      <c r="C717" s="28">
        <v>41983</v>
      </c>
      <c r="D717" s="27"/>
      <c r="E717" s="27" t="s">
        <v>2255</v>
      </c>
      <c r="F717" s="29" t="s">
        <v>2256</v>
      </c>
      <c r="G717" s="27" t="s">
        <v>407</v>
      </c>
      <c r="H717" s="27" t="s">
        <v>19</v>
      </c>
      <c r="I717" s="27">
        <v>1</v>
      </c>
      <c r="J717" s="30">
        <v>53582816</v>
      </c>
      <c r="K717" s="26" t="s">
        <v>20</v>
      </c>
      <c r="L717" s="26" t="s">
        <v>284</v>
      </c>
      <c r="M717" s="31" t="s">
        <v>2145</v>
      </c>
      <c r="N717" s="6"/>
      <c r="O717" s="2"/>
      <c r="P717" s="2"/>
      <c r="Q717" s="2"/>
      <c r="R717" s="2"/>
      <c r="S717" s="2"/>
      <c r="T717" s="2"/>
      <c r="U717" s="2"/>
      <c r="V717" s="2"/>
      <c r="W717" s="2"/>
      <c r="X717" s="2"/>
      <c r="Y717" s="2"/>
    </row>
    <row r="718" spans="1:25" ht="25.5" customHeight="1">
      <c r="A718" s="26">
        <v>471</v>
      </c>
      <c r="B718" s="27" t="s">
        <v>470</v>
      </c>
      <c r="C718" s="28">
        <v>41983</v>
      </c>
      <c r="D718" s="27"/>
      <c r="E718" s="27" t="s">
        <v>2257</v>
      </c>
      <c r="F718" s="29" t="s">
        <v>2258</v>
      </c>
      <c r="G718" s="27" t="s">
        <v>407</v>
      </c>
      <c r="H718" s="27" t="s">
        <v>19</v>
      </c>
      <c r="I718" s="27">
        <v>1</v>
      </c>
      <c r="J718" s="30">
        <v>53582816</v>
      </c>
      <c r="K718" s="26" t="s">
        <v>20</v>
      </c>
      <c r="L718" s="26" t="s">
        <v>284</v>
      </c>
      <c r="M718" s="31" t="s">
        <v>2145</v>
      </c>
      <c r="N718" s="6"/>
      <c r="O718" s="2"/>
      <c r="P718" s="2"/>
      <c r="Q718" s="2"/>
      <c r="R718" s="2"/>
      <c r="S718" s="2"/>
      <c r="T718" s="2"/>
      <c r="U718" s="2"/>
      <c r="V718" s="2"/>
      <c r="W718" s="2"/>
      <c r="X718" s="2"/>
      <c r="Y718" s="2"/>
    </row>
    <row r="719" spans="1:25" ht="25.5" customHeight="1">
      <c r="A719" s="26">
        <v>472</v>
      </c>
      <c r="B719" s="27" t="s">
        <v>470</v>
      </c>
      <c r="C719" s="28">
        <v>41983</v>
      </c>
      <c r="D719" s="27"/>
      <c r="E719" s="27" t="s">
        <v>2259</v>
      </c>
      <c r="F719" s="29" t="s">
        <v>2260</v>
      </c>
      <c r="G719" s="27" t="s">
        <v>407</v>
      </c>
      <c r="H719" s="27" t="s">
        <v>19</v>
      </c>
      <c r="I719" s="27">
        <v>1</v>
      </c>
      <c r="J719" s="30">
        <v>53582816</v>
      </c>
      <c r="K719" s="26" t="s">
        <v>20</v>
      </c>
      <c r="L719" s="26" t="s">
        <v>284</v>
      </c>
      <c r="M719" s="31" t="s">
        <v>2145</v>
      </c>
      <c r="N719" s="6"/>
      <c r="O719" s="2"/>
      <c r="P719" s="2"/>
      <c r="Q719" s="2"/>
      <c r="R719" s="2"/>
      <c r="S719" s="2"/>
      <c r="T719" s="2"/>
      <c r="U719" s="2"/>
      <c r="V719" s="2"/>
      <c r="W719" s="2"/>
      <c r="X719" s="2"/>
      <c r="Y719" s="2"/>
    </row>
    <row r="720" spans="1:25" ht="25.5" customHeight="1">
      <c r="A720" s="26">
        <v>473</v>
      </c>
      <c r="B720" s="27" t="s">
        <v>470</v>
      </c>
      <c r="C720" s="28">
        <v>41983</v>
      </c>
      <c r="D720" s="27"/>
      <c r="E720" s="27" t="s">
        <v>2261</v>
      </c>
      <c r="F720" s="29" t="s">
        <v>2262</v>
      </c>
      <c r="G720" s="27" t="s">
        <v>407</v>
      </c>
      <c r="H720" s="27" t="s">
        <v>19</v>
      </c>
      <c r="I720" s="27">
        <v>1</v>
      </c>
      <c r="J720" s="30">
        <v>53582816</v>
      </c>
      <c r="K720" s="26" t="s">
        <v>20</v>
      </c>
      <c r="L720" s="26" t="s">
        <v>284</v>
      </c>
      <c r="M720" s="31" t="s">
        <v>2145</v>
      </c>
      <c r="N720" s="6"/>
      <c r="O720" s="2"/>
      <c r="P720" s="2"/>
      <c r="Q720" s="2"/>
      <c r="R720" s="2"/>
      <c r="S720" s="2"/>
      <c r="T720" s="2"/>
      <c r="U720" s="2"/>
      <c r="V720" s="2"/>
      <c r="W720" s="2"/>
      <c r="X720" s="2"/>
      <c r="Y720" s="2"/>
    </row>
    <row r="721" spans="1:25" ht="25.5" customHeight="1">
      <c r="A721" s="26">
        <v>474</v>
      </c>
      <c r="B721" s="27" t="s">
        <v>470</v>
      </c>
      <c r="C721" s="28">
        <v>41983</v>
      </c>
      <c r="D721" s="27"/>
      <c r="E721" s="27" t="s">
        <v>2263</v>
      </c>
      <c r="F721" s="29" t="s">
        <v>2264</v>
      </c>
      <c r="G721" s="27" t="s">
        <v>407</v>
      </c>
      <c r="H721" s="27" t="s">
        <v>19</v>
      </c>
      <c r="I721" s="27">
        <v>1</v>
      </c>
      <c r="J721" s="30">
        <v>53582816</v>
      </c>
      <c r="K721" s="26" t="s">
        <v>20</v>
      </c>
      <c r="L721" s="26" t="s">
        <v>284</v>
      </c>
      <c r="M721" s="31" t="s">
        <v>2145</v>
      </c>
      <c r="N721" s="6"/>
      <c r="O721" s="2"/>
      <c r="P721" s="2"/>
      <c r="Q721" s="2"/>
      <c r="R721" s="2"/>
      <c r="S721" s="2"/>
      <c r="T721" s="2"/>
      <c r="U721" s="2"/>
      <c r="V721" s="2"/>
      <c r="W721" s="2"/>
      <c r="X721" s="2"/>
      <c r="Y721" s="2"/>
    </row>
    <row r="722" spans="1:25" ht="25.5" customHeight="1">
      <c r="A722" s="26">
        <v>475</v>
      </c>
      <c r="B722" s="27" t="s">
        <v>470</v>
      </c>
      <c r="C722" s="28">
        <v>41983</v>
      </c>
      <c r="D722" s="27"/>
      <c r="E722" s="27" t="s">
        <v>2265</v>
      </c>
      <c r="F722" s="29" t="s">
        <v>2266</v>
      </c>
      <c r="G722" s="27" t="s">
        <v>407</v>
      </c>
      <c r="H722" s="27" t="s">
        <v>19</v>
      </c>
      <c r="I722" s="27">
        <v>1</v>
      </c>
      <c r="J722" s="30">
        <v>53582816</v>
      </c>
      <c r="K722" s="26" t="s">
        <v>20</v>
      </c>
      <c r="L722" s="26" t="s">
        <v>284</v>
      </c>
      <c r="M722" s="31" t="s">
        <v>2145</v>
      </c>
      <c r="N722" s="6"/>
      <c r="O722" s="2"/>
      <c r="P722" s="2"/>
      <c r="Q722" s="2"/>
      <c r="R722" s="2"/>
      <c r="S722" s="2"/>
      <c r="T722" s="2"/>
      <c r="U722" s="2"/>
      <c r="V722" s="2"/>
      <c r="W722" s="2"/>
      <c r="X722" s="2"/>
      <c r="Y722" s="2"/>
    </row>
    <row r="723" spans="1:25" ht="25.5" customHeight="1">
      <c r="A723" s="26">
        <v>476</v>
      </c>
      <c r="B723" s="27" t="s">
        <v>470</v>
      </c>
      <c r="C723" s="28">
        <v>41983</v>
      </c>
      <c r="D723" s="27"/>
      <c r="E723" s="27" t="s">
        <v>2267</v>
      </c>
      <c r="F723" s="29" t="s">
        <v>2268</v>
      </c>
      <c r="G723" s="27" t="s">
        <v>407</v>
      </c>
      <c r="H723" s="27" t="s">
        <v>19</v>
      </c>
      <c r="I723" s="27">
        <v>1</v>
      </c>
      <c r="J723" s="30">
        <v>53582816</v>
      </c>
      <c r="K723" s="26" t="s">
        <v>20</v>
      </c>
      <c r="L723" s="26" t="s">
        <v>284</v>
      </c>
      <c r="M723" s="31" t="s">
        <v>1224</v>
      </c>
      <c r="N723" s="6"/>
      <c r="O723" s="2"/>
      <c r="P723" s="2"/>
      <c r="Q723" s="2"/>
      <c r="R723" s="2"/>
      <c r="S723" s="2"/>
      <c r="T723" s="2"/>
      <c r="U723" s="2"/>
      <c r="V723" s="2"/>
      <c r="W723" s="2"/>
      <c r="X723" s="2"/>
      <c r="Y723" s="2"/>
    </row>
    <row r="724" spans="1:25" ht="25.5" customHeight="1">
      <c r="A724" s="26">
        <v>477</v>
      </c>
      <c r="B724" s="27" t="s">
        <v>470</v>
      </c>
      <c r="C724" s="28">
        <v>41983</v>
      </c>
      <c r="D724" s="27"/>
      <c r="E724" s="27" t="s">
        <v>2269</v>
      </c>
      <c r="F724" s="29" t="s">
        <v>2270</v>
      </c>
      <c r="G724" s="27" t="s">
        <v>407</v>
      </c>
      <c r="H724" s="27" t="s">
        <v>19</v>
      </c>
      <c r="I724" s="27">
        <v>1</v>
      </c>
      <c r="J724" s="30">
        <v>53582816</v>
      </c>
      <c r="K724" s="26" t="s">
        <v>20</v>
      </c>
      <c r="L724" s="26" t="s">
        <v>284</v>
      </c>
      <c r="M724" s="31" t="s">
        <v>1224</v>
      </c>
      <c r="N724" s="6"/>
      <c r="O724" s="2"/>
      <c r="P724" s="2"/>
      <c r="Q724" s="2"/>
      <c r="R724" s="2"/>
      <c r="S724" s="2"/>
      <c r="T724" s="2"/>
      <c r="U724" s="2"/>
      <c r="V724" s="2"/>
      <c r="W724" s="2"/>
      <c r="X724" s="2"/>
      <c r="Y724" s="2"/>
    </row>
    <row r="725" spans="1:25" ht="25.5" customHeight="1">
      <c r="A725" s="26">
        <v>478</v>
      </c>
      <c r="B725" s="27" t="s">
        <v>470</v>
      </c>
      <c r="C725" s="28">
        <v>41983</v>
      </c>
      <c r="D725" s="27"/>
      <c r="E725" s="27" t="s">
        <v>2271</v>
      </c>
      <c r="F725" s="29" t="s">
        <v>2272</v>
      </c>
      <c r="G725" s="27" t="s">
        <v>407</v>
      </c>
      <c r="H725" s="27" t="s">
        <v>19</v>
      </c>
      <c r="I725" s="27">
        <v>1</v>
      </c>
      <c r="J725" s="30">
        <v>53582816</v>
      </c>
      <c r="K725" s="26" t="s">
        <v>20</v>
      </c>
      <c r="L725" s="26" t="s">
        <v>284</v>
      </c>
      <c r="M725" s="31" t="s">
        <v>2145</v>
      </c>
      <c r="N725" s="6"/>
      <c r="O725" s="2"/>
      <c r="P725" s="2"/>
      <c r="Q725" s="2"/>
      <c r="R725" s="2"/>
      <c r="S725" s="2"/>
      <c r="T725" s="2"/>
      <c r="U725" s="2"/>
      <c r="V725" s="2"/>
      <c r="W725" s="2"/>
      <c r="X725" s="2"/>
      <c r="Y725" s="2"/>
    </row>
    <row r="726" spans="1:25" ht="25.5" customHeight="1">
      <c r="A726" s="26">
        <v>479</v>
      </c>
      <c r="B726" s="27" t="s">
        <v>470</v>
      </c>
      <c r="C726" s="28">
        <v>41983</v>
      </c>
      <c r="D726" s="27"/>
      <c r="E726" s="27" t="s">
        <v>2273</v>
      </c>
      <c r="F726" s="29" t="s">
        <v>2274</v>
      </c>
      <c r="G726" s="27" t="s">
        <v>407</v>
      </c>
      <c r="H726" s="27" t="s">
        <v>19</v>
      </c>
      <c r="I726" s="27">
        <v>1</v>
      </c>
      <c r="J726" s="30">
        <v>53582816</v>
      </c>
      <c r="K726" s="26" t="s">
        <v>20</v>
      </c>
      <c r="L726" s="26" t="s">
        <v>284</v>
      </c>
      <c r="M726" s="31" t="s">
        <v>2145</v>
      </c>
      <c r="N726" s="6"/>
      <c r="O726" s="2"/>
      <c r="P726" s="2"/>
      <c r="Q726" s="2"/>
      <c r="R726" s="2"/>
      <c r="S726" s="2"/>
      <c r="T726" s="2"/>
      <c r="U726" s="2"/>
      <c r="V726" s="2"/>
      <c r="W726" s="2"/>
      <c r="X726" s="2"/>
      <c r="Y726" s="2"/>
    </row>
    <row r="727" spans="1:25" ht="25.5" customHeight="1">
      <c r="A727" s="26">
        <v>480</v>
      </c>
      <c r="B727" s="27" t="s">
        <v>470</v>
      </c>
      <c r="C727" s="28">
        <v>41983</v>
      </c>
      <c r="D727" s="27"/>
      <c r="E727" s="27" t="s">
        <v>2275</v>
      </c>
      <c r="F727" s="29" t="s">
        <v>2276</v>
      </c>
      <c r="G727" s="27" t="s">
        <v>407</v>
      </c>
      <c r="H727" s="27" t="s">
        <v>19</v>
      </c>
      <c r="I727" s="27">
        <v>1</v>
      </c>
      <c r="J727" s="30">
        <v>53582816</v>
      </c>
      <c r="K727" s="26" t="s">
        <v>20</v>
      </c>
      <c r="L727" s="26" t="s">
        <v>284</v>
      </c>
      <c r="M727" s="31" t="s">
        <v>2145</v>
      </c>
      <c r="N727" s="6"/>
      <c r="O727" s="2"/>
      <c r="P727" s="2"/>
      <c r="Q727" s="2"/>
      <c r="R727" s="2"/>
      <c r="S727" s="2"/>
      <c r="T727" s="2"/>
      <c r="U727" s="2"/>
      <c r="V727" s="2"/>
      <c r="W727" s="2"/>
      <c r="X727" s="2"/>
      <c r="Y727" s="2"/>
    </row>
    <row r="728" spans="1:25" ht="25.5" customHeight="1">
      <c r="A728" s="26">
        <v>482</v>
      </c>
      <c r="B728" s="27" t="s">
        <v>470</v>
      </c>
      <c r="C728" s="28">
        <v>41983</v>
      </c>
      <c r="D728" s="27"/>
      <c r="E728" s="27" t="s">
        <v>2279</v>
      </c>
      <c r="F728" s="29" t="s">
        <v>2280</v>
      </c>
      <c r="G728" s="27" t="s">
        <v>407</v>
      </c>
      <c r="H728" s="27" t="s">
        <v>19</v>
      </c>
      <c r="I728" s="27">
        <v>1</v>
      </c>
      <c r="J728" s="30">
        <v>35292528</v>
      </c>
      <c r="K728" s="26" t="s">
        <v>20</v>
      </c>
      <c r="L728" s="26" t="s">
        <v>284</v>
      </c>
      <c r="M728" s="31" t="s">
        <v>5250</v>
      </c>
      <c r="N728" s="6"/>
      <c r="O728" s="2"/>
      <c r="P728" s="2"/>
      <c r="Q728" s="2"/>
      <c r="R728" s="2"/>
      <c r="S728" s="2"/>
      <c r="T728" s="2"/>
      <c r="U728" s="2"/>
      <c r="V728" s="2"/>
      <c r="W728" s="2"/>
      <c r="X728" s="2"/>
      <c r="Y728" s="2"/>
    </row>
    <row r="729" spans="1:25" ht="25.5" customHeight="1">
      <c r="A729" s="26">
        <v>483</v>
      </c>
      <c r="B729" s="27" t="s">
        <v>470</v>
      </c>
      <c r="C729" s="28">
        <v>41983</v>
      </c>
      <c r="D729" s="27"/>
      <c r="E729" s="27" t="s">
        <v>2282</v>
      </c>
      <c r="F729" s="29" t="s">
        <v>2283</v>
      </c>
      <c r="G729" s="27" t="s">
        <v>407</v>
      </c>
      <c r="H729" s="27" t="s">
        <v>19</v>
      </c>
      <c r="I729" s="27">
        <v>1</v>
      </c>
      <c r="J729" s="30">
        <v>35292528</v>
      </c>
      <c r="K729" s="26" t="s">
        <v>20</v>
      </c>
      <c r="L729" s="26" t="s">
        <v>284</v>
      </c>
      <c r="M729" s="31" t="s">
        <v>2284</v>
      </c>
      <c r="N729" s="6"/>
      <c r="O729" s="2"/>
      <c r="P729" s="2"/>
      <c r="Q729" s="2"/>
      <c r="R729" s="2"/>
      <c r="S729" s="2"/>
      <c r="T729" s="2"/>
      <c r="U729" s="2"/>
      <c r="V729" s="2"/>
      <c r="W729" s="2"/>
      <c r="X729" s="2"/>
      <c r="Y729" s="2"/>
    </row>
    <row r="730" spans="1:25" ht="25.5" customHeight="1">
      <c r="A730" s="26">
        <v>484</v>
      </c>
      <c r="B730" s="27" t="s">
        <v>470</v>
      </c>
      <c r="C730" s="28">
        <v>41983</v>
      </c>
      <c r="D730" s="27"/>
      <c r="E730" s="27" t="s">
        <v>2285</v>
      </c>
      <c r="F730" s="29" t="s">
        <v>2286</v>
      </c>
      <c r="G730" s="27" t="s">
        <v>407</v>
      </c>
      <c r="H730" s="27" t="s">
        <v>19</v>
      </c>
      <c r="I730" s="27">
        <v>1</v>
      </c>
      <c r="J730" s="30">
        <v>35292528</v>
      </c>
      <c r="K730" s="26" t="s">
        <v>20</v>
      </c>
      <c r="L730" s="26" t="s">
        <v>284</v>
      </c>
      <c r="M730" s="31" t="s">
        <v>3692</v>
      </c>
      <c r="N730" s="6"/>
      <c r="O730" s="2"/>
      <c r="P730" s="2"/>
      <c r="Q730" s="2"/>
      <c r="R730" s="2"/>
      <c r="S730" s="2"/>
      <c r="T730" s="2"/>
      <c r="U730" s="2"/>
      <c r="V730" s="2"/>
      <c r="W730" s="2"/>
      <c r="X730" s="2"/>
      <c r="Y730" s="2"/>
    </row>
    <row r="731" spans="1:25" ht="25.5" customHeight="1">
      <c r="A731" s="26">
        <v>485</v>
      </c>
      <c r="B731" s="27" t="s">
        <v>470</v>
      </c>
      <c r="C731" s="28">
        <v>41983</v>
      </c>
      <c r="D731" s="27"/>
      <c r="E731" s="27" t="s">
        <v>2287</v>
      </c>
      <c r="F731" s="29" t="s">
        <v>2288</v>
      </c>
      <c r="G731" s="27" t="s">
        <v>407</v>
      </c>
      <c r="H731" s="27" t="s">
        <v>19</v>
      </c>
      <c r="I731" s="27">
        <v>1</v>
      </c>
      <c r="J731" s="30">
        <v>35292528</v>
      </c>
      <c r="K731" s="26" t="s">
        <v>20</v>
      </c>
      <c r="L731" s="26" t="s">
        <v>284</v>
      </c>
      <c r="M731" s="31" t="s">
        <v>3692</v>
      </c>
      <c r="N731" s="6"/>
      <c r="O731" s="2"/>
      <c r="P731" s="2"/>
      <c r="Q731" s="2"/>
      <c r="R731" s="2"/>
      <c r="S731" s="2"/>
      <c r="T731" s="2"/>
      <c r="U731" s="2"/>
      <c r="V731" s="2"/>
      <c r="W731" s="2"/>
      <c r="X731" s="2"/>
      <c r="Y731" s="2"/>
    </row>
    <row r="732" spans="1:25" ht="25.5" customHeight="1">
      <c r="A732" s="26">
        <v>486</v>
      </c>
      <c r="B732" s="27" t="s">
        <v>470</v>
      </c>
      <c r="C732" s="28">
        <v>41983</v>
      </c>
      <c r="D732" s="27"/>
      <c r="E732" s="27" t="s">
        <v>2289</v>
      </c>
      <c r="F732" s="29" t="s">
        <v>2290</v>
      </c>
      <c r="G732" s="27" t="s">
        <v>407</v>
      </c>
      <c r="H732" s="27" t="s">
        <v>19</v>
      </c>
      <c r="I732" s="27">
        <v>1</v>
      </c>
      <c r="J732" s="30">
        <v>35292528</v>
      </c>
      <c r="K732" s="26" t="s">
        <v>20</v>
      </c>
      <c r="L732" s="26" t="s">
        <v>284</v>
      </c>
      <c r="M732" s="31" t="s">
        <v>5250</v>
      </c>
      <c r="N732" s="6"/>
      <c r="O732" s="2"/>
      <c r="P732" s="2"/>
      <c r="Q732" s="2"/>
      <c r="R732" s="2"/>
      <c r="S732" s="2"/>
      <c r="T732" s="2"/>
      <c r="U732" s="2"/>
      <c r="V732" s="2"/>
      <c r="W732" s="2"/>
      <c r="X732" s="2"/>
      <c r="Y732" s="2"/>
    </row>
    <row r="733" spans="1:25" ht="25.5" customHeight="1">
      <c r="A733" s="26">
        <v>487</v>
      </c>
      <c r="B733" s="27" t="s">
        <v>470</v>
      </c>
      <c r="C733" s="28">
        <v>41983</v>
      </c>
      <c r="D733" s="27"/>
      <c r="E733" s="27" t="s">
        <v>2291</v>
      </c>
      <c r="F733" s="29" t="s">
        <v>2292</v>
      </c>
      <c r="G733" s="27" t="s">
        <v>407</v>
      </c>
      <c r="H733" s="27" t="s">
        <v>19</v>
      </c>
      <c r="I733" s="27">
        <v>1</v>
      </c>
      <c r="J733" s="30">
        <v>35292528</v>
      </c>
      <c r="K733" s="26" t="s">
        <v>20</v>
      </c>
      <c r="L733" s="26" t="s">
        <v>284</v>
      </c>
      <c r="M733" s="31" t="s">
        <v>3692</v>
      </c>
      <c r="N733" s="6"/>
      <c r="O733" s="2"/>
      <c r="P733" s="2"/>
      <c r="Q733" s="2"/>
      <c r="R733" s="2"/>
      <c r="S733" s="2"/>
      <c r="T733" s="2"/>
      <c r="U733" s="2"/>
      <c r="V733" s="2"/>
      <c r="W733" s="2"/>
      <c r="X733" s="2"/>
      <c r="Y733" s="2"/>
    </row>
    <row r="734" spans="1:25" ht="25.5" customHeight="1">
      <c r="A734" s="26">
        <v>488</v>
      </c>
      <c r="B734" s="27" t="s">
        <v>470</v>
      </c>
      <c r="C734" s="28">
        <v>41983</v>
      </c>
      <c r="D734" s="27"/>
      <c r="E734" s="27" t="s">
        <v>2293</v>
      </c>
      <c r="F734" s="29" t="s">
        <v>2294</v>
      </c>
      <c r="G734" s="27" t="s">
        <v>407</v>
      </c>
      <c r="H734" s="27" t="s">
        <v>19</v>
      </c>
      <c r="I734" s="27">
        <v>1</v>
      </c>
      <c r="J734" s="30">
        <v>35292528</v>
      </c>
      <c r="K734" s="26" t="s">
        <v>20</v>
      </c>
      <c r="L734" s="26" t="s">
        <v>284</v>
      </c>
      <c r="M734" s="31" t="s">
        <v>3692</v>
      </c>
      <c r="N734" s="6"/>
      <c r="O734" s="2"/>
      <c r="P734" s="2"/>
      <c r="Q734" s="2"/>
      <c r="R734" s="2"/>
      <c r="S734" s="2"/>
      <c r="T734" s="2"/>
      <c r="U734" s="2"/>
      <c r="V734" s="2"/>
      <c r="W734" s="2"/>
      <c r="X734" s="2"/>
      <c r="Y734" s="2"/>
    </row>
    <row r="735" spans="1:25" ht="38.25" customHeight="1">
      <c r="A735" s="26">
        <v>489</v>
      </c>
      <c r="B735" s="27" t="s">
        <v>470</v>
      </c>
      <c r="C735" s="28">
        <v>41983</v>
      </c>
      <c r="D735" s="27"/>
      <c r="E735" s="27" t="s">
        <v>2295</v>
      </c>
      <c r="F735" s="29" t="s">
        <v>2296</v>
      </c>
      <c r="G735" s="27" t="s">
        <v>55</v>
      </c>
      <c r="H735" s="27" t="s">
        <v>19</v>
      </c>
      <c r="I735" s="27">
        <v>1</v>
      </c>
      <c r="J735" s="30">
        <v>510608170</v>
      </c>
      <c r="K735" s="26" t="s">
        <v>20</v>
      </c>
      <c r="L735" s="26" t="s">
        <v>423</v>
      </c>
      <c r="M735" s="31" t="s">
        <v>5251</v>
      </c>
      <c r="N735" s="6"/>
      <c r="O735" s="2"/>
      <c r="P735" s="2"/>
      <c r="Q735" s="2"/>
      <c r="R735" s="2"/>
      <c r="S735" s="2"/>
      <c r="T735" s="2"/>
      <c r="U735" s="2"/>
      <c r="V735" s="2"/>
      <c r="W735" s="2"/>
      <c r="X735" s="2"/>
      <c r="Y735" s="2"/>
    </row>
    <row r="736" spans="1:25" ht="12.75" customHeight="1">
      <c r="A736" s="26">
        <v>490</v>
      </c>
      <c r="B736" s="27" t="s">
        <v>470</v>
      </c>
      <c r="C736" s="28">
        <v>41983</v>
      </c>
      <c r="D736" s="27"/>
      <c r="E736" s="27" t="s">
        <v>2298</v>
      </c>
      <c r="F736" s="29" t="s">
        <v>2299</v>
      </c>
      <c r="G736" s="27" t="s">
        <v>55</v>
      </c>
      <c r="H736" s="27" t="s">
        <v>249</v>
      </c>
      <c r="I736" s="27">
        <v>1</v>
      </c>
      <c r="J736" s="30">
        <v>98441868</v>
      </c>
      <c r="K736" s="26" t="s">
        <v>20</v>
      </c>
      <c r="L736" s="26" t="s">
        <v>233</v>
      </c>
      <c r="M736" s="31" t="s">
        <v>2183</v>
      </c>
      <c r="N736" s="6"/>
      <c r="O736" s="2"/>
      <c r="P736" s="2"/>
      <c r="Q736" s="2"/>
      <c r="R736" s="2"/>
      <c r="S736" s="2"/>
      <c r="T736" s="2"/>
      <c r="U736" s="2"/>
      <c r="V736" s="2"/>
      <c r="W736" s="2"/>
      <c r="X736" s="2"/>
      <c r="Y736" s="2"/>
    </row>
    <row r="737" spans="1:25" ht="12.75" customHeight="1">
      <c r="A737" s="26">
        <v>491</v>
      </c>
      <c r="B737" s="27" t="s">
        <v>470</v>
      </c>
      <c r="C737" s="28">
        <v>41983</v>
      </c>
      <c r="D737" s="27"/>
      <c r="E737" s="27" t="s">
        <v>2300</v>
      </c>
      <c r="F737" s="29" t="s">
        <v>2301</v>
      </c>
      <c r="G737" s="27" t="s">
        <v>55</v>
      </c>
      <c r="H737" s="27" t="s">
        <v>249</v>
      </c>
      <c r="I737" s="27">
        <v>1</v>
      </c>
      <c r="J737" s="30">
        <v>98441868</v>
      </c>
      <c r="K737" s="26" t="s">
        <v>20</v>
      </c>
      <c r="L737" s="26" t="s">
        <v>233</v>
      </c>
      <c r="M737" s="31" t="s">
        <v>2183</v>
      </c>
      <c r="N737" s="6"/>
      <c r="O737" s="2"/>
      <c r="P737" s="2"/>
      <c r="Q737" s="2"/>
      <c r="R737" s="2"/>
      <c r="S737" s="2"/>
      <c r="T737" s="2"/>
      <c r="U737" s="2"/>
      <c r="V737" s="2"/>
      <c r="W737" s="2"/>
      <c r="X737" s="2"/>
      <c r="Y737" s="2"/>
    </row>
    <row r="738" spans="1:25" ht="12.75" customHeight="1">
      <c r="A738" s="26">
        <v>492</v>
      </c>
      <c r="B738" s="27" t="s">
        <v>470</v>
      </c>
      <c r="C738" s="28">
        <v>41983</v>
      </c>
      <c r="D738" s="27"/>
      <c r="E738" s="27" t="s">
        <v>2302</v>
      </c>
      <c r="F738" s="29" t="s">
        <v>2303</v>
      </c>
      <c r="G738" s="27" t="s">
        <v>55</v>
      </c>
      <c r="H738" s="27" t="s">
        <v>249</v>
      </c>
      <c r="I738" s="27">
        <v>1</v>
      </c>
      <c r="J738" s="30">
        <v>98441868</v>
      </c>
      <c r="K738" s="26" t="s">
        <v>20</v>
      </c>
      <c r="L738" s="26" t="s">
        <v>233</v>
      </c>
      <c r="M738" s="31" t="s">
        <v>2183</v>
      </c>
      <c r="N738" s="6"/>
      <c r="O738" s="2"/>
      <c r="P738" s="2"/>
      <c r="Q738" s="2"/>
      <c r="R738" s="2"/>
      <c r="S738" s="2"/>
      <c r="T738" s="2"/>
      <c r="U738" s="2"/>
      <c r="V738" s="2"/>
      <c r="W738" s="2"/>
      <c r="X738" s="2"/>
      <c r="Y738" s="2"/>
    </row>
    <row r="739" spans="1:25" ht="12.75" customHeight="1">
      <c r="A739" s="26">
        <v>493</v>
      </c>
      <c r="B739" s="27" t="s">
        <v>470</v>
      </c>
      <c r="C739" s="28">
        <v>41983</v>
      </c>
      <c r="D739" s="27"/>
      <c r="E739" s="27" t="s">
        <v>2304</v>
      </c>
      <c r="F739" s="29" t="s">
        <v>2305</v>
      </c>
      <c r="G739" s="27" t="s">
        <v>55</v>
      </c>
      <c r="H739" s="27" t="s">
        <v>19</v>
      </c>
      <c r="I739" s="27">
        <v>1</v>
      </c>
      <c r="J739" s="30">
        <v>53657104</v>
      </c>
      <c r="K739" s="26" t="s">
        <v>20</v>
      </c>
      <c r="L739" s="26" t="s">
        <v>233</v>
      </c>
      <c r="M739" s="31" t="s">
        <v>2183</v>
      </c>
      <c r="N739" s="6"/>
      <c r="O739" s="2"/>
      <c r="P739" s="2"/>
      <c r="Q739" s="2"/>
      <c r="R739" s="2"/>
      <c r="S739" s="2"/>
      <c r="T739" s="2"/>
      <c r="U739" s="2"/>
      <c r="V739" s="2"/>
      <c r="W739" s="2"/>
      <c r="X739" s="2"/>
      <c r="Y739" s="2"/>
    </row>
    <row r="740" spans="1:25" ht="12.75" customHeight="1">
      <c r="A740" s="26">
        <v>494</v>
      </c>
      <c r="B740" s="27" t="s">
        <v>470</v>
      </c>
      <c r="C740" s="28">
        <v>41983</v>
      </c>
      <c r="D740" s="27"/>
      <c r="E740" s="27" t="s">
        <v>2306</v>
      </c>
      <c r="F740" s="29" t="s">
        <v>2307</v>
      </c>
      <c r="G740" s="27" t="s">
        <v>55</v>
      </c>
      <c r="H740" s="27" t="s">
        <v>19</v>
      </c>
      <c r="I740" s="27">
        <v>1</v>
      </c>
      <c r="J740" s="30">
        <v>53657104</v>
      </c>
      <c r="K740" s="26" t="s">
        <v>20</v>
      </c>
      <c r="L740" s="26" t="s">
        <v>233</v>
      </c>
      <c r="M740" s="31" t="s">
        <v>2183</v>
      </c>
      <c r="N740" s="6"/>
      <c r="O740" s="2"/>
      <c r="P740" s="2"/>
      <c r="Q740" s="2"/>
      <c r="R740" s="2"/>
      <c r="S740" s="2"/>
      <c r="T740" s="2"/>
      <c r="U740" s="2"/>
      <c r="V740" s="2"/>
      <c r="W740" s="2"/>
      <c r="X740" s="2"/>
      <c r="Y740" s="2"/>
    </row>
    <row r="741" spans="1:25" ht="12.75" customHeight="1">
      <c r="A741" s="26">
        <v>495</v>
      </c>
      <c r="B741" s="27" t="s">
        <v>470</v>
      </c>
      <c r="C741" s="28">
        <v>41983</v>
      </c>
      <c r="D741" s="27"/>
      <c r="E741" s="27" t="s">
        <v>2308</v>
      </c>
      <c r="F741" s="29" t="s">
        <v>2309</v>
      </c>
      <c r="G741" s="27" t="s">
        <v>55</v>
      </c>
      <c r="H741" s="27" t="s">
        <v>19</v>
      </c>
      <c r="I741" s="27">
        <v>1</v>
      </c>
      <c r="J741" s="30">
        <v>53657104</v>
      </c>
      <c r="K741" s="26" t="s">
        <v>20</v>
      </c>
      <c r="L741" s="26" t="s">
        <v>233</v>
      </c>
      <c r="M741" s="31" t="s">
        <v>2183</v>
      </c>
      <c r="N741" s="6"/>
      <c r="O741" s="2"/>
      <c r="P741" s="2"/>
      <c r="Q741" s="2"/>
      <c r="R741" s="2"/>
      <c r="S741" s="2"/>
      <c r="T741" s="2"/>
      <c r="U741" s="2"/>
      <c r="V741" s="2"/>
      <c r="W741" s="2"/>
      <c r="X741" s="2"/>
      <c r="Y741" s="2"/>
    </row>
    <row r="742" spans="1:25" ht="12.75" customHeight="1">
      <c r="A742" s="26">
        <v>496</v>
      </c>
      <c r="B742" s="27" t="s">
        <v>470</v>
      </c>
      <c r="C742" s="28">
        <v>41983</v>
      </c>
      <c r="D742" s="27"/>
      <c r="E742" s="27" t="s">
        <v>2310</v>
      </c>
      <c r="F742" s="29" t="s">
        <v>2311</v>
      </c>
      <c r="G742" s="27" t="s">
        <v>55</v>
      </c>
      <c r="H742" s="27" t="s">
        <v>19</v>
      </c>
      <c r="I742" s="27">
        <v>1</v>
      </c>
      <c r="J742" s="30">
        <v>53657104</v>
      </c>
      <c r="K742" s="26" t="s">
        <v>20</v>
      </c>
      <c r="L742" s="26" t="s">
        <v>233</v>
      </c>
      <c r="M742" s="31" t="s">
        <v>2183</v>
      </c>
      <c r="N742" s="6"/>
      <c r="O742" s="2"/>
      <c r="P742" s="2"/>
      <c r="Q742" s="2"/>
      <c r="R742" s="2"/>
      <c r="S742" s="2"/>
      <c r="T742" s="2"/>
      <c r="U742" s="2"/>
      <c r="V742" s="2"/>
      <c r="W742" s="2"/>
      <c r="X742" s="2"/>
      <c r="Y742" s="2"/>
    </row>
    <row r="743" spans="1:25" ht="12.75" customHeight="1">
      <c r="A743" s="26">
        <v>497</v>
      </c>
      <c r="B743" s="27" t="s">
        <v>470</v>
      </c>
      <c r="C743" s="28">
        <v>41983</v>
      </c>
      <c r="D743" s="27"/>
      <c r="E743" s="27" t="s">
        <v>2312</v>
      </c>
      <c r="F743" s="29" t="s">
        <v>2313</v>
      </c>
      <c r="G743" s="27" t="s">
        <v>55</v>
      </c>
      <c r="H743" s="27" t="s">
        <v>19</v>
      </c>
      <c r="I743" s="27">
        <v>1</v>
      </c>
      <c r="J743" s="30">
        <v>77288471</v>
      </c>
      <c r="K743" s="26" t="s">
        <v>20</v>
      </c>
      <c r="L743" s="26" t="s">
        <v>233</v>
      </c>
      <c r="M743" s="31" t="s">
        <v>2183</v>
      </c>
      <c r="N743" s="6"/>
      <c r="O743" s="2"/>
      <c r="P743" s="2"/>
      <c r="Q743" s="2"/>
      <c r="R743" s="2"/>
      <c r="S743" s="2"/>
      <c r="T743" s="2"/>
      <c r="U743" s="2"/>
      <c r="V743" s="2"/>
      <c r="W743" s="2"/>
      <c r="X743" s="2"/>
      <c r="Y743" s="2"/>
    </row>
    <row r="744" spans="1:25" ht="12.75" customHeight="1">
      <c r="A744" s="26">
        <v>498</v>
      </c>
      <c r="B744" s="27" t="s">
        <v>470</v>
      </c>
      <c r="C744" s="28">
        <v>41983</v>
      </c>
      <c r="D744" s="27"/>
      <c r="E744" s="27" t="s">
        <v>2314</v>
      </c>
      <c r="F744" s="29" t="s">
        <v>2315</v>
      </c>
      <c r="G744" s="27" t="s">
        <v>55</v>
      </c>
      <c r="H744" s="27" t="s">
        <v>19</v>
      </c>
      <c r="I744" s="27">
        <v>1</v>
      </c>
      <c r="J744" s="30">
        <v>77288471</v>
      </c>
      <c r="K744" s="26" t="s">
        <v>20</v>
      </c>
      <c r="L744" s="26" t="s">
        <v>233</v>
      </c>
      <c r="M744" s="31" t="s">
        <v>2183</v>
      </c>
      <c r="N744" s="6"/>
      <c r="O744" s="2"/>
      <c r="P744" s="2"/>
      <c r="Q744" s="2"/>
      <c r="R744" s="2"/>
      <c r="S744" s="2"/>
      <c r="T744" s="2"/>
      <c r="U744" s="2"/>
      <c r="V744" s="2"/>
      <c r="W744" s="2"/>
      <c r="X744" s="2"/>
      <c r="Y744" s="2"/>
    </row>
    <row r="745" spans="1:25" ht="12.75" customHeight="1">
      <c r="A745" s="26">
        <v>500</v>
      </c>
      <c r="B745" s="27" t="s">
        <v>470</v>
      </c>
      <c r="C745" s="28">
        <v>41983</v>
      </c>
      <c r="D745" s="27"/>
      <c r="E745" s="27" t="s">
        <v>2318</v>
      </c>
      <c r="F745" s="29" t="s">
        <v>2319</v>
      </c>
      <c r="G745" s="27" t="s">
        <v>55</v>
      </c>
      <c r="H745" s="27" t="s">
        <v>19</v>
      </c>
      <c r="I745" s="27">
        <v>1</v>
      </c>
      <c r="J745" s="30">
        <v>77288471</v>
      </c>
      <c r="K745" s="26" t="s">
        <v>20</v>
      </c>
      <c r="L745" s="26" t="s">
        <v>233</v>
      </c>
      <c r="M745" s="31" t="s">
        <v>2183</v>
      </c>
      <c r="N745" s="6"/>
      <c r="O745" s="2"/>
      <c r="P745" s="2"/>
      <c r="Q745" s="2"/>
      <c r="R745" s="2"/>
      <c r="S745" s="2"/>
      <c r="T745" s="2"/>
      <c r="U745" s="2"/>
      <c r="V745" s="2"/>
      <c r="W745" s="2"/>
      <c r="X745" s="2"/>
      <c r="Y745" s="2"/>
    </row>
    <row r="746" spans="1:25" ht="12.75" customHeight="1">
      <c r="A746" s="26">
        <v>501</v>
      </c>
      <c r="B746" s="27" t="s">
        <v>470</v>
      </c>
      <c r="C746" s="28">
        <v>41983</v>
      </c>
      <c r="D746" s="27"/>
      <c r="E746" s="27" t="s">
        <v>2320</v>
      </c>
      <c r="F746" s="29" t="s">
        <v>2321</v>
      </c>
      <c r="G746" s="27" t="s">
        <v>55</v>
      </c>
      <c r="H746" s="27" t="s">
        <v>19</v>
      </c>
      <c r="I746" s="27">
        <v>1</v>
      </c>
      <c r="J746" s="30">
        <v>77288471</v>
      </c>
      <c r="K746" s="26" t="s">
        <v>20</v>
      </c>
      <c r="L746" s="26" t="s">
        <v>233</v>
      </c>
      <c r="M746" s="31" t="s">
        <v>2245</v>
      </c>
      <c r="N746" s="6"/>
      <c r="O746" s="2"/>
      <c r="P746" s="2"/>
      <c r="Q746" s="2"/>
      <c r="R746" s="2"/>
      <c r="S746" s="2"/>
      <c r="T746" s="2"/>
      <c r="U746" s="2"/>
      <c r="V746" s="2"/>
      <c r="W746" s="2"/>
      <c r="X746" s="2"/>
      <c r="Y746" s="2"/>
    </row>
    <row r="747" spans="1:25" ht="12.75" customHeight="1">
      <c r="A747" s="26">
        <v>502</v>
      </c>
      <c r="B747" s="27" t="s">
        <v>470</v>
      </c>
      <c r="C747" s="28">
        <v>41983</v>
      </c>
      <c r="D747" s="27"/>
      <c r="E747" s="27" t="s">
        <v>2322</v>
      </c>
      <c r="F747" s="29" t="s">
        <v>2323</v>
      </c>
      <c r="G747" s="27" t="s">
        <v>55</v>
      </c>
      <c r="H747" s="27" t="s">
        <v>19</v>
      </c>
      <c r="I747" s="27">
        <v>1</v>
      </c>
      <c r="J747" s="30">
        <v>77288471</v>
      </c>
      <c r="K747" s="26" t="s">
        <v>20</v>
      </c>
      <c r="L747" s="26" t="s">
        <v>233</v>
      </c>
      <c r="M747" s="31" t="s">
        <v>2183</v>
      </c>
      <c r="N747" s="6"/>
      <c r="O747" s="2"/>
      <c r="P747" s="2"/>
      <c r="Q747" s="2"/>
      <c r="R747" s="2"/>
      <c r="S747" s="2"/>
      <c r="T747" s="2"/>
      <c r="U747" s="2"/>
      <c r="V747" s="2"/>
      <c r="W747" s="2"/>
      <c r="X747" s="2"/>
      <c r="Y747" s="2"/>
    </row>
    <row r="748" spans="1:25" ht="12.75" customHeight="1">
      <c r="A748" s="26">
        <v>503</v>
      </c>
      <c r="B748" s="27" t="s">
        <v>470</v>
      </c>
      <c r="C748" s="28">
        <v>41983</v>
      </c>
      <c r="D748" s="27"/>
      <c r="E748" s="27" t="s">
        <v>2324</v>
      </c>
      <c r="F748" s="29" t="s">
        <v>2325</v>
      </c>
      <c r="G748" s="27" t="s">
        <v>55</v>
      </c>
      <c r="H748" s="27" t="s">
        <v>19</v>
      </c>
      <c r="I748" s="27">
        <v>1</v>
      </c>
      <c r="J748" s="30">
        <v>77288471</v>
      </c>
      <c r="K748" s="26" t="s">
        <v>20</v>
      </c>
      <c r="L748" s="26" t="s">
        <v>233</v>
      </c>
      <c r="M748" s="31" t="s">
        <v>2183</v>
      </c>
      <c r="N748" s="6"/>
      <c r="O748" s="2"/>
      <c r="P748" s="2"/>
      <c r="Q748" s="2"/>
      <c r="R748" s="2"/>
      <c r="S748" s="2"/>
      <c r="T748" s="2"/>
      <c r="U748" s="2"/>
      <c r="V748" s="2"/>
      <c r="W748" s="2"/>
      <c r="X748" s="2"/>
      <c r="Y748" s="2"/>
    </row>
    <row r="749" spans="1:25" ht="12.75" customHeight="1">
      <c r="A749" s="26">
        <v>504</v>
      </c>
      <c r="B749" s="27" t="s">
        <v>470</v>
      </c>
      <c r="C749" s="28">
        <v>41983</v>
      </c>
      <c r="D749" s="27"/>
      <c r="E749" s="27" t="s">
        <v>2326</v>
      </c>
      <c r="F749" s="29" t="s">
        <v>2327</v>
      </c>
      <c r="G749" s="27" t="s">
        <v>55</v>
      </c>
      <c r="H749" s="27" t="s">
        <v>19</v>
      </c>
      <c r="I749" s="27">
        <v>1</v>
      </c>
      <c r="J749" s="30">
        <v>77288471</v>
      </c>
      <c r="K749" s="26" t="s">
        <v>20</v>
      </c>
      <c r="L749" s="26" t="s">
        <v>233</v>
      </c>
      <c r="M749" s="31" t="s">
        <v>2183</v>
      </c>
      <c r="N749" s="6"/>
      <c r="O749" s="2"/>
      <c r="P749" s="2"/>
      <c r="Q749" s="2"/>
      <c r="R749" s="2"/>
      <c r="S749" s="2"/>
      <c r="T749" s="2"/>
      <c r="U749" s="2"/>
      <c r="V749" s="2"/>
      <c r="W749" s="2"/>
      <c r="X749" s="2"/>
      <c r="Y749" s="2"/>
    </row>
    <row r="750" spans="1:25" ht="12.75" customHeight="1">
      <c r="A750" s="26">
        <v>505</v>
      </c>
      <c r="B750" s="27" t="s">
        <v>470</v>
      </c>
      <c r="C750" s="28">
        <v>41983</v>
      </c>
      <c r="D750" s="27"/>
      <c r="E750" s="27" t="s">
        <v>2328</v>
      </c>
      <c r="F750" s="29" t="s">
        <v>2329</v>
      </c>
      <c r="G750" s="27" t="s">
        <v>55</v>
      </c>
      <c r="H750" s="27" t="s">
        <v>19</v>
      </c>
      <c r="I750" s="27">
        <v>1</v>
      </c>
      <c r="J750" s="30">
        <v>70120491</v>
      </c>
      <c r="K750" s="26" t="s">
        <v>20</v>
      </c>
      <c r="L750" s="26" t="s">
        <v>233</v>
      </c>
      <c r="M750" s="31" t="s">
        <v>2183</v>
      </c>
      <c r="N750" s="6"/>
      <c r="O750" s="2"/>
      <c r="P750" s="2"/>
      <c r="Q750" s="2"/>
      <c r="R750" s="2"/>
      <c r="S750" s="2"/>
      <c r="T750" s="2"/>
      <c r="U750" s="2"/>
      <c r="V750" s="2"/>
      <c r="W750" s="2"/>
      <c r="X750" s="2"/>
      <c r="Y750" s="2"/>
    </row>
    <row r="751" spans="1:25" ht="12.75" customHeight="1">
      <c r="A751" s="26">
        <v>506</v>
      </c>
      <c r="B751" s="27" t="s">
        <v>470</v>
      </c>
      <c r="C751" s="28">
        <v>41983</v>
      </c>
      <c r="D751" s="27"/>
      <c r="E751" s="27" t="s">
        <v>2330</v>
      </c>
      <c r="F751" s="29" t="s">
        <v>2331</v>
      </c>
      <c r="G751" s="27" t="s">
        <v>55</v>
      </c>
      <c r="H751" s="27" t="s">
        <v>19</v>
      </c>
      <c r="I751" s="27">
        <v>1</v>
      </c>
      <c r="J751" s="30">
        <v>70120491</v>
      </c>
      <c r="K751" s="26" t="s">
        <v>20</v>
      </c>
      <c r="L751" s="26" t="s">
        <v>233</v>
      </c>
      <c r="M751" s="31" t="s">
        <v>2183</v>
      </c>
      <c r="N751" s="6"/>
      <c r="O751" s="2"/>
      <c r="P751" s="2"/>
      <c r="Q751" s="2"/>
      <c r="R751" s="2"/>
      <c r="S751" s="2"/>
      <c r="T751" s="2"/>
      <c r="U751" s="2"/>
      <c r="V751" s="2"/>
      <c r="W751" s="2"/>
      <c r="X751" s="2"/>
      <c r="Y751" s="2"/>
    </row>
    <row r="752" spans="1:25" ht="12.75" customHeight="1">
      <c r="A752" s="26">
        <v>507</v>
      </c>
      <c r="B752" s="27" t="s">
        <v>470</v>
      </c>
      <c r="C752" s="28">
        <v>41983</v>
      </c>
      <c r="D752" s="27"/>
      <c r="E752" s="27" t="s">
        <v>2332</v>
      </c>
      <c r="F752" s="29" t="s">
        <v>2333</v>
      </c>
      <c r="G752" s="27" t="s">
        <v>55</v>
      </c>
      <c r="H752" s="27" t="s">
        <v>19</v>
      </c>
      <c r="I752" s="27">
        <v>1</v>
      </c>
      <c r="J752" s="30">
        <v>70120491</v>
      </c>
      <c r="K752" s="26" t="s">
        <v>20</v>
      </c>
      <c r="L752" s="26" t="s">
        <v>233</v>
      </c>
      <c r="M752" s="31" t="s">
        <v>2183</v>
      </c>
      <c r="N752" s="6"/>
      <c r="O752" s="2"/>
      <c r="P752" s="2"/>
      <c r="Q752" s="2"/>
      <c r="R752" s="2"/>
      <c r="S752" s="2"/>
      <c r="T752" s="2"/>
      <c r="U752" s="2"/>
      <c r="V752" s="2"/>
      <c r="W752" s="2"/>
      <c r="X752" s="2"/>
      <c r="Y752" s="2"/>
    </row>
    <row r="753" spans="1:25" ht="12.75" customHeight="1">
      <c r="A753" s="26">
        <v>508</v>
      </c>
      <c r="B753" s="27" t="s">
        <v>470</v>
      </c>
      <c r="C753" s="28">
        <v>41983</v>
      </c>
      <c r="D753" s="27"/>
      <c r="E753" s="27" t="s">
        <v>2334</v>
      </c>
      <c r="F753" s="29" t="s">
        <v>2335</v>
      </c>
      <c r="G753" s="27" t="s">
        <v>55</v>
      </c>
      <c r="H753" s="27" t="s">
        <v>19</v>
      </c>
      <c r="I753" s="27">
        <v>1</v>
      </c>
      <c r="J753" s="30">
        <v>70120491</v>
      </c>
      <c r="K753" s="26" t="s">
        <v>20</v>
      </c>
      <c r="L753" s="26" t="s">
        <v>233</v>
      </c>
      <c r="M753" s="31" t="s">
        <v>2183</v>
      </c>
      <c r="N753" s="6"/>
      <c r="O753" s="2"/>
      <c r="P753" s="2"/>
      <c r="Q753" s="2"/>
      <c r="R753" s="2"/>
      <c r="S753" s="2"/>
      <c r="T753" s="2"/>
      <c r="U753" s="2"/>
      <c r="V753" s="2"/>
      <c r="W753" s="2"/>
      <c r="X753" s="2"/>
      <c r="Y753" s="2"/>
    </row>
    <row r="754" spans="1:25" ht="12.75" customHeight="1">
      <c r="A754" s="26">
        <v>509</v>
      </c>
      <c r="B754" s="27" t="s">
        <v>470</v>
      </c>
      <c r="C754" s="28">
        <v>41983</v>
      </c>
      <c r="D754" s="27"/>
      <c r="E754" s="27" t="s">
        <v>2336</v>
      </c>
      <c r="F754" s="29" t="s">
        <v>2337</v>
      </c>
      <c r="G754" s="27" t="s">
        <v>55</v>
      </c>
      <c r="H754" s="27" t="s">
        <v>19</v>
      </c>
      <c r="I754" s="27">
        <v>1</v>
      </c>
      <c r="J754" s="30">
        <v>70120491</v>
      </c>
      <c r="K754" s="26" t="s">
        <v>20</v>
      </c>
      <c r="L754" s="26" t="s">
        <v>233</v>
      </c>
      <c r="M754" s="31" t="s">
        <v>2183</v>
      </c>
      <c r="N754" s="6"/>
      <c r="O754" s="2"/>
      <c r="P754" s="2"/>
      <c r="Q754" s="2"/>
      <c r="R754" s="2"/>
      <c r="S754" s="2"/>
      <c r="T754" s="2"/>
      <c r="U754" s="2"/>
      <c r="V754" s="2"/>
      <c r="W754" s="2"/>
      <c r="X754" s="2"/>
      <c r="Y754" s="2"/>
    </row>
    <row r="755" spans="1:25" ht="12.75" customHeight="1">
      <c r="A755" s="26">
        <v>510</v>
      </c>
      <c r="B755" s="27" t="s">
        <v>470</v>
      </c>
      <c r="C755" s="28">
        <v>41983</v>
      </c>
      <c r="D755" s="27"/>
      <c r="E755" s="27" t="s">
        <v>2338</v>
      </c>
      <c r="F755" s="29" t="s">
        <v>2339</v>
      </c>
      <c r="G755" s="27" t="s">
        <v>55</v>
      </c>
      <c r="H755" s="27" t="s">
        <v>19</v>
      </c>
      <c r="I755" s="27">
        <v>1</v>
      </c>
      <c r="J755" s="30">
        <v>70120491</v>
      </c>
      <c r="K755" s="26" t="s">
        <v>20</v>
      </c>
      <c r="L755" s="26" t="s">
        <v>233</v>
      </c>
      <c r="M755" s="31" t="s">
        <v>2183</v>
      </c>
      <c r="N755" s="6"/>
      <c r="O755" s="2"/>
      <c r="P755" s="2"/>
      <c r="Q755" s="2"/>
      <c r="R755" s="2"/>
      <c r="S755" s="2"/>
      <c r="T755" s="2"/>
      <c r="U755" s="2"/>
      <c r="V755" s="2"/>
      <c r="W755" s="2"/>
      <c r="X755" s="2"/>
      <c r="Y755" s="2"/>
    </row>
    <row r="756" spans="1:25" ht="25.5" customHeight="1">
      <c r="A756" s="26">
        <v>511</v>
      </c>
      <c r="B756" s="27" t="s">
        <v>2340</v>
      </c>
      <c r="C756" s="28">
        <v>37986</v>
      </c>
      <c r="D756" s="27" t="s">
        <v>2341</v>
      </c>
      <c r="E756" s="27" t="s">
        <v>2342</v>
      </c>
      <c r="F756" s="29" t="s">
        <v>2343</v>
      </c>
      <c r="G756" s="27"/>
      <c r="H756" s="27" t="s">
        <v>19</v>
      </c>
      <c r="I756" s="27">
        <v>1</v>
      </c>
      <c r="J756" s="30">
        <v>52462406</v>
      </c>
      <c r="K756" s="26" t="s">
        <v>206</v>
      </c>
      <c r="L756" s="26" t="s">
        <v>1514</v>
      </c>
      <c r="M756" s="31" t="s">
        <v>2067</v>
      </c>
      <c r="N756" s="6"/>
      <c r="O756" s="2"/>
      <c r="P756" s="2"/>
      <c r="Q756" s="2"/>
      <c r="R756" s="2"/>
      <c r="S756" s="2"/>
      <c r="T756" s="2"/>
      <c r="U756" s="2"/>
      <c r="V756" s="2"/>
      <c r="W756" s="2"/>
      <c r="X756" s="2"/>
      <c r="Y756" s="2"/>
    </row>
    <row r="757" spans="1:25" ht="12.75" customHeight="1">
      <c r="A757" s="26" t="s">
        <v>2344</v>
      </c>
      <c r="B757" s="27"/>
      <c r="C757" s="28"/>
      <c r="D757" s="27"/>
      <c r="E757" s="27" t="s">
        <v>2345</v>
      </c>
      <c r="F757" s="29" t="s">
        <v>2346</v>
      </c>
      <c r="G757" s="27"/>
      <c r="H757" s="27"/>
      <c r="I757" s="27">
        <v>1</v>
      </c>
      <c r="J757" s="30"/>
      <c r="K757" s="26" t="s">
        <v>206</v>
      </c>
      <c r="L757" s="26" t="s">
        <v>1514</v>
      </c>
      <c r="M757" s="31"/>
      <c r="N757" s="6"/>
      <c r="O757" s="2"/>
      <c r="P757" s="2"/>
      <c r="Q757" s="2"/>
      <c r="R757" s="2"/>
      <c r="S757" s="2"/>
      <c r="T757" s="2"/>
      <c r="U757" s="2"/>
      <c r="V757" s="2"/>
      <c r="W757" s="2"/>
      <c r="X757" s="2"/>
      <c r="Y757" s="2"/>
    </row>
    <row r="758" spans="1:25" ht="12.75" customHeight="1">
      <c r="A758" s="26" t="s">
        <v>2347</v>
      </c>
      <c r="B758" s="27"/>
      <c r="C758" s="28"/>
      <c r="D758" s="27"/>
      <c r="E758" s="27" t="s">
        <v>2348</v>
      </c>
      <c r="F758" s="29" t="s">
        <v>2349</v>
      </c>
      <c r="G758" s="27"/>
      <c r="H758" s="27"/>
      <c r="I758" s="27">
        <v>1</v>
      </c>
      <c r="J758" s="30">
        <v>0</v>
      </c>
      <c r="K758" s="26" t="s">
        <v>206</v>
      </c>
      <c r="L758" s="26" t="s">
        <v>1514</v>
      </c>
      <c r="M758" s="31"/>
      <c r="N758" s="6"/>
      <c r="O758" s="2"/>
      <c r="P758" s="2"/>
      <c r="Q758" s="2"/>
      <c r="R758" s="2"/>
      <c r="S758" s="2"/>
      <c r="T758" s="2"/>
      <c r="U758" s="2"/>
      <c r="V758" s="2"/>
      <c r="W758" s="2"/>
      <c r="X758" s="2"/>
      <c r="Y758" s="2"/>
    </row>
    <row r="759" spans="1:25" ht="12.75" customHeight="1">
      <c r="A759" s="26">
        <v>512</v>
      </c>
      <c r="B759" s="27" t="s">
        <v>2350</v>
      </c>
      <c r="C759" s="28">
        <v>39945</v>
      </c>
      <c r="D759" s="27"/>
      <c r="E759" s="27" t="s">
        <v>2351</v>
      </c>
      <c r="F759" s="29" t="s">
        <v>2352</v>
      </c>
      <c r="G759" s="27" t="s">
        <v>55</v>
      </c>
      <c r="H759" s="27" t="s">
        <v>249</v>
      </c>
      <c r="I759" s="27">
        <v>1</v>
      </c>
      <c r="J759" s="30">
        <v>167046265</v>
      </c>
      <c r="K759" s="26" t="s">
        <v>20</v>
      </c>
      <c r="L759" s="26" t="s">
        <v>233</v>
      </c>
      <c r="M759" s="31" t="s">
        <v>2353</v>
      </c>
      <c r="N759" s="6"/>
      <c r="O759" s="2"/>
      <c r="P759" s="2"/>
      <c r="Q759" s="2"/>
      <c r="R759" s="2"/>
      <c r="S759" s="2"/>
      <c r="T759" s="2"/>
      <c r="U759" s="2"/>
      <c r="V759" s="2"/>
      <c r="W759" s="2"/>
      <c r="X759" s="2"/>
      <c r="Y759" s="2"/>
    </row>
    <row r="760" spans="1:25" ht="12.75" customHeight="1">
      <c r="A760" s="26">
        <v>513</v>
      </c>
      <c r="B760" s="27" t="s">
        <v>2354</v>
      </c>
      <c r="C760" s="28">
        <v>40045</v>
      </c>
      <c r="D760" s="27"/>
      <c r="E760" s="27" t="s">
        <v>2355</v>
      </c>
      <c r="F760" s="29" t="s">
        <v>2356</v>
      </c>
      <c r="G760" s="27" t="s">
        <v>55</v>
      </c>
      <c r="H760" s="27" t="s">
        <v>249</v>
      </c>
      <c r="I760" s="27">
        <v>1</v>
      </c>
      <c r="J760" s="30">
        <v>169640260</v>
      </c>
      <c r="K760" s="26" t="s">
        <v>20</v>
      </c>
      <c r="L760" s="36" t="s">
        <v>229</v>
      </c>
      <c r="M760" s="31" t="s">
        <v>996</v>
      </c>
      <c r="N760" s="6"/>
      <c r="O760" s="2"/>
      <c r="P760" s="2"/>
      <c r="Q760" s="2"/>
      <c r="R760" s="2"/>
      <c r="S760" s="2"/>
      <c r="T760" s="2"/>
      <c r="U760" s="2"/>
      <c r="V760" s="2"/>
      <c r="W760" s="2"/>
      <c r="X760" s="2"/>
      <c r="Y760" s="2"/>
    </row>
    <row r="761" spans="1:25" ht="25.5" customHeight="1">
      <c r="A761" s="38">
        <v>514</v>
      </c>
      <c r="B761" s="27" t="s">
        <v>1064</v>
      </c>
      <c r="C761" s="40">
        <v>39963</v>
      </c>
      <c r="D761" s="27"/>
      <c r="E761" s="39" t="s">
        <v>2357</v>
      </c>
      <c r="F761" s="41" t="s">
        <v>2358</v>
      </c>
      <c r="G761" s="27" t="s">
        <v>55</v>
      </c>
      <c r="H761" s="27" t="s">
        <v>249</v>
      </c>
      <c r="I761" s="27">
        <v>1</v>
      </c>
      <c r="J761" s="42">
        <v>168900954</v>
      </c>
      <c r="K761" s="38" t="s">
        <v>206</v>
      </c>
      <c r="L761" s="38" t="s">
        <v>1040</v>
      </c>
      <c r="M761" s="43" t="s">
        <v>2067</v>
      </c>
      <c r="N761" s="6"/>
      <c r="O761" s="2"/>
      <c r="P761" s="2"/>
      <c r="Q761" s="2"/>
      <c r="R761" s="2"/>
      <c r="S761" s="2"/>
      <c r="T761" s="2"/>
      <c r="U761" s="2"/>
      <c r="V761" s="2"/>
      <c r="W761" s="2"/>
      <c r="X761" s="2"/>
      <c r="Y761" s="2"/>
    </row>
    <row r="762" spans="1:25" ht="25.5" customHeight="1">
      <c r="A762" s="38">
        <v>515</v>
      </c>
      <c r="B762" s="27" t="s">
        <v>1064</v>
      </c>
      <c r="C762" s="40">
        <v>39963</v>
      </c>
      <c r="D762" s="27"/>
      <c r="E762" s="39" t="s">
        <v>2359</v>
      </c>
      <c r="F762" s="41" t="s">
        <v>2360</v>
      </c>
      <c r="G762" s="27" t="s">
        <v>55</v>
      </c>
      <c r="H762" s="27" t="s">
        <v>249</v>
      </c>
      <c r="I762" s="27">
        <v>1</v>
      </c>
      <c r="J762" s="42">
        <v>168900954</v>
      </c>
      <c r="K762" s="38" t="s">
        <v>206</v>
      </c>
      <c r="L762" s="38" t="s">
        <v>1040</v>
      </c>
      <c r="M762" s="43" t="s">
        <v>2067</v>
      </c>
      <c r="N762" s="6"/>
      <c r="O762" s="2"/>
      <c r="P762" s="2"/>
      <c r="Q762" s="2"/>
      <c r="R762" s="2"/>
      <c r="S762" s="2"/>
      <c r="T762" s="2"/>
      <c r="U762" s="2"/>
      <c r="V762" s="2"/>
      <c r="W762" s="2"/>
      <c r="X762" s="2"/>
      <c r="Y762" s="2"/>
    </row>
    <row r="763" spans="1:25" ht="25.5" customHeight="1">
      <c r="A763" s="38">
        <v>516</v>
      </c>
      <c r="B763" s="27" t="s">
        <v>1064</v>
      </c>
      <c r="C763" s="40">
        <v>39963</v>
      </c>
      <c r="D763" s="27"/>
      <c r="E763" s="39" t="s">
        <v>2361</v>
      </c>
      <c r="F763" s="41" t="s">
        <v>2362</v>
      </c>
      <c r="G763" s="27" t="s">
        <v>55</v>
      </c>
      <c r="H763" s="27" t="s">
        <v>249</v>
      </c>
      <c r="I763" s="27">
        <v>1</v>
      </c>
      <c r="J763" s="42">
        <v>168900955</v>
      </c>
      <c r="K763" s="38" t="s">
        <v>206</v>
      </c>
      <c r="L763" s="38" t="s">
        <v>1040</v>
      </c>
      <c r="M763" s="43" t="s">
        <v>2067</v>
      </c>
      <c r="N763" s="6"/>
      <c r="O763" s="2"/>
      <c r="P763" s="2"/>
      <c r="Q763" s="2"/>
      <c r="R763" s="2"/>
      <c r="S763" s="2"/>
      <c r="T763" s="2"/>
      <c r="U763" s="2"/>
      <c r="V763" s="2"/>
      <c r="W763" s="2"/>
      <c r="X763" s="2"/>
      <c r="Y763" s="2"/>
    </row>
    <row r="764" spans="1:25" ht="12.75" customHeight="1">
      <c r="A764" s="26">
        <v>517</v>
      </c>
      <c r="B764" s="27" t="s">
        <v>1064</v>
      </c>
      <c r="C764" s="28">
        <v>39963</v>
      </c>
      <c r="D764" s="27"/>
      <c r="E764" s="27" t="s">
        <v>2363</v>
      </c>
      <c r="F764" s="29" t="s">
        <v>2364</v>
      </c>
      <c r="G764" s="27"/>
      <c r="H764" s="27" t="s">
        <v>249</v>
      </c>
      <c r="I764" s="27">
        <v>1</v>
      </c>
      <c r="J764" s="30">
        <v>184289407</v>
      </c>
      <c r="K764" s="26" t="s">
        <v>206</v>
      </c>
      <c r="L764" s="26" t="s">
        <v>1040</v>
      </c>
      <c r="M764" s="31" t="s">
        <v>2067</v>
      </c>
      <c r="N764" s="6"/>
      <c r="O764" s="2"/>
      <c r="P764" s="2"/>
      <c r="Q764" s="2"/>
      <c r="R764" s="2"/>
      <c r="S764" s="2"/>
      <c r="T764" s="2"/>
      <c r="U764" s="2"/>
      <c r="V764" s="2"/>
      <c r="W764" s="2"/>
      <c r="X764" s="2"/>
      <c r="Y764" s="2"/>
    </row>
    <row r="765" spans="1:25" ht="38.25" customHeight="1">
      <c r="A765" s="26">
        <v>518</v>
      </c>
      <c r="B765" s="27" t="s">
        <v>1005</v>
      </c>
      <c r="C765" s="28">
        <v>39994</v>
      </c>
      <c r="D765" s="27"/>
      <c r="E765" s="27" t="s">
        <v>2365</v>
      </c>
      <c r="F765" s="29" t="s">
        <v>2366</v>
      </c>
      <c r="G765" s="27"/>
      <c r="H765" s="27" t="s">
        <v>249</v>
      </c>
      <c r="I765" s="27">
        <v>1</v>
      </c>
      <c r="J765" s="30">
        <v>231548036</v>
      </c>
      <c r="K765" s="26" t="s">
        <v>206</v>
      </c>
      <c r="L765" s="26" t="s">
        <v>1040</v>
      </c>
      <c r="M765" s="31" t="s">
        <v>1954</v>
      </c>
      <c r="N765" s="6"/>
      <c r="O765" s="2"/>
      <c r="P765" s="2"/>
      <c r="Q765" s="2"/>
      <c r="R765" s="2"/>
      <c r="S765" s="2"/>
      <c r="T765" s="2"/>
      <c r="U765" s="2"/>
      <c r="V765" s="2"/>
      <c r="W765" s="2"/>
      <c r="X765" s="2"/>
      <c r="Y765" s="2"/>
    </row>
    <row r="766" spans="1:25" ht="38.25" customHeight="1">
      <c r="A766" s="38">
        <v>519</v>
      </c>
      <c r="B766" s="27" t="s">
        <v>1005</v>
      </c>
      <c r="C766" s="40">
        <v>39994</v>
      </c>
      <c r="D766" s="27"/>
      <c r="E766" s="39" t="s">
        <v>2367</v>
      </c>
      <c r="F766" s="41" t="s">
        <v>2368</v>
      </c>
      <c r="G766" s="27"/>
      <c r="H766" s="27" t="s">
        <v>249</v>
      </c>
      <c r="I766" s="27">
        <v>1</v>
      </c>
      <c r="J766" s="42">
        <v>231548036</v>
      </c>
      <c r="K766" s="38" t="s">
        <v>206</v>
      </c>
      <c r="L766" s="38" t="s">
        <v>1040</v>
      </c>
      <c r="M766" s="43" t="s">
        <v>1954</v>
      </c>
      <c r="N766" s="6"/>
      <c r="O766" s="2"/>
      <c r="P766" s="2"/>
      <c r="Q766" s="2"/>
      <c r="R766" s="2"/>
      <c r="S766" s="2"/>
      <c r="T766" s="2"/>
      <c r="U766" s="2"/>
      <c r="V766" s="2"/>
      <c r="W766" s="2"/>
      <c r="X766" s="2"/>
      <c r="Y766" s="2"/>
    </row>
    <row r="767" spans="1:25" ht="38.25" customHeight="1">
      <c r="A767" s="26">
        <v>520</v>
      </c>
      <c r="B767" s="27" t="s">
        <v>1005</v>
      </c>
      <c r="C767" s="28">
        <v>39994</v>
      </c>
      <c r="D767" s="27"/>
      <c r="E767" s="27" t="s">
        <v>2369</v>
      </c>
      <c r="F767" s="29" t="s">
        <v>2370</v>
      </c>
      <c r="G767" s="27"/>
      <c r="H767" s="27" t="s">
        <v>249</v>
      </c>
      <c r="I767" s="27">
        <v>1</v>
      </c>
      <c r="J767" s="30">
        <v>231548036</v>
      </c>
      <c r="K767" s="26" t="s">
        <v>206</v>
      </c>
      <c r="L767" s="26" t="s">
        <v>1040</v>
      </c>
      <c r="M767" s="31" t="s">
        <v>1954</v>
      </c>
      <c r="N767" s="6"/>
      <c r="O767" s="2"/>
      <c r="P767" s="2"/>
      <c r="Q767" s="2"/>
      <c r="R767" s="2"/>
      <c r="S767" s="2"/>
      <c r="T767" s="2"/>
      <c r="U767" s="2"/>
      <c r="V767" s="2"/>
      <c r="W767" s="2"/>
      <c r="X767" s="2"/>
      <c r="Y767" s="2"/>
    </row>
    <row r="768" spans="1:25" ht="38.25" customHeight="1">
      <c r="A768" s="38">
        <v>521</v>
      </c>
      <c r="B768" s="27" t="s">
        <v>1005</v>
      </c>
      <c r="C768" s="40">
        <v>39994</v>
      </c>
      <c r="D768" s="27"/>
      <c r="E768" s="39" t="s">
        <v>2371</v>
      </c>
      <c r="F768" s="41" t="s">
        <v>2372</v>
      </c>
      <c r="G768" s="27"/>
      <c r="H768" s="27" t="s">
        <v>249</v>
      </c>
      <c r="I768" s="27">
        <v>1</v>
      </c>
      <c r="J768" s="42">
        <v>231548034</v>
      </c>
      <c r="K768" s="38" t="s">
        <v>206</v>
      </c>
      <c r="L768" s="38" t="s">
        <v>1040</v>
      </c>
      <c r="M768" s="43" t="s">
        <v>1954</v>
      </c>
      <c r="N768" s="6"/>
      <c r="O768" s="2"/>
      <c r="P768" s="2"/>
      <c r="Q768" s="2"/>
      <c r="R768" s="2"/>
      <c r="S768" s="2"/>
      <c r="T768" s="2"/>
      <c r="U768" s="2"/>
      <c r="V768" s="2"/>
      <c r="W768" s="2"/>
      <c r="X768" s="2"/>
      <c r="Y768" s="2"/>
    </row>
    <row r="769" spans="1:25" ht="38.25" customHeight="1">
      <c r="A769" s="38">
        <v>522</v>
      </c>
      <c r="B769" s="27" t="s">
        <v>1005</v>
      </c>
      <c r="C769" s="40">
        <v>39994</v>
      </c>
      <c r="D769" s="27"/>
      <c r="E769" s="39" t="s">
        <v>2373</v>
      </c>
      <c r="F769" s="41" t="s">
        <v>2374</v>
      </c>
      <c r="G769" s="27"/>
      <c r="H769" s="27" t="s">
        <v>249</v>
      </c>
      <c r="I769" s="27">
        <v>1</v>
      </c>
      <c r="J769" s="42">
        <v>316607946</v>
      </c>
      <c r="K769" s="38" t="s">
        <v>206</v>
      </c>
      <c r="L769" s="38" t="s">
        <v>1040</v>
      </c>
      <c r="M769" s="43" t="s">
        <v>1954</v>
      </c>
      <c r="N769" s="6"/>
      <c r="O769" s="2"/>
      <c r="P769" s="2"/>
      <c r="Q769" s="2"/>
      <c r="R769" s="2"/>
      <c r="S769" s="2"/>
      <c r="T769" s="2"/>
      <c r="U769" s="2"/>
      <c r="V769" s="2"/>
      <c r="W769" s="2"/>
      <c r="X769" s="2"/>
      <c r="Y769" s="2"/>
    </row>
    <row r="770" spans="1:25" ht="25.5" customHeight="1">
      <c r="A770" s="26">
        <v>524</v>
      </c>
      <c r="B770" s="27" t="s">
        <v>909</v>
      </c>
      <c r="C770" s="28">
        <v>41999</v>
      </c>
      <c r="D770" s="27"/>
      <c r="E770" s="27" t="s">
        <v>2377</v>
      </c>
      <c r="F770" s="29" t="s">
        <v>2378</v>
      </c>
      <c r="G770" s="27" t="s">
        <v>55</v>
      </c>
      <c r="H770" s="27" t="s">
        <v>19</v>
      </c>
      <c r="I770" s="27">
        <v>1</v>
      </c>
      <c r="J770" s="30">
        <v>621895482</v>
      </c>
      <c r="K770" s="26" t="s">
        <v>20</v>
      </c>
      <c r="L770" s="26" t="s">
        <v>233</v>
      </c>
      <c r="M770" s="31" t="s">
        <v>5252</v>
      </c>
      <c r="N770" s="6"/>
      <c r="O770" s="2"/>
      <c r="P770" s="2"/>
      <c r="Q770" s="2"/>
      <c r="R770" s="2"/>
      <c r="S770" s="2"/>
      <c r="T770" s="2"/>
      <c r="U770" s="2"/>
      <c r="V770" s="2"/>
      <c r="W770" s="2"/>
      <c r="X770" s="2"/>
      <c r="Y770" s="2"/>
    </row>
    <row r="771" spans="1:25" ht="12.75" customHeight="1">
      <c r="A771" s="26">
        <v>525</v>
      </c>
      <c r="B771" s="27" t="s">
        <v>470</v>
      </c>
      <c r="C771" s="28">
        <v>41983</v>
      </c>
      <c r="D771" s="27"/>
      <c r="E771" s="27" t="s">
        <v>2380</v>
      </c>
      <c r="F771" s="29" t="s">
        <v>2381</v>
      </c>
      <c r="G771" s="27" t="s">
        <v>55</v>
      </c>
      <c r="H771" s="27" t="s">
        <v>19</v>
      </c>
      <c r="I771" s="27">
        <v>1</v>
      </c>
      <c r="J771" s="30">
        <v>652010131</v>
      </c>
      <c r="K771" s="26" t="s">
        <v>20</v>
      </c>
      <c r="L771" s="26" t="s">
        <v>423</v>
      </c>
      <c r="M771" s="31" t="s">
        <v>5221</v>
      </c>
      <c r="N771" s="6"/>
      <c r="O771" s="2"/>
      <c r="P771" s="2"/>
      <c r="Q771" s="2"/>
      <c r="R771" s="2"/>
      <c r="S771" s="2"/>
      <c r="T771" s="2"/>
      <c r="U771" s="2"/>
      <c r="V771" s="2"/>
      <c r="W771" s="2"/>
      <c r="X771" s="2"/>
      <c r="Y771" s="2"/>
    </row>
    <row r="772" spans="1:25" ht="12.75" customHeight="1">
      <c r="A772" s="26" t="s">
        <v>2383</v>
      </c>
      <c r="B772" s="27"/>
      <c r="C772" s="28"/>
      <c r="D772" s="27"/>
      <c r="E772" s="27" t="s">
        <v>2384</v>
      </c>
      <c r="F772" s="29" t="s">
        <v>2385</v>
      </c>
      <c r="G772" s="27" t="s">
        <v>248</v>
      </c>
      <c r="H772" s="27" t="s">
        <v>249</v>
      </c>
      <c r="I772" s="27">
        <v>1</v>
      </c>
      <c r="J772" s="30">
        <v>0</v>
      </c>
      <c r="K772" s="26" t="s">
        <v>20</v>
      </c>
      <c r="L772" s="26" t="s">
        <v>423</v>
      </c>
      <c r="M772" s="31" t="s">
        <v>2386</v>
      </c>
      <c r="N772" s="6"/>
      <c r="O772" s="2"/>
      <c r="P772" s="2"/>
      <c r="Q772" s="2"/>
      <c r="R772" s="2"/>
      <c r="S772" s="2"/>
      <c r="T772" s="2"/>
      <c r="U772" s="2"/>
      <c r="V772" s="2"/>
      <c r="W772" s="2"/>
      <c r="X772" s="2"/>
      <c r="Y772" s="2"/>
    </row>
    <row r="773" spans="1:25" ht="12.75" customHeight="1">
      <c r="A773" s="26">
        <v>526</v>
      </c>
      <c r="B773" s="27" t="s">
        <v>470</v>
      </c>
      <c r="C773" s="28">
        <v>41983</v>
      </c>
      <c r="D773" s="27"/>
      <c r="E773" s="27" t="s">
        <v>2387</v>
      </c>
      <c r="F773" s="29" t="s">
        <v>2381</v>
      </c>
      <c r="G773" s="27" t="s">
        <v>55</v>
      </c>
      <c r="H773" s="27" t="s">
        <v>19</v>
      </c>
      <c r="I773" s="27">
        <v>1</v>
      </c>
      <c r="J773" s="30">
        <v>652010131</v>
      </c>
      <c r="K773" s="26" t="s">
        <v>20</v>
      </c>
      <c r="L773" s="26" t="s">
        <v>423</v>
      </c>
      <c r="M773" s="31" t="s">
        <v>5253</v>
      </c>
      <c r="N773" s="6"/>
      <c r="O773" s="2"/>
      <c r="P773" s="2"/>
      <c r="Q773" s="2"/>
      <c r="R773" s="2"/>
      <c r="S773" s="2"/>
      <c r="T773" s="2"/>
      <c r="U773" s="2"/>
      <c r="V773" s="2"/>
      <c r="W773" s="2"/>
      <c r="X773" s="2"/>
      <c r="Y773" s="2"/>
    </row>
    <row r="774" spans="1:25" ht="38.25" customHeight="1">
      <c r="A774" s="26" t="s">
        <v>2389</v>
      </c>
      <c r="B774" s="27"/>
      <c r="C774" s="28"/>
      <c r="D774" s="27"/>
      <c r="E774" s="27" t="s">
        <v>2390</v>
      </c>
      <c r="F774" s="29" t="s">
        <v>2391</v>
      </c>
      <c r="G774" s="27" t="s">
        <v>248</v>
      </c>
      <c r="H774" s="27" t="s">
        <v>249</v>
      </c>
      <c r="I774" s="27">
        <v>1</v>
      </c>
      <c r="J774" s="30">
        <v>0</v>
      </c>
      <c r="K774" s="26" t="s">
        <v>20</v>
      </c>
      <c r="L774" s="36" t="s">
        <v>229</v>
      </c>
      <c r="M774" s="31" t="s">
        <v>5254</v>
      </c>
      <c r="N774" s="6"/>
      <c r="O774" s="2"/>
      <c r="P774" s="2"/>
      <c r="Q774" s="2"/>
      <c r="R774" s="2"/>
      <c r="S774" s="2"/>
      <c r="T774" s="2"/>
      <c r="U774" s="2"/>
      <c r="V774" s="2"/>
      <c r="W774" s="2"/>
      <c r="X774" s="2"/>
      <c r="Y774" s="2"/>
    </row>
    <row r="775" spans="1:25" ht="25.5" customHeight="1">
      <c r="A775" s="26">
        <v>527</v>
      </c>
      <c r="B775" s="27" t="s">
        <v>909</v>
      </c>
      <c r="C775" s="28">
        <v>41999</v>
      </c>
      <c r="D775" s="27"/>
      <c r="E775" s="27" t="s">
        <v>2392</v>
      </c>
      <c r="F775" s="29" t="s">
        <v>2393</v>
      </c>
      <c r="G775" s="27" t="s">
        <v>55</v>
      </c>
      <c r="H775" s="27" t="s">
        <v>19</v>
      </c>
      <c r="I775" s="27">
        <v>1</v>
      </c>
      <c r="J775" s="30">
        <v>113853059</v>
      </c>
      <c r="K775" s="26" t="s">
        <v>20</v>
      </c>
      <c r="L775" s="26" t="s">
        <v>233</v>
      </c>
      <c r="M775" s="31" t="s">
        <v>2353</v>
      </c>
      <c r="N775" s="6"/>
      <c r="O775" s="2"/>
      <c r="P775" s="2"/>
      <c r="Q775" s="2"/>
      <c r="R775" s="2"/>
      <c r="S775" s="2"/>
      <c r="T775" s="2"/>
      <c r="U775" s="2"/>
      <c r="V775" s="2"/>
      <c r="W775" s="2"/>
      <c r="X775" s="2"/>
      <c r="Y775" s="2"/>
    </row>
    <row r="776" spans="1:25" ht="12.75" customHeight="1">
      <c r="A776" s="26">
        <v>528</v>
      </c>
      <c r="B776" s="27" t="s">
        <v>2041</v>
      </c>
      <c r="C776" s="28">
        <v>42184</v>
      </c>
      <c r="D776" s="27"/>
      <c r="E776" s="27" t="s">
        <v>2394</v>
      </c>
      <c r="F776" s="29" t="s">
        <v>2395</v>
      </c>
      <c r="G776" s="27" t="s">
        <v>1008</v>
      </c>
      <c r="H776" s="27" t="s">
        <v>249</v>
      </c>
      <c r="I776" s="27">
        <v>1</v>
      </c>
      <c r="J776" s="30">
        <v>65579017</v>
      </c>
      <c r="K776" s="26" t="s">
        <v>20</v>
      </c>
      <c r="L776" s="394" t="s">
        <v>295</v>
      </c>
      <c r="M776" s="31" t="s">
        <v>5255</v>
      </c>
      <c r="N776" s="6"/>
      <c r="O776" s="2"/>
      <c r="P776" s="2"/>
      <c r="Q776" s="2"/>
      <c r="R776" s="2"/>
      <c r="S776" s="2"/>
      <c r="T776" s="2"/>
      <c r="U776" s="2"/>
      <c r="V776" s="2"/>
      <c r="W776" s="2"/>
      <c r="X776" s="2"/>
      <c r="Y776" s="2"/>
    </row>
    <row r="777" spans="1:25" ht="25.5" customHeight="1">
      <c r="A777" s="26">
        <v>529</v>
      </c>
      <c r="B777" s="27" t="s">
        <v>1763</v>
      </c>
      <c r="C777" s="28">
        <v>42368</v>
      </c>
      <c r="D777" s="27"/>
      <c r="E777" s="27" t="s">
        <v>2396</v>
      </c>
      <c r="F777" s="29" t="s">
        <v>2397</v>
      </c>
      <c r="G777" s="27" t="s">
        <v>2398</v>
      </c>
      <c r="H777" s="27" t="s">
        <v>19</v>
      </c>
      <c r="I777" s="27">
        <v>1</v>
      </c>
      <c r="J777" s="30">
        <v>328338602</v>
      </c>
      <c r="K777" s="26" t="s">
        <v>36</v>
      </c>
      <c r="L777" s="26" t="s">
        <v>37</v>
      </c>
      <c r="M777" s="31" t="s">
        <v>2399</v>
      </c>
      <c r="N777" s="6"/>
      <c r="O777" s="2"/>
      <c r="P777" s="2"/>
      <c r="Q777" s="2"/>
      <c r="R777" s="2"/>
      <c r="S777" s="2"/>
      <c r="T777" s="2"/>
      <c r="U777" s="2"/>
      <c r="V777" s="2"/>
      <c r="W777" s="2"/>
      <c r="X777" s="2"/>
      <c r="Y777" s="2"/>
    </row>
    <row r="778" spans="1:25" ht="25.5" customHeight="1">
      <c r="A778" s="26">
        <v>530</v>
      </c>
      <c r="B778" s="27" t="s">
        <v>1763</v>
      </c>
      <c r="C778" s="28">
        <v>42368</v>
      </c>
      <c r="D778" s="27"/>
      <c r="E778" s="27" t="s">
        <v>2400</v>
      </c>
      <c r="F778" s="29" t="s">
        <v>2401</v>
      </c>
      <c r="G778" s="27" t="s">
        <v>2398</v>
      </c>
      <c r="H778" s="27" t="s">
        <v>19</v>
      </c>
      <c r="I778" s="27">
        <v>1</v>
      </c>
      <c r="J778" s="30">
        <v>328338602</v>
      </c>
      <c r="K778" s="26" t="s">
        <v>36</v>
      </c>
      <c r="L778" s="26" t="s">
        <v>1542</v>
      </c>
      <c r="M778" s="31" t="s">
        <v>1900</v>
      </c>
      <c r="N778" s="6"/>
      <c r="O778" s="2"/>
      <c r="P778" s="2"/>
      <c r="Q778" s="2"/>
      <c r="R778" s="2"/>
      <c r="S778" s="2"/>
      <c r="T778" s="2"/>
      <c r="U778" s="2"/>
      <c r="V778" s="2"/>
      <c r="W778" s="2"/>
      <c r="X778" s="2"/>
      <c r="Y778" s="2"/>
    </row>
    <row r="779" spans="1:25" ht="51" customHeight="1">
      <c r="A779" s="26">
        <v>531</v>
      </c>
      <c r="B779" s="27" t="s">
        <v>599</v>
      </c>
      <c r="C779" s="28">
        <v>42671</v>
      </c>
      <c r="D779" s="27"/>
      <c r="E779" s="27" t="s">
        <v>2402</v>
      </c>
      <c r="F779" s="29" t="s">
        <v>2403</v>
      </c>
      <c r="G779" s="27" t="s">
        <v>338</v>
      </c>
      <c r="H779" s="27" t="s">
        <v>157</v>
      </c>
      <c r="I779" s="27">
        <v>1</v>
      </c>
      <c r="J779" s="30">
        <v>644887478</v>
      </c>
      <c r="K779" s="26" t="s">
        <v>36</v>
      </c>
      <c r="L779" s="26" t="s">
        <v>1542</v>
      </c>
      <c r="M779" s="31" t="s">
        <v>1900</v>
      </c>
      <c r="N779" s="6"/>
      <c r="O779" s="2"/>
      <c r="P779" s="2"/>
      <c r="Q779" s="2"/>
      <c r="R779" s="2"/>
      <c r="S779" s="2"/>
      <c r="T779" s="2"/>
      <c r="U779" s="2"/>
      <c r="V779" s="2"/>
      <c r="W779" s="2"/>
      <c r="X779" s="2"/>
      <c r="Y779" s="2"/>
    </row>
    <row r="780" spans="1:25" ht="51" customHeight="1">
      <c r="A780" s="26">
        <v>532</v>
      </c>
      <c r="B780" s="27" t="s">
        <v>599</v>
      </c>
      <c r="C780" s="28">
        <v>42671</v>
      </c>
      <c r="D780" s="27"/>
      <c r="E780" s="27" t="s">
        <v>2404</v>
      </c>
      <c r="F780" s="29" t="s">
        <v>2405</v>
      </c>
      <c r="G780" s="27" t="s">
        <v>338</v>
      </c>
      <c r="H780" s="27" t="s">
        <v>157</v>
      </c>
      <c r="I780" s="27">
        <v>1</v>
      </c>
      <c r="J780" s="30">
        <v>644887478</v>
      </c>
      <c r="K780" s="26" t="s">
        <v>36</v>
      </c>
      <c r="L780" s="26" t="s">
        <v>1542</v>
      </c>
      <c r="M780" s="31" t="s">
        <v>1909</v>
      </c>
      <c r="N780" s="6"/>
      <c r="O780" s="2"/>
      <c r="P780" s="2"/>
      <c r="Q780" s="2"/>
      <c r="R780" s="2"/>
      <c r="S780" s="2"/>
      <c r="T780" s="2"/>
      <c r="U780" s="2"/>
      <c r="V780" s="2"/>
      <c r="W780" s="2"/>
      <c r="X780" s="2"/>
      <c r="Y780" s="2"/>
    </row>
    <row r="781" spans="1:25" ht="25.5" customHeight="1">
      <c r="A781" s="26">
        <v>533</v>
      </c>
      <c r="B781" s="27" t="s">
        <v>599</v>
      </c>
      <c r="C781" s="28">
        <v>42671</v>
      </c>
      <c r="D781" s="27"/>
      <c r="E781" s="27" t="s">
        <v>2406</v>
      </c>
      <c r="F781" s="29" t="s">
        <v>2407</v>
      </c>
      <c r="G781" s="27" t="s">
        <v>248</v>
      </c>
      <c r="H781" s="27" t="s">
        <v>19</v>
      </c>
      <c r="I781" s="27">
        <v>1</v>
      </c>
      <c r="J781" s="30">
        <v>341201513</v>
      </c>
      <c r="K781" s="26" t="s">
        <v>36</v>
      </c>
      <c r="L781" s="45" t="s">
        <v>169</v>
      </c>
      <c r="M781" s="46" t="s">
        <v>2408</v>
      </c>
      <c r="N781" s="6"/>
      <c r="O781" s="2"/>
      <c r="P781" s="2"/>
      <c r="Q781" s="2"/>
      <c r="R781" s="2"/>
      <c r="S781" s="2"/>
      <c r="T781" s="2"/>
      <c r="U781" s="2"/>
      <c r="V781" s="2"/>
      <c r="W781" s="2"/>
      <c r="X781" s="2"/>
      <c r="Y781" s="2"/>
    </row>
    <row r="782" spans="1:25" ht="25.5" customHeight="1">
      <c r="A782" s="26">
        <v>534</v>
      </c>
      <c r="B782" s="27" t="s">
        <v>599</v>
      </c>
      <c r="C782" s="28">
        <v>42671</v>
      </c>
      <c r="D782" s="27"/>
      <c r="E782" s="27" t="s">
        <v>2409</v>
      </c>
      <c r="F782" s="29" t="s">
        <v>2410</v>
      </c>
      <c r="G782" s="27" t="s">
        <v>248</v>
      </c>
      <c r="H782" s="27" t="s">
        <v>19</v>
      </c>
      <c r="I782" s="27">
        <v>1</v>
      </c>
      <c r="J782" s="30">
        <v>341201513</v>
      </c>
      <c r="K782" s="26" t="s">
        <v>36</v>
      </c>
      <c r="L782" s="26" t="s">
        <v>169</v>
      </c>
      <c r="M782" s="31" t="s">
        <v>2411</v>
      </c>
      <c r="N782" s="6"/>
      <c r="O782" s="2"/>
      <c r="P782" s="2"/>
      <c r="Q782" s="2"/>
      <c r="R782" s="2"/>
      <c r="S782" s="2"/>
      <c r="T782" s="2"/>
      <c r="U782" s="2"/>
      <c r="V782" s="2"/>
      <c r="W782" s="2"/>
      <c r="X782" s="2"/>
      <c r="Y782" s="2"/>
    </row>
    <row r="783" spans="1:25" ht="25.5" customHeight="1">
      <c r="A783" s="26">
        <v>535</v>
      </c>
      <c r="B783" s="27" t="s">
        <v>599</v>
      </c>
      <c r="C783" s="28">
        <v>42671</v>
      </c>
      <c r="D783" s="27"/>
      <c r="E783" s="27" t="s">
        <v>2412</v>
      </c>
      <c r="F783" s="29" t="s">
        <v>2413</v>
      </c>
      <c r="G783" s="27" t="s">
        <v>307</v>
      </c>
      <c r="H783" s="27" t="s">
        <v>19</v>
      </c>
      <c r="I783" s="27">
        <v>1</v>
      </c>
      <c r="J783" s="30">
        <v>34674284</v>
      </c>
      <c r="K783" s="26" t="s">
        <v>36</v>
      </c>
      <c r="L783" s="26" t="s">
        <v>169</v>
      </c>
      <c r="M783" s="31" t="s">
        <v>2414</v>
      </c>
      <c r="N783" s="6"/>
      <c r="O783" s="2"/>
      <c r="P783" s="2"/>
      <c r="Q783" s="2"/>
      <c r="R783" s="2"/>
      <c r="S783" s="2"/>
      <c r="T783" s="2"/>
      <c r="U783" s="2"/>
      <c r="V783" s="2"/>
      <c r="W783" s="2"/>
      <c r="X783" s="2"/>
      <c r="Y783" s="2"/>
    </row>
    <row r="784" spans="1:25" ht="25.5" customHeight="1">
      <c r="A784" s="26">
        <v>536</v>
      </c>
      <c r="B784" s="27" t="s">
        <v>599</v>
      </c>
      <c r="C784" s="28">
        <v>42671</v>
      </c>
      <c r="D784" s="27"/>
      <c r="E784" s="27" t="s">
        <v>2415</v>
      </c>
      <c r="F784" s="29" t="s">
        <v>2416</v>
      </c>
      <c r="G784" s="27" t="s">
        <v>307</v>
      </c>
      <c r="H784" s="27" t="s">
        <v>19</v>
      </c>
      <c r="I784" s="27">
        <v>1</v>
      </c>
      <c r="J784" s="30">
        <v>34674284</v>
      </c>
      <c r="K784" s="26" t="s">
        <v>36</v>
      </c>
      <c r="L784" s="26" t="s">
        <v>169</v>
      </c>
      <c r="M784" s="31" t="s">
        <v>2414</v>
      </c>
      <c r="N784" s="6"/>
      <c r="O784" s="2"/>
      <c r="P784" s="2"/>
      <c r="Q784" s="2"/>
      <c r="R784" s="2"/>
      <c r="S784" s="2"/>
      <c r="T784" s="2"/>
      <c r="U784" s="2"/>
      <c r="V784" s="2"/>
      <c r="W784" s="2"/>
      <c r="X784" s="2"/>
      <c r="Y784" s="2"/>
    </row>
    <row r="785" spans="1:25" ht="25.5" customHeight="1">
      <c r="A785" s="26">
        <v>537</v>
      </c>
      <c r="B785" s="27" t="s">
        <v>797</v>
      </c>
      <c r="C785" s="28">
        <v>42671</v>
      </c>
      <c r="D785" s="27"/>
      <c r="E785" s="27" t="s">
        <v>2417</v>
      </c>
      <c r="F785" s="29" t="s">
        <v>2418</v>
      </c>
      <c r="G785" s="27" t="s">
        <v>248</v>
      </c>
      <c r="H785" s="27" t="s">
        <v>19</v>
      </c>
      <c r="I785" s="27">
        <v>1</v>
      </c>
      <c r="J785" s="30">
        <v>337056305</v>
      </c>
      <c r="K785" s="26" t="s">
        <v>206</v>
      </c>
      <c r="L785" s="26" t="s">
        <v>1040</v>
      </c>
      <c r="M785" s="31" t="s">
        <v>2067</v>
      </c>
      <c r="N785" s="6"/>
      <c r="O785" s="2"/>
      <c r="P785" s="2"/>
      <c r="Q785" s="2"/>
      <c r="R785" s="2"/>
      <c r="S785" s="2"/>
      <c r="T785" s="2"/>
      <c r="U785" s="2"/>
      <c r="V785" s="2"/>
      <c r="W785" s="2"/>
      <c r="X785" s="2"/>
      <c r="Y785" s="2"/>
    </row>
    <row r="786" spans="1:25" ht="25.5" customHeight="1">
      <c r="A786" s="26">
        <v>538</v>
      </c>
      <c r="B786" s="27" t="s">
        <v>797</v>
      </c>
      <c r="C786" s="28">
        <v>42671</v>
      </c>
      <c r="D786" s="27"/>
      <c r="E786" s="27" t="s">
        <v>2419</v>
      </c>
      <c r="F786" s="29" t="s">
        <v>2420</v>
      </c>
      <c r="G786" s="27" t="s">
        <v>248</v>
      </c>
      <c r="H786" s="27" t="s">
        <v>19</v>
      </c>
      <c r="I786" s="27">
        <v>1</v>
      </c>
      <c r="J786" s="30">
        <v>337056305</v>
      </c>
      <c r="K786" s="26" t="s">
        <v>206</v>
      </c>
      <c r="L786" s="26" t="s">
        <v>1040</v>
      </c>
      <c r="M786" s="31" t="s">
        <v>2067</v>
      </c>
      <c r="N786" s="6"/>
      <c r="O786" s="2"/>
      <c r="P786" s="2"/>
      <c r="Q786" s="2"/>
      <c r="R786" s="2"/>
      <c r="S786" s="2"/>
      <c r="T786" s="2"/>
      <c r="U786" s="2"/>
      <c r="V786" s="2"/>
      <c r="W786" s="2"/>
      <c r="X786" s="2"/>
      <c r="Y786" s="2"/>
    </row>
    <row r="787" spans="1:25" ht="33" customHeight="1">
      <c r="A787" s="26">
        <v>539</v>
      </c>
      <c r="B787" s="27" t="s">
        <v>973</v>
      </c>
      <c r="C787" s="28">
        <v>43799</v>
      </c>
      <c r="D787" s="27"/>
      <c r="E787" s="27" t="s">
        <v>2421</v>
      </c>
      <c r="F787" s="29" t="s">
        <v>2422</v>
      </c>
      <c r="G787" s="27" t="s">
        <v>338</v>
      </c>
      <c r="H787" s="27" t="s">
        <v>19</v>
      </c>
      <c r="I787" s="27">
        <v>1</v>
      </c>
      <c r="J787" s="30">
        <v>293404434</v>
      </c>
      <c r="K787" s="26" t="s">
        <v>20</v>
      </c>
      <c r="L787" s="394" t="s">
        <v>295</v>
      </c>
      <c r="M787" s="395" t="s">
        <v>5256</v>
      </c>
      <c r="N787" s="6"/>
      <c r="O787" s="2"/>
      <c r="P787" s="2"/>
      <c r="Q787" s="2"/>
      <c r="R787" s="2"/>
      <c r="S787" s="2"/>
      <c r="T787" s="2"/>
      <c r="U787" s="2"/>
      <c r="V787" s="2"/>
      <c r="W787" s="2"/>
      <c r="X787" s="2"/>
      <c r="Y787" s="2"/>
    </row>
    <row r="788" spans="1:25" ht="25.5" customHeight="1">
      <c r="A788" s="26">
        <v>540</v>
      </c>
      <c r="B788" s="27" t="s">
        <v>1989</v>
      </c>
      <c r="C788" s="28">
        <v>43827</v>
      </c>
      <c r="D788" s="27"/>
      <c r="E788" s="27" t="s">
        <v>2424</v>
      </c>
      <c r="F788" s="29" t="s">
        <v>2425</v>
      </c>
      <c r="G788" s="27" t="s">
        <v>2426</v>
      </c>
      <c r="H788" s="27" t="s">
        <v>19</v>
      </c>
      <c r="I788" s="27">
        <v>1</v>
      </c>
      <c r="J788" s="30">
        <v>73500000</v>
      </c>
      <c r="K788" s="26" t="s">
        <v>206</v>
      </c>
      <c r="L788" s="26" t="s">
        <v>2427</v>
      </c>
      <c r="M788" s="31" t="s">
        <v>2428</v>
      </c>
      <c r="N788" s="6"/>
      <c r="O788" s="2"/>
      <c r="P788" s="2"/>
      <c r="Q788" s="2"/>
      <c r="R788" s="2"/>
      <c r="S788" s="2"/>
      <c r="T788" s="2"/>
      <c r="U788" s="2"/>
      <c r="V788" s="2"/>
      <c r="W788" s="2"/>
      <c r="X788" s="2"/>
      <c r="Y788" s="2"/>
    </row>
    <row r="789" spans="1:25" ht="12.75" customHeight="1">
      <c r="A789" s="26">
        <v>541</v>
      </c>
      <c r="B789" s="27" t="s">
        <v>52</v>
      </c>
      <c r="C789" s="28">
        <v>40875</v>
      </c>
      <c r="D789" s="27"/>
      <c r="E789" s="27" t="s">
        <v>2429</v>
      </c>
      <c r="F789" s="29" t="s">
        <v>2430</v>
      </c>
      <c r="G789" s="27" t="s">
        <v>338</v>
      </c>
      <c r="H789" s="27" t="s">
        <v>19</v>
      </c>
      <c r="I789" s="27">
        <v>1</v>
      </c>
      <c r="J789" s="30">
        <v>352228733</v>
      </c>
      <c r="K789" s="26" t="s">
        <v>36</v>
      </c>
      <c r="L789" s="26" t="s">
        <v>169</v>
      </c>
      <c r="M789" s="31" t="s">
        <v>178</v>
      </c>
      <c r="N789" s="6"/>
      <c r="O789" s="2"/>
      <c r="P789" s="2"/>
      <c r="Q789" s="2"/>
      <c r="R789" s="2"/>
      <c r="S789" s="2"/>
      <c r="T789" s="2"/>
      <c r="U789" s="2"/>
      <c r="V789" s="2"/>
      <c r="W789" s="2"/>
      <c r="X789" s="2"/>
      <c r="Y789" s="2"/>
    </row>
    <row r="790" spans="1:25" ht="25.5" customHeight="1">
      <c r="A790" s="26" t="s">
        <v>2431</v>
      </c>
      <c r="B790" s="27"/>
      <c r="C790" s="28"/>
      <c r="D790" s="27"/>
      <c r="E790" s="27" t="s">
        <v>2432</v>
      </c>
      <c r="F790" s="29" t="s">
        <v>2433</v>
      </c>
      <c r="G790" s="27"/>
      <c r="H790" s="27"/>
      <c r="I790" s="27">
        <v>1</v>
      </c>
      <c r="J790" s="30">
        <v>330704890</v>
      </c>
      <c r="K790" s="26" t="s">
        <v>36</v>
      </c>
      <c r="L790" s="26" t="s">
        <v>169</v>
      </c>
      <c r="M790" s="31"/>
      <c r="N790" s="6"/>
      <c r="O790" s="2"/>
      <c r="P790" s="2"/>
      <c r="Q790" s="2"/>
      <c r="R790" s="2"/>
      <c r="S790" s="2"/>
      <c r="T790" s="2"/>
      <c r="U790" s="2"/>
      <c r="V790" s="2"/>
      <c r="W790" s="2"/>
      <c r="X790" s="2"/>
      <c r="Y790" s="2"/>
    </row>
    <row r="791" spans="1:25" ht="12.75" customHeight="1">
      <c r="A791" s="26" t="s">
        <v>2434</v>
      </c>
      <c r="B791" s="27"/>
      <c r="C791" s="28"/>
      <c r="D791" s="27"/>
      <c r="E791" s="27" t="s">
        <v>2435</v>
      </c>
      <c r="F791" s="29" t="s">
        <v>2436</v>
      </c>
      <c r="G791" s="27"/>
      <c r="H791" s="27"/>
      <c r="I791" s="27">
        <v>1</v>
      </c>
      <c r="J791" s="30">
        <v>16142883</v>
      </c>
      <c r="K791" s="26" t="s">
        <v>36</v>
      </c>
      <c r="L791" s="26" t="s">
        <v>169</v>
      </c>
      <c r="M791" s="31"/>
      <c r="N791" s="6"/>
      <c r="O791" s="2"/>
      <c r="P791" s="2"/>
      <c r="Q791" s="2"/>
      <c r="R791" s="2"/>
      <c r="S791" s="2"/>
      <c r="T791" s="2"/>
      <c r="U791" s="2"/>
      <c r="V791" s="2"/>
      <c r="W791" s="2"/>
      <c r="X791" s="2"/>
      <c r="Y791" s="2"/>
    </row>
    <row r="792" spans="1:25" ht="12.75" customHeight="1">
      <c r="A792" s="26">
        <v>542</v>
      </c>
      <c r="B792" s="27" t="s">
        <v>52</v>
      </c>
      <c r="C792" s="28">
        <v>40875</v>
      </c>
      <c r="D792" s="27"/>
      <c r="E792" s="27" t="s">
        <v>2437</v>
      </c>
      <c r="F792" s="29" t="s">
        <v>2430</v>
      </c>
      <c r="G792" s="27" t="s">
        <v>338</v>
      </c>
      <c r="H792" s="27" t="s">
        <v>19</v>
      </c>
      <c r="I792" s="27">
        <v>1</v>
      </c>
      <c r="J792" s="30">
        <v>352228733</v>
      </c>
      <c r="K792" s="26" t="s">
        <v>36</v>
      </c>
      <c r="L792" s="26" t="s">
        <v>169</v>
      </c>
      <c r="M792" s="31" t="s">
        <v>178</v>
      </c>
      <c r="N792" s="6"/>
      <c r="O792" s="2"/>
      <c r="P792" s="2"/>
      <c r="Q792" s="2"/>
      <c r="R792" s="2"/>
      <c r="S792" s="2"/>
      <c r="T792" s="2"/>
      <c r="U792" s="2"/>
      <c r="V792" s="2"/>
      <c r="W792" s="2"/>
      <c r="X792" s="2"/>
      <c r="Y792" s="2"/>
    </row>
    <row r="793" spans="1:25" ht="25.5" customHeight="1">
      <c r="A793" s="26" t="s">
        <v>2438</v>
      </c>
      <c r="B793" s="27"/>
      <c r="C793" s="28"/>
      <c r="D793" s="27"/>
      <c r="E793" s="27" t="s">
        <v>2439</v>
      </c>
      <c r="F793" s="29" t="s">
        <v>2440</v>
      </c>
      <c r="G793" s="27"/>
      <c r="H793" s="27"/>
      <c r="I793" s="27">
        <v>1</v>
      </c>
      <c r="J793" s="30">
        <v>330704890</v>
      </c>
      <c r="K793" s="26" t="s">
        <v>36</v>
      </c>
      <c r="L793" s="26" t="s">
        <v>169</v>
      </c>
      <c r="M793" s="31"/>
      <c r="N793" s="6"/>
      <c r="O793" s="2"/>
      <c r="P793" s="2"/>
      <c r="Q793" s="2"/>
      <c r="R793" s="2"/>
      <c r="S793" s="2"/>
      <c r="T793" s="2"/>
      <c r="U793" s="2"/>
      <c r="V793" s="2"/>
      <c r="W793" s="2"/>
      <c r="X793" s="2"/>
      <c r="Y793" s="2"/>
    </row>
    <row r="794" spans="1:25" ht="12.75" customHeight="1">
      <c r="A794" s="26" t="s">
        <v>2441</v>
      </c>
      <c r="B794" s="27"/>
      <c r="C794" s="28"/>
      <c r="D794" s="27"/>
      <c r="E794" s="27" t="s">
        <v>2442</v>
      </c>
      <c r="F794" s="29" t="s">
        <v>2443</v>
      </c>
      <c r="G794" s="27"/>
      <c r="H794" s="27"/>
      <c r="I794" s="27">
        <v>1</v>
      </c>
      <c r="J794" s="30">
        <v>16142883</v>
      </c>
      <c r="K794" s="26" t="s">
        <v>36</v>
      </c>
      <c r="L794" s="26" t="s">
        <v>169</v>
      </c>
      <c r="M794" s="31"/>
      <c r="N794" s="6"/>
      <c r="O794" s="2"/>
      <c r="P794" s="2"/>
      <c r="Q794" s="2"/>
      <c r="R794" s="2"/>
      <c r="S794" s="2"/>
      <c r="T794" s="2"/>
      <c r="U794" s="2"/>
      <c r="V794" s="2"/>
      <c r="W794" s="2"/>
      <c r="X794" s="2"/>
      <c r="Y794" s="2"/>
    </row>
    <row r="795" spans="1:25" ht="12.75" customHeight="1">
      <c r="A795" s="26">
        <v>543</v>
      </c>
      <c r="B795" s="27" t="s">
        <v>197</v>
      </c>
      <c r="C795" s="28">
        <v>40948</v>
      </c>
      <c r="D795" s="27"/>
      <c r="E795" s="27" t="s">
        <v>2444</v>
      </c>
      <c r="F795" s="29" t="s">
        <v>2445</v>
      </c>
      <c r="G795" s="27" t="s">
        <v>248</v>
      </c>
      <c r="H795" s="27" t="s">
        <v>19</v>
      </c>
      <c r="I795" s="27">
        <v>1</v>
      </c>
      <c r="J795" s="30">
        <v>227859998</v>
      </c>
      <c r="K795" s="26" t="s">
        <v>206</v>
      </c>
      <c r="L795" s="26" t="s">
        <v>2446</v>
      </c>
      <c r="M795" s="31" t="s">
        <v>2447</v>
      </c>
      <c r="N795" s="6"/>
      <c r="O795" s="2"/>
      <c r="P795" s="2"/>
      <c r="Q795" s="2"/>
      <c r="R795" s="2"/>
      <c r="S795" s="2"/>
      <c r="T795" s="2"/>
      <c r="U795" s="2"/>
      <c r="V795" s="2"/>
      <c r="W795" s="2"/>
      <c r="X795" s="2"/>
      <c r="Y795" s="2"/>
    </row>
    <row r="796" spans="1:25" ht="12.75" customHeight="1">
      <c r="A796" s="26">
        <v>544</v>
      </c>
      <c r="B796" s="27" t="s">
        <v>197</v>
      </c>
      <c r="C796" s="28">
        <v>40948</v>
      </c>
      <c r="D796" s="27"/>
      <c r="E796" s="27" t="s">
        <v>2448</v>
      </c>
      <c r="F796" s="29" t="s">
        <v>2449</v>
      </c>
      <c r="G796" s="27" t="s">
        <v>248</v>
      </c>
      <c r="H796" s="27" t="s">
        <v>19</v>
      </c>
      <c r="I796" s="27">
        <v>1</v>
      </c>
      <c r="J796" s="30">
        <v>227859998</v>
      </c>
      <c r="K796" s="26" t="s">
        <v>206</v>
      </c>
      <c r="L796" s="26" t="s">
        <v>1040</v>
      </c>
      <c r="M796" s="31" t="s">
        <v>2450</v>
      </c>
      <c r="N796" s="6"/>
      <c r="O796" s="2"/>
      <c r="P796" s="2"/>
      <c r="Q796" s="2"/>
      <c r="R796" s="2"/>
      <c r="S796" s="2"/>
      <c r="T796" s="2"/>
      <c r="U796" s="2"/>
      <c r="V796" s="2"/>
      <c r="W796" s="2"/>
      <c r="X796" s="2"/>
      <c r="Y796" s="2"/>
    </row>
    <row r="797" spans="1:25" ht="25.5" customHeight="1">
      <c r="A797" s="26">
        <v>545</v>
      </c>
      <c r="B797" s="27" t="s">
        <v>197</v>
      </c>
      <c r="C797" s="28">
        <v>40948</v>
      </c>
      <c r="D797" s="27"/>
      <c r="E797" s="27" t="s">
        <v>2451</v>
      </c>
      <c r="F797" s="29" t="s">
        <v>2452</v>
      </c>
      <c r="G797" s="27" t="s">
        <v>248</v>
      </c>
      <c r="H797" s="27" t="s">
        <v>19</v>
      </c>
      <c r="I797" s="27">
        <v>1</v>
      </c>
      <c r="J797" s="30">
        <v>227859998</v>
      </c>
      <c r="K797" s="26" t="s">
        <v>36</v>
      </c>
      <c r="L797" s="26" t="s">
        <v>2054</v>
      </c>
      <c r="M797" s="31" t="s">
        <v>2453</v>
      </c>
      <c r="N797" s="6"/>
      <c r="O797" s="2"/>
      <c r="P797" s="2"/>
      <c r="Q797" s="2"/>
      <c r="R797" s="2"/>
      <c r="S797" s="2"/>
      <c r="T797" s="2"/>
      <c r="U797" s="2"/>
      <c r="V797" s="2"/>
      <c r="W797" s="2"/>
      <c r="X797" s="2"/>
      <c r="Y797" s="2"/>
    </row>
    <row r="798" spans="1:25" ht="25.5" customHeight="1">
      <c r="A798" s="26">
        <v>546</v>
      </c>
      <c r="B798" s="27" t="s">
        <v>197</v>
      </c>
      <c r="C798" s="28">
        <v>40948</v>
      </c>
      <c r="D798" s="27"/>
      <c r="E798" s="27" t="s">
        <v>2454</v>
      </c>
      <c r="F798" s="29" t="s">
        <v>2455</v>
      </c>
      <c r="G798" s="27" t="s">
        <v>248</v>
      </c>
      <c r="H798" s="27" t="s">
        <v>19</v>
      </c>
      <c r="I798" s="27">
        <v>1</v>
      </c>
      <c r="J798" s="30">
        <v>227859999</v>
      </c>
      <c r="K798" s="26" t="s">
        <v>36</v>
      </c>
      <c r="L798" s="26" t="s">
        <v>2054</v>
      </c>
      <c r="M798" s="31" t="s">
        <v>2456</v>
      </c>
      <c r="N798" s="6"/>
      <c r="O798" s="2"/>
      <c r="P798" s="2"/>
      <c r="Q798" s="2"/>
      <c r="R798" s="2"/>
      <c r="S798" s="2"/>
      <c r="T798" s="2"/>
      <c r="U798" s="2"/>
      <c r="V798" s="2"/>
      <c r="W798" s="2"/>
      <c r="X798" s="2"/>
      <c r="Y798" s="2"/>
    </row>
    <row r="799" spans="1:25" ht="25.5" customHeight="1">
      <c r="A799" s="38">
        <v>547</v>
      </c>
      <c r="B799" s="27" t="s">
        <v>197</v>
      </c>
      <c r="C799" s="40">
        <v>40948</v>
      </c>
      <c r="D799" s="27"/>
      <c r="E799" s="39" t="s">
        <v>2457</v>
      </c>
      <c r="F799" s="41" t="s">
        <v>2458</v>
      </c>
      <c r="G799" s="27" t="s">
        <v>2459</v>
      </c>
      <c r="H799" s="27" t="s">
        <v>19</v>
      </c>
      <c r="I799" s="27">
        <v>1</v>
      </c>
      <c r="J799" s="42">
        <v>659537414</v>
      </c>
      <c r="K799" s="38" t="s">
        <v>206</v>
      </c>
      <c r="L799" s="38" t="s">
        <v>1040</v>
      </c>
      <c r="M799" s="43" t="s">
        <v>2023</v>
      </c>
      <c r="N799" s="6"/>
      <c r="O799" s="2"/>
      <c r="P799" s="2"/>
      <c r="Q799" s="2"/>
      <c r="R799" s="2"/>
      <c r="S799" s="2"/>
      <c r="T799" s="2"/>
      <c r="U799" s="2"/>
      <c r="V799" s="2"/>
      <c r="W799" s="2"/>
      <c r="X799" s="2"/>
      <c r="Y799" s="2"/>
    </row>
    <row r="800" spans="1:25" ht="25.5" customHeight="1">
      <c r="A800" s="26">
        <v>548</v>
      </c>
      <c r="B800" s="27" t="s">
        <v>281</v>
      </c>
      <c r="C800" s="28">
        <v>41044</v>
      </c>
      <c r="D800" s="27"/>
      <c r="E800" s="27" t="s">
        <v>2460</v>
      </c>
      <c r="F800" s="29" t="s">
        <v>2461</v>
      </c>
      <c r="G800" s="27" t="s">
        <v>2459</v>
      </c>
      <c r="H800" s="27" t="s">
        <v>19</v>
      </c>
      <c r="I800" s="27">
        <v>1</v>
      </c>
      <c r="J800" s="30">
        <v>637907000</v>
      </c>
      <c r="K800" s="26" t="s">
        <v>20</v>
      </c>
      <c r="L800" s="26" t="s">
        <v>423</v>
      </c>
      <c r="M800" s="31" t="s">
        <v>5257</v>
      </c>
      <c r="N800" s="6"/>
      <c r="O800" s="2"/>
      <c r="P800" s="2"/>
      <c r="Q800" s="2"/>
      <c r="R800" s="2"/>
      <c r="S800" s="2"/>
      <c r="T800" s="2"/>
      <c r="U800" s="2"/>
      <c r="V800" s="2"/>
      <c r="W800" s="2"/>
      <c r="X800" s="2"/>
      <c r="Y800" s="2"/>
    </row>
    <row r="801" spans="1:25" ht="51" customHeight="1">
      <c r="A801" s="26">
        <v>549</v>
      </c>
      <c r="B801" s="27" t="s">
        <v>2463</v>
      </c>
      <c r="C801" s="28">
        <v>41635</v>
      </c>
      <c r="D801" s="27"/>
      <c r="E801" s="27" t="s">
        <v>2464</v>
      </c>
      <c r="F801" s="29" t="s">
        <v>2465</v>
      </c>
      <c r="G801" s="27" t="s">
        <v>1635</v>
      </c>
      <c r="H801" s="27" t="s">
        <v>19</v>
      </c>
      <c r="I801" s="27">
        <v>1</v>
      </c>
      <c r="J801" s="30">
        <v>703956316</v>
      </c>
      <c r="K801" s="26" t="s">
        <v>20</v>
      </c>
      <c r="L801" s="26" t="s">
        <v>233</v>
      </c>
      <c r="M801" s="31" t="s">
        <v>1847</v>
      </c>
      <c r="N801" s="6"/>
      <c r="O801" s="2"/>
      <c r="P801" s="2"/>
      <c r="Q801" s="2"/>
      <c r="R801" s="2"/>
      <c r="S801" s="2"/>
      <c r="T801" s="2"/>
      <c r="U801" s="2"/>
      <c r="V801" s="2"/>
      <c r="W801" s="2"/>
      <c r="X801" s="2"/>
      <c r="Y801" s="2"/>
    </row>
    <row r="802" spans="1:25" ht="25.5" customHeight="1">
      <c r="A802" s="38">
        <v>550</v>
      </c>
      <c r="B802" s="27" t="s">
        <v>1377</v>
      </c>
      <c r="C802" s="40">
        <v>37986</v>
      </c>
      <c r="D802" s="27" t="s">
        <v>2467</v>
      </c>
      <c r="E802" s="39" t="s">
        <v>2468</v>
      </c>
      <c r="F802" s="41" t="s">
        <v>2469</v>
      </c>
      <c r="G802" s="27"/>
      <c r="H802" s="27"/>
      <c r="I802" s="27">
        <v>1</v>
      </c>
      <c r="J802" s="42">
        <v>40281204</v>
      </c>
      <c r="K802" s="38" t="s">
        <v>206</v>
      </c>
      <c r="L802" s="38" t="s">
        <v>1040</v>
      </c>
      <c r="M802" s="78" t="s">
        <v>2470</v>
      </c>
      <c r="N802" s="6"/>
      <c r="O802" s="2"/>
      <c r="P802" s="2"/>
      <c r="Q802" s="2"/>
      <c r="R802" s="2"/>
      <c r="S802" s="2"/>
      <c r="T802" s="2"/>
      <c r="U802" s="2"/>
      <c r="V802" s="2"/>
      <c r="W802" s="2"/>
      <c r="X802" s="2"/>
      <c r="Y802" s="2"/>
    </row>
    <row r="803" spans="1:25" ht="12.75" customHeight="1">
      <c r="A803" s="26">
        <v>551</v>
      </c>
      <c r="B803" s="27" t="s">
        <v>2471</v>
      </c>
      <c r="C803" s="28">
        <v>35430</v>
      </c>
      <c r="D803" s="27" t="s">
        <v>2472</v>
      </c>
      <c r="E803" s="27" t="s">
        <v>2473</v>
      </c>
      <c r="F803" s="29" t="s">
        <v>2474</v>
      </c>
      <c r="G803" s="27"/>
      <c r="H803" s="27" t="s">
        <v>19</v>
      </c>
      <c r="I803" s="27">
        <v>1</v>
      </c>
      <c r="J803" s="30">
        <v>30059830</v>
      </c>
      <c r="K803" s="26" t="s">
        <v>206</v>
      </c>
      <c r="L803" s="26" t="s">
        <v>1040</v>
      </c>
      <c r="M803" s="31" t="s">
        <v>2475</v>
      </c>
      <c r="N803" s="6"/>
      <c r="O803" s="2"/>
      <c r="P803" s="2"/>
      <c r="Q803" s="2"/>
      <c r="R803" s="2"/>
      <c r="S803" s="2"/>
      <c r="T803" s="2"/>
      <c r="U803" s="2"/>
      <c r="V803" s="2"/>
      <c r="W803" s="2"/>
      <c r="X803" s="2"/>
      <c r="Y803" s="2"/>
    </row>
    <row r="804" spans="1:25" ht="38.25" customHeight="1">
      <c r="A804" s="26">
        <v>552</v>
      </c>
      <c r="B804" s="27" t="s">
        <v>2476</v>
      </c>
      <c r="C804" s="28">
        <v>36891</v>
      </c>
      <c r="D804" s="27" t="s">
        <v>2477</v>
      </c>
      <c r="E804" s="27" t="s">
        <v>2478</v>
      </c>
      <c r="F804" s="29" t="s">
        <v>2479</v>
      </c>
      <c r="G804" s="27"/>
      <c r="H804" s="27" t="s">
        <v>19</v>
      </c>
      <c r="I804" s="27">
        <v>1</v>
      </c>
      <c r="J804" s="30">
        <v>276630986</v>
      </c>
      <c r="K804" s="26" t="s">
        <v>206</v>
      </c>
      <c r="L804" s="26" t="s">
        <v>1040</v>
      </c>
      <c r="M804" s="31" t="s">
        <v>2475</v>
      </c>
      <c r="N804" s="6"/>
      <c r="O804" s="2"/>
      <c r="P804" s="2"/>
      <c r="Q804" s="2"/>
      <c r="R804" s="2"/>
      <c r="S804" s="2"/>
      <c r="T804" s="2"/>
      <c r="U804" s="2"/>
      <c r="V804" s="2"/>
      <c r="W804" s="2"/>
      <c r="X804" s="2"/>
      <c r="Y804" s="2"/>
    </row>
    <row r="805" spans="1:25" ht="25.5" customHeight="1">
      <c r="A805" s="38">
        <v>553</v>
      </c>
      <c r="B805" s="27" t="s">
        <v>2480</v>
      </c>
      <c r="C805" s="40">
        <v>37256</v>
      </c>
      <c r="D805" s="27" t="s">
        <v>2481</v>
      </c>
      <c r="E805" s="39" t="s">
        <v>2482</v>
      </c>
      <c r="F805" s="41" t="s">
        <v>2483</v>
      </c>
      <c r="G805" s="27"/>
      <c r="H805" s="27" t="s">
        <v>249</v>
      </c>
      <c r="I805" s="27">
        <v>1</v>
      </c>
      <c r="J805" s="42">
        <v>32713372</v>
      </c>
      <c r="K805" s="38" t="s">
        <v>206</v>
      </c>
      <c r="L805" s="38" t="s">
        <v>1040</v>
      </c>
      <c r="M805" s="43" t="s">
        <v>2067</v>
      </c>
      <c r="N805" s="6"/>
      <c r="O805" s="2"/>
      <c r="P805" s="2"/>
      <c r="Q805" s="2"/>
      <c r="R805" s="2"/>
      <c r="S805" s="2"/>
      <c r="T805" s="2"/>
      <c r="U805" s="2"/>
      <c r="V805" s="2"/>
      <c r="W805" s="2"/>
      <c r="X805" s="2"/>
      <c r="Y805" s="2"/>
    </row>
    <row r="806" spans="1:25" ht="12.75" customHeight="1">
      <c r="A806" s="38">
        <v>554</v>
      </c>
      <c r="B806" s="27" t="s">
        <v>2484</v>
      </c>
      <c r="C806" s="40">
        <v>37256</v>
      </c>
      <c r="D806" s="27" t="s">
        <v>2485</v>
      </c>
      <c r="E806" s="39" t="s">
        <v>2486</v>
      </c>
      <c r="F806" s="41" t="s">
        <v>2487</v>
      </c>
      <c r="G806" s="27"/>
      <c r="H806" s="27" t="s">
        <v>19</v>
      </c>
      <c r="I806" s="27">
        <v>1</v>
      </c>
      <c r="J806" s="42">
        <v>49068643</v>
      </c>
      <c r="K806" s="38" t="s">
        <v>206</v>
      </c>
      <c r="L806" s="38" t="s">
        <v>1040</v>
      </c>
      <c r="M806" s="43" t="s">
        <v>1136</v>
      </c>
      <c r="N806" s="6"/>
      <c r="O806" s="2"/>
      <c r="P806" s="2"/>
      <c r="Q806" s="2"/>
      <c r="R806" s="2"/>
      <c r="S806" s="2"/>
      <c r="T806" s="2"/>
      <c r="U806" s="2"/>
      <c r="V806" s="2"/>
      <c r="W806" s="2"/>
      <c r="X806" s="2"/>
      <c r="Y806" s="2"/>
    </row>
    <row r="807" spans="1:25" ht="25.5" customHeight="1">
      <c r="A807" s="38" t="s">
        <v>2488</v>
      </c>
      <c r="B807" s="27"/>
      <c r="C807" s="40"/>
      <c r="D807" s="27"/>
      <c r="E807" s="39" t="s">
        <v>2489</v>
      </c>
      <c r="F807" s="41" t="s">
        <v>2490</v>
      </c>
      <c r="G807" s="27"/>
      <c r="H807" s="27"/>
      <c r="I807" s="27">
        <v>1</v>
      </c>
      <c r="J807" s="42">
        <v>0</v>
      </c>
      <c r="K807" s="38" t="s">
        <v>206</v>
      </c>
      <c r="L807" s="38" t="s">
        <v>1040</v>
      </c>
      <c r="M807" s="43"/>
      <c r="N807" s="6"/>
      <c r="O807" s="2"/>
      <c r="P807" s="2"/>
      <c r="Q807" s="2"/>
      <c r="R807" s="2"/>
      <c r="S807" s="2"/>
      <c r="T807" s="2"/>
      <c r="U807" s="2"/>
      <c r="V807" s="2"/>
      <c r="W807" s="2"/>
      <c r="X807" s="2"/>
      <c r="Y807" s="2"/>
    </row>
    <row r="808" spans="1:25" ht="25.5" customHeight="1">
      <c r="A808" s="38" t="s">
        <v>2491</v>
      </c>
      <c r="B808" s="27"/>
      <c r="C808" s="40"/>
      <c r="D808" s="27"/>
      <c r="E808" s="39" t="s">
        <v>2492</v>
      </c>
      <c r="F808" s="41" t="s">
        <v>2493</v>
      </c>
      <c r="G808" s="27"/>
      <c r="H808" s="27"/>
      <c r="I808" s="27">
        <v>1</v>
      </c>
      <c r="J808" s="42">
        <v>0</v>
      </c>
      <c r="K808" s="38" t="s">
        <v>206</v>
      </c>
      <c r="L808" s="38" t="s">
        <v>1040</v>
      </c>
      <c r="M808" s="43"/>
      <c r="N808" s="6"/>
      <c r="O808" s="2"/>
      <c r="P808" s="2"/>
      <c r="Q808" s="2"/>
      <c r="R808" s="2"/>
      <c r="S808" s="2"/>
      <c r="T808" s="2"/>
      <c r="U808" s="2"/>
      <c r="V808" s="2"/>
      <c r="W808" s="2"/>
      <c r="X808" s="2"/>
      <c r="Y808" s="2"/>
    </row>
    <row r="809" spans="1:25" ht="25.5" customHeight="1">
      <c r="A809" s="38" t="s">
        <v>2494</v>
      </c>
      <c r="B809" s="27"/>
      <c r="C809" s="40"/>
      <c r="D809" s="27"/>
      <c r="E809" s="39" t="s">
        <v>2495</v>
      </c>
      <c r="F809" s="41" t="s">
        <v>2496</v>
      </c>
      <c r="G809" s="27"/>
      <c r="H809" s="27"/>
      <c r="I809" s="27">
        <v>1</v>
      </c>
      <c r="J809" s="42">
        <v>0</v>
      </c>
      <c r="K809" s="38" t="s">
        <v>206</v>
      </c>
      <c r="L809" s="38" t="s">
        <v>1040</v>
      </c>
      <c r="M809" s="43"/>
      <c r="N809" s="6"/>
      <c r="O809" s="2"/>
      <c r="P809" s="2"/>
      <c r="Q809" s="2"/>
      <c r="R809" s="2"/>
      <c r="S809" s="2"/>
      <c r="T809" s="2"/>
      <c r="U809" s="2"/>
      <c r="V809" s="2"/>
      <c r="W809" s="2"/>
      <c r="X809" s="2"/>
      <c r="Y809" s="2"/>
    </row>
    <row r="810" spans="1:25" ht="12.75" customHeight="1">
      <c r="A810" s="26">
        <v>556</v>
      </c>
      <c r="B810" s="27" t="s">
        <v>1377</v>
      </c>
      <c r="C810" s="28">
        <v>37986</v>
      </c>
      <c r="D810" s="27" t="s">
        <v>2503</v>
      </c>
      <c r="E810" s="27" t="s">
        <v>2504</v>
      </c>
      <c r="F810" s="29" t="s">
        <v>2505</v>
      </c>
      <c r="G810" s="27"/>
      <c r="H810" s="27"/>
      <c r="I810" s="27">
        <v>1</v>
      </c>
      <c r="J810" s="30">
        <v>79367230</v>
      </c>
      <c r="K810" s="26" t="s">
        <v>206</v>
      </c>
      <c r="L810" s="26" t="s">
        <v>1040</v>
      </c>
      <c r="M810" s="31" t="s">
        <v>2506</v>
      </c>
      <c r="N810" s="6"/>
      <c r="O810" s="2"/>
      <c r="P810" s="2"/>
      <c r="Q810" s="2"/>
      <c r="R810" s="2"/>
      <c r="S810" s="2"/>
      <c r="T810" s="2"/>
      <c r="U810" s="2"/>
      <c r="V810" s="2"/>
      <c r="W810" s="2"/>
      <c r="X810" s="2"/>
      <c r="Y810" s="2"/>
    </row>
    <row r="811" spans="1:25" ht="12.75" customHeight="1">
      <c r="A811" s="26" t="s">
        <v>2507</v>
      </c>
      <c r="B811" s="27"/>
      <c r="C811" s="28"/>
      <c r="D811" s="27"/>
      <c r="E811" s="27" t="s">
        <v>2508</v>
      </c>
      <c r="F811" s="29" t="s">
        <v>2509</v>
      </c>
      <c r="G811" s="27"/>
      <c r="H811" s="27"/>
      <c r="I811" s="27">
        <v>1</v>
      </c>
      <c r="J811" s="30"/>
      <c r="K811" s="26" t="s">
        <v>206</v>
      </c>
      <c r="L811" s="26" t="s">
        <v>1040</v>
      </c>
      <c r="M811" s="31"/>
      <c r="N811" s="6"/>
      <c r="O811" s="2"/>
      <c r="P811" s="2"/>
      <c r="Q811" s="2"/>
      <c r="R811" s="2"/>
      <c r="S811" s="2"/>
      <c r="T811" s="2"/>
      <c r="U811" s="2"/>
      <c r="V811" s="2"/>
      <c r="W811" s="2"/>
      <c r="X811" s="2"/>
      <c r="Y811" s="2"/>
    </row>
    <row r="812" spans="1:25" ht="12.75" customHeight="1">
      <c r="A812" s="26" t="s">
        <v>2510</v>
      </c>
      <c r="B812" s="27"/>
      <c r="C812" s="28"/>
      <c r="D812" s="27"/>
      <c r="E812" s="27" t="s">
        <v>2511</v>
      </c>
      <c r="F812" s="29" t="s">
        <v>2512</v>
      </c>
      <c r="G812" s="27"/>
      <c r="H812" s="27"/>
      <c r="I812" s="27">
        <v>1</v>
      </c>
      <c r="J812" s="30"/>
      <c r="K812" s="26" t="s">
        <v>206</v>
      </c>
      <c r="L812" s="26" t="s">
        <v>1040</v>
      </c>
      <c r="M812" s="31"/>
      <c r="N812" s="6"/>
      <c r="O812" s="2"/>
      <c r="P812" s="2"/>
      <c r="Q812" s="2"/>
      <c r="R812" s="2"/>
      <c r="S812" s="2"/>
      <c r="T812" s="2"/>
      <c r="U812" s="2"/>
      <c r="V812" s="2"/>
      <c r="W812" s="2"/>
      <c r="X812" s="2"/>
      <c r="Y812" s="2"/>
    </row>
    <row r="813" spans="1:25" ht="12.75" customHeight="1">
      <c r="A813" s="26">
        <v>557</v>
      </c>
      <c r="B813" s="27" t="s">
        <v>2513</v>
      </c>
      <c r="C813" s="28">
        <v>36993</v>
      </c>
      <c r="D813" s="27" t="s">
        <v>2514</v>
      </c>
      <c r="E813" s="27" t="s">
        <v>2515</v>
      </c>
      <c r="F813" s="29" t="s">
        <v>2516</v>
      </c>
      <c r="G813" s="27"/>
      <c r="H813" s="27"/>
      <c r="I813" s="27">
        <v>1</v>
      </c>
      <c r="J813" s="30">
        <v>35000000</v>
      </c>
      <c r="K813" s="26" t="s">
        <v>206</v>
      </c>
      <c r="L813" s="26" t="s">
        <v>1040</v>
      </c>
      <c r="M813" s="31" t="s">
        <v>2475</v>
      </c>
      <c r="N813" s="6"/>
      <c r="O813" s="2"/>
      <c r="P813" s="2"/>
      <c r="Q813" s="2"/>
      <c r="R813" s="2"/>
      <c r="S813" s="2"/>
      <c r="T813" s="2"/>
      <c r="U813" s="2"/>
      <c r="V813" s="2"/>
      <c r="W813" s="2"/>
      <c r="X813" s="2"/>
      <c r="Y813" s="2"/>
    </row>
    <row r="814" spans="1:25" ht="12.75" customHeight="1">
      <c r="A814" s="38">
        <v>558</v>
      </c>
      <c r="B814" s="27" t="s">
        <v>2517</v>
      </c>
      <c r="C814" s="40">
        <v>39263</v>
      </c>
      <c r="D814" s="27"/>
      <c r="E814" s="39" t="s">
        <v>2518</v>
      </c>
      <c r="F814" s="41" t="s">
        <v>2519</v>
      </c>
      <c r="G814" s="27"/>
      <c r="H814" s="27" t="s">
        <v>19</v>
      </c>
      <c r="I814" s="27">
        <v>1</v>
      </c>
      <c r="J814" s="42">
        <v>66819933</v>
      </c>
      <c r="K814" s="38" t="s">
        <v>206</v>
      </c>
      <c r="L814" s="38" t="s">
        <v>1040</v>
      </c>
      <c r="M814" s="43" t="s">
        <v>2067</v>
      </c>
      <c r="N814" s="6"/>
      <c r="O814" s="2"/>
      <c r="P814" s="2"/>
      <c r="Q814" s="2"/>
      <c r="R814" s="2"/>
      <c r="S814" s="2"/>
      <c r="T814" s="2"/>
      <c r="U814" s="2"/>
      <c r="V814" s="2"/>
      <c r="W814" s="2"/>
      <c r="X814" s="2"/>
      <c r="Y814" s="2"/>
    </row>
    <row r="815" spans="1:25" ht="12.75" customHeight="1">
      <c r="A815" s="38" t="s">
        <v>2520</v>
      </c>
      <c r="B815" s="27"/>
      <c r="C815" s="40"/>
      <c r="D815" s="27"/>
      <c r="E815" s="39" t="s">
        <v>2521</v>
      </c>
      <c r="F815" s="41" t="s">
        <v>2522</v>
      </c>
      <c r="G815" s="27"/>
      <c r="H815" s="27"/>
      <c r="I815" s="27">
        <v>1</v>
      </c>
      <c r="J815" s="42">
        <v>0</v>
      </c>
      <c r="K815" s="38" t="s">
        <v>206</v>
      </c>
      <c r="L815" s="38" t="s">
        <v>1040</v>
      </c>
      <c r="M815" s="43"/>
      <c r="N815" s="6"/>
      <c r="O815" s="2"/>
      <c r="P815" s="2"/>
      <c r="Q815" s="2"/>
      <c r="R815" s="2"/>
      <c r="S815" s="2"/>
      <c r="T815" s="2"/>
      <c r="U815" s="2"/>
      <c r="V815" s="2"/>
      <c r="W815" s="2"/>
      <c r="X815" s="2"/>
      <c r="Y815" s="2"/>
    </row>
    <row r="816" spans="1:25" ht="12.75" customHeight="1">
      <c r="A816" s="38" t="s">
        <v>2523</v>
      </c>
      <c r="B816" s="27"/>
      <c r="C816" s="40"/>
      <c r="D816" s="27"/>
      <c r="E816" s="39" t="s">
        <v>2524</v>
      </c>
      <c r="F816" s="41" t="s">
        <v>2525</v>
      </c>
      <c r="G816" s="27"/>
      <c r="H816" s="27"/>
      <c r="I816" s="27">
        <v>1</v>
      </c>
      <c r="J816" s="42">
        <v>0</v>
      </c>
      <c r="K816" s="38" t="s">
        <v>206</v>
      </c>
      <c r="L816" s="38" t="s">
        <v>1040</v>
      </c>
      <c r="M816" s="43"/>
      <c r="N816" s="6"/>
      <c r="O816" s="2"/>
      <c r="P816" s="2"/>
      <c r="Q816" s="2"/>
      <c r="R816" s="2"/>
      <c r="S816" s="2"/>
      <c r="T816" s="2"/>
      <c r="U816" s="2"/>
      <c r="V816" s="2"/>
      <c r="W816" s="2"/>
      <c r="X816" s="2"/>
      <c r="Y816" s="2"/>
    </row>
    <row r="817" spans="1:25" ht="12.75" customHeight="1">
      <c r="A817" s="26">
        <v>559</v>
      </c>
      <c r="B817" s="27" t="s">
        <v>2517</v>
      </c>
      <c r="C817" s="28">
        <v>39263</v>
      </c>
      <c r="D817" s="27"/>
      <c r="E817" s="27" t="s">
        <v>2526</v>
      </c>
      <c r="F817" s="29" t="s">
        <v>2527</v>
      </c>
      <c r="G817" s="27"/>
      <c r="H817" s="27" t="s">
        <v>19</v>
      </c>
      <c r="I817" s="27">
        <v>1</v>
      </c>
      <c r="J817" s="30">
        <v>55917733</v>
      </c>
      <c r="K817" s="26" t="s">
        <v>20</v>
      </c>
      <c r="L817" s="26" t="s">
        <v>423</v>
      </c>
      <c r="M817" s="27" t="s">
        <v>2528</v>
      </c>
      <c r="N817" s="6"/>
      <c r="O817" s="2"/>
      <c r="P817" s="2"/>
      <c r="Q817" s="2"/>
      <c r="R817" s="2"/>
      <c r="S817" s="2"/>
      <c r="T817" s="2"/>
      <c r="U817" s="2"/>
      <c r="V817" s="2"/>
      <c r="W817" s="2"/>
      <c r="X817" s="2"/>
      <c r="Y817" s="2"/>
    </row>
    <row r="818" spans="1:25" ht="12.75" customHeight="1">
      <c r="A818" s="26" t="s">
        <v>2529</v>
      </c>
      <c r="B818" s="27"/>
      <c r="C818" s="28"/>
      <c r="D818" s="27"/>
      <c r="E818" s="27" t="s">
        <v>2530</v>
      </c>
      <c r="F818" s="29" t="s">
        <v>2531</v>
      </c>
      <c r="G818" s="27"/>
      <c r="H818" s="27"/>
      <c r="I818" s="27">
        <v>1</v>
      </c>
      <c r="J818" s="30">
        <v>0</v>
      </c>
      <c r="K818" s="26" t="s">
        <v>20</v>
      </c>
      <c r="L818" s="26" t="s">
        <v>423</v>
      </c>
      <c r="M818" s="27" t="s">
        <v>2528</v>
      </c>
      <c r="N818" s="6"/>
      <c r="O818" s="2"/>
      <c r="P818" s="2"/>
      <c r="Q818" s="2"/>
      <c r="R818" s="2"/>
      <c r="S818" s="2"/>
      <c r="T818" s="2"/>
      <c r="U818" s="2"/>
      <c r="V818" s="2"/>
      <c r="W818" s="2"/>
      <c r="X818" s="2"/>
      <c r="Y818" s="2"/>
    </row>
    <row r="819" spans="1:25" ht="12.75" customHeight="1">
      <c r="A819" s="26" t="s">
        <v>2532</v>
      </c>
      <c r="B819" s="27"/>
      <c r="C819" s="28"/>
      <c r="D819" s="27"/>
      <c r="E819" s="27" t="s">
        <v>2533</v>
      </c>
      <c r="F819" s="29" t="s">
        <v>2534</v>
      </c>
      <c r="G819" s="27"/>
      <c r="H819" s="27"/>
      <c r="I819" s="27">
        <v>1</v>
      </c>
      <c r="J819" s="30">
        <v>0</v>
      </c>
      <c r="K819" s="26" t="s">
        <v>20</v>
      </c>
      <c r="L819" s="26" t="s">
        <v>423</v>
      </c>
      <c r="M819" s="27" t="s">
        <v>2528</v>
      </c>
      <c r="N819" s="6"/>
      <c r="O819" s="2"/>
      <c r="P819" s="2"/>
      <c r="Q819" s="2"/>
      <c r="R819" s="2"/>
      <c r="S819" s="2"/>
      <c r="T819" s="2"/>
      <c r="U819" s="2"/>
      <c r="V819" s="2"/>
      <c r="W819" s="2"/>
      <c r="X819" s="2"/>
      <c r="Y819" s="2"/>
    </row>
    <row r="820" spans="1:25" ht="12.75" customHeight="1">
      <c r="A820" s="26" t="s">
        <v>2535</v>
      </c>
      <c r="B820" s="27"/>
      <c r="C820" s="28"/>
      <c r="D820" s="27"/>
      <c r="E820" s="27" t="s">
        <v>2536</v>
      </c>
      <c r="F820" s="29" t="s">
        <v>2525</v>
      </c>
      <c r="G820" s="27"/>
      <c r="H820" s="27"/>
      <c r="I820" s="27">
        <v>1</v>
      </c>
      <c r="J820" s="30">
        <v>0</v>
      </c>
      <c r="K820" s="26" t="s">
        <v>20</v>
      </c>
      <c r="L820" s="26" t="s">
        <v>423</v>
      </c>
      <c r="M820" s="27" t="s">
        <v>2528</v>
      </c>
      <c r="N820" s="6"/>
      <c r="O820" s="2"/>
      <c r="P820" s="2"/>
      <c r="Q820" s="2"/>
      <c r="R820" s="2"/>
      <c r="S820" s="2"/>
      <c r="T820" s="2"/>
      <c r="U820" s="2"/>
      <c r="V820" s="2"/>
      <c r="W820" s="2"/>
      <c r="X820" s="2"/>
      <c r="Y820" s="2"/>
    </row>
    <row r="821" spans="1:25" ht="12.75" customHeight="1">
      <c r="A821" s="38">
        <v>560</v>
      </c>
      <c r="B821" s="27" t="s">
        <v>2517</v>
      </c>
      <c r="C821" s="40">
        <v>39263</v>
      </c>
      <c r="D821" s="27"/>
      <c r="E821" s="39" t="s">
        <v>2537</v>
      </c>
      <c r="F821" s="41" t="s">
        <v>2538</v>
      </c>
      <c r="G821" s="27"/>
      <c r="H821" s="27" t="s">
        <v>19</v>
      </c>
      <c r="I821" s="27">
        <v>1</v>
      </c>
      <c r="J821" s="42">
        <v>55917733</v>
      </c>
      <c r="K821" s="38" t="s">
        <v>206</v>
      </c>
      <c r="L821" s="38" t="s">
        <v>1040</v>
      </c>
      <c r="M821" s="43" t="s">
        <v>2539</v>
      </c>
      <c r="N821" s="6"/>
      <c r="O821" s="2"/>
      <c r="P821" s="2"/>
      <c r="Q821" s="2"/>
      <c r="R821" s="2"/>
      <c r="S821" s="2"/>
      <c r="T821" s="2"/>
      <c r="U821" s="2"/>
      <c r="V821" s="2"/>
      <c r="W821" s="2"/>
      <c r="X821" s="2"/>
      <c r="Y821" s="2"/>
    </row>
    <row r="822" spans="1:25" ht="12.75" customHeight="1">
      <c r="A822" s="38" t="s">
        <v>2540</v>
      </c>
      <c r="B822" s="27"/>
      <c r="C822" s="40"/>
      <c r="D822" s="27"/>
      <c r="E822" s="39" t="s">
        <v>2541</v>
      </c>
      <c r="F822" s="41" t="s">
        <v>2531</v>
      </c>
      <c r="G822" s="27"/>
      <c r="H822" s="27"/>
      <c r="I822" s="27">
        <v>1</v>
      </c>
      <c r="J822" s="42">
        <v>0</v>
      </c>
      <c r="K822" s="38" t="s">
        <v>206</v>
      </c>
      <c r="L822" s="38" t="s">
        <v>1040</v>
      </c>
      <c r="M822" s="43"/>
      <c r="N822" s="6"/>
      <c r="O822" s="2"/>
      <c r="P822" s="2"/>
      <c r="Q822" s="2"/>
      <c r="R822" s="2"/>
      <c r="S822" s="2"/>
      <c r="T822" s="2"/>
      <c r="U822" s="2"/>
      <c r="V822" s="2"/>
      <c r="W822" s="2"/>
      <c r="X822" s="2"/>
      <c r="Y822" s="2"/>
    </row>
    <row r="823" spans="1:25" ht="12.75" customHeight="1">
      <c r="A823" s="38" t="s">
        <v>2542</v>
      </c>
      <c r="B823" s="27"/>
      <c r="C823" s="40"/>
      <c r="D823" s="27"/>
      <c r="E823" s="39" t="s">
        <v>2543</v>
      </c>
      <c r="F823" s="41" t="s">
        <v>2534</v>
      </c>
      <c r="G823" s="27"/>
      <c r="H823" s="27"/>
      <c r="I823" s="27">
        <v>1</v>
      </c>
      <c r="J823" s="42">
        <v>0</v>
      </c>
      <c r="K823" s="38" t="s">
        <v>206</v>
      </c>
      <c r="L823" s="38" t="s">
        <v>1040</v>
      </c>
      <c r="M823" s="43"/>
      <c r="N823" s="6"/>
      <c r="O823" s="2"/>
      <c r="P823" s="2"/>
      <c r="Q823" s="2"/>
      <c r="R823" s="2"/>
      <c r="S823" s="2"/>
      <c r="T823" s="2"/>
      <c r="U823" s="2"/>
      <c r="V823" s="2"/>
      <c r="W823" s="2"/>
      <c r="X823" s="2"/>
      <c r="Y823" s="2"/>
    </row>
    <row r="824" spans="1:25" ht="12.75" customHeight="1">
      <c r="A824" s="38" t="s">
        <v>2544</v>
      </c>
      <c r="B824" s="27"/>
      <c r="C824" s="40"/>
      <c r="D824" s="27"/>
      <c r="E824" s="39" t="s">
        <v>2545</v>
      </c>
      <c r="F824" s="41" t="s">
        <v>2525</v>
      </c>
      <c r="G824" s="27"/>
      <c r="H824" s="27"/>
      <c r="I824" s="27">
        <v>1</v>
      </c>
      <c r="J824" s="42">
        <v>0</v>
      </c>
      <c r="K824" s="38" t="s">
        <v>206</v>
      </c>
      <c r="L824" s="38" t="s">
        <v>1040</v>
      </c>
      <c r="M824" s="43"/>
      <c r="N824" s="6"/>
      <c r="O824" s="2"/>
      <c r="P824" s="2"/>
      <c r="Q824" s="2"/>
      <c r="R824" s="2"/>
      <c r="S824" s="2"/>
      <c r="T824" s="2"/>
      <c r="U824" s="2"/>
      <c r="V824" s="2"/>
      <c r="W824" s="2"/>
      <c r="X824" s="2"/>
      <c r="Y824" s="2"/>
    </row>
    <row r="825" spans="1:25" ht="12.75" customHeight="1">
      <c r="A825" s="38">
        <v>561</v>
      </c>
      <c r="B825" s="27" t="s">
        <v>2546</v>
      </c>
      <c r="C825" s="40">
        <v>39436</v>
      </c>
      <c r="D825" s="27"/>
      <c r="E825" s="39" t="s">
        <v>2547</v>
      </c>
      <c r="F825" s="41" t="s">
        <v>2548</v>
      </c>
      <c r="G825" s="27"/>
      <c r="H825" s="27" t="s">
        <v>19</v>
      </c>
      <c r="I825" s="27">
        <v>1</v>
      </c>
      <c r="J825" s="42">
        <v>660632399</v>
      </c>
      <c r="K825" s="38" t="s">
        <v>206</v>
      </c>
      <c r="L825" s="38" t="s">
        <v>1040</v>
      </c>
      <c r="M825" s="43" t="s">
        <v>2549</v>
      </c>
      <c r="N825" s="6"/>
      <c r="O825" s="2"/>
      <c r="P825" s="2"/>
      <c r="Q825" s="2"/>
      <c r="R825" s="2"/>
      <c r="S825" s="2"/>
      <c r="T825" s="2"/>
      <c r="U825" s="2"/>
      <c r="V825" s="2"/>
      <c r="W825" s="2"/>
      <c r="X825" s="2"/>
      <c r="Y825" s="2"/>
    </row>
    <row r="826" spans="1:25" ht="25.5" customHeight="1">
      <c r="A826" s="26">
        <v>562</v>
      </c>
      <c r="B826" s="27" t="s">
        <v>1064</v>
      </c>
      <c r="C826" s="28">
        <v>39963</v>
      </c>
      <c r="D826" s="27"/>
      <c r="E826" s="27" t="s">
        <v>2550</v>
      </c>
      <c r="F826" s="29" t="s">
        <v>2551</v>
      </c>
      <c r="G826" s="27" t="s">
        <v>338</v>
      </c>
      <c r="H826" s="27" t="s">
        <v>249</v>
      </c>
      <c r="I826" s="27">
        <v>1</v>
      </c>
      <c r="J826" s="30">
        <v>53234130</v>
      </c>
      <c r="K826" s="26" t="s">
        <v>206</v>
      </c>
      <c r="L826" s="26" t="s">
        <v>1040</v>
      </c>
      <c r="M826" s="31" t="s">
        <v>1954</v>
      </c>
      <c r="N826" s="6"/>
      <c r="O826" s="2"/>
      <c r="P826" s="2"/>
      <c r="Q826" s="2"/>
      <c r="R826" s="2"/>
      <c r="S826" s="2"/>
      <c r="T826" s="2"/>
      <c r="U826" s="2"/>
      <c r="V826" s="2"/>
      <c r="W826" s="2"/>
      <c r="X826" s="2"/>
      <c r="Y826" s="2"/>
    </row>
    <row r="827" spans="1:25" ht="25.5" customHeight="1">
      <c r="A827" s="38">
        <v>563</v>
      </c>
      <c r="B827" s="27" t="s">
        <v>1064</v>
      </c>
      <c r="C827" s="40">
        <v>39963</v>
      </c>
      <c r="D827" s="27"/>
      <c r="E827" s="39" t="s">
        <v>2552</v>
      </c>
      <c r="F827" s="41" t="s">
        <v>2553</v>
      </c>
      <c r="G827" s="27" t="s">
        <v>338</v>
      </c>
      <c r="H827" s="27" t="s">
        <v>249</v>
      </c>
      <c r="I827" s="27">
        <v>1</v>
      </c>
      <c r="J827" s="42">
        <v>53234130</v>
      </c>
      <c r="K827" s="38" t="s">
        <v>206</v>
      </c>
      <c r="L827" s="38" t="s">
        <v>1040</v>
      </c>
      <c r="M827" s="43" t="s">
        <v>2023</v>
      </c>
      <c r="N827" s="6"/>
      <c r="O827" s="2"/>
      <c r="P827" s="2"/>
      <c r="Q827" s="2"/>
      <c r="R827" s="2"/>
      <c r="S827" s="2"/>
      <c r="T827" s="2"/>
      <c r="U827" s="2"/>
      <c r="V827" s="2"/>
      <c r="W827" s="2"/>
      <c r="X827" s="2"/>
      <c r="Y827" s="2"/>
    </row>
    <row r="828" spans="1:25" ht="12.75" customHeight="1">
      <c r="A828" s="38">
        <v>564</v>
      </c>
      <c r="B828" s="27" t="s">
        <v>16</v>
      </c>
      <c r="C828" s="40">
        <v>40024</v>
      </c>
      <c r="D828" s="27"/>
      <c r="E828" s="39" t="s">
        <v>2554</v>
      </c>
      <c r="F828" s="41" t="s">
        <v>2555</v>
      </c>
      <c r="G828" s="27" t="s">
        <v>1088</v>
      </c>
      <c r="H828" s="27" t="s">
        <v>19</v>
      </c>
      <c r="I828" s="27">
        <v>1</v>
      </c>
      <c r="J828" s="42">
        <v>42989915</v>
      </c>
      <c r="K828" s="38" t="s">
        <v>206</v>
      </c>
      <c r="L828" s="38" t="s">
        <v>1040</v>
      </c>
      <c r="M828" s="43" t="s">
        <v>2539</v>
      </c>
      <c r="N828" s="6"/>
      <c r="O828" s="2"/>
      <c r="P828" s="2"/>
      <c r="Q828" s="2"/>
      <c r="R828" s="2"/>
      <c r="S828" s="2"/>
      <c r="T828" s="2"/>
      <c r="U828" s="2"/>
      <c r="V828" s="2"/>
      <c r="W828" s="2"/>
      <c r="X828" s="2"/>
      <c r="Y828" s="2"/>
    </row>
    <row r="829" spans="1:25" ht="12.75" customHeight="1">
      <c r="A829" s="26" t="s">
        <v>2556</v>
      </c>
      <c r="B829" s="27"/>
      <c r="C829" s="28"/>
      <c r="D829" s="27"/>
      <c r="E829" s="27" t="s">
        <v>2557</v>
      </c>
      <c r="F829" s="29" t="s">
        <v>2558</v>
      </c>
      <c r="G829" s="27"/>
      <c r="H829" s="27"/>
      <c r="I829" s="27">
        <v>1</v>
      </c>
      <c r="J829" s="30">
        <v>41887609</v>
      </c>
      <c r="K829" s="26" t="s">
        <v>206</v>
      </c>
      <c r="L829" s="26" t="s">
        <v>1040</v>
      </c>
      <c r="M829" s="31"/>
      <c r="N829" s="6"/>
      <c r="O829" s="2"/>
      <c r="P829" s="2"/>
      <c r="Q829" s="2"/>
      <c r="R829" s="2"/>
      <c r="S829" s="2"/>
      <c r="T829" s="2"/>
      <c r="U829" s="2"/>
      <c r="V829" s="2"/>
      <c r="W829" s="2"/>
      <c r="X829" s="2"/>
      <c r="Y829" s="2"/>
    </row>
    <row r="830" spans="1:25" ht="12.75" customHeight="1">
      <c r="A830" s="26">
        <v>565</v>
      </c>
      <c r="B830" s="27" t="s">
        <v>2559</v>
      </c>
      <c r="C830" s="28">
        <v>40178</v>
      </c>
      <c r="D830" s="27"/>
      <c r="E830" s="27" t="s">
        <v>2560</v>
      </c>
      <c r="F830" s="29" t="s">
        <v>2561</v>
      </c>
      <c r="G830" s="27"/>
      <c r="H830" s="27" t="s">
        <v>19</v>
      </c>
      <c r="I830" s="27">
        <v>1</v>
      </c>
      <c r="J830" s="30">
        <v>327075322</v>
      </c>
      <c r="K830" s="26" t="s">
        <v>206</v>
      </c>
      <c r="L830" s="26" t="s">
        <v>2562</v>
      </c>
      <c r="M830" s="31" t="s">
        <v>2563</v>
      </c>
      <c r="N830" s="6"/>
      <c r="O830" s="2"/>
      <c r="P830" s="2"/>
      <c r="Q830" s="2"/>
      <c r="R830" s="2"/>
      <c r="S830" s="2"/>
      <c r="T830" s="2"/>
      <c r="U830" s="2"/>
      <c r="V830" s="2"/>
      <c r="W830" s="2"/>
      <c r="X830" s="2"/>
      <c r="Y830" s="2"/>
    </row>
    <row r="831" spans="1:25" ht="12.75" customHeight="1">
      <c r="A831" s="26">
        <v>566</v>
      </c>
      <c r="B831" s="27" t="s">
        <v>846</v>
      </c>
      <c r="C831" s="28">
        <v>40743</v>
      </c>
      <c r="D831" s="27"/>
      <c r="E831" s="27" t="s">
        <v>2564</v>
      </c>
      <c r="F831" s="29" t="s">
        <v>2565</v>
      </c>
      <c r="G831" s="27" t="s">
        <v>2566</v>
      </c>
      <c r="H831" s="27" t="s">
        <v>249</v>
      </c>
      <c r="I831" s="27">
        <v>1</v>
      </c>
      <c r="J831" s="30">
        <v>210617748</v>
      </c>
      <c r="K831" s="26" t="s">
        <v>206</v>
      </c>
      <c r="L831" s="26" t="s">
        <v>2562</v>
      </c>
      <c r="M831" s="31" t="s">
        <v>1041</v>
      </c>
      <c r="N831" s="6"/>
      <c r="O831" s="2"/>
      <c r="P831" s="2"/>
      <c r="Q831" s="2"/>
      <c r="R831" s="2"/>
      <c r="S831" s="2"/>
      <c r="T831" s="2"/>
      <c r="U831" s="2"/>
      <c r="V831" s="2"/>
      <c r="W831" s="2"/>
      <c r="X831" s="2"/>
      <c r="Y831" s="2"/>
    </row>
    <row r="832" spans="1:25" ht="12.75" customHeight="1">
      <c r="A832" s="26">
        <v>567</v>
      </c>
      <c r="B832" s="27" t="s">
        <v>846</v>
      </c>
      <c r="C832" s="28">
        <v>40743</v>
      </c>
      <c r="D832" s="27"/>
      <c r="E832" s="27" t="s">
        <v>2567</v>
      </c>
      <c r="F832" s="29" t="s">
        <v>2568</v>
      </c>
      <c r="G832" s="27" t="s">
        <v>2566</v>
      </c>
      <c r="H832" s="27" t="s">
        <v>249</v>
      </c>
      <c r="I832" s="27">
        <v>1</v>
      </c>
      <c r="J832" s="30">
        <v>210617748</v>
      </c>
      <c r="K832" s="26" t="s">
        <v>206</v>
      </c>
      <c r="L832" s="26" t="s">
        <v>2562</v>
      </c>
      <c r="M832" s="31" t="s">
        <v>1041</v>
      </c>
      <c r="N832" s="6"/>
      <c r="O832" s="2"/>
      <c r="P832" s="2"/>
      <c r="Q832" s="2"/>
      <c r="R832" s="2"/>
      <c r="S832" s="2"/>
      <c r="T832" s="2"/>
      <c r="U832" s="2"/>
      <c r="V832" s="2"/>
      <c r="W832" s="2"/>
      <c r="X832" s="2"/>
      <c r="Y832" s="2"/>
    </row>
    <row r="833" spans="1:25" ht="25.5" customHeight="1">
      <c r="A833" s="26">
        <v>568</v>
      </c>
      <c r="B833" s="27" t="s">
        <v>281</v>
      </c>
      <c r="C833" s="28">
        <v>41044</v>
      </c>
      <c r="D833" s="27"/>
      <c r="E833" s="27" t="s">
        <v>2569</v>
      </c>
      <c r="F833" s="29" t="s">
        <v>2570</v>
      </c>
      <c r="G833" s="27"/>
      <c r="H833" s="27" t="s">
        <v>19</v>
      </c>
      <c r="I833" s="27">
        <v>1</v>
      </c>
      <c r="J833" s="30">
        <v>80549000</v>
      </c>
      <c r="K833" s="26" t="s">
        <v>206</v>
      </c>
      <c r="L833" s="26" t="s">
        <v>2562</v>
      </c>
      <c r="M833" s="31" t="s">
        <v>2571</v>
      </c>
      <c r="N833" s="6"/>
      <c r="O833" s="2"/>
      <c r="P833" s="2"/>
      <c r="Q833" s="2"/>
      <c r="R833" s="2"/>
      <c r="S833" s="2"/>
      <c r="T833" s="2"/>
      <c r="U833" s="2"/>
      <c r="V833" s="2"/>
      <c r="W833" s="2"/>
      <c r="X833" s="2"/>
      <c r="Y833" s="2"/>
    </row>
    <row r="834" spans="1:25" ht="25.5" customHeight="1">
      <c r="A834" s="26">
        <v>569</v>
      </c>
      <c r="B834" s="27" t="s">
        <v>281</v>
      </c>
      <c r="C834" s="28">
        <v>41044</v>
      </c>
      <c r="D834" s="27"/>
      <c r="E834" s="27" t="s">
        <v>2572</v>
      </c>
      <c r="F834" s="29" t="s">
        <v>2573</v>
      </c>
      <c r="G834" s="27"/>
      <c r="H834" s="27" t="s">
        <v>19</v>
      </c>
      <c r="I834" s="27">
        <v>1</v>
      </c>
      <c r="J834" s="30">
        <v>80549000</v>
      </c>
      <c r="K834" s="26" t="s">
        <v>206</v>
      </c>
      <c r="L834" s="26" t="s">
        <v>2562</v>
      </c>
      <c r="M834" s="31" t="s">
        <v>2574</v>
      </c>
      <c r="N834" s="6"/>
      <c r="O834" s="2"/>
      <c r="P834" s="2"/>
      <c r="Q834" s="2"/>
      <c r="R834" s="2"/>
      <c r="S834" s="2"/>
      <c r="T834" s="2"/>
      <c r="U834" s="2"/>
      <c r="V834" s="2"/>
      <c r="W834" s="2"/>
      <c r="X834" s="2"/>
      <c r="Y834" s="2"/>
    </row>
    <row r="835" spans="1:25" ht="25.5" customHeight="1">
      <c r="A835" s="26">
        <v>570</v>
      </c>
      <c r="B835" s="27" t="s">
        <v>281</v>
      </c>
      <c r="C835" s="28">
        <v>41044</v>
      </c>
      <c r="D835" s="27"/>
      <c r="E835" s="27" t="s">
        <v>2575</v>
      </c>
      <c r="F835" s="29" t="s">
        <v>2576</v>
      </c>
      <c r="G835" s="27"/>
      <c r="H835" s="27" t="s">
        <v>19</v>
      </c>
      <c r="I835" s="27">
        <v>1</v>
      </c>
      <c r="J835" s="30">
        <v>80549000</v>
      </c>
      <c r="K835" s="26" t="s">
        <v>206</v>
      </c>
      <c r="L835" s="26" t="s">
        <v>2562</v>
      </c>
      <c r="M835" s="31" t="s">
        <v>2574</v>
      </c>
      <c r="N835" s="6"/>
      <c r="O835" s="2"/>
      <c r="P835" s="2"/>
      <c r="Q835" s="2"/>
      <c r="R835" s="2"/>
      <c r="S835" s="2"/>
      <c r="T835" s="2"/>
      <c r="U835" s="2"/>
      <c r="V835" s="2"/>
      <c r="W835" s="2"/>
      <c r="X835" s="2"/>
      <c r="Y835" s="2"/>
    </row>
    <row r="836" spans="1:25" ht="25.5" customHeight="1">
      <c r="A836" s="26">
        <v>571</v>
      </c>
      <c r="B836" s="27" t="s">
        <v>281</v>
      </c>
      <c r="C836" s="28">
        <v>41044</v>
      </c>
      <c r="D836" s="27"/>
      <c r="E836" s="27" t="s">
        <v>2577</v>
      </c>
      <c r="F836" s="29" t="s">
        <v>2578</v>
      </c>
      <c r="G836" s="27"/>
      <c r="H836" s="27" t="s">
        <v>19</v>
      </c>
      <c r="I836" s="27">
        <v>1</v>
      </c>
      <c r="J836" s="30">
        <v>80549000</v>
      </c>
      <c r="K836" s="26" t="s">
        <v>206</v>
      </c>
      <c r="L836" s="26" t="s">
        <v>2562</v>
      </c>
      <c r="M836" s="31" t="s">
        <v>2574</v>
      </c>
      <c r="N836" s="6"/>
      <c r="O836" s="2"/>
      <c r="P836" s="2"/>
      <c r="Q836" s="2"/>
      <c r="R836" s="2"/>
      <c r="S836" s="2"/>
      <c r="T836" s="2"/>
      <c r="U836" s="2"/>
      <c r="V836" s="2"/>
      <c r="W836" s="2"/>
      <c r="X836" s="2"/>
      <c r="Y836" s="2"/>
    </row>
    <row r="837" spans="1:25" ht="25.5" customHeight="1">
      <c r="A837" s="26">
        <v>572</v>
      </c>
      <c r="B837" s="27" t="s">
        <v>281</v>
      </c>
      <c r="C837" s="28">
        <v>41044</v>
      </c>
      <c r="D837" s="27"/>
      <c r="E837" s="27" t="s">
        <v>2579</v>
      </c>
      <c r="F837" s="29" t="s">
        <v>2580</v>
      </c>
      <c r="G837" s="27"/>
      <c r="H837" s="27" t="s">
        <v>19</v>
      </c>
      <c r="I837" s="27">
        <v>1</v>
      </c>
      <c r="J837" s="30">
        <v>262570000</v>
      </c>
      <c r="K837" s="26" t="s">
        <v>206</v>
      </c>
      <c r="L837" s="26" t="s">
        <v>2562</v>
      </c>
      <c r="M837" s="31" t="s">
        <v>2581</v>
      </c>
      <c r="N837" s="6"/>
      <c r="O837" s="2"/>
      <c r="P837" s="2"/>
      <c r="Q837" s="2"/>
      <c r="R837" s="2"/>
      <c r="S837" s="2"/>
      <c r="T837" s="2"/>
      <c r="U837" s="2"/>
      <c r="V837" s="2"/>
      <c r="W837" s="2"/>
      <c r="X837" s="2"/>
      <c r="Y837" s="2"/>
    </row>
    <row r="838" spans="1:25" ht="25.5" customHeight="1">
      <c r="A838" s="26">
        <v>573</v>
      </c>
      <c r="B838" s="27" t="s">
        <v>281</v>
      </c>
      <c r="C838" s="28">
        <v>41044</v>
      </c>
      <c r="D838" s="27"/>
      <c r="E838" s="27" t="s">
        <v>2582</v>
      </c>
      <c r="F838" s="29" t="s">
        <v>2583</v>
      </c>
      <c r="G838" s="27"/>
      <c r="H838" s="27" t="s">
        <v>19</v>
      </c>
      <c r="I838" s="27">
        <v>1</v>
      </c>
      <c r="J838" s="30">
        <v>262570000</v>
      </c>
      <c r="K838" s="26" t="s">
        <v>206</v>
      </c>
      <c r="L838" s="26" t="s">
        <v>2562</v>
      </c>
      <c r="M838" s="31" t="s">
        <v>2584</v>
      </c>
      <c r="N838" s="6"/>
      <c r="O838" s="2"/>
      <c r="P838" s="2"/>
      <c r="Q838" s="2"/>
      <c r="R838" s="2"/>
      <c r="S838" s="2"/>
      <c r="T838" s="2"/>
      <c r="U838" s="2"/>
      <c r="V838" s="2"/>
      <c r="W838" s="2"/>
      <c r="X838" s="2"/>
      <c r="Y838" s="2"/>
    </row>
    <row r="839" spans="1:25" ht="12.75" customHeight="1">
      <c r="A839" s="26">
        <v>574</v>
      </c>
      <c r="B839" s="27" t="s">
        <v>1271</v>
      </c>
      <c r="C839" s="28">
        <v>41626</v>
      </c>
      <c r="D839" s="27"/>
      <c r="E839" s="27" t="s">
        <v>2585</v>
      </c>
      <c r="F839" s="29" t="s">
        <v>2586</v>
      </c>
      <c r="G839" s="27" t="s">
        <v>1635</v>
      </c>
      <c r="H839" s="27" t="s">
        <v>19</v>
      </c>
      <c r="I839" s="27">
        <v>1</v>
      </c>
      <c r="J839" s="30">
        <v>103971921</v>
      </c>
      <c r="K839" s="26" t="s">
        <v>206</v>
      </c>
      <c r="L839" s="26" t="s">
        <v>2562</v>
      </c>
      <c r="M839" s="31" t="s">
        <v>1041</v>
      </c>
      <c r="N839" s="6"/>
      <c r="O839" s="2"/>
      <c r="P839" s="2"/>
      <c r="Q839" s="2"/>
      <c r="R839" s="2"/>
      <c r="S839" s="2"/>
      <c r="T839" s="2"/>
      <c r="U839" s="2"/>
      <c r="V839" s="2"/>
      <c r="W839" s="2"/>
      <c r="X839" s="2"/>
      <c r="Y839" s="2"/>
    </row>
    <row r="840" spans="1:25" ht="12.75" customHeight="1">
      <c r="A840" s="26">
        <v>575</v>
      </c>
      <c r="B840" s="27" t="s">
        <v>1271</v>
      </c>
      <c r="C840" s="28">
        <v>41626</v>
      </c>
      <c r="D840" s="27"/>
      <c r="E840" s="27" t="s">
        <v>2587</v>
      </c>
      <c r="F840" s="29" t="s">
        <v>2588</v>
      </c>
      <c r="G840" s="27" t="s">
        <v>1635</v>
      </c>
      <c r="H840" s="27" t="s">
        <v>19</v>
      </c>
      <c r="I840" s="27">
        <v>1</v>
      </c>
      <c r="J840" s="30">
        <v>103971921</v>
      </c>
      <c r="K840" s="26" t="s">
        <v>206</v>
      </c>
      <c r="L840" s="26" t="s">
        <v>2562</v>
      </c>
      <c r="M840" s="31" t="s">
        <v>1041</v>
      </c>
      <c r="N840" s="6"/>
      <c r="O840" s="2"/>
      <c r="P840" s="2"/>
      <c r="Q840" s="2"/>
      <c r="R840" s="2"/>
      <c r="S840" s="2"/>
      <c r="T840" s="2"/>
      <c r="U840" s="2"/>
      <c r="V840" s="2"/>
      <c r="W840" s="2"/>
      <c r="X840" s="2"/>
      <c r="Y840" s="2"/>
    </row>
    <row r="841" spans="1:25" ht="12.75" customHeight="1">
      <c r="A841" s="26">
        <v>576</v>
      </c>
      <c r="B841" s="27" t="s">
        <v>1271</v>
      </c>
      <c r="C841" s="28">
        <v>41626</v>
      </c>
      <c r="D841" s="27"/>
      <c r="E841" s="27" t="s">
        <v>2589</v>
      </c>
      <c r="F841" s="29" t="s">
        <v>2590</v>
      </c>
      <c r="G841" s="27" t="s">
        <v>1635</v>
      </c>
      <c r="H841" s="27" t="s">
        <v>19</v>
      </c>
      <c r="I841" s="27">
        <v>1</v>
      </c>
      <c r="J841" s="30">
        <v>103971921</v>
      </c>
      <c r="K841" s="26" t="s">
        <v>206</v>
      </c>
      <c r="L841" s="26" t="s">
        <v>2562</v>
      </c>
      <c r="M841" s="31" t="s">
        <v>1041</v>
      </c>
      <c r="N841" s="6"/>
      <c r="O841" s="2"/>
      <c r="P841" s="2"/>
      <c r="Q841" s="2"/>
      <c r="R841" s="2"/>
      <c r="S841" s="2"/>
      <c r="T841" s="2"/>
      <c r="U841" s="2"/>
      <c r="V841" s="2"/>
      <c r="W841" s="2"/>
      <c r="X841" s="2"/>
      <c r="Y841" s="2"/>
    </row>
    <row r="842" spans="1:25" ht="12.75" customHeight="1">
      <c r="A842" s="26">
        <v>577</v>
      </c>
      <c r="B842" s="27" t="s">
        <v>1271</v>
      </c>
      <c r="C842" s="28">
        <v>41626</v>
      </c>
      <c r="D842" s="27"/>
      <c r="E842" s="27" t="s">
        <v>2591</v>
      </c>
      <c r="F842" s="29" t="s">
        <v>2592</v>
      </c>
      <c r="G842" s="27" t="s">
        <v>1635</v>
      </c>
      <c r="H842" s="27" t="s">
        <v>19</v>
      </c>
      <c r="I842" s="27">
        <v>1</v>
      </c>
      <c r="J842" s="30">
        <v>103971921</v>
      </c>
      <c r="K842" s="26" t="s">
        <v>206</v>
      </c>
      <c r="L842" s="26" t="s">
        <v>2562</v>
      </c>
      <c r="M842" s="31" t="s">
        <v>1041</v>
      </c>
      <c r="N842" s="6"/>
      <c r="O842" s="2"/>
      <c r="P842" s="2"/>
      <c r="Q842" s="2"/>
      <c r="R842" s="2"/>
      <c r="S842" s="2"/>
      <c r="T842" s="2"/>
      <c r="U842" s="2"/>
      <c r="V842" s="2"/>
      <c r="W842" s="2"/>
      <c r="X842" s="2"/>
      <c r="Y842" s="2"/>
    </row>
    <row r="843" spans="1:25" ht="12.75" customHeight="1">
      <c r="A843" s="26">
        <v>578</v>
      </c>
      <c r="B843" s="27" t="s">
        <v>1271</v>
      </c>
      <c r="C843" s="28">
        <v>41626</v>
      </c>
      <c r="D843" s="27"/>
      <c r="E843" s="27" t="s">
        <v>2593</v>
      </c>
      <c r="F843" s="29" t="s">
        <v>2594</v>
      </c>
      <c r="G843" s="27" t="s">
        <v>1635</v>
      </c>
      <c r="H843" s="27" t="s">
        <v>19</v>
      </c>
      <c r="I843" s="27">
        <v>1</v>
      </c>
      <c r="J843" s="30">
        <v>103971921</v>
      </c>
      <c r="K843" s="26" t="s">
        <v>206</v>
      </c>
      <c r="L843" s="26" t="s">
        <v>2562</v>
      </c>
      <c r="M843" s="31" t="s">
        <v>2595</v>
      </c>
      <c r="N843" s="6"/>
      <c r="O843" s="2"/>
      <c r="P843" s="2"/>
      <c r="Q843" s="2"/>
      <c r="R843" s="2"/>
      <c r="S843" s="2"/>
      <c r="T843" s="2"/>
      <c r="U843" s="2"/>
      <c r="V843" s="2"/>
      <c r="W843" s="2"/>
      <c r="X843" s="2"/>
      <c r="Y843" s="2"/>
    </row>
    <row r="844" spans="1:25" ht="12.75" customHeight="1">
      <c r="A844" s="26">
        <v>579</v>
      </c>
      <c r="B844" s="27" t="s">
        <v>2041</v>
      </c>
      <c r="C844" s="28">
        <v>42184</v>
      </c>
      <c r="D844" s="27"/>
      <c r="E844" s="27" t="s">
        <v>2596</v>
      </c>
      <c r="F844" s="29" t="s">
        <v>2597</v>
      </c>
      <c r="G844" s="27" t="s">
        <v>55</v>
      </c>
      <c r="H844" s="27" t="s">
        <v>19</v>
      </c>
      <c r="I844" s="27">
        <v>1</v>
      </c>
      <c r="J844" s="30">
        <v>128353668</v>
      </c>
      <c r="K844" s="26" t="s">
        <v>206</v>
      </c>
      <c r="L844" s="26" t="s">
        <v>2562</v>
      </c>
      <c r="M844" s="31" t="s">
        <v>1041</v>
      </c>
      <c r="N844" s="6"/>
      <c r="O844" s="2"/>
      <c r="P844" s="2"/>
      <c r="Q844" s="2"/>
      <c r="R844" s="2"/>
      <c r="S844" s="2"/>
      <c r="T844" s="2"/>
      <c r="U844" s="2"/>
      <c r="V844" s="2"/>
      <c r="W844" s="2"/>
      <c r="X844" s="2"/>
      <c r="Y844" s="2"/>
    </row>
    <row r="845" spans="1:25" ht="12.75" customHeight="1">
      <c r="A845" s="26" t="s">
        <v>2598</v>
      </c>
      <c r="B845" s="27"/>
      <c r="C845" s="28"/>
      <c r="D845" s="27"/>
      <c r="E845" s="27" t="s">
        <v>2599</v>
      </c>
      <c r="F845" s="29" t="s">
        <v>2600</v>
      </c>
      <c r="G845" s="27" t="s">
        <v>55</v>
      </c>
      <c r="H845" s="27" t="s">
        <v>249</v>
      </c>
      <c r="I845" s="27">
        <v>1</v>
      </c>
      <c r="J845" s="30">
        <v>0</v>
      </c>
      <c r="K845" s="26" t="s">
        <v>206</v>
      </c>
      <c r="L845" s="26" t="s">
        <v>2562</v>
      </c>
      <c r="M845" s="31"/>
      <c r="N845" s="6"/>
      <c r="O845" s="2"/>
      <c r="P845" s="2"/>
      <c r="Q845" s="2"/>
      <c r="R845" s="2"/>
      <c r="S845" s="2"/>
      <c r="T845" s="2"/>
      <c r="U845" s="2"/>
      <c r="V845" s="2"/>
      <c r="W845" s="2"/>
      <c r="X845" s="2"/>
      <c r="Y845" s="2"/>
    </row>
    <row r="846" spans="1:25" ht="12.75" customHeight="1">
      <c r="A846" s="26">
        <v>580</v>
      </c>
      <c r="B846" s="27" t="s">
        <v>2041</v>
      </c>
      <c r="C846" s="28">
        <v>42184</v>
      </c>
      <c r="D846" s="27"/>
      <c r="E846" s="27" t="s">
        <v>2601</v>
      </c>
      <c r="F846" s="29" t="s">
        <v>2602</v>
      </c>
      <c r="G846" s="27" t="s">
        <v>55</v>
      </c>
      <c r="H846" s="27" t="s">
        <v>19</v>
      </c>
      <c r="I846" s="27">
        <v>1</v>
      </c>
      <c r="J846" s="30">
        <v>128353668</v>
      </c>
      <c r="K846" s="26" t="s">
        <v>206</v>
      </c>
      <c r="L846" s="26" t="s">
        <v>2562</v>
      </c>
      <c r="M846" s="31" t="s">
        <v>1041</v>
      </c>
      <c r="N846" s="6"/>
      <c r="O846" s="2"/>
      <c r="P846" s="2"/>
      <c r="Q846" s="2"/>
      <c r="R846" s="2"/>
      <c r="S846" s="2"/>
      <c r="T846" s="2"/>
      <c r="U846" s="2"/>
      <c r="V846" s="2"/>
      <c r="W846" s="2"/>
      <c r="X846" s="2"/>
      <c r="Y846" s="2"/>
    </row>
    <row r="847" spans="1:25" ht="12.75" customHeight="1">
      <c r="A847" s="26" t="s">
        <v>2603</v>
      </c>
      <c r="B847" s="27"/>
      <c r="C847" s="28"/>
      <c r="D847" s="27"/>
      <c r="E847" s="27" t="s">
        <v>2604</v>
      </c>
      <c r="F847" s="29" t="s">
        <v>2605</v>
      </c>
      <c r="G847" s="27" t="s">
        <v>55</v>
      </c>
      <c r="H847" s="27" t="s">
        <v>249</v>
      </c>
      <c r="I847" s="27">
        <v>1</v>
      </c>
      <c r="J847" s="30">
        <v>0</v>
      </c>
      <c r="K847" s="26" t="s">
        <v>206</v>
      </c>
      <c r="L847" s="26" t="s">
        <v>2562</v>
      </c>
      <c r="M847" s="31"/>
      <c r="N847" s="6"/>
      <c r="O847" s="2"/>
      <c r="P847" s="2"/>
      <c r="Q847" s="2"/>
      <c r="R847" s="2"/>
      <c r="S847" s="2"/>
      <c r="T847" s="2"/>
      <c r="U847" s="2"/>
      <c r="V847" s="2"/>
      <c r="W847" s="2"/>
      <c r="X847" s="2"/>
      <c r="Y847" s="2"/>
    </row>
    <row r="848" spans="1:25" ht="25.5" customHeight="1">
      <c r="A848" s="26">
        <v>581</v>
      </c>
      <c r="B848" s="27" t="s">
        <v>877</v>
      </c>
      <c r="C848" s="28">
        <v>41981</v>
      </c>
      <c r="D848" s="27"/>
      <c r="E848" s="27" t="s">
        <v>2606</v>
      </c>
      <c r="F848" s="29" t="s">
        <v>2607</v>
      </c>
      <c r="G848" s="27" t="s">
        <v>2608</v>
      </c>
      <c r="H848" s="27" t="s">
        <v>19</v>
      </c>
      <c r="I848" s="27">
        <v>1</v>
      </c>
      <c r="J848" s="30">
        <v>324722690</v>
      </c>
      <c r="K848" s="26" t="s">
        <v>206</v>
      </c>
      <c r="L848" s="26" t="s">
        <v>2562</v>
      </c>
      <c r="M848" s="31" t="s">
        <v>1041</v>
      </c>
      <c r="N848" s="6"/>
      <c r="O848" s="2"/>
      <c r="P848" s="2"/>
      <c r="Q848" s="2"/>
      <c r="R848" s="2"/>
      <c r="S848" s="2"/>
      <c r="T848" s="2"/>
      <c r="U848" s="2"/>
      <c r="V848" s="2"/>
      <c r="W848" s="2"/>
      <c r="X848" s="2"/>
      <c r="Y848" s="2"/>
    </row>
    <row r="849" spans="1:25" ht="25.5" customHeight="1">
      <c r="A849" s="26">
        <v>582</v>
      </c>
      <c r="B849" s="27" t="s">
        <v>877</v>
      </c>
      <c r="C849" s="28">
        <v>41981</v>
      </c>
      <c r="D849" s="27"/>
      <c r="E849" s="27" t="s">
        <v>2609</v>
      </c>
      <c r="F849" s="29" t="s">
        <v>2610</v>
      </c>
      <c r="G849" s="27" t="s">
        <v>1868</v>
      </c>
      <c r="H849" s="27" t="s">
        <v>19</v>
      </c>
      <c r="I849" s="27">
        <v>1</v>
      </c>
      <c r="J849" s="30">
        <v>134699783</v>
      </c>
      <c r="K849" s="26" t="s">
        <v>206</v>
      </c>
      <c r="L849" s="26" t="s">
        <v>2562</v>
      </c>
      <c r="M849" s="31" t="s">
        <v>1041</v>
      </c>
      <c r="N849" s="6"/>
      <c r="O849" s="2"/>
      <c r="P849" s="2"/>
      <c r="Q849" s="2"/>
      <c r="R849" s="2"/>
      <c r="S849" s="2"/>
      <c r="T849" s="2"/>
      <c r="U849" s="2"/>
      <c r="V849" s="2"/>
      <c r="W849" s="2"/>
      <c r="X849" s="2"/>
      <c r="Y849" s="2"/>
    </row>
    <row r="850" spans="1:25" ht="25.5" customHeight="1">
      <c r="A850" s="26">
        <v>583</v>
      </c>
      <c r="B850" s="27" t="s">
        <v>877</v>
      </c>
      <c r="C850" s="28">
        <v>41981</v>
      </c>
      <c r="D850" s="27"/>
      <c r="E850" s="27" t="s">
        <v>2611</v>
      </c>
      <c r="F850" s="29" t="s">
        <v>2612</v>
      </c>
      <c r="G850" s="27" t="s">
        <v>248</v>
      </c>
      <c r="H850" s="27" t="s">
        <v>19</v>
      </c>
      <c r="I850" s="27">
        <v>1</v>
      </c>
      <c r="J850" s="30">
        <v>1038416305</v>
      </c>
      <c r="K850" s="26" t="s">
        <v>206</v>
      </c>
      <c r="L850" s="26" t="s">
        <v>2562</v>
      </c>
      <c r="M850" s="31" t="s">
        <v>2613</v>
      </c>
      <c r="N850" s="6"/>
      <c r="O850" s="2"/>
      <c r="P850" s="2"/>
      <c r="Q850" s="2"/>
      <c r="R850" s="2"/>
      <c r="S850" s="2"/>
      <c r="T850" s="2"/>
      <c r="U850" s="2"/>
      <c r="V850" s="2"/>
      <c r="W850" s="2"/>
      <c r="X850" s="2"/>
      <c r="Y850" s="2"/>
    </row>
    <row r="851" spans="1:25" ht="12.75" customHeight="1">
      <c r="A851" s="26">
        <v>584</v>
      </c>
      <c r="B851" s="27" t="s">
        <v>1763</v>
      </c>
      <c r="C851" s="28">
        <v>42368</v>
      </c>
      <c r="D851" s="27"/>
      <c r="E851" s="27" t="s">
        <v>2614</v>
      </c>
      <c r="F851" s="29" t="s">
        <v>2615</v>
      </c>
      <c r="G851" s="27" t="s">
        <v>1435</v>
      </c>
      <c r="H851" s="27" t="s">
        <v>19</v>
      </c>
      <c r="I851" s="27">
        <v>1</v>
      </c>
      <c r="J851" s="30">
        <v>210308386</v>
      </c>
      <c r="K851" s="26" t="s">
        <v>206</v>
      </c>
      <c r="L851" s="26" t="s">
        <v>2562</v>
      </c>
      <c r="M851" s="31" t="s">
        <v>1041</v>
      </c>
      <c r="N851" s="6"/>
      <c r="O851" s="2"/>
      <c r="P851" s="2"/>
      <c r="Q851" s="2"/>
      <c r="R851" s="2"/>
      <c r="S851" s="2"/>
      <c r="T851" s="2"/>
      <c r="U851" s="2"/>
      <c r="V851" s="2"/>
      <c r="W851" s="2"/>
      <c r="X851" s="2"/>
      <c r="Y851" s="2"/>
    </row>
    <row r="852" spans="1:25" ht="12.75" customHeight="1">
      <c r="A852" s="26">
        <v>585</v>
      </c>
      <c r="B852" s="27" t="s">
        <v>1763</v>
      </c>
      <c r="C852" s="28">
        <v>42368</v>
      </c>
      <c r="D852" s="27"/>
      <c r="E852" s="27" t="s">
        <v>2616</v>
      </c>
      <c r="F852" s="29" t="s">
        <v>2617</v>
      </c>
      <c r="G852" s="27" t="s">
        <v>1435</v>
      </c>
      <c r="H852" s="27" t="s">
        <v>19</v>
      </c>
      <c r="I852" s="27">
        <v>1</v>
      </c>
      <c r="J852" s="30">
        <v>210308386</v>
      </c>
      <c r="K852" s="26" t="s">
        <v>206</v>
      </c>
      <c r="L852" s="26" t="s">
        <v>2562</v>
      </c>
      <c r="M852" s="31" t="s">
        <v>1041</v>
      </c>
      <c r="N852" s="6"/>
      <c r="O852" s="2"/>
      <c r="P852" s="2"/>
      <c r="Q852" s="2"/>
      <c r="R852" s="2"/>
      <c r="S852" s="2"/>
      <c r="T852" s="2"/>
      <c r="U852" s="2"/>
      <c r="V852" s="2"/>
      <c r="W852" s="2"/>
      <c r="X852" s="2"/>
      <c r="Y852" s="2"/>
    </row>
    <row r="853" spans="1:25" ht="12.75" customHeight="1">
      <c r="A853" s="26">
        <v>586</v>
      </c>
      <c r="B853" s="27" t="s">
        <v>1993</v>
      </c>
      <c r="C853" s="28">
        <v>42956</v>
      </c>
      <c r="D853" s="27"/>
      <c r="E853" s="27" t="s">
        <v>2618</v>
      </c>
      <c r="F853" s="29" t="s">
        <v>2619</v>
      </c>
      <c r="G853" s="27" t="s">
        <v>1435</v>
      </c>
      <c r="H853" s="27" t="s">
        <v>19</v>
      </c>
      <c r="I853" s="27">
        <v>1</v>
      </c>
      <c r="J853" s="30">
        <v>189800000</v>
      </c>
      <c r="K853" s="26" t="s">
        <v>206</v>
      </c>
      <c r="L853" s="26" t="s">
        <v>2562</v>
      </c>
      <c r="M853" s="31" t="s">
        <v>1041</v>
      </c>
      <c r="N853" s="6"/>
      <c r="O853" s="2"/>
      <c r="P853" s="2"/>
      <c r="Q853" s="2"/>
      <c r="R853" s="2"/>
      <c r="S853" s="2"/>
      <c r="T853" s="2"/>
      <c r="U853" s="2"/>
      <c r="V853" s="2"/>
      <c r="W853" s="2"/>
      <c r="X853" s="2"/>
      <c r="Y853" s="2"/>
    </row>
    <row r="854" spans="1:25" ht="12.75" customHeight="1">
      <c r="A854" s="26">
        <v>587</v>
      </c>
      <c r="B854" s="27" t="s">
        <v>1143</v>
      </c>
      <c r="C854" s="28">
        <v>43343</v>
      </c>
      <c r="D854" s="27"/>
      <c r="E854" s="27" t="s">
        <v>2620</v>
      </c>
      <c r="F854" s="29" t="s">
        <v>2621</v>
      </c>
      <c r="G854" s="27" t="s">
        <v>1435</v>
      </c>
      <c r="H854" s="27" t="s">
        <v>19</v>
      </c>
      <c r="I854" s="27">
        <v>1</v>
      </c>
      <c r="J854" s="30">
        <v>206950000</v>
      </c>
      <c r="K854" s="59" t="s">
        <v>206</v>
      </c>
      <c r="L854" s="59" t="s">
        <v>2622</v>
      </c>
      <c r="M854" s="79" t="s">
        <v>1041</v>
      </c>
      <c r="N854" s="6"/>
      <c r="O854" s="2"/>
      <c r="P854" s="2"/>
      <c r="Q854" s="2"/>
      <c r="R854" s="2"/>
      <c r="S854" s="2"/>
      <c r="T854" s="2"/>
      <c r="U854" s="2"/>
      <c r="V854" s="2"/>
      <c r="W854" s="2"/>
      <c r="X854" s="2"/>
      <c r="Y854" s="2"/>
    </row>
    <row r="855" spans="1:25" ht="25.5" customHeight="1">
      <c r="A855" s="26">
        <v>588</v>
      </c>
      <c r="B855" s="27" t="s">
        <v>797</v>
      </c>
      <c r="C855" s="28">
        <v>42671</v>
      </c>
      <c r="D855" s="27"/>
      <c r="E855" s="27" t="s">
        <v>2623</v>
      </c>
      <c r="F855" s="29" t="s">
        <v>2624</v>
      </c>
      <c r="G855" s="27" t="s">
        <v>1088</v>
      </c>
      <c r="H855" s="27" t="s">
        <v>157</v>
      </c>
      <c r="I855" s="27">
        <v>1</v>
      </c>
      <c r="J855" s="30">
        <v>115172656</v>
      </c>
      <c r="K855" s="26" t="s">
        <v>206</v>
      </c>
      <c r="L855" s="26" t="s">
        <v>2427</v>
      </c>
      <c r="M855" s="31" t="s">
        <v>2625</v>
      </c>
      <c r="N855" s="6"/>
      <c r="O855" s="2"/>
      <c r="P855" s="2"/>
      <c r="Q855" s="2"/>
      <c r="R855" s="2"/>
      <c r="S855" s="2"/>
      <c r="T855" s="2"/>
      <c r="U855" s="2"/>
      <c r="V855" s="2"/>
      <c r="W855" s="2"/>
      <c r="X855" s="2"/>
      <c r="Y855" s="2"/>
    </row>
    <row r="856" spans="1:25" ht="25.5" customHeight="1">
      <c r="A856" s="26">
        <v>589</v>
      </c>
      <c r="B856" s="27" t="s">
        <v>797</v>
      </c>
      <c r="C856" s="28">
        <v>42671</v>
      </c>
      <c r="D856" s="27"/>
      <c r="E856" s="27" t="s">
        <v>2626</v>
      </c>
      <c r="F856" s="29" t="s">
        <v>2627</v>
      </c>
      <c r="G856" s="27" t="s">
        <v>1088</v>
      </c>
      <c r="H856" s="27" t="s">
        <v>157</v>
      </c>
      <c r="I856" s="27">
        <v>1</v>
      </c>
      <c r="J856" s="30">
        <v>115172656</v>
      </c>
      <c r="K856" s="26" t="s">
        <v>206</v>
      </c>
      <c r="L856" s="26" t="s">
        <v>2427</v>
      </c>
      <c r="M856" s="31" t="s">
        <v>2625</v>
      </c>
      <c r="N856" s="6"/>
      <c r="O856" s="2"/>
      <c r="P856" s="2"/>
      <c r="Q856" s="2"/>
      <c r="R856" s="2"/>
      <c r="S856" s="2"/>
      <c r="T856" s="2"/>
      <c r="U856" s="2"/>
      <c r="V856" s="2"/>
      <c r="W856" s="2"/>
      <c r="X856" s="2"/>
      <c r="Y856" s="2"/>
    </row>
    <row r="857" spans="1:25" ht="25.5" customHeight="1">
      <c r="A857" s="26">
        <v>590</v>
      </c>
      <c r="B857" s="27" t="s">
        <v>797</v>
      </c>
      <c r="C857" s="28">
        <v>42671</v>
      </c>
      <c r="D857" s="27"/>
      <c r="E857" s="27" t="s">
        <v>2628</v>
      </c>
      <c r="F857" s="29" t="s">
        <v>2629</v>
      </c>
      <c r="G857" s="27" t="s">
        <v>1088</v>
      </c>
      <c r="H857" s="27" t="s">
        <v>157</v>
      </c>
      <c r="I857" s="27">
        <v>1</v>
      </c>
      <c r="J857" s="30">
        <v>115172656</v>
      </c>
      <c r="K857" s="26" t="s">
        <v>206</v>
      </c>
      <c r="L857" s="26" t="s">
        <v>2427</v>
      </c>
      <c r="M857" s="31" t="s">
        <v>2630</v>
      </c>
      <c r="N857" s="6"/>
      <c r="O857" s="2"/>
      <c r="P857" s="2"/>
      <c r="Q857" s="2"/>
      <c r="R857" s="2"/>
      <c r="S857" s="2"/>
      <c r="T857" s="2"/>
      <c r="U857" s="2"/>
      <c r="V857" s="2"/>
      <c r="W857" s="2"/>
      <c r="X857" s="2"/>
      <c r="Y857" s="2"/>
    </row>
    <row r="858" spans="1:25" ht="25.5" customHeight="1">
      <c r="A858" s="26">
        <v>591</v>
      </c>
      <c r="B858" s="27" t="s">
        <v>797</v>
      </c>
      <c r="C858" s="28">
        <v>42671</v>
      </c>
      <c r="D858" s="27"/>
      <c r="E858" s="27" t="s">
        <v>2631</v>
      </c>
      <c r="F858" s="29" t="s">
        <v>2632</v>
      </c>
      <c r="G858" s="27" t="s">
        <v>1088</v>
      </c>
      <c r="H858" s="27" t="s">
        <v>157</v>
      </c>
      <c r="I858" s="27">
        <v>1</v>
      </c>
      <c r="J858" s="30">
        <v>115172656</v>
      </c>
      <c r="K858" s="26" t="s">
        <v>206</v>
      </c>
      <c r="L858" s="26" t="s">
        <v>2427</v>
      </c>
      <c r="M858" s="31" t="s">
        <v>2625</v>
      </c>
      <c r="N858" s="6"/>
      <c r="O858" s="2"/>
      <c r="P858" s="2"/>
      <c r="Q858" s="2"/>
      <c r="R858" s="2"/>
      <c r="S858" s="2"/>
      <c r="T858" s="2"/>
      <c r="U858" s="2"/>
      <c r="V858" s="2"/>
      <c r="W858" s="2"/>
      <c r="X858" s="2"/>
      <c r="Y858" s="2"/>
    </row>
    <row r="859" spans="1:25" ht="25.5" customHeight="1">
      <c r="A859" s="26">
        <v>592</v>
      </c>
      <c r="B859" s="27" t="s">
        <v>797</v>
      </c>
      <c r="C859" s="28">
        <v>42671</v>
      </c>
      <c r="D859" s="27"/>
      <c r="E859" s="27" t="s">
        <v>2633</v>
      </c>
      <c r="F859" s="29" t="s">
        <v>2634</v>
      </c>
      <c r="G859" s="27" t="s">
        <v>1088</v>
      </c>
      <c r="H859" s="27" t="s">
        <v>157</v>
      </c>
      <c r="I859" s="27">
        <v>1</v>
      </c>
      <c r="J859" s="30">
        <v>115172656</v>
      </c>
      <c r="K859" s="26" t="s">
        <v>206</v>
      </c>
      <c r="L859" s="26" t="s">
        <v>2427</v>
      </c>
      <c r="M859" s="31" t="s">
        <v>2625</v>
      </c>
      <c r="N859" s="6"/>
      <c r="O859" s="2"/>
      <c r="P859" s="2"/>
      <c r="Q859" s="2"/>
      <c r="R859" s="2"/>
      <c r="S859" s="2"/>
      <c r="T859" s="2"/>
      <c r="U859" s="2"/>
      <c r="V859" s="2"/>
      <c r="W859" s="2"/>
      <c r="X859" s="2"/>
      <c r="Y859" s="2"/>
    </row>
    <row r="860" spans="1:25" ht="25.5" customHeight="1">
      <c r="A860" s="26">
        <v>593</v>
      </c>
      <c r="B860" s="27" t="s">
        <v>797</v>
      </c>
      <c r="C860" s="28">
        <v>42671</v>
      </c>
      <c r="D860" s="27"/>
      <c r="E860" s="27" t="s">
        <v>2635</v>
      </c>
      <c r="F860" s="29" t="s">
        <v>2636</v>
      </c>
      <c r="G860" s="27" t="s">
        <v>1088</v>
      </c>
      <c r="H860" s="27" t="s">
        <v>157</v>
      </c>
      <c r="I860" s="27">
        <v>1</v>
      </c>
      <c r="J860" s="30">
        <v>115172656</v>
      </c>
      <c r="K860" s="26" t="s">
        <v>206</v>
      </c>
      <c r="L860" s="26" t="s">
        <v>2427</v>
      </c>
      <c r="M860" s="31" t="s">
        <v>2625</v>
      </c>
      <c r="N860" s="6"/>
      <c r="O860" s="2"/>
      <c r="P860" s="2"/>
      <c r="Q860" s="2"/>
      <c r="R860" s="2"/>
      <c r="S860" s="2"/>
      <c r="T860" s="2"/>
      <c r="U860" s="2"/>
      <c r="V860" s="2"/>
      <c r="W860" s="2"/>
      <c r="X860" s="2"/>
      <c r="Y860" s="2"/>
    </row>
    <row r="861" spans="1:25" ht="25.5" customHeight="1">
      <c r="A861" s="26">
        <v>594</v>
      </c>
      <c r="B861" s="27" t="s">
        <v>797</v>
      </c>
      <c r="C861" s="28">
        <v>42671</v>
      </c>
      <c r="D861" s="27"/>
      <c r="E861" s="27" t="s">
        <v>2637</v>
      </c>
      <c r="F861" s="29" t="s">
        <v>2638</v>
      </c>
      <c r="G861" s="27" t="s">
        <v>1088</v>
      </c>
      <c r="H861" s="27" t="s">
        <v>157</v>
      </c>
      <c r="I861" s="27">
        <v>1</v>
      </c>
      <c r="J861" s="30">
        <v>115172656</v>
      </c>
      <c r="K861" s="26" t="s">
        <v>206</v>
      </c>
      <c r="L861" s="26" t="s">
        <v>2427</v>
      </c>
      <c r="M861" s="31" t="s">
        <v>2625</v>
      </c>
      <c r="N861" s="6"/>
      <c r="O861" s="2"/>
      <c r="P861" s="2"/>
      <c r="Q861" s="2"/>
      <c r="R861" s="2"/>
      <c r="S861" s="2"/>
      <c r="T861" s="2"/>
      <c r="U861" s="2"/>
      <c r="V861" s="2"/>
      <c r="W861" s="2"/>
      <c r="X861" s="2"/>
      <c r="Y861" s="2"/>
    </row>
    <row r="862" spans="1:25" ht="25.5" customHeight="1">
      <c r="A862" s="26">
        <v>595</v>
      </c>
      <c r="B862" s="27" t="s">
        <v>797</v>
      </c>
      <c r="C862" s="28">
        <v>42671</v>
      </c>
      <c r="D862" s="27"/>
      <c r="E862" s="27" t="s">
        <v>2639</v>
      </c>
      <c r="F862" s="29" t="s">
        <v>2640</v>
      </c>
      <c r="G862" s="27" t="s">
        <v>1088</v>
      </c>
      <c r="H862" s="27" t="s">
        <v>157</v>
      </c>
      <c r="I862" s="27">
        <v>1</v>
      </c>
      <c r="J862" s="30">
        <v>115172656</v>
      </c>
      <c r="K862" s="26" t="s">
        <v>206</v>
      </c>
      <c r="L862" s="26" t="s">
        <v>2427</v>
      </c>
      <c r="M862" s="31" t="s">
        <v>2625</v>
      </c>
      <c r="N862" s="6"/>
      <c r="O862" s="2"/>
      <c r="P862" s="2"/>
      <c r="Q862" s="2"/>
      <c r="R862" s="2"/>
      <c r="S862" s="2"/>
      <c r="T862" s="2"/>
      <c r="U862" s="2"/>
      <c r="V862" s="2"/>
      <c r="W862" s="2"/>
      <c r="X862" s="2"/>
      <c r="Y862" s="2"/>
    </row>
    <row r="863" spans="1:25" ht="25.5" customHeight="1">
      <c r="A863" s="26">
        <v>596</v>
      </c>
      <c r="B863" s="27" t="s">
        <v>797</v>
      </c>
      <c r="C863" s="28">
        <v>42671</v>
      </c>
      <c r="D863" s="27"/>
      <c r="E863" s="27" t="s">
        <v>2641</v>
      </c>
      <c r="F863" s="29" t="s">
        <v>2642</v>
      </c>
      <c r="G863" s="27" t="s">
        <v>1088</v>
      </c>
      <c r="H863" s="27" t="s">
        <v>157</v>
      </c>
      <c r="I863" s="27">
        <v>1</v>
      </c>
      <c r="J863" s="30">
        <v>115172656</v>
      </c>
      <c r="K863" s="26" t="s">
        <v>206</v>
      </c>
      <c r="L863" s="26" t="s">
        <v>2427</v>
      </c>
      <c r="M863" s="31" t="s">
        <v>2625</v>
      </c>
      <c r="N863" s="6"/>
      <c r="O863" s="2"/>
      <c r="P863" s="2"/>
      <c r="Q863" s="2"/>
      <c r="R863" s="2"/>
      <c r="S863" s="2"/>
      <c r="T863" s="2"/>
      <c r="U863" s="2"/>
      <c r="V863" s="2"/>
      <c r="W863" s="2"/>
      <c r="X863" s="2"/>
      <c r="Y863" s="2"/>
    </row>
    <row r="864" spans="1:25" ht="25.5" customHeight="1">
      <c r="A864" s="26">
        <v>597</v>
      </c>
      <c r="B864" s="27" t="s">
        <v>797</v>
      </c>
      <c r="C864" s="28">
        <v>42671</v>
      </c>
      <c r="D864" s="27"/>
      <c r="E864" s="27" t="s">
        <v>2643</v>
      </c>
      <c r="F864" s="29" t="s">
        <v>2644</v>
      </c>
      <c r="G864" s="27" t="s">
        <v>1088</v>
      </c>
      <c r="H864" s="27" t="s">
        <v>157</v>
      </c>
      <c r="I864" s="27">
        <v>1</v>
      </c>
      <c r="J864" s="30">
        <v>115172656</v>
      </c>
      <c r="K864" s="26" t="s">
        <v>206</v>
      </c>
      <c r="L864" s="26" t="s">
        <v>2427</v>
      </c>
      <c r="M864" s="31" t="s">
        <v>2625</v>
      </c>
      <c r="N864" s="6"/>
      <c r="O864" s="2"/>
      <c r="P864" s="2"/>
      <c r="Q864" s="2"/>
      <c r="R864" s="2"/>
      <c r="S864" s="2"/>
      <c r="T864" s="2"/>
      <c r="U864" s="2"/>
      <c r="V864" s="2"/>
      <c r="W864" s="2"/>
      <c r="X864" s="2"/>
      <c r="Y864" s="2"/>
    </row>
    <row r="865" spans="1:25" ht="25.5" customHeight="1">
      <c r="A865" s="26">
        <v>598</v>
      </c>
      <c r="B865" s="27" t="s">
        <v>797</v>
      </c>
      <c r="C865" s="28">
        <v>42671</v>
      </c>
      <c r="D865" s="27"/>
      <c r="E865" s="27" t="s">
        <v>2645</v>
      </c>
      <c r="F865" s="29" t="s">
        <v>2646</v>
      </c>
      <c r="G865" s="27" t="s">
        <v>1088</v>
      </c>
      <c r="H865" s="27" t="s">
        <v>157</v>
      </c>
      <c r="I865" s="27">
        <v>1</v>
      </c>
      <c r="J865" s="30">
        <v>115172656</v>
      </c>
      <c r="K865" s="26" t="s">
        <v>206</v>
      </c>
      <c r="L865" s="26" t="s">
        <v>2427</v>
      </c>
      <c r="M865" s="31" t="s">
        <v>2625</v>
      </c>
      <c r="N865" s="6"/>
      <c r="O865" s="2"/>
      <c r="P865" s="2"/>
      <c r="Q865" s="2"/>
      <c r="R865" s="2"/>
      <c r="S865" s="2"/>
      <c r="T865" s="2"/>
      <c r="U865" s="2"/>
      <c r="V865" s="2"/>
      <c r="W865" s="2"/>
      <c r="X865" s="2"/>
      <c r="Y865" s="2"/>
    </row>
    <row r="866" spans="1:25" ht="25.5" customHeight="1">
      <c r="A866" s="26">
        <v>599</v>
      </c>
      <c r="B866" s="27" t="s">
        <v>797</v>
      </c>
      <c r="C866" s="28">
        <v>42671</v>
      </c>
      <c r="D866" s="27"/>
      <c r="E866" s="27" t="s">
        <v>2647</v>
      </c>
      <c r="F866" s="29" t="s">
        <v>2648</v>
      </c>
      <c r="G866" s="27" t="s">
        <v>1088</v>
      </c>
      <c r="H866" s="27" t="s">
        <v>157</v>
      </c>
      <c r="I866" s="27">
        <v>1</v>
      </c>
      <c r="J866" s="30">
        <v>115172656</v>
      </c>
      <c r="K866" s="26" t="s">
        <v>206</v>
      </c>
      <c r="L866" s="26" t="s">
        <v>2427</v>
      </c>
      <c r="M866" s="31" t="s">
        <v>2625</v>
      </c>
      <c r="N866" s="6"/>
      <c r="O866" s="2"/>
      <c r="P866" s="2"/>
      <c r="Q866" s="2"/>
      <c r="R866" s="2"/>
      <c r="S866" s="2"/>
      <c r="T866" s="2"/>
      <c r="U866" s="2"/>
      <c r="V866" s="2"/>
      <c r="W866" s="2"/>
      <c r="X866" s="2"/>
      <c r="Y866" s="2"/>
    </row>
    <row r="867" spans="1:25" ht="25.5" customHeight="1">
      <c r="A867" s="26">
        <v>600</v>
      </c>
      <c r="B867" s="27" t="s">
        <v>797</v>
      </c>
      <c r="C867" s="28">
        <v>42671</v>
      </c>
      <c r="D867" s="27"/>
      <c r="E867" s="27" t="s">
        <v>2649</v>
      </c>
      <c r="F867" s="29" t="s">
        <v>2650</v>
      </c>
      <c r="G867" s="27" t="s">
        <v>1088</v>
      </c>
      <c r="H867" s="27" t="s">
        <v>157</v>
      </c>
      <c r="I867" s="27">
        <v>1</v>
      </c>
      <c r="J867" s="30">
        <v>465626595</v>
      </c>
      <c r="K867" s="26" t="s">
        <v>206</v>
      </c>
      <c r="L867" s="26" t="s">
        <v>2427</v>
      </c>
      <c r="M867" s="31" t="s">
        <v>2651</v>
      </c>
      <c r="N867" s="6"/>
      <c r="O867" s="2"/>
      <c r="P867" s="2"/>
      <c r="Q867" s="2"/>
      <c r="R867" s="2"/>
      <c r="S867" s="2"/>
      <c r="T867" s="2"/>
      <c r="U867" s="2"/>
      <c r="V867" s="2"/>
      <c r="W867" s="2"/>
      <c r="X867" s="2"/>
      <c r="Y867" s="2"/>
    </row>
    <row r="868" spans="1:25" ht="25.5" customHeight="1">
      <c r="A868" s="26">
        <v>601</v>
      </c>
      <c r="B868" s="27" t="s">
        <v>797</v>
      </c>
      <c r="C868" s="28">
        <v>42671</v>
      </c>
      <c r="D868" s="27"/>
      <c r="E868" s="27" t="s">
        <v>2652</v>
      </c>
      <c r="F868" s="29" t="s">
        <v>2653</v>
      </c>
      <c r="G868" s="27" t="s">
        <v>1088</v>
      </c>
      <c r="H868" s="27" t="s">
        <v>157</v>
      </c>
      <c r="I868" s="27">
        <v>1</v>
      </c>
      <c r="J868" s="30">
        <v>367612315</v>
      </c>
      <c r="K868" s="26" t="s">
        <v>206</v>
      </c>
      <c r="L868" s="45" t="s">
        <v>2427</v>
      </c>
      <c r="M868" s="46" t="s">
        <v>2654</v>
      </c>
      <c r="N868" s="6"/>
      <c r="O868" s="2"/>
      <c r="P868" s="2"/>
      <c r="Q868" s="2"/>
      <c r="R868" s="2"/>
      <c r="S868" s="2"/>
      <c r="T868" s="2"/>
      <c r="U868" s="2"/>
      <c r="V868" s="2"/>
      <c r="W868" s="2"/>
      <c r="X868" s="2"/>
      <c r="Y868" s="2"/>
    </row>
    <row r="869" spans="1:25" ht="25.5" customHeight="1">
      <c r="A869" s="26">
        <v>602</v>
      </c>
      <c r="B869" s="27" t="s">
        <v>797</v>
      </c>
      <c r="C869" s="28">
        <v>42671</v>
      </c>
      <c r="D869" s="27"/>
      <c r="E869" s="27" t="s">
        <v>2655</v>
      </c>
      <c r="F869" s="29" t="s">
        <v>2656</v>
      </c>
      <c r="G869" s="27" t="s">
        <v>1088</v>
      </c>
      <c r="H869" s="27" t="s">
        <v>157</v>
      </c>
      <c r="I869" s="27">
        <v>1</v>
      </c>
      <c r="J869" s="30">
        <v>367612315</v>
      </c>
      <c r="K869" s="26" t="s">
        <v>206</v>
      </c>
      <c r="L869" s="26" t="s">
        <v>2427</v>
      </c>
      <c r="M869" s="31" t="s">
        <v>2651</v>
      </c>
      <c r="N869" s="6"/>
      <c r="O869" s="2"/>
      <c r="P869" s="2"/>
      <c r="Q869" s="2"/>
      <c r="R869" s="2"/>
      <c r="S869" s="2"/>
      <c r="T869" s="2"/>
      <c r="U869" s="2"/>
      <c r="V869" s="2"/>
      <c r="W869" s="2"/>
      <c r="X869" s="2"/>
      <c r="Y869" s="2"/>
    </row>
    <row r="870" spans="1:25" ht="38.25" customHeight="1">
      <c r="A870" s="26">
        <v>603</v>
      </c>
      <c r="B870" s="27" t="s">
        <v>797</v>
      </c>
      <c r="C870" s="28">
        <v>42671</v>
      </c>
      <c r="D870" s="27"/>
      <c r="E870" s="27" t="s">
        <v>2657</v>
      </c>
      <c r="F870" s="29" t="s">
        <v>2658</v>
      </c>
      <c r="G870" s="27" t="s">
        <v>338</v>
      </c>
      <c r="H870" s="27" t="s">
        <v>157</v>
      </c>
      <c r="I870" s="27">
        <v>1</v>
      </c>
      <c r="J870" s="30">
        <v>436245817</v>
      </c>
      <c r="K870" s="26" t="s">
        <v>206</v>
      </c>
      <c r="L870" s="26" t="s">
        <v>2427</v>
      </c>
      <c r="M870" s="31" t="s">
        <v>2659</v>
      </c>
      <c r="N870" s="6"/>
      <c r="O870" s="2"/>
      <c r="P870" s="2"/>
      <c r="Q870" s="2"/>
      <c r="R870" s="2"/>
      <c r="S870" s="2"/>
      <c r="T870" s="2"/>
      <c r="U870" s="2"/>
      <c r="V870" s="2"/>
      <c r="W870" s="2"/>
      <c r="X870" s="2"/>
      <c r="Y870" s="2"/>
    </row>
    <row r="871" spans="1:25" ht="38.25" customHeight="1">
      <c r="A871" s="26">
        <v>604</v>
      </c>
      <c r="B871" s="27" t="s">
        <v>797</v>
      </c>
      <c r="C871" s="28">
        <v>42671</v>
      </c>
      <c r="D871" s="27"/>
      <c r="E871" s="27" t="s">
        <v>2660</v>
      </c>
      <c r="F871" s="29" t="s">
        <v>2661</v>
      </c>
      <c r="G871" s="27" t="s">
        <v>338</v>
      </c>
      <c r="H871" s="27" t="s">
        <v>157</v>
      </c>
      <c r="I871" s="27">
        <v>1</v>
      </c>
      <c r="J871" s="30">
        <v>436245817</v>
      </c>
      <c r="K871" s="26" t="s">
        <v>206</v>
      </c>
      <c r="L871" s="26" t="s">
        <v>2427</v>
      </c>
      <c r="M871" s="31" t="s">
        <v>2662</v>
      </c>
      <c r="N871" s="6"/>
      <c r="O871" s="2"/>
      <c r="P871" s="2"/>
      <c r="Q871" s="2"/>
      <c r="R871" s="2"/>
      <c r="S871" s="2"/>
      <c r="T871" s="2"/>
      <c r="U871" s="2"/>
      <c r="V871" s="2"/>
      <c r="W871" s="2"/>
      <c r="X871" s="2"/>
      <c r="Y871" s="2"/>
    </row>
    <row r="872" spans="1:25" ht="38.25" customHeight="1">
      <c r="A872" s="26">
        <v>605</v>
      </c>
      <c r="B872" s="27" t="s">
        <v>797</v>
      </c>
      <c r="C872" s="28">
        <v>42671</v>
      </c>
      <c r="D872" s="27"/>
      <c r="E872" s="27" t="s">
        <v>2663</v>
      </c>
      <c r="F872" s="29" t="s">
        <v>2664</v>
      </c>
      <c r="G872" s="27" t="s">
        <v>338</v>
      </c>
      <c r="H872" s="27" t="s">
        <v>157</v>
      </c>
      <c r="I872" s="27">
        <v>1</v>
      </c>
      <c r="J872" s="30">
        <v>436245817</v>
      </c>
      <c r="K872" s="26" t="s">
        <v>206</v>
      </c>
      <c r="L872" s="26" t="s">
        <v>2427</v>
      </c>
      <c r="M872" s="31" t="s">
        <v>2662</v>
      </c>
      <c r="N872" s="6"/>
      <c r="O872" s="2"/>
      <c r="P872" s="2"/>
      <c r="Q872" s="2"/>
      <c r="R872" s="2"/>
      <c r="S872" s="2"/>
      <c r="T872" s="2"/>
      <c r="U872" s="2"/>
      <c r="V872" s="2"/>
      <c r="W872" s="2"/>
      <c r="X872" s="2"/>
      <c r="Y872" s="2"/>
    </row>
    <row r="873" spans="1:25" ht="25.5" customHeight="1">
      <c r="A873" s="26">
        <v>606</v>
      </c>
      <c r="B873" s="27" t="s">
        <v>797</v>
      </c>
      <c r="C873" s="28">
        <v>42671</v>
      </c>
      <c r="D873" s="27"/>
      <c r="E873" s="27" t="s">
        <v>2665</v>
      </c>
      <c r="F873" s="29" t="s">
        <v>2666</v>
      </c>
      <c r="G873" s="27" t="s">
        <v>55</v>
      </c>
      <c r="H873" s="27" t="s">
        <v>249</v>
      </c>
      <c r="I873" s="27">
        <v>1</v>
      </c>
      <c r="J873" s="30">
        <v>179399041</v>
      </c>
      <c r="K873" s="26" t="s">
        <v>206</v>
      </c>
      <c r="L873" s="45" t="s">
        <v>2427</v>
      </c>
      <c r="M873" s="46" t="s">
        <v>2667</v>
      </c>
      <c r="N873" s="6"/>
      <c r="O873" s="2"/>
      <c r="P873" s="2"/>
      <c r="Q873" s="2"/>
      <c r="R873" s="2"/>
      <c r="S873" s="2"/>
      <c r="T873" s="2"/>
      <c r="U873" s="2"/>
      <c r="V873" s="2"/>
      <c r="W873" s="2"/>
      <c r="X873" s="2"/>
      <c r="Y873" s="2"/>
    </row>
    <row r="874" spans="1:25" ht="25.5" customHeight="1">
      <c r="A874" s="26">
        <v>607</v>
      </c>
      <c r="B874" s="27" t="s">
        <v>797</v>
      </c>
      <c r="C874" s="28">
        <v>42671</v>
      </c>
      <c r="D874" s="27"/>
      <c r="E874" s="27" t="s">
        <v>2668</v>
      </c>
      <c r="F874" s="29" t="s">
        <v>2669</v>
      </c>
      <c r="G874" s="27" t="s">
        <v>55</v>
      </c>
      <c r="H874" s="27" t="s">
        <v>249</v>
      </c>
      <c r="I874" s="27">
        <v>1</v>
      </c>
      <c r="J874" s="30">
        <v>179399042</v>
      </c>
      <c r="K874" s="26" t="s">
        <v>206</v>
      </c>
      <c r="L874" s="26" t="s">
        <v>2427</v>
      </c>
      <c r="M874" s="31" t="s">
        <v>2651</v>
      </c>
      <c r="N874" s="6"/>
      <c r="O874" s="2"/>
      <c r="P874" s="2"/>
      <c r="Q874" s="2"/>
      <c r="R874" s="2"/>
      <c r="S874" s="2"/>
      <c r="T874" s="2"/>
      <c r="U874" s="2"/>
      <c r="V874" s="2"/>
      <c r="W874" s="2"/>
      <c r="X874" s="2"/>
      <c r="Y874" s="2"/>
    </row>
    <row r="875" spans="1:25" ht="25.5" customHeight="1">
      <c r="A875" s="26">
        <v>608</v>
      </c>
      <c r="B875" s="27" t="s">
        <v>797</v>
      </c>
      <c r="C875" s="28">
        <v>42671</v>
      </c>
      <c r="D875" s="27"/>
      <c r="E875" s="27" t="s">
        <v>2670</v>
      </c>
      <c r="F875" s="29" t="s">
        <v>2671</v>
      </c>
      <c r="G875" s="27" t="s">
        <v>55</v>
      </c>
      <c r="H875" s="27" t="s">
        <v>249</v>
      </c>
      <c r="I875" s="27">
        <v>1</v>
      </c>
      <c r="J875" s="30">
        <v>179399042</v>
      </c>
      <c r="K875" s="26" t="s">
        <v>206</v>
      </c>
      <c r="L875" s="45" t="s">
        <v>2427</v>
      </c>
      <c r="M875" s="46" t="s">
        <v>2672</v>
      </c>
      <c r="N875" s="6"/>
      <c r="O875" s="2"/>
      <c r="P875" s="2"/>
      <c r="Q875" s="2"/>
      <c r="R875" s="2"/>
      <c r="S875" s="2"/>
      <c r="T875" s="2"/>
      <c r="U875" s="2"/>
      <c r="V875" s="2"/>
      <c r="W875" s="2"/>
      <c r="X875" s="2"/>
      <c r="Y875" s="2"/>
    </row>
    <row r="876" spans="1:25" ht="25.5" customHeight="1">
      <c r="A876" s="26">
        <v>609</v>
      </c>
      <c r="B876" s="27" t="s">
        <v>797</v>
      </c>
      <c r="C876" s="28">
        <v>42671</v>
      </c>
      <c r="D876" s="27"/>
      <c r="E876" s="27" t="s">
        <v>2673</v>
      </c>
      <c r="F876" s="29" t="s">
        <v>2674</v>
      </c>
      <c r="G876" s="27" t="s">
        <v>55</v>
      </c>
      <c r="H876" s="27" t="s">
        <v>249</v>
      </c>
      <c r="I876" s="27">
        <v>1</v>
      </c>
      <c r="J876" s="30">
        <v>179399042</v>
      </c>
      <c r="K876" s="26" t="s">
        <v>206</v>
      </c>
      <c r="L876" s="26" t="s">
        <v>2427</v>
      </c>
      <c r="M876" s="31" t="s">
        <v>2675</v>
      </c>
      <c r="N876" s="6"/>
      <c r="O876" s="2"/>
      <c r="P876" s="2"/>
      <c r="Q876" s="2"/>
      <c r="R876" s="2"/>
      <c r="S876" s="2"/>
      <c r="T876" s="2"/>
      <c r="U876" s="2"/>
      <c r="V876" s="2"/>
      <c r="W876" s="2"/>
      <c r="X876" s="2"/>
      <c r="Y876" s="2"/>
    </row>
    <row r="877" spans="1:25" ht="25.5" customHeight="1">
      <c r="A877" s="26">
        <v>610</v>
      </c>
      <c r="B877" s="27" t="s">
        <v>797</v>
      </c>
      <c r="C877" s="28">
        <v>42671</v>
      </c>
      <c r="D877" s="27"/>
      <c r="E877" s="27" t="s">
        <v>2676</v>
      </c>
      <c r="F877" s="29" t="s">
        <v>2677</v>
      </c>
      <c r="G877" s="27" t="s">
        <v>55</v>
      </c>
      <c r="H877" s="27" t="s">
        <v>249</v>
      </c>
      <c r="I877" s="27">
        <v>1</v>
      </c>
      <c r="J877" s="30">
        <v>179399044</v>
      </c>
      <c r="K877" s="26" t="s">
        <v>206</v>
      </c>
      <c r="L877" s="26" t="s">
        <v>2427</v>
      </c>
      <c r="M877" s="31" t="s">
        <v>2675</v>
      </c>
      <c r="N877" s="6"/>
      <c r="O877" s="2"/>
      <c r="P877" s="2"/>
      <c r="Q877" s="2"/>
      <c r="R877" s="2"/>
      <c r="S877" s="2"/>
      <c r="T877" s="2"/>
      <c r="U877" s="2"/>
      <c r="V877" s="2"/>
      <c r="W877" s="2"/>
      <c r="X877" s="2"/>
      <c r="Y877" s="2"/>
    </row>
    <row r="878" spans="1:25" ht="12.75" customHeight="1">
      <c r="A878" s="26">
        <v>611</v>
      </c>
      <c r="B878" s="27" t="s">
        <v>2678</v>
      </c>
      <c r="C878" s="28">
        <v>43434</v>
      </c>
      <c r="D878" s="27"/>
      <c r="E878" s="27" t="s">
        <v>2679</v>
      </c>
      <c r="F878" s="29" t="s">
        <v>2680</v>
      </c>
      <c r="G878" s="27" t="s">
        <v>1868</v>
      </c>
      <c r="H878" s="27" t="s">
        <v>19</v>
      </c>
      <c r="I878" s="27">
        <v>1</v>
      </c>
      <c r="J878" s="30">
        <v>366000000</v>
      </c>
      <c r="K878" s="26" t="s">
        <v>206</v>
      </c>
      <c r="L878" s="26" t="s">
        <v>2562</v>
      </c>
      <c r="M878" s="31" t="s">
        <v>1041</v>
      </c>
      <c r="N878" s="6"/>
      <c r="O878" s="2"/>
      <c r="P878" s="2"/>
      <c r="Q878" s="2"/>
      <c r="R878" s="2"/>
      <c r="S878" s="2"/>
      <c r="T878" s="2"/>
      <c r="U878" s="2"/>
      <c r="V878" s="2"/>
      <c r="W878" s="2"/>
      <c r="X878" s="2"/>
      <c r="Y878" s="2"/>
    </row>
    <row r="879" spans="1:25" ht="12.75" customHeight="1">
      <c r="A879" s="26">
        <v>612</v>
      </c>
      <c r="B879" s="27" t="s">
        <v>2681</v>
      </c>
      <c r="C879" s="28">
        <v>35430</v>
      </c>
      <c r="D879" s="27" t="s">
        <v>2682</v>
      </c>
      <c r="E879" s="27" t="s">
        <v>2683</v>
      </c>
      <c r="F879" s="29" t="s">
        <v>2684</v>
      </c>
      <c r="G879" s="27"/>
      <c r="H879" s="27" t="s">
        <v>2685</v>
      </c>
      <c r="I879" s="27">
        <v>1</v>
      </c>
      <c r="J879" s="30">
        <v>133770332</v>
      </c>
      <c r="K879" s="26" t="s">
        <v>20</v>
      </c>
      <c r="L879" s="36" t="s">
        <v>229</v>
      </c>
      <c r="M879" s="31" t="s">
        <v>5048</v>
      </c>
      <c r="N879" s="6"/>
      <c r="O879" s="2"/>
      <c r="P879" s="2"/>
      <c r="Q879" s="2"/>
      <c r="R879" s="2"/>
      <c r="S879" s="2"/>
      <c r="T879" s="2"/>
      <c r="U879" s="2"/>
      <c r="V879" s="2"/>
      <c r="W879" s="2"/>
      <c r="X879" s="2"/>
      <c r="Y879" s="2"/>
    </row>
    <row r="880" spans="1:25" ht="12.75" customHeight="1">
      <c r="A880" s="26" t="s">
        <v>2686</v>
      </c>
      <c r="B880" s="27"/>
      <c r="C880" s="28"/>
      <c r="D880" s="27"/>
      <c r="E880" s="27" t="s">
        <v>2687</v>
      </c>
      <c r="F880" s="29" t="s">
        <v>2688</v>
      </c>
      <c r="G880" s="27"/>
      <c r="H880" s="27"/>
      <c r="I880" s="27">
        <v>1</v>
      </c>
      <c r="J880" s="30"/>
      <c r="K880" s="26" t="s">
        <v>20</v>
      </c>
      <c r="L880" s="36" t="s">
        <v>229</v>
      </c>
      <c r="M880" s="31" t="s">
        <v>5048</v>
      </c>
      <c r="N880" s="6"/>
      <c r="O880" s="2"/>
      <c r="P880" s="2"/>
      <c r="Q880" s="2"/>
      <c r="R880" s="2"/>
      <c r="S880" s="2"/>
      <c r="T880" s="2"/>
      <c r="U880" s="2"/>
      <c r="V880" s="2"/>
      <c r="W880" s="2"/>
      <c r="X880" s="2"/>
      <c r="Y880" s="2"/>
    </row>
    <row r="881" spans="1:25" ht="12.75" customHeight="1">
      <c r="A881" s="26" t="s">
        <v>2689</v>
      </c>
      <c r="B881" s="27"/>
      <c r="C881" s="28"/>
      <c r="D881" s="27"/>
      <c r="E881" s="27" t="s">
        <v>2690</v>
      </c>
      <c r="F881" s="29" t="s">
        <v>2691</v>
      </c>
      <c r="G881" s="27"/>
      <c r="H881" s="27"/>
      <c r="I881" s="27">
        <v>1</v>
      </c>
      <c r="J881" s="30"/>
      <c r="K881" s="26" t="s">
        <v>20</v>
      </c>
      <c r="L881" s="36" t="s">
        <v>229</v>
      </c>
      <c r="M881" s="31" t="s">
        <v>5048</v>
      </c>
      <c r="N881" s="6"/>
      <c r="O881" s="2"/>
      <c r="P881" s="2"/>
      <c r="Q881" s="2"/>
      <c r="R881" s="2"/>
      <c r="S881" s="2"/>
      <c r="T881" s="2"/>
      <c r="U881" s="2"/>
      <c r="V881" s="2"/>
      <c r="W881" s="2"/>
      <c r="X881" s="2"/>
      <c r="Y881" s="2"/>
    </row>
    <row r="882" spans="1:25" ht="12.75" customHeight="1">
      <c r="A882" s="26" t="s">
        <v>2692</v>
      </c>
      <c r="B882" s="27"/>
      <c r="C882" s="28"/>
      <c r="D882" s="27"/>
      <c r="E882" s="27" t="s">
        <v>2693</v>
      </c>
      <c r="F882" s="29" t="s">
        <v>2694</v>
      </c>
      <c r="G882" s="27"/>
      <c r="H882" s="27"/>
      <c r="I882" s="27">
        <v>1</v>
      </c>
      <c r="J882" s="30"/>
      <c r="K882" s="26" t="s">
        <v>20</v>
      </c>
      <c r="L882" s="36" t="s">
        <v>229</v>
      </c>
      <c r="M882" s="31" t="s">
        <v>5048</v>
      </c>
      <c r="N882" s="6"/>
      <c r="O882" s="2"/>
      <c r="P882" s="2"/>
      <c r="Q882" s="2"/>
      <c r="R882" s="2"/>
      <c r="S882" s="2"/>
      <c r="T882" s="2"/>
      <c r="U882" s="2"/>
      <c r="V882" s="2"/>
      <c r="W882" s="2"/>
      <c r="X882" s="2"/>
      <c r="Y882" s="2"/>
    </row>
    <row r="883" spans="1:25" ht="12.75" customHeight="1">
      <c r="A883" s="26" t="s">
        <v>2695</v>
      </c>
      <c r="B883" s="27"/>
      <c r="C883" s="28"/>
      <c r="D883" s="27"/>
      <c r="E883" s="27" t="s">
        <v>2696</v>
      </c>
      <c r="F883" s="29" t="s">
        <v>2697</v>
      </c>
      <c r="G883" s="27"/>
      <c r="H883" s="27"/>
      <c r="I883" s="27">
        <v>1</v>
      </c>
      <c r="J883" s="30"/>
      <c r="K883" s="26" t="s">
        <v>20</v>
      </c>
      <c r="L883" s="36" t="s">
        <v>229</v>
      </c>
      <c r="M883" s="31" t="s">
        <v>5048</v>
      </c>
      <c r="N883" s="6"/>
      <c r="O883" s="2"/>
      <c r="P883" s="2"/>
      <c r="Q883" s="2"/>
      <c r="R883" s="2"/>
      <c r="S883" s="2"/>
      <c r="T883" s="2"/>
      <c r="U883" s="2"/>
      <c r="V883" s="2"/>
      <c r="W883" s="2"/>
      <c r="X883" s="2"/>
      <c r="Y883" s="2"/>
    </row>
    <row r="884" spans="1:25" ht="12.75" customHeight="1">
      <c r="A884" s="26" t="s">
        <v>2698</v>
      </c>
      <c r="B884" s="27"/>
      <c r="C884" s="28"/>
      <c r="D884" s="27"/>
      <c r="E884" s="27" t="s">
        <v>2699</v>
      </c>
      <c r="F884" s="29" t="s">
        <v>2700</v>
      </c>
      <c r="G884" s="27"/>
      <c r="H884" s="27"/>
      <c r="I884" s="27">
        <v>1</v>
      </c>
      <c r="J884" s="30"/>
      <c r="K884" s="26" t="s">
        <v>20</v>
      </c>
      <c r="L884" s="36" t="s">
        <v>229</v>
      </c>
      <c r="M884" s="31" t="s">
        <v>5048</v>
      </c>
      <c r="N884" s="6"/>
      <c r="O884" s="2"/>
      <c r="P884" s="2"/>
      <c r="Q884" s="2"/>
      <c r="R884" s="2"/>
      <c r="S884" s="2"/>
      <c r="T884" s="2"/>
      <c r="U884" s="2"/>
      <c r="V884" s="2"/>
      <c r="W884" s="2"/>
      <c r="X884" s="2"/>
      <c r="Y884" s="2"/>
    </row>
    <row r="885" spans="1:25" ht="12.75" customHeight="1">
      <c r="A885" s="26" t="s">
        <v>2701</v>
      </c>
      <c r="B885" s="27"/>
      <c r="C885" s="28"/>
      <c r="D885" s="27"/>
      <c r="E885" s="27" t="s">
        <v>2702</v>
      </c>
      <c r="F885" s="29" t="s">
        <v>2703</v>
      </c>
      <c r="G885" s="27"/>
      <c r="H885" s="27"/>
      <c r="I885" s="27">
        <v>1</v>
      </c>
      <c r="J885" s="30"/>
      <c r="K885" s="26" t="s">
        <v>20</v>
      </c>
      <c r="L885" s="36" t="s">
        <v>229</v>
      </c>
      <c r="M885" s="31" t="s">
        <v>5048</v>
      </c>
      <c r="N885" s="6"/>
      <c r="O885" s="2"/>
      <c r="P885" s="2"/>
      <c r="Q885" s="2"/>
      <c r="R885" s="2"/>
      <c r="S885" s="2"/>
      <c r="T885" s="2"/>
      <c r="U885" s="2"/>
      <c r="V885" s="2"/>
      <c r="W885" s="2"/>
      <c r="X885" s="2"/>
      <c r="Y885" s="2"/>
    </row>
    <row r="886" spans="1:25" ht="25.5" customHeight="1">
      <c r="A886" s="26">
        <v>616</v>
      </c>
      <c r="B886" s="27" t="s">
        <v>2719</v>
      </c>
      <c r="C886" s="28">
        <v>41008</v>
      </c>
      <c r="D886" s="27"/>
      <c r="E886" s="27" t="s">
        <v>2720</v>
      </c>
      <c r="F886" s="29" t="s">
        <v>2721</v>
      </c>
      <c r="G886" s="27" t="s">
        <v>1008</v>
      </c>
      <c r="H886" s="27" t="s">
        <v>19</v>
      </c>
      <c r="I886" s="27">
        <v>1</v>
      </c>
      <c r="J886" s="30">
        <v>479440000</v>
      </c>
      <c r="K886" s="26" t="s">
        <v>20</v>
      </c>
      <c r="L886" s="26" t="s">
        <v>423</v>
      </c>
      <c r="M886" s="31" t="s">
        <v>5258</v>
      </c>
      <c r="N886" s="6"/>
      <c r="O886" s="2"/>
      <c r="P886" s="2"/>
      <c r="Q886" s="2"/>
      <c r="R886" s="2"/>
      <c r="S886" s="2"/>
      <c r="T886" s="2"/>
      <c r="U886" s="2"/>
      <c r="V886" s="2"/>
      <c r="W886" s="2"/>
      <c r="X886" s="2"/>
      <c r="Y886" s="2"/>
    </row>
    <row r="887" spans="1:25" ht="12.75" customHeight="1">
      <c r="A887" s="26">
        <v>617</v>
      </c>
      <c r="B887" s="27" t="s">
        <v>2723</v>
      </c>
      <c r="C887" s="28">
        <v>41502</v>
      </c>
      <c r="D887" s="27"/>
      <c r="E887" s="27" t="s">
        <v>2724</v>
      </c>
      <c r="F887" s="29" t="s">
        <v>2725</v>
      </c>
      <c r="G887" s="27" t="s">
        <v>2726</v>
      </c>
      <c r="H887" s="27" t="s">
        <v>19</v>
      </c>
      <c r="I887" s="27">
        <v>1</v>
      </c>
      <c r="J887" s="30">
        <v>252759345</v>
      </c>
      <c r="K887" s="26" t="s">
        <v>20</v>
      </c>
      <c r="L887" s="26" t="s">
        <v>423</v>
      </c>
      <c r="M887" s="31" t="s">
        <v>5259</v>
      </c>
      <c r="N887" s="6"/>
      <c r="O887" s="2"/>
      <c r="P887" s="2"/>
      <c r="Q887" s="2"/>
      <c r="R887" s="2"/>
      <c r="S887" s="2"/>
      <c r="T887" s="2"/>
      <c r="U887" s="2"/>
      <c r="V887" s="2"/>
      <c r="W887" s="2"/>
      <c r="X887" s="2"/>
      <c r="Y887" s="2"/>
    </row>
    <row r="888" spans="1:25" ht="12.75" customHeight="1">
      <c r="A888" s="26">
        <v>618</v>
      </c>
      <c r="B888" s="27" t="s">
        <v>909</v>
      </c>
      <c r="C888" s="28">
        <v>41999</v>
      </c>
      <c r="D888" s="27"/>
      <c r="E888" s="27" t="s">
        <v>2728</v>
      </c>
      <c r="F888" s="29" t="s">
        <v>2729</v>
      </c>
      <c r="G888" s="27" t="s">
        <v>1008</v>
      </c>
      <c r="H888" s="27" t="s">
        <v>19</v>
      </c>
      <c r="I888" s="27">
        <v>1</v>
      </c>
      <c r="J888" s="30">
        <v>954504165</v>
      </c>
      <c r="K888" s="26" t="s">
        <v>20</v>
      </c>
      <c r="L888" s="26" t="s">
        <v>233</v>
      </c>
      <c r="M888" s="31" t="s">
        <v>5260</v>
      </c>
      <c r="N888" s="6"/>
      <c r="O888" s="2"/>
      <c r="P888" s="2"/>
      <c r="Q888" s="2"/>
      <c r="R888" s="2"/>
      <c r="S888" s="2"/>
      <c r="T888" s="2"/>
      <c r="U888" s="2"/>
      <c r="V888" s="2"/>
      <c r="W888" s="2"/>
      <c r="X888" s="2"/>
      <c r="Y888" s="2"/>
    </row>
    <row r="889" spans="1:25" ht="12.75" customHeight="1">
      <c r="A889" s="26" t="s">
        <v>2734</v>
      </c>
      <c r="B889" s="27"/>
      <c r="C889" s="28"/>
      <c r="D889" s="27"/>
      <c r="E889" s="27" t="s">
        <v>2735</v>
      </c>
      <c r="F889" s="29" t="s">
        <v>2736</v>
      </c>
      <c r="G889" s="27" t="s">
        <v>1008</v>
      </c>
      <c r="H889" s="27" t="s">
        <v>19</v>
      </c>
      <c r="I889" s="27">
        <v>1</v>
      </c>
      <c r="J889" s="30">
        <v>69815555</v>
      </c>
      <c r="K889" s="26" t="s">
        <v>20</v>
      </c>
      <c r="L889" s="26" t="s">
        <v>233</v>
      </c>
      <c r="M889" s="31" t="s">
        <v>2737</v>
      </c>
      <c r="N889" s="6"/>
      <c r="O889" s="2"/>
      <c r="P889" s="2"/>
      <c r="Q889" s="2"/>
      <c r="R889" s="2"/>
      <c r="S889" s="2"/>
      <c r="T889" s="2"/>
      <c r="U889" s="2"/>
      <c r="V889" s="2"/>
      <c r="W889" s="2"/>
      <c r="X889" s="2"/>
      <c r="Y889" s="2"/>
    </row>
    <row r="890" spans="1:25" ht="25.5" customHeight="1">
      <c r="A890" s="26" t="s">
        <v>2738</v>
      </c>
      <c r="B890" s="27"/>
      <c r="C890" s="28"/>
      <c r="D890" s="27"/>
      <c r="E890" s="27" t="s">
        <v>2739</v>
      </c>
      <c r="F890" s="29" t="s">
        <v>2740</v>
      </c>
      <c r="G890" s="27" t="s">
        <v>248</v>
      </c>
      <c r="H890" s="27" t="s">
        <v>19</v>
      </c>
      <c r="I890" s="27">
        <v>1</v>
      </c>
      <c r="J890" s="30">
        <v>73037811</v>
      </c>
      <c r="K890" s="26" t="s">
        <v>20</v>
      </c>
      <c r="L890" s="26" t="s">
        <v>233</v>
      </c>
      <c r="M890" s="31" t="s">
        <v>2741</v>
      </c>
      <c r="N890" s="6"/>
      <c r="O890" s="2"/>
      <c r="P890" s="2"/>
      <c r="Q890" s="2"/>
      <c r="R890" s="2"/>
      <c r="S890" s="2"/>
      <c r="T890" s="2"/>
      <c r="U890" s="2"/>
      <c r="V890" s="2"/>
      <c r="W890" s="2"/>
      <c r="X890" s="2"/>
      <c r="Y890" s="2"/>
    </row>
    <row r="891" spans="1:25" ht="12.75" customHeight="1">
      <c r="A891" s="26" t="s">
        <v>2742</v>
      </c>
      <c r="B891" s="27"/>
      <c r="C891" s="28"/>
      <c r="D891" s="27"/>
      <c r="E891" s="27" t="s">
        <v>2743</v>
      </c>
      <c r="F891" s="29" t="s">
        <v>2744</v>
      </c>
      <c r="G891" s="27" t="s">
        <v>1008</v>
      </c>
      <c r="H891" s="27" t="s">
        <v>19</v>
      </c>
      <c r="I891" s="27">
        <v>1</v>
      </c>
      <c r="J891" s="30">
        <v>23227858</v>
      </c>
      <c r="K891" s="26" t="s">
        <v>20</v>
      </c>
      <c r="L891" s="26" t="s">
        <v>233</v>
      </c>
      <c r="M891" s="31" t="s">
        <v>2745</v>
      </c>
      <c r="N891" s="6"/>
      <c r="O891" s="2"/>
      <c r="P891" s="2"/>
      <c r="Q891" s="2"/>
      <c r="R891" s="2"/>
      <c r="S891" s="2"/>
      <c r="T891" s="2"/>
      <c r="U891" s="2"/>
      <c r="V891" s="2"/>
      <c r="W891" s="2"/>
      <c r="X891" s="2"/>
      <c r="Y891" s="2"/>
    </row>
    <row r="892" spans="1:25" ht="12.75" customHeight="1">
      <c r="A892" s="26" t="s">
        <v>2749</v>
      </c>
      <c r="B892" s="27"/>
      <c r="C892" s="28"/>
      <c r="D892" s="27"/>
      <c r="E892" s="27" t="s">
        <v>2750</v>
      </c>
      <c r="F892" s="29" t="s">
        <v>2751</v>
      </c>
      <c r="G892" s="27" t="s">
        <v>1008</v>
      </c>
      <c r="H892" s="27" t="s">
        <v>249</v>
      </c>
      <c r="I892" s="27">
        <v>1</v>
      </c>
      <c r="J892" s="30">
        <v>131500000</v>
      </c>
      <c r="K892" s="26" t="s">
        <v>20</v>
      </c>
      <c r="L892" s="26" t="s">
        <v>233</v>
      </c>
      <c r="M892" s="31" t="s">
        <v>2752</v>
      </c>
      <c r="N892" s="6"/>
      <c r="O892" s="2"/>
      <c r="P892" s="2"/>
      <c r="Q892" s="2"/>
      <c r="R892" s="2"/>
      <c r="S892" s="2"/>
      <c r="T892" s="2"/>
      <c r="U892" s="2"/>
      <c r="V892" s="2"/>
      <c r="W892" s="2"/>
      <c r="X892" s="2"/>
      <c r="Y892" s="2"/>
    </row>
    <row r="893" spans="1:25" ht="12.75" customHeight="1">
      <c r="A893" s="26">
        <v>619</v>
      </c>
      <c r="B893" s="27" t="s">
        <v>909</v>
      </c>
      <c r="C893" s="28">
        <v>41999</v>
      </c>
      <c r="D893" s="27"/>
      <c r="E893" s="27" t="s">
        <v>2753</v>
      </c>
      <c r="F893" s="29" t="s">
        <v>2754</v>
      </c>
      <c r="G893" s="27" t="s">
        <v>1008</v>
      </c>
      <c r="H893" s="27" t="s">
        <v>19</v>
      </c>
      <c r="I893" s="27">
        <v>1</v>
      </c>
      <c r="J893" s="30">
        <v>823004165</v>
      </c>
      <c r="K893" s="26" t="s">
        <v>20</v>
      </c>
      <c r="L893" s="26" t="s">
        <v>233</v>
      </c>
      <c r="M893" s="31" t="s">
        <v>2755</v>
      </c>
      <c r="N893" s="6"/>
      <c r="O893" s="2"/>
      <c r="P893" s="2"/>
      <c r="Q893" s="2"/>
      <c r="R893" s="2"/>
      <c r="S893" s="2"/>
      <c r="T893" s="2"/>
      <c r="U893" s="2"/>
      <c r="V893" s="2"/>
      <c r="W893" s="2"/>
      <c r="X893" s="2"/>
      <c r="Y893" s="2"/>
    </row>
    <row r="894" spans="1:25" ht="12.75" customHeight="1">
      <c r="A894" s="26" t="s">
        <v>2758</v>
      </c>
      <c r="B894" s="27"/>
      <c r="C894" s="28"/>
      <c r="D894" s="27"/>
      <c r="E894" s="27" t="s">
        <v>2759</v>
      </c>
      <c r="F894" s="29" t="s">
        <v>2760</v>
      </c>
      <c r="G894" s="27" t="s">
        <v>1008</v>
      </c>
      <c r="H894" s="27" t="s">
        <v>19</v>
      </c>
      <c r="I894" s="27">
        <v>1</v>
      </c>
      <c r="J894" s="30">
        <v>69815555</v>
      </c>
      <c r="K894" s="26" t="s">
        <v>20</v>
      </c>
      <c r="L894" s="26" t="s">
        <v>233</v>
      </c>
      <c r="M894" s="31" t="s">
        <v>2761</v>
      </c>
      <c r="N894" s="6"/>
      <c r="O894" s="2"/>
      <c r="P894" s="2"/>
      <c r="Q894" s="2"/>
      <c r="R894" s="2"/>
      <c r="S894" s="2"/>
      <c r="T894" s="2"/>
      <c r="U894" s="2"/>
      <c r="V894" s="2"/>
      <c r="W894" s="2"/>
      <c r="X894" s="2"/>
      <c r="Y894" s="2"/>
    </row>
    <row r="895" spans="1:25" ht="12.75" customHeight="1">
      <c r="A895" s="26" t="s">
        <v>2762</v>
      </c>
      <c r="B895" s="27"/>
      <c r="C895" s="28"/>
      <c r="D895" s="27"/>
      <c r="E895" s="27" t="s">
        <v>2763</v>
      </c>
      <c r="F895" s="29" t="s">
        <v>2764</v>
      </c>
      <c r="G895" s="27" t="s">
        <v>248</v>
      </c>
      <c r="H895" s="27" t="s">
        <v>19</v>
      </c>
      <c r="I895" s="27">
        <v>1</v>
      </c>
      <c r="J895" s="30">
        <v>73037811</v>
      </c>
      <c r="K895" s="26" t="s">
        <v>20</v>
      </c>
      <c r="L895" s="26" t="s">
        <v>233</v>
      </c>
      <c r="M895" s="31" t="s">
        <v>2765</v>
      </c>
      <c r="N895" s="6"/>
      <c r="O895" s="2"/>
      <c r="P895" s="2"/>
      <c r="Q895" s="2"/>
      <c r="R895" s="2"/>
      <c r="S895" s="2"/>
      <c r="T895" s="2"/>
      <c r="U895" s="2"/>
      <c r="V895" s="2"/>
      <c r="W895" s="2"/>
      <c r="X895" s="2"/>
      <c r="Y895" s="2"/>
    </row>
    <row r="896" spans="1:25" ht="12.75" customHeight="1">
      <c r="A896" s="26" t="s">
        <v>2766</v>
      </c>
      <c r="B896" s="27"/>
      <c r="C896" s="28"/>
      <c r="D896" s="27"/>
      <c r="E896" s="27" t="s">
        <v>2767</v>
      </c>
      <c r="F896" s="29" t="s">
        <v>2768</v>
      </c>
      <c r="G896" s="27" t="s">
        <v>1008</v>
      </c>
      <c r="H896" s="27" t="s">
        <v>19</v>
      </c>
      <c r="I896" s="27">
        <v>1</v>
      </c>
      <c r="J896" s="30">
        <v>23227858</v>
      </c>
      <c r="K896" s="26" t="s">
        <v>20</v>
      </c>
      <c r="L896" s="26" t="s">
        <v>233</v>
      </c>
      <c r="M896" s="31" t="s">
        <v>2761</v>
      </c>
      <c r="N896" s="6"/>
      <c r="O896" s="2"/>
      <c r="P896" s="2"/>
      <c r="Q896" s="2"/>
      <c r="R896" s="2"/>
      <c r="S896" s="2"/>
      <c r="T896" s="2"/>
      <c r="U896" s="2"/>
      <c r="V896" s="2"/>
      <c r="W896" s="2"/>
      <c r="X896" s="2"/>
      <c r="Y896" s="2"/>
    </row>
    <row r="897" spans="1:25" ht="12.75" customHeight="1">
      <c r="A897" s="26">
        <v>620</v>
      </c>
      <c r="B897" s="27" t="s">
        <v>909</v>
      </c>
      <c r="C897" s="28">
        <v>41999</v>
      </c>
      <c r="D897" s="27"/>
      <c r="E897" s="27" t="s">
        <v>2772</v>
      </c>
      <c r="F897" s="29" t="s">
        <v>2773</v>
      </c>
      <c r="G897" s="27" t="s">
        <v>1008</v>
      </c>
      <c r="H897" s="27" t="s">
        <v>19</v>
      </c>
      <c r="I897" s="27">
        <v>1</v>
      </c>
      <c r="J897" s="30">
        <v>1162876746</v>
      </c>
      <c r="K897" s="26" t="s">
        <v>20</v>
      </c>
      <c r="L897" s="26" t="s">
        <v>233</v>
      </c>
      <c r="M897" s="31" t="s">
        <v>2774</v>
      </c>
      <c r="N897" s="6"/>
      <c r="O897" s="2"/>
      <c r="P897" s="2"/>
      <c r="Q897" s="2"/>
      <c r="R897" s="2"/>
      <c r="S897" s="2"/>
      <c r="T897" s="2"/>
      <c r="U897" s="2"/>
      <c r="V897" s="2"/>
      <c r="W897" s="2"/>
      <c r="X897" s="2"/>
      <c r="Y897" s="2"/>
    </row>
    <row r="898" spans="1:25" ht="12.75" customHeight="1">
      <c r="A898" s="26" t="s">
        <v>2775</v>
      </c>
      <c r="B898" s="27"/>
      <c r="C898" s="28"/>
      <c r="D898" s="27"/>
      <c r="E898" s="27" t="s">
        <v>2776</v>
      </c>
      <c r="F898" s="29" t="s">
        <v>2777</v>
      </c>
      <c r="G898" s="27" t="s">
        <v>1008</v>
      </c>
      <c r="H898" s="27" t="s">
        <v>19</v>
      </c>
      <c r="I898" s="27">
        <v>1</v>
      </c>
      <c r="J898" s="30">
        <v>69815555</v>
      </c>
      <c r="K898" s="26" t="s">
        <v>20</v>
      </c>
      <c r="L898" s="26" t="s">
        <v>233</v>
      </c>
      <c r="M898" s="31" t="s">
        <v>2774</v>
      </c>
      <c r="N898" s="6"/>
      <c r="O898" s="2"/>
      <c r="P898" s="2"/>
      <c r="Q898" s="2"/>
      <c r="R898" s="2"/>
      <c r="S898" s="2"/>
      <c r="T898" s="2"/>
      <c r="U898" s="2"/>
      <c r="V898" s="2"/>
      <c r="W898" s="2"/>
      <c r="X898" s="2"/>
      <c r="Y898" s="2"/>
    </row>
    <row r="899" spans="1:25" ht="12.75" customHeight="1">
      <c r="A899" s="26" t="s">
        <v>2778</v>
      </c>
      <c r="B899" s="27"/>
      <c r="C899" s="28"/>
      <c r="D899" s="27"/>
      <c r="E899" s="27" t="s">
        <v>2779</v>
      </c>
      <c r="F899" s="29" t="s">
        <v>2780</v>
      </c>
      <c r="G899" s="27" t="s">
        <v>248</v>
      </c>
      <c r="H899" s="27" t="s">
        <v>19</v>
      </c>
      <c r="I899" s="27">
        <v>1</v>
      </c>
      <c r="J899" s="30">
        <v>73037811</v>
      </c>
      <c r="K899" s="26" t="s">
        <v>20</v>
      </c>
      <c r="L899" s="26" t="s">
        <v>233</v>
      </c>
      <c r="M899" s="31" t="s">
        <v>2765</v>
      </c>
      <c r="N899" s="6"/>
      <c r="O899" s="2"/>
      <c r="P899" s="2"/>
      <c r="Q899" s="2"/>
      <c r="R899" s="2"/>
      <c r="S899" s="2"/>
      <c r="T899" s="2"/>
      <c r="U899" s="2"/>
      <c r="V899" s="2"/>
      <c r="W899" s="2"/>
      <c r="X899" s="2"/>
      <c r="Y899" s="2"/>
    </row>
    <row r="900" spans="1:25" ht="12.75" customHeight="1">
      <c r="A900" s="26" t="s">
        <v>2781</v>
      </c>
      <c r="B900" s="27"/>
      <c r="C900" s="28"/>
      <c r="D900" s="27"/>
      <c r="E900" s="27" t="s">
        <v>2782</v>
      </c>
      <c r="F900" s="29" t="s">
        <v>2783</v>
      </c>
      <c r="G900" s="27" t="s">
        <v>1008</v>
      </c>
      <c r="H900" s="27" t="s">
        <v>19</v>
      </c>
      <c r="I900" s="27">
        <v>1</v>
      </c>
      <c r="J900" s="30">
        <v>23227858</v>
      </c>
      <c r="K900" s="26" t="s">
        <v>20</v>
      </c>
      <c r="L900" s="26" t="s">
        <v>233</v>
      </c>
      <c r="M900" s="31" t="s">
        <v>2774</v>
      </c>
      <c r="N900" s="6"/>
      <c r="O900" s="2"/>
      <c r="P900" s="2"/>
      <c r="Q900" s="2"/>
      <c r="R900" s="2"/>
      <c r="S900" s="2"/>
      <c r="T900" s="2"/>
      <c r="U900" s="2"/>
      <c r="V900" s="2"/>
      <c r="W900" s="2"/>
      <c r="X900" s="2"/>
      <c r="Y900" s="2"/>
    </row>
    <row r="901" spans="1:25" ht="12.75" customHeight="1">
      <c r="A901" s="26" t="s">
        <v>2784</v>
      </c>
      <c r="B901" s="27"/>
      <c r="C901" s="28"/>
      <c r="D901" s="27"/>
      <c r="E901" s="27" t="s">
        <v>2785</v>
      </c>
      <c r="F901" s="29" t="s">
        <v>2786</v>
      </c>
      <c r="G901" s="27" t="s">
        <v>1008</v>
      </c>
      <c r="H901" s="27" t="s">
        <v>19</v>
      </c>
      <c r="I901" s="27">
        <v>1</v>
      </c>
      <c r="J901" s="30">
        <v>317929297</v>
      </c>
      <c r="K901" s="26" t="s">
        <v>20</v>
      </c>
      <c r="L901" s="26" t="s">
        <v>233</v>
      </c>
      <c r="M901" s="31" t="s">
        <v>2787</v>
      </c>
      <c r="N901" s="6"/>
      <c r="O901" s="2"/>
      <c r="P901" s="2"/>
      <c r="Q901" s="2"/>
      <c r="R901" s="2"/>
      <c r="S901" s="2"/>
      <c r="T901" s="2"/>
      <c r="U901" s="2"/>
      <c r="V901" s="2"/>
      <c r="W901" s="2"/>
      <c r="X901" s="2"/>
      <c r="Y901" s="2"/>
    </row>
    <row r="902" spans="1:25" ht="12.75" customHeight="1">
      <c r="A902" s="26" t="s">
        <v>2788</v>
      </c>
      <c r="B902" s="27"/>
      <c r="C902" s="28"/>
      <c r="D902" s="27"/>
      <c r="E902" s="27" t="s">
        <v>2789</v>
      </c>
      <c r="F902" s="29" t="s">
        <v>2790</v>
      </c>
      <c r="G902" s="27" t="s">
        <v>1008</v>
      </c>
      <c r="H902" s="27" t="s">
        <v>249</v>
      </c>
      <c r="I902" s="27">
        <v>1</v>
      </c>
      <c r="J902" s="30">
        <v>131500000</v>
      </c>
      <c r="K902" s="26" t="s">
        <v>20</v>
      </c>
      <c r="L902" s="26" t="s">
        <v>233</v>
      </c>
      <c r="M902" s="31" t="s">
        <v>2774</v>
      </c>
      <c r="N902" s="6"/>
      <c r="O902" s="2"/>
      <c r="P902" s="2"/>
      <c r="Q902" s="2"/>
      <c r="R902" s="2"/>
      <c r="S902" s="2"/>
      <c r="T902" s="2"/>
      <c r="U902" s="2"/>
      <c r="V902" s="2"/>
      <c r="W902" s="2"/>
      <c r="X902" s="2"/>
      <c r="Y902" s="2"/>
    </row>
    <row r="903" spans="1:25" ht="25.5" customHeight="1">
      <c r="A903" s="26">
        <v>621</v>
      </c>
      <c r="B903" s="27" t="s">
        <v>1668</v>
      </c>
      <c r="C903" s="28">
        <v>41982</v>
      </c>
      <c r="D903" s="27"/>
      <c r="E903" s="27" t="s">
        <v>2791</v>
      </c>
      <c r="F903" s="29" t="s">
        <v>2792</v>
      </c>
      <c r="G903" s="27" t="s">
        <v>45</v>
      </c>
      <c r="H903" s="27" t="s">
        <v>19</v>
      </c>
      <c r="I903" s="27">
        <v>1</v>
      </c>
      <c r="J903" s="30">
        <v>416658000</v>
      </c>
      <c r="K903" s="26" t="s">
        <v>20</v>
      </c>
      <c r="L903" s="36" t="s">
        <v>229</v>
      </c>
      <c r="M903" s="31" t="s">
        <v>5261</v>
      </c>
      <c r="N903" s="6"/>
      <c r="O903" s="2"/>
      <c r="P903" s="2"/>
      <c r="Q903" s="2"/>
      <c r="R903" s="2"/>
      <c r="S903" s="2"/>
      <c r="T903" s="2"/>
      <c r="U903" s="2"/>
      <c r="V903" s="2"/>
      <c r="W903" s="2"/>
      <c r="X903" s="2"/>
      <c r="Y903" s="2"/>
    </row>
    <row r="904" spans="1:25" ht="12.75" customHeight="1">
      <c r="A904" s="26">
        <v>622</v>
      </c>
      <c r="B904" s="27" t="s">
        <v>470</v>
      </c>
      <c r="C904" s="28">
        <v>41983</v>
      </c>
      <c r="D904" s="27"/>
      <c r="E904" s="27" t="s">
        <v>2793</v>
      </c>
      <c r="F904" s="29" t="s">
        <v>2794</v>
      </c>
      <c r="G904" s="27" t="s">
        <v>1008</v>
      </c>
      <c r="H904" s="27" t="s">
        <v>19</v>
      </c>
      <c r="I904" s="27">
        <v>1</v>
      </c>
      <c r="J904" s="30">
        <v>1695382089</v>
      </c>
      <c r="K904" s="26" t="s">
        <v>20</v>
      </c>
      <c r="L904" s="26" t="s">
        <v>423</v>
      </c>
      <c r="M904" s="31" t="s">
        <v>2795</v>
      </c>
      <c r="N904" s="6"/>
      <c r="O904" s="2"/>
      <c r="P904" s="2"/>
      <c r="Q904" s="2"/>
      <c r="R904" s="2"/>
      <c r="S904" s="2"/>
      <c r="T904" s="2"/>
      <c r="U904" s="2"/>
      <c r="V904" s="2"/>
      <c r="W904" s="2"/>
      <c r="X904" s="2"/>
      <c r="Y904" s="2"/>
    </row>
    <row r="905" spans="1:25" ht="25.5" customHeight="1">
      <c r="A905" s="26" t="s">
        <v>2796</v>
      </c>
      <c r="B905" s="27"/>
      <c r="C905" s="28"/>
      <c r="D905" s="27"/>
      <c r="E905" s="27" t="s">
        <v>2797</v>
      </c>
      <c r="F905" s="29" t="s">
        <v>2798</v>
      </c>
      <c r="G905" s="27" t="s">
        <v>1008</v>
      </c>
      <c r="H905" s="27" t="s">
        <v>249</v>
      </c>
      <c r="I905" s="27">
        <v>1</v>
      </c>
      <c r="J905" s="30">
        <v>490488854</v>
      </c>
      <c r="K905" s="26" t="s">
        <v>20</v>
      </c>
      <c r="L905" s="26" t="s">
        <v>423</v>
      </c>
      <c r="M905" s="31" t="s">
        <v>5262</v>
      </c>
      <c r="N905" s="6"/>
      <c r="O905" s="2"/>
      <c r="P905" s="2"/>
      <c r="Q905" s="2"/>
      <c r="R905" s="2"/>
      <c r="S905" s="2"/>
      <c r="T905" s="2"/>
      <c r="U905" s="2"/>
      <c r="V905" s="2"/>
      <c r="W905" s="2"/>
      <c r="X905" s="2"/>
      <c r="Y905" s="2"/>
    </row>
    <row r="906" spans="1:25" ht="12.75" customHeight="1">
      <c r="A906" s="26" t="s">
        <v>2800</v>
      </c>
      <c r="B906" s="27"/>
      <c r="C906" s="28"/>
      <c r="D906" s="27"/>
      <c r="E906" s="27" t="s">
        <v>2801</v>
      </c>
      <c r="F906" s="29" t="s">
        <v>2802</v>
      </c>
      <c r="G906" s="27" t="s">
        <v>1008</v>
      </c>
      <c r="H906" s="27" t="s">
        <v>249</v>
      </c>
      <c r="I906" s="27">
        <v>1</v>
      </c>
      <c r="J906" s="30">
        <v>127568319</v>
      </c>
      <c r="K906" s="26" t="s">
        <v>20</v>
      </c>
      <c r="L906" s="26" t="s">
        <v>423</v>
      </c>
      <c r="M906" s="31" t="s">
        <v>5263</v>
      </c>
      <c r="N906" s="6"/>
      <c r="O906" s="2"/>
      <c r="P906" s="2"/>
      <c r="Q906" s="2"/>
      <c r="R906" s="2"/>
      <c r="S906" s="2"/>
      <c r="T906" s="2"/>
      <c r="U906" s="2"/>
      <c r="V906" s="2"/>
      <c r="W906" s="2"/>
      <c r="X906" s="2"/>
      <c r="Y906" s="2"/>
    </row>
    <row r="907" spans="1:25" ht="12.75" customHeight="1">
      <c r="A907" s="26" t="s">
        <v>2804</v>
      </c>
      <c r="B907" s="27"/>
      <c r="C907" s="28"/>
      <c r="D907" s="27"/>
      <c r="E907" s="27" t="s">
        <v>2805</v>
      </c>
      <c r="F907" s="29" t="s">
        <v>2806</v>
      </c>
      <c r="G907" s="27" t="s">
        <v>1008</v>
      </c>
      <c r="H907" s="27" t="s">
        <v>249</v>
      </c>
      <c r="I907" s="27">
        <v>1</v>
      </c>
      <c r="J907" s="30">
        <v>148872641</v>
      </c>
      <c r="K907" s="26" t="s">
        <v>20</v>
      </c>
      <c r="L907" s="26" t="s">
        <v>423</v>
      </c>
      <c r="M907" s="31" t="s">
        <v>5264</v>
      </c>
      <c r="N907" s="6"/>
      <c r="O907" s="2"/>
      <c r="P907" s="2"/>
      <c r="Q907" s="2"/>
      <c r="R907" s="2"/>
      <c r="S907" s="2"/>
      <c r="T907" s="2"/>
      <c r="U907" s="2"/>
      <c r="V907" s="2"/>
      <c r="W907" s="2"/>
      <c r="X907" s="2"/>
      <c r="Y907" s="2"/>
    </row>
    <row r="908" spans="1:25" ht="12.75" customHeight="1">
      <c r="A908" s="26">
        <v>623</v>
      </c>
      <c r="B908" s="27" t="s">
        <v>470</v>
      </c>
      <c r="C908" s="28">
        <v>41983</v>
      </c>
      <c r="D908" s="27"/>
      <c r="E908" s="27" t="s">
        <v>2808</v>
      </c>
      <c r="F908" s="29" t="s">
        <v>2809</v>
      </c>
      <c r="G908" s="27" t="s">
        <v>1008</v>
      </c>
      <c r="H908" s="27" t="s">
        <v>19</v>
      </c>
      <c r="I908" s="27">
        <v>1</v>
      </c>
      <c r="J908" s="30">
        <v>1557657847</v>
      </c>
      <c r="K908" s="26" t="s">
        <v>20</v>
      </c>
      <c r="L908" s="26" t="s">
        <v>423</v>
      </c>
      <c r="M908" s="31" t="s">
        <v>2807</v>
      </c>
      <c r="N908" s="6"/>
      <c r="O908" s="2"/>
      <c r="P908" s="2"/>
      <c r="Q908" s="2"/>
      <c r="R908" s="2"/>
      <c r="S908" s="2"/>
      <c r="T908" s="2"/>
      <c r="U908" s="2"/>
      <c r="V908" s="2"/>
      <c r="W908" s="2"/>
      <c r="X908" s="2"/>
      <c r="Y908" s="2"/>
    </row>
    <row r="909" spans="1:25" ht="12.75" customHeight="1">
      <c r="A909" s="26" t="s">
        <v>2810</v>
      </c>
      <c r="B909" s="27"/>
      <c r="C909" s="28"/>
      <c r="D909" s="27"/>
      <c r="E909" s="27" t="s">
        <v>2811</v>
      </c>
      <c r="F909" s="29" t="s">
        <v>2812</v>
      </c>
      <c r="G909" s="27" t="s">
        <v>1008</v>
      </c>
      <c r="H909" s="27" t="s">
        <v>249</v>
      </c>
      <c r="I909" s="27">
        <v>1</v>
      </c>
      <c r="J909" s="30">
        <v>148872641</v>
      </c>
      <c r="K909" s="26" t="s">
        <v>20</v>
      </c>
      <c r="L909" s="26" t="s">
        <v>423</v>
      </c>
      <c r="M909" s="31" t="s">
        <v>5265</v>
      </c>
      <c r="N909" s="6"/>
      <c r="O909" s="2"/>
      <c r="P909" s="2"/>
      <c r="Q909" s="2"/>
      <c r="R909" s="2"/>
      <c r="S909" s="2"/>
      <c r="T909" s="2"/>
      <c r="U909" s="2"/>
      <c r="V909" s="2"/>
      <c r="W909" s="2"/>
      <c r="X909" s="2"/>
      <c r="Y909" s="2"/>
    </row>
    <row r="910" spans="1:25" ht="12.75" customHeight="1">
      <c r="A910" s="26" t="s">
        <v>2814</v>
      </c>
      <c r="B910" s="27"/>
      <c r="C910" s="28"/>
      <c r="D910" s="27"/>
      <c r="E910" s="27" t="s">
        <v>2815</v>
      </c>
      <c r="F910" s="29" t="s">
        <v>2816</v>
      </c>
      <c r="G910" s="27" t="s">
        <v>1008</v>
      </c>
      <c r="H910" s="27" t="s">
        <v>249</v>
      </c>
      <c r="I910" s="27">
        <v>1</v>
      </c>
      <c r="J910" s="30">
        <v>490488854</v>
      </c>
      <c r="K910" s="26" t="s">
        <v>20</v>
      </c>
      <c r="L910" s="26" t="s">
        <v>423</v>
      </c>
      <c r="M910" s="31" t="s">
        <v>5266</v>
      </c>
      <c r="N910" s="6"/>
      <c r="O910" s="2"/>
      <c r="P910" s="2"/>
      <c r="Q910" s="2"/>
      <c r="R910" s="2"/>
      <c r="S910" s="2"/>
      <c r="T910" s="2"/>
      <c r="U910" s="2"/>
      <c r="V910" s="2"/>
      <c r="W910" s="2"/>
      <c r="X910" s="2"/>
      <c r="Y910" s="2"/>
    </row>
    <row r="911" spans="1:25" ht="12.75" customHeight="1">
      <c r="A911" s="26">
        <v>624</v>
      </c>
      <c r="B911" s="27" t="s">
        <v>470</v>
      </c>
      <c r="C911" s="28">
        <v>41983</v>
      </c>
      <c r="D911" s="27"/>
      <c r="E911" s="27" t="s">
        <v>2818</v>
      </c>
      <c r="F911" s="29" t="s">
        <v>2819</v>
      </c>
      <c r="G911" s="27" t="s">
        <v>1008</v>
      </c>
      <c r="H911" s="27" t="s">
        <v>19</v>
      </c>
      <c r="I911" s="27">
        <v>1</v>
      </c>
      <c r="J911" s="30">
        <v>1557657847</v>
      </c>
      <c r="K911" s="26" t="s">
        <v>20</v>
      </c>
      <c r="L911" s="26" t="s">
        <v>423</v>
      </c>
      <c r="M911" s="31" t="s">
        <v>2817</v>
      </c>
      <c r="N911" s="6"/>
      <c r="O911" s="2"/>
      <c r="P911" s="2"/>
      <c r="Q911" s="2"/>
      <c r="R911" s="2"/>
      <c r="S911" s="2"/>
      <c r="T911" s="2"/>
      <c r="U911" s="2"/>
      <c r="V911" s="2"/>
      <c r="W911" s="2"/>
      <c r="X911" s="2"/>
      <c r="Y911" s="2"/>
    </row>
    <row r="912" spans="1:25" ht="12.75" customHeight="1">
      <c r="A912" s="26" t="s">
        <v>2820</v>
      </c>
      <c r="B912" s="27"/>
      <c r="C912" s="28"/>
      <c r="D912" s="27"/>
      <c r="E912" s="27" t="s">
        <v>2821</v>
      </c>
      <c r="F912" s="29" t="s">
        <v>2822</v>
      </c>
      <c r="G912" s="27" t="s">
        <v>1008</v>
      </c>
      <c r="H912" s="27" t="s">
        <v>249</v>
      </c>
      <c r="I912" s="27">
        <v>1</v>
      </c>
      <c r="J912" s="30">
        <v>148872641</v>
      </c>
      <c r="K912" s="26" t="s">
        <v>20</v>
      </c>
      <c r="L912" s="26" t="s">
        <v>423</v>
      </c>
      <c r="M912" s="31" t="s">
        <v>5267</v>
      </c>
      <c r="N912" s="6"/>
      <c r="O912" s="2"/>
      <c r="P912" s="2"/>
      <c r="Q912" s="2"/>
      <c r="R912" s="2"/>
      <c r="S912" s="2"/>
      <c r="T912" s="2"/>
      <c r="U912" s="2"/>
      <c r="V912" s="2"/>
      <c r="W912" s="2"/>
      <c r="X912" s="2"/>
      <c r="Y912" s="2"/>
    </row>
    <row r="913" spans="1:25" ht="12.75" customHeight="1">
      <c r="A913" s="26" t="s">
        <v>2823</v>
      </c>
      <c r="B913" s="27"/>
      <c r="C913" s="28"/>
      <c r="D913" s="27"/>
      <c r="E913" s="27" t="s">
        <v>2824</v>
      </c>
      <c r="F913" s="29" t="s">
        <v>2825</v>
      </c>
      <c r="G913" s="27" t="s">
        <v>1008</v>
      </c>
      <c r="H913" s="27" t="s">
        <v>249</v>
      </c>
      <c r="I913" s="27">
        <v>1</v>
      </c>
      <c r="J913" s="30">
        <v>490488854</v>
      </c>
      <c r="K913" s="26" t="s">
        <v>20</v>
      </c>
      <c r="L913" s="26" t="s">
        <v>423</v>
      </c>
      <c r="M913" s="31" t="s">
        <v>5267</v>
      </c>
      <c r="N913" s="6"/>
      <c r="O913" s="2"/>
      <c r="P913" s="2"/>
      <c r="Q913" s="2"/>
      <c r="R913" s="2"/>
      <c r="S913" s="2"/>
      <c r="T913" s="2"/>
      <c r="U913" s="2"/>
      <c r="V913" s="2"/>
      <c r="W913" s="2"/>
      <c r="X913" s="2"/>
      <c r="Y913" s="2"/>
    </row>
    <row r="914" spans="1:25" ht="12.75" customHeight="1">
      <c r="A914" s="26">
        <v>625</v>
      </c>
      <c r="B914" s="27" t="s">
        <v>470</v>
      </c>
      <c r="C914" s="28">
        <v>41983</v>
      </c>
      <c r="D914" s="27"/>
      <c r="E914" s="27" t="s">
        <v>2826</v>
      </c>
      <c r="F914" s="29" t="s">
        <v>2827</v>
      </c>
      <c r="G914" s="27" t="s">
        <v>1008</v>
      </c>
      <c r="H914" s="27" t="s">
        <v>19</v>
      </c>
      <c r="I914" s="27">
        <v>1</v>
      </c>
      <c r="J914" s="30">
        <v>1028120370</v>
      </c>
      <c r="K914" s="26" t="s">
        <v>20</v>
      </c>
      <c r="L914" s="26" t="s">
        <v>423</v>
      </c>
      <c r="M914" s="31" t="s">
        <v>2813</v>
      </c>
      <c r="N914" s="6"/>
      <c r="O914" s="2"/>
      <c r="P914" s="2"/>
      <c r="Q914" s="2"/>
      <c r="R914" s="2"/>
      <c r="S914" s="2"/>
      <c r="T914" s="2"/>
      <c r="U914" s="2"/>
      <c r="V914" s="2"/>
      <c r="W914" s="2"/>
      <c r="X914" s="2"/>
      <c r="Y914" s="2"/>
    </row>
    <row r="915" spans="1:25" ht="12.75" customHeight="1">
      <c r="A915" s="26" t="s">
        <v>2828</v>
      </c>
      <c r="B915" s="27"/>
      <c r="C915" s="28"/>
      <c r="D915" s="27"/>
      <c r="E915" s="27" t="s">
        <v>2829</v>
      </c>
      <c r="F915" s="29" t="s">
        <v>2830</v>
      </c>
      <c r="G915" s="27" t="s">
        <v>1008</v>
      </c>
      <c r="H915" s="27" t="s">
        <v>249</v>
      </c>
      <c r="I915" s="27">
        <v>1</v>
      </c>
      <c r="J915" s="30">
        <v>148872641</v>
      </c>
      <c r="K915" s="26" t="s">
        <v>20</v>
      </c>
      <c r="L915" s="26" t="s">
        <v>423</v>
      </c>
      <c r="M915" s="31" t="s">
        <v>5266</v>
      </c>
      <c r="N915" s="6"/>
      <c r="O915" s="2"/>
      <c r="P915" s="2"/>
      <c r="Q915" s="2"/>
      <c r="R915" s="2"/>
      <c r="S915" s="2"/>
      <c r="T915" s="2"/>
      <c r="U915" s="2"/>
      <c r="V915" s="2"/>
      <c r="W915" s="2"/>
      <c r="X915" s="2"/>
      <c r="Y915" s="2"/>
    </row>
    <row r="916" spans="1:25" ht="12.75" customHeight="1">
      <c r="A916" s="26">
        <v>626</v>
      </c>
      <c r="B916" s="27" t="s">
        <v>470</v>
      </c>
      <c r="C916" s="28">
        <v>41983</v>
      </c>
      <c r="D916" s="27"/>
      <c r="E916" s="27" t="s">
        <v>2831</v>
      </c>
      <c r="F916" s="29" t="s">
        <v>2832</v>
      </c>
      <c r="G916" s="27" t="s">
        <v>1008</v>
      </c>
      <c r="H916" s="27" t="s">
        <v>19</v>
      </c>
      <c r="I916" s="27">
        <v>1</v>
      </c>
      <c r="J916" s="30">
        <v>272885947</v>
      </c>
      <c r="K916" s="26" t="s">
        <v>20</v>
      </c>
      <c r="L916" s="26" t="s">
        <v>423</v>
      </c>
      <c r="M916" s="31" t="s">
        <v>5268</v>
      </c>
      <c r="N916" s="6"/>
      <c r="O916" s="2"/>
      <c r="P916" s="2"/>
      <c r="Q916" s="2"/>
      <c r="R916" s="2"/>
      <c r="S916" s="2"/>
      <c r="T916" s="2"/>
      <c r="U916" s="2"/>
      <c r="V916" s="2"/>
      <c r="W916" s="2"/>
      <c r="X916" s="2"/>
      <c r="Y916" s="2"/>
    </row>
    <row r="917" spans="1:25" ht="12.75" customHeight="1">
      <c r="A917" s="26">
        <v>627</v>
      </c>
      <c r="B917" s="27" t="s">
        <v>470</v>
      </c>
      <c r="C917" s="28">
        <v>41983</v>
      </c>
      <c r="D917" s="27"/>
      <c r="E917" s="27" t="s">
        <v>2834</v>
      </c>
      <c r="F917" s="29" t="s">
        <v>2835</v>
      </c>
      <c r="G917" s="27" t="s">
        <v>1008</v>
      </c>
      <c r="H917" s="27" t="s">
        <v>19</v>
      </c>
      <c r="I917" s="27">
        <v>1</v>
      </c>
      <c r="J917" s="30">
        <v>272885947</v>
      </c>
      <c r="K917" s="26" t="s">
        <v>20</v>
      </c>
      <c r="L917" s="26" t="s">
        <v>423</v>
      </c>
      <c r="M917" s="31" t="s">
        <v>5269</v>
      </c>
      <c r="N917" s="6"/>
      <c r="O917" s="2"/>
      <c r="P917" s="2"/>
      <c r="Q917" s="2"/>
      <c r="R917" s="2"/>
      <c r="S917" s="2"/>
      <c r="T917" s="2"/>
      <c r="U917" s="2"/>
      <c r="V917" s="2"/>
      <c r="W917" s="2"/>
      <c r="X917" s="2"/>
      <c r="Y917" s="2"/>
    </row>
    <row r="918" spans="1:25" ht="12.75" customHeight="1">
      <c r="A918" s="26">
        <v>628</v>
      </c>
      <c r="B918" s="27" t="s">
        <v>470</v>
      </c>
      <c r="C918" s="28">
        <v>41983</v>
      </c>
      <c r="D918" s="27"/>
      <c r="E918" s="27" t="s">
        <v>2837</v>
      </c>
      <c r="F918" s="29" t="s">
        <v>2838</v>
      </c>
      <c r="G918" s="27" t="s">
        <v>1008</v>
      </c>
      <c r="H918" s="27" t="s">
        <v>19</v>
      </c>
      <c r="I918" s="27">
        <v>1</v>
      </c>
      <c r="J918" s="30">
        <v>272885947</v>
      </c>
      <c r="K918" s="26" t="s">
        <v>20</v>
      </c>
      <c r="L918" s="26" t="s">
        <v>423</v>
      </c>
      <c r="M918" s="31" t="s">
        <v>2145</v>
      </c>
      <c r="N918" s="6"/>
      <c r="O918" s="2"/>
      <c r="P918" s="2"/>
      <c r="Q918" s="2"/>
      <c r="R918" s="2"/>
      <c r="S918" s="2"/>
      <c r="T918" s="2"/>
      <c r="U918" s="2"/>
      <c r="V918" s="2"/>
      <c r="W918" s="2"/>
      <c r="X918" s="2"/>
      <c r="Y918" s="2"/>
    </row>
    <row r="919" spans="1:25" ht="12.75" customHeight="1">
      <c r="A919" s="26">
        <v>629</v>
      </c>
      <c r="B919" s="27" t="s">
        <v>470</v>
      </c>
      <c r="C919" s="28">
        <v>41983</v>
      </c>
      <c r="D919" s="27"/>
      <c r="E919" s="27" t="s">
        <v>2840</v>
      </c>
      <c r="F919" s="29" t="s">
        <v>2841</v>
      </c>
      <c r="G919" s="27" t="s">
        <v>1008</v>
      </c>
      <c r="H919" s="27" t="s">
        <v>19</v>
      </c>
      <c r="I919" s="27">
        <v>1</v>
      </c>
      <c r="J919" s="30">
        <v>272885947</v>
      </c>
      <c r="K919" s="26" t="s">
        <v>20</v>
      </c>
      <c r="L919" s="26" t="s">
        <v>423</v>
      </c>
      <c r="M919" s="31" t="s">
        <v>5270</v>
      </c>
      <c r="N919" s="6"/>
      <c r="O919" s="2"/>
      <c r="P919" s="2"/>
      <c r="Q919" s="2"/>
      <c r="R919" s="2"/>
      <c r="S919" s="2"/>
      <c r="T919" s="2"/>
      <c r="U919" s="2"/>
      <c r="V919" s="2"/>
      <c r="W919" s="2"/>
      <c r="X919" s="2"/>
      <c r="Y919" s="2"/>
    </row>
    <row r="920" spans="1:25" ht="25.5" customHeight="1">
      <c r="A920" s="26">
        <v>630</v>
      </c>
      <c r="B920" s="27" t="s">
        <v>909</v>
      </c>
      <c r="C920" s="28">
        <v>41999</v>
      </c>
      <c r="D920" s="27"/>
      <c r="E920" s="27" t="s">
        <v>2843</v>
      </c>
      <c r="F920" s="29" t="s">
        <v>2844</v>
      </c>
      <c r="G920" s="27" t="s">
        <v>2726</v>
      </c>
      <c r="H920" s="27" t="s">
        <v>19</v>
      </c>
      <c r="I920" s="27">
        <v>1</v>
      </c>
      <c r="J920" s="30">
        <v>478617211</v>
      </c>
      <c r="K920" s="26" t="s">
        <v>20</v>
      </c>
      <c r="L920" s="26" t="s">
        <v>233</v>
      </c>
      <c r="M920" s="31" t="s">
        <v>2845</v>
      </c>
      <c r="N920" s="6"/>
      <c r="O920" s="2"/>
      <c r="P920" s="2"/>
      <c r="Q920" s="2"/>
      <c r="R920" s="2"/>
      <c r="S920" s="2"/>
      <c r="T920" s="2"/>
      <c r="U920" s="2"/>
      <c r="V920" s="2"/>
      <c r="W920" s="2"/>
      <c r="X920" s="2"/>
      <c r="Y920" s="2"/>
    </row>
    <row r="921" spans="1:25" ht="25.5" customHeight="1">
      <c r="A921" s="26">
        <v>631</v>
      </c>
      <c r="B921" s="27" t="s">
        <v>909</v>
      </c>
      <c r="C921" s="28">
        <v>41999</v>
      </c>
      <c r="D921" s="27"/>
      <c r="E921" s="27" t="s">
        <v>2846</v>
      </c>
      <c r="F921" s="29" t="s">
        <v>2847</v>
      </c>
      <c r="G921" s="27" t="s">
        <v>2726</v>
      </c>
      <c r="H921" s="27" t="s">
        <v>19</v>
      </c>
      <c r="I921" s="27">
        <v>1</v>
      </c>
      <c r="J921" s="30">
        <v>478617211</v>
      </c>
      <c r="K921" s="26" t="s">
        <v>20</v>
      </c>
      <c r="L921" s="26" t="s">
        <v>233</v>
      </c>
      <c r="M921" s="31" t="s">
        <v>2848</v>
      </c>
      <c r="N921" s="6"/>
      <c r="O921" s="2"/>
      <c r="P921" s="2"/>
      <c r="Q921" s="2"/>
      <c r="R921" s="2"/>
      <c r="S921" s="2"/>
      <c r="T921" s="2"/>
      <c r="U921" s="2"/>
      <c r="V921" s="2"/>
      <c r="W921" s="2"/>
      <c r="X921" s="2"/>
      <c r="Y921" s="2"/>
    </row>
    <row r="922" spans="1:25" ht="25.5" customHeight="1">
      <c r="A922" s="26">
        <v>632</v>
      </c>
      <c r="B922" s="27" t="s">
        <v>909</v>
      </c>
      <c r="C922" s="28">
        <v>41999</v>
      </c>
      <c r="D922" s="27"/>
      <c r="E922" s="27" t="s">
        <v>2849</v>
      </c>
      <c r="F922" s="29" t="s">
        <v>2850</v>
      </c>
      <c r="G922" s="27" t="s">
        <v>2726</v>
      </c>
      <c r="H922" s="27" t="s">
        <v>19</v>
      </c>
      <c r="I922" s="27">
        <v>1</v>
      </c>
      <c r="J922" s="30">
        <v>478617212</v>
      </c>
      <c r="K922" s="26" t="s">
        <v>20</v>
      </c>
      <c r="L922" s="26" t="s">
        <v>233</v>
      </c>
      <c r="M922" s="31" t="s">
        <v>2851</v>
      </c>
      <c r="N922" s="6"/>
      <c r="O922" s="2"/>
      <c r="P922" s="2"/>
      <c r="Q922" s="2"/>
      <c r="R922" s="2"/>
      <c r="S922" s="2"/>
      <c r="T922" s="2"/>
      <c r="U922" s="2"/>
      <c r="V922" s="2"/>
      <c r="W922" s="2"/>
      <c r="X922" s="2"/>
      <c r="Y922" s="2"/>
    </row>
    <row r="923" spans="1:25" ht="25.5" customHeight="1">
      <c r="A923" s="26">
        <v>633</v>
      </c>
      <c r="B923" s="27" t="s">
        <v>2852</v>
      </c>
      <c r="C923" s="28">
        <v>42216</v>
      </c>
      <c r="D923" s="27"/>
      <c r="E923" s="27" t="s">
        <v>2853</v>
      </c>
      <c r="F923" s="29" t="s">
        <v>2854</v>
      </c>
      <c r="G923" s="27" t="s">
        <v>2726</v>
      </c>
      <c r="H923" s="27" t="s">
        <v>19</v>
      </c>
      <c r="I923" s="27">
        <v>1</v>
      </c>
      <c r="J923" s="30">
        <v>115063355</v>
      </c>
      <c r="K923" s="26" t="s">
        <v>20</v>
      </c>
      <c r="L923" s="26" t="s">
        <v>233</v>
      </c>
      <c r="M923" s="31" t="s">
        <v>2845</v>
      </c>
      <c r="N923" s="6"/>
      <c r="O923" s="2"/>
      <c r="P923" s="2"/>
      <c r="Q923" s="2"/>
      <c r="R923" s="2"/>
      <c r="S923" s="2"/>
      <c r="T923" s="2"/>
      <c r="U923" s="2"/>
      <c r="V923" s="2"/>
      <c r="W923" s="2"/>
      <c r="X923" s="2"/>
      <c r="Y923" s="2"/>
    </row>
    <row r="924" spans="1:25" ht="25.5" customHeight="1">
      <c r="A924" s="26">
        <v>634</v>
      </c>
      <c r="B924" s="27" t="s">
        <v>2852</v>
      </c>
      <c r="C924" s="28">
        <v>42216</v>
      </c>
      <c r="D924" s="27"/>
      <c r="E924" s="27" t="s">
        <v>2855</v>
      </c>
      <c r="F924" s="29" t="s">
        <v>2856</v>
      </c>
      <c r="G924" s="27" t="s">
        <v>2726</v>
      </c>
      <c r="H924" s="27" t="s">
        <v>19</v>
      </c>
      <c r="I924" s="27">
        <v>1</v>
      </c>
      <c r="J924" s="30">
        <v>115063355</v>
      </c>
      <c r="K924" s="26" t="s">
        <v>20</v>
      </c>
      <c r="L924" s="26" t="s">
        <v>233</v>
      </c>
      <c r="M924" s="31" t="s">
        <v>2848</v>
      </c>
      <c r="N924" s="6"/>
      <c r="O924" s="2"/>
      <c r="P924" s="2"/>
      <c r="Q924" s="2"/>
      <c r="R924" s="2"/>
      <c r="S924" s="2"/>
      <c r="T924" s="2"/>
      <c r="U924" s="2"/>
      <c r="V924" s="2"/>
      <c r="W924" s="2"/>
      <c r="X924" s="2"/>
      <c r="Y924" s="2"/>
    </row>
    <row r="925" spans="1:25" ht="25.5" customHeight="1">
      <c r="A925" s="26">
        <v>635</v>
      </c>
      <c r="B925" s="27" t="s">
        <v>2852</v>
      </c>
      <c r="C925" s="28">
        <v>42216</v>
      </c>
      <c r="D925" s="27"/>
      <c r="E925" s="27" t="s">
        <v>2857</v>
      </c>
      <c r="F925" s="29" t="s">
        <v>2858</v>
      </c>
      <c r="G925" s="27" t="s">
        <v>2726</v>
      </c>
      <c r="H925" s="27" t="s">
        <v>19</v>
      </c>
      <c r="I925" s="27">
        <v>1</v>
      </c>
      <c r="J925" s="30">
        <v>115063355</v>
      </c>
      <c r="K925" s="26" t="s">
        <v>20</v>
      </c>
      <c r="L925" s="26" t="s">
        <v>233</v>
      </c>
      <c r="M925" s="31" t="s">
        <v>2851</v>
      </c>
      <c r="N925" s="6"/>
      <c r="O925" s="2"/>
      <c r="P925" s="2"/>
      <c r="Q925" s="2"/>
      <c r="R925" s="2"/>
      <c r="S925" s="2"/>
      <c r="T925" s="2"/>
      <c r="U925" s="2"/>
      <c r="V925" s="2"/>
      <c r="W925" s="2"/>
      <c r="X925" s="2"/>
      <c r="Y925" s="2"/>
    </row>
    <row r="926" spans="1:25" ht="25.5" customHeight="1">
      <c r="A926" s="26">
        <v>636</v>
      </c>
      <c r="B926" s="27" t="s">
        <v>973</v>
      </c>
      <c r="C926" s="28">
        <v>43799</v>
      </c>
      <c r="D926" s="27"/>
      <c r="E926" s="27" t="s">
        <v>2859</v>
      </c>
      <c r="F926" s="29" t="s">
        <v>2860</v>
      </c>
      <c r="G926" s="27" t="s">
        <v>55</v>
      </c>
      <c r="H926" s="27" t="s">
        <v>19</v>
      </c>
      <c r="I926" s="27">
        <v>1</v>
      </c>
      <c r="J926" s="30">
        <v>8062243572</v>
      </c>
      <c r="K926" s="26" t="s">
        <v>20</v>
      </c>
      <c r="L926" s="394" t="s">
        <v>295</v>
      </c>
      <c r="M926" s="31" t="s">
        <v>2861</v>
      </c>
      <c r="N926" s="6"/>
      <c r="O926" s="2"/>
      <c r="P926" s="2"/>
      <c r="Q926" s="2"/>
      <c r="R926" s="2"/>
      <c r="S926" s="2"/>
      <c r="T926" s="2"/>
      <c r="U926" s="2"/>
      <c r="V926" s="2"/>
      <c r="W926" s="2"/>
      <c r="X926" s="2"/>
      <c r="Y926" s="2"/>
    </row>
    <row r="927" spans="1:25" ht="12.75" customHeight="1">
      <c r="A927" s="26" t="s">
        <v>2862</v>
      </c>
      <c r="B927" s="27"/>
      <c r="C927" s="28"/>
      <c r="D927" s="27"/>
      <c r="E927" s="27" t="s">
        <v>2863</v>
      </c>
      <c r="F927" s="29" t="s">
        <v>2864</v>
      </c>
      <c r="G927" s="27"/>
      <c r="H927" s="27" t="s">
        <v>249</v>
      </c>
      <c r="I927" s="27">
        <v>1</v>
      </c>
      <c r="J927" s="30">
        <v>0</v>
      </c>
      <c r="K927" s="26" t="s">
        <v>20</v>
      </c>
      <c r="L927" s="394" t="s">
        <v>295</v>
      </c>
      <c r="M927" s="31" t="s">
        <v>2861</v>
      </c>
      <c r="N927" s="6"/>
      <c r="O927" s="2"/>
      <c r="P927" s="2"/>
      <c r="Q927" s="2"/>
      <c r="R927" s="2"/>
      <c r="S927" s="2"/>
      <c r="T927" s="2"/>
      <c r="U927" s="2"/>
      <c r="V927" s="2"/>
      <c r="W927" s="2"/>
      <c r="X927" s="2"/>
      <c r="Y927" s="2"/>
    </row>
    <row r="928" spans="1:25" ht="12.75" customHeight="1">
      <c r="A928" s="26" t="s">
        <v>2865</v>
      </c>
      <c r="B928" s="27"/>
      <c r="C928" s="28"/>
      <c r="D928" s="27"/>
      <c r="E928" s="27" t="s">
        <v>2866</v>
      </c>
      <c r="F928" s="29" t="s">
        <v>2867</v>
      </c>
      <c r="G928" s="27"/>
      <c r="H928" s="27" t="s">
        <v>249</v>
      </c>
      <c r="I928" s="27">
        <v>1</v>
      </c>
      <c r="J928" s="30">
        <v>0</v>
      </c>
      <c r="K928" s="26" t="s">
        <v>20</v>
      </c>
      <c r="L928" s="394" t="s">
        <v>295</v>
      </c>
      <c r="M928" s="31" t="s">
        <v>2861</v>
      </c>
      <c r="N928" s="6"/>
      <c r="O928" s="2"/>
      <c r="P928" s="2"/>
      <c r="Q928" s="2"/>
      <c r="R928" s="2"/>
      <c r="S928" s="2"/>
      <c r="T928" s="2"/>
      <c r="U928" s="2"/>
      <c r="V928" s="2"/>
      <c r="W928" s="2"/>
      <c r="X928" s="2"/>
      <c r="Y928" s="2"/>
    </row>
    <row r="929" spans="1:25" ht="12.75" customHeight="1">
      <c r="A929" s="26" t="s">
        <v>2868</v>
      </c>
      <c r="B929" s="27"/>
      <c r="C929" s="28"/>
      <c r="D929" s="27"/>
      <c r="E929" s="27" t="s">
        <v>2869</v>
      </c>
      <c r="F929" s="29" t="s">
        <v>2870</v>
      </c>
      <c r="G929" s="27"/>
      <c r="H929" s="27" t="s">
        <v>249</v>
      </c>
      <c r="I929" s="27">
        <v>1</v>
      </c>
      <c r="J929" s="30">
        <v>0</v>
      </c>
      <c r="K929" s="26" t="s">
        <v>20</v>
      </c>
      <c r="L929" s="394" t="s">
        <v>295</v>
      </c>
      <c r="M929" s="31" t="s">
        <v>2861</v>
      </c>
      <c r="N929" s="6"/>
      <c r="O929" s="2"/>
      <c r="P929" s="2"/>
      <c r="Q929" s="2"/>
      <c r="R929" s="2"/>
      <c r="S929" s="2"/>
      <c r="T929" s="2"/>
      <c r="U929" s="2"/>
      <c r="V929" s="2"/>
      <c r="W929" s="2"/>
      <c r="X929" s="2"/>
      <c r="Y929" s="2"/>
    </row>
    <row r="930" spans="1:25" ht="12.75" customHeight="1">
      <c r="A930" s="26" t="s">
        <v>2871</v>
      </c>
      <c r="B930" s="27"/>
      <c r="C930" s="28"/>
      <c r="D930" s="27"/>
      <c r="E930" s="27" t="s">
        <v>2872</v>
      </c>
      <c r="F930" s="29" t="s">
        <v>2873</v>
      </c>
      <c r="G930" s="27"/>
      <c r="H930" s="27" t="s">
        <v>249</v>
      </c>
      <c r="I930" s="27">
        <v>1</v>
      </c>
      <c r="J930" s="30">
        <v>0</v>
      </c>
      <c r="K930" s="26" t="s">
        <v>20</v>
      </c>
      <c r="L930" s="394" t="s">
        <v>295</v>
      </c>
      <c r="M930" s="31" t="s">
        <v>2861</v>
      </c>
      <c r="N930" s="6"/>
      <c r="O930" s="2"/>
      <c r="P930" s="2"/>
      <c r="Q930" s="2"/>
      <c r="R930" s="2"/>
      <c r="S930" s="2"/>
      <c r="T930" s="2"/>
      <c r="U930" s="2"/>
      <c r="V930" s="2"/>
      <c r="W930" s="2"/>
      <c r="X930" s="2"/>
      <c r="Y930" s="2"/>
    </row>
    <row r="931" spans="1:25" ht="12.75" customHeight="1">
      <c r="A931" s="26" t="s">
        <v>2874</v>
      </c>
      <c r="B931" s="27"/>
      <c r="C931" s="28"/>
      <c r="D931" s="27"/>
      <c r="E931" s="27" t="s">
        <v>2875</v>
      </c>
      <c r="F931" s="29" t="s">
        <v>2876</v>
      </c>
      <c r="G931" s="27"/>
      <c r="H931" s="27" t="s">
        <v>249</v>
      </c>
      <c r="I931" s="27">
        <v>1</v>
      </c>
      <c r="J931" s="30">
        <v>0</v>
      </c>
      <c r="K931" s="26" t="s">
        <v>20</v>
      </c>
      <c r="L931" s="394" t="s">
        <v>295</v>
      </c>
      <c r="M931" s="31" t="s">
        <v>2861</v>
      </c>
      <c r="N931" s="6"/>
      <c r="O931" s="2"/>
      <c r="P931" s="2"/>
      <c r="Q931" s="2"/>
      <c r="R931" s="2"/>
      <c r="S931" s="2"/>
      <c r="T931" s="2"/>
      <c r="U931" s="2"/>
      <c r="V931" s="2"/>
      <c r="W931" s="2"/>
      <c r="X931" s="2"/>
      <c r="Y931" s="2"/>
    </row>
    <row r="932" spans="1:25" ht="25.5" customHeight="1">
      <c r="A932" s="26">
        <v>637</v>
      </c>
      <c r="B932" s="27" t="s">
        <v>2012</v>
      </c>
      <c r="C932" s="28">
        <v>43798</v>
      </c>
      <c r="D932" s="27"/>
      <c r="E932" s="27" t="s">
        <v>2877</v>
      </c>
      <c r="F932" s="29" t="s">
        <v>2878</v>
      </c>
      <c r="G932" s="27" t="s">
        <v>307</v>
      </c>
      <c r="H932" s="27" t="s">
        <v>249</v>
      </c>
      <c r="I932" s="27">
        <v>1</v>
      </c>
      <c r="J932" s="30">
        <v>78660000</v>
      </c>
      <c r="K932" s="26" t="s">
        <v>20</v>
      </c>
      <c r="L932" s="36" t="s">
        <v>229</v>
      </c>
      <c r="M932" s="31" t="s">
        <v>5271</v>
      </c>
      <c r="N932" s="6"/>
      <c r="O932" s="2"/>
      <c r="P932" s="2"/>
      <c r="Q932" s="2"/>
      <c r="R932" s="2"/>
      <c r="S932" s="2"/>
      <c r="T932" s="2"/>
      <c r="U932" s="2"/>
      <c r="V932" s="2"/>
      <c r="W932" s="2"/>
      <c r="X932" s="2"/>
      <c r="Y932" s="2"/>
    </row>
    <row r="933" spans="1:25" ht="25.5" customHeight="1">
      <c r="A933" s="26" t="s">
        <v>2879</v>
      </c>
      <c r="B933" s="27"/>
      <c r="C933" s="28"/>
      <c r="D933" s="27"/>
      <c r="E933" s="27" t="s">
        <v>2880</v>
      </c>
      <c r="F933" s="29" t="s">
        <v>2881</v>
      </c>
      <c r="G933" s="27" t="s">
        <v>1008</v>
      </c>
      <c r="H933" s="27" t="s">
        <v>249</v>
      </c>
      <c r="I933" s="27">
        <v>1</v>
      </c>
      <c r="J933" s="30">
        <v>27560000</v>
      </c>
      <c r="K933" s="26" t="s">
        <v>20</v>
      </c>
      <c r="L933" s="36" t="s">
        <v>229</v>
      </c>
      <c r="M933" s="31" t="s">
        <v>5272</v>
      </c>
      <c r="N933" s="6"/>
      <c r="O933" s="2"/>
      <c r="P933" s="2"/>
      <c r="Q933" s="2"/>
      <c r="R933" s="2"/>
      <c r="S933" s="2"/>
      <c r="T933" s="2"/>
      <c r="U933" s="2"/>
      <c r="V933" s="2"/>
      <c r="W933" s="2"/>
      <c r="X933" s="2"/>
      <c r="Y933" s="2"/>
    </row>
    <row r="934" spans="1:25" ht="25.5" customHeight="1">
      <c r="A934" s="26">
        <v>638</v>
      </c>
      <c r="B934" s="27" t="s">
        <v>2012</v>
      </c>
      <c r="C934" s="28">
        <v>43798</v>
      </c>
      <c r="D934" s="27"/>
      <c r="E934" s="27" t="s">
        <v>2882</v>
      </c>
      <c r="F934" s="29" t="s">
        <v>2883</v>
      </c>
      <c r="G934" s="27" t="s">
        <v>307</v>
      </c>
      <c r="H934" s="27" t="s">
        <v>249</v>
      </c>
      <c r="I934" s="27">
        <v>1</v>
      </c>
      <c r="J934" s="30">
        <v>71490000</v>
      </c>
      <c r="K934" s="26" t="s">
        <v>20</v>
      </c>
      <c r="L934" s="36" t="s">
        <v>229</v>
      </c>
      <c r="M934" s="31" t="s">
        <v>1224</v>
      </c>
      <c r="N934" s="6"/>
      <c r="O934" s="2"/>
      <c r="P934" s="2"/>
      <c r="Q934" s="2"/>
      <c r="R934" s="2"/>
      <c r="S934" s="2"/>
      <c r="T934" s="2"/>
      <c r="U934" s="2"/>
      <c r="V934" s="2"/>
      <c r="W934" s="2"/>
      <c r="X934" s="2"/>
      <c r="Y934" s="2"/>
    </row>
    <row r="935" spans="1:25" ht="12.75" customHeight="1">
      <c r="A935" s="26" t="s">
        <v>2884</v>
      </c>
      <c r="B935" s="27"/>
      <c r="C935" s="28"/>
      <c r="D935" s="27"/>
      <c r="E935" s="27" t="s">
        <v>2885</v>
      </c>
      <c r="F935" s="29" t="s">
        <v>2886</v>
      </c>
      <c r="G935" s="27" t="s">
        <v>248</v>
      </c>
      <c r="H935" s="27" t="s">
        <v>249</v>
      </c>
      <c r="I935" s="27">
        <v>1</v>
      </c>
      <c r="J935" s="30">
        <v>20390000</v>
      </c>
      <c r="K935" s="26" t="s">
        <v>20</v>
      </c>
      <c r="L935" s="36" t="s">
        <v>229</v>
      </c>
      <c r="M935" s="31" t="s">
        <v>1224</v>
      </c>
      <c r="N935" s="6"/>
      <c r="O935" s="2"/>
      <c r="P935" s="2"/>
      <c r="Q935" s="2"/>
      <c r="R935" s="2"/>
      <c r="S935" s="2"/>
      <c r="T935" s="2"/>
      <c r="U935" s="2"/>
      <c r="V935" s="2"/>
      <c r="W935" s="2"/>
      <c r="X935" s="2"/>
      <c r="Y935" s="2"/>
    </row>
    <row r="936" spans="1:25" ht="25.5" customHeight="1">
      <c r="A936" s="26">
        <v>639</v>
      </c>
      <c r="B936" s="27" t="s">
        <v>2012</v>
      </c>
      <c r="C936" s="28">
        <v>43798</v>
      </c>
      <c r="D936" s="27"/>
      <c r="E936" s="27" t="s">
        <v>2887</v>
      </c>
      <c r="F936" s="29" t="s">
        <v>2888</v>
      </c>
      <c r="G936" s="27" t="s">
        <v>307</v>
      </c>
      <c r="H936" s="27" t="s">
        <v>249</v>
      </c>
      <c r="I936" s="27">
        <v>1</v>
      </c>
      <c r="J936" s="30">
        <v>71490000</v>
      </c>
      <c r="K936" s="26" t="s">
        <v>20</v>
      </c>
      <c r="L936" s="36" t="s">
        <v>229</v>
      </c>
      <c r="M936" s="31" t="s">
        <v>1224</v>
      </c>
      <c r="N936" s="6"/>
      <c r="O936" s="2"/>
      <c r="P936" s="2"/>
      <c r="Q936" s="2"/>
      <c r="R936" s="2"/>
      <c r="S936" s="2"/>
      <c r="T936" s="2"/>
      <c r="U936" s="2"/>
      <c r="V936" s="2"/>
      <c r="W936" s="2"/>
      <c r="X936" s="2"/>
      <c r="Y936" s="2"/>
    </row>
    <row r="937" spans="1:25" ht="12.75" customHeight="1">
      <c r="A937" s="26" t="s">
        <v>2889</v>
      </c>
      <c r="B937" s="27"/>
      <c r="C937" s="28"/>
      <c r="D937" s="27"/>
      <c r="E937" s="27" t="s">
        <v>2890</v>
      </c>
      <c r="F937" s="29" t="s">
        <v>2891</v>
      </c>
      <c r="G937" s="27" t="s">
        <v>248</v>
      </c>
      <c r="H937" s="27" t="s">
        <v>249</v>
      </c>
      <c r="I937" s="27">
        <v>1</v>
      </c>
      <c r="J937" s="30">
        <v>20390000</v>
      </c>
      <c r="K937" s="26" t="s">
        <v>20</v>
      </c>
      <c r="L937" s="36" t="s">
        <v>229</v>
      </c>
      <c r="M937" s="31" t="s">
        <v>1224</v>
      </c>
      <c r="N937" s="6"/>
      <c r="O937" s="2"/>
      <c r="P937" s="2"/>
      <c r="Q937" s="2"/>
      <c r="R937" s="2"/>
      <c r="S937" s="2"/>
      <c r="T937" s="2"/>
      <c r="U937" s="2"/>
      <c r="V937" s="2"/>
      <c r="W937" s="2"/>
      <c r="X937" s="2"/>
      <c r="Y937" s="2"/>
    </row>
    <row r="938" spans="1:25" ht="12.75" customHeight="1">
      <c r="A938" s="26">
        <v>640</v>
      </c>
      <c r="B938" s="27" t="s">
        <v>281</v>
      </c>
      <c r="C938" s="28">
        <v>41044</v>
      </c>
      <c r="D938" s="27"/>
      <c r="E938" s="27" t="s">
        <v>2892</v>
      </c>
      <c r="F938" s="29" t="s">
        <v>2893</v>
      </c>
      <c r="G938" s="27" t="s">
        <v>35</v>
      </c>
      <c r="H938" s="27" t="s">
        <v>19</v>
      </c>
      <c r="I938" s="27">
        <v>1</v>
      </c>
      <c r="J938" s="30">
        <v>229000000</v>
      </c>
      <c r="K938" s="26" t="s">
        <v>20</v>
      </c>
      <c r="L938" s="36" t="s">
        <v>229</v>
      </c>
      <c r="M938" s="31" t="s">
        <v>5273</v>
      </c>
      <c r="N938" s="6"/>
      <c r="O938" s="2"/>
      <c r="P938" s="2"/>
      <c r="Q938" s="2"/>
      <c r="R938" s="2"/>
      <c r="S938" s="2"/>
      <c r="T938" s="2"/>
      <c r="U938" s="2"/>
      <c r="V938" s="2"/>
      <c r="W938" s="2"/>
      <c r="X938" s="2"/>
      <c r="Y938" s="2"/>
    </row>
    <row r="939" spans="1:25" ht="12.75" customHeight="1">
      <c r="A939" s="26" t="s">
        <v>2894</v>
      </c>
      <c r="B939" s="27"/>
      <c r="C939" s="28"/>
      <c r="D939" s="27"/>
      <c r="E939" s="27" t="s">
        <v>2895</v>
      </c>
      <c r="F939" s="29" t="s">
        <v>2896</v>
      </c>
      <c r="G939" s="27"/>
      <c r="H939" s="27"/>
      <c r="I939" s="27">
        <v>1</v>
      </c>
      <c r="J939" s="30">
        <v>0</v>
      </c>
      <c r="K939" s="26" t="s">
        <v>20</v>
      </c>
      <c r="L939" s="36" t="s">
        <v>229</v>
      </c>
      <c r="M939" s="31" t="s">
        <v>5180</v>
      </c>
      <c r="N939" s="6"/>
      <c r="O939" s="2"/>
      <c r="P939" s="2"/>
      <c r="Q939" s="2"/>
      <c r="R939" s="2"/>
      <c r="S939" s="2"/>
      <c r="T939" s="2"/>
      <c r="U939" s="2"/>
      <c r="V939" s="2"/>
      <c r="W939" s="2"/>
      <c r="X939" s="2"/>
      <c r="Y939" s="2"/>
    </row>
    <row r="940" spans="1:25" ht="25.5" customHeight="1">
      <c r="A940" s="26">
        <v>641</v>
      </c>
      <c r="B940" s="27" t="s">
        <v>388</v>
      </c>
      <c r="C940" s="28">
        <v>41576</v>
      </c>
      <c r="D940" s="27"/>
      <c r="E940" s="27" t="s">
        <v>2897</v>
      </c>
      <c r="F940" s="29" t="s">
        <v>2898</v>
      </c>
      <c r="G940" s="27" t="s">
        <v>307</v>
      </c>
      <c r="H940" s="27" t="s">
        <v>249</v>
      </c>
      <c r="I940" s="27">
        <v>1</v>
      </c>
      <c r="J940" s="30">
        <v>338510737</v>
      </c>
      <c r="K940" s="26" t="s">
        <v>36</v>
      </c>
      <c r="L940" s="26" t="s">
        <v>37</v>
      </c>
      <c r="M940" s="31" t="s">
        <v>2899</v>
      </c>
      <c r="N940" s="6"/>
      <c r="O940" s="2"/>
      <c r="P940" s="2"/>
      <c r="Q940" s="2"/>
      <c r="R940" s="2"/>
      <c r="S940" s="2"/>
      <c r="T940" s="2"/>
      <c r="U940" s="2"/>
      <c r="V940" s="2"/>
      <c r="W940" s="2"/>
      <c r="X940" s="2"/>
      <c r="Y940" s="2"/>
    </row>
    <row r="941" spans="1:25" ht="25.5" customHeight="1">
      <c r="A941" s="26">
        <v>642</v>
      </c>
      <c r="B941" s="27" t="s">
        <v>388</v>
      </c>
      <c r="C941" s="28">
        <v>41576</v>
      </c>
      <c r="D941" s="27"/>
      <c r="E941" s="27" t="s">
        <v>2900</v>
      </c>
      <c r="F941" s="29" t="s">
        <v>2901</v>
      </c>
      <c r="G941" s="27" t="s">
        <v>307</v>
      </c>
      <c r="H941" s="27" t="s">
        <v>249</v>
      </c>
      <c r="I941" s="27">
        <v>1</v>
      </c>
      <c r="J941" s="30">
        <v>338510737</v>
      </c>
      <c r="K941" s="26" t="s">
        <v>36</v>
      </c>
      <c r="L941" s="26" t="s">
        <v>37</v>
      </c>
      <c r="M941" s="31" t="s">
        <v>2899</v>
      </c>
      <c r="N941" s="6"/>
      <c r="O941" s="2"/>
      <c r="P941" s="2"/>
      <c r="Q941" s="2"/>
      <c r="R941" s="2"/>
      <c r="S941" s="2"/>
      <c r="T941" s="2"/>
      <c r="U941" s="2"/>
      <c r="V941" s="2"/>
      <c r="W941" s="2"/>
      <c r="X941" s="2"/>
      <c r="Y941" s="2"/>
    </row>
    <row r="942" spans="1:25" ht="25.5" customHeight="1">
      <c r="A942" s="26">
        <v>643</v>
      </c>
      <c r="B942" s="27" t="s">
        <v>388</v>
      </c>
      <c r="C942" s="28">
        <v>41576</v>
      </c>
      <c r="D942" s="27"/>
      <c r="E942" s="27" t="s">
        <v>2902</v>
      </c>
      <c r="F942" s="29" t="s">
        <v>2903</v>
      </c>
      <c r="G942" s="27" t="s">
        <v>307</v>
      </c>
      <c r="H942" s="27" t="s">
        <v>249</v>
      </c>
      <c r="I942" s="27">
        <v>1</v>
      </c>
      <c r="J942" s="30">
        <v>338510737</v>
      </c>
      <c r="K942" s="26" t="s">
        <v>36</v>
      </c>
      <c r="L942" s="26" t="s">
        <v>37</v>
      </c>
      <c r="M942" s="31" t="s">
        <v>2899</v>
      </c>
      <c r="N942" s="6"/>
      <c r="O942" s="2"/>
      <c r="P942" s="2"/>
      <c r="Q942" s="2"/>
      <c r="R942" s="2"/>
      <c r="S942" s="2"/>
      <c r="T942" s="2"/>
      <c r="U942" s="2"/>
      <c r="V942" s="2"/>
      <c r="W942" s="2"/>
      <c r="X942" s="2"/>
      <c r="Y942" s="2"/>
    </row>
    <row r="943" spans="1:25" ht="12.75" customHeight="1">
      <c r="A943" s="38">
        <v>644</v>
      </c>
      <c r="B943" s="27" t="s">
        <v>1005</v>
      </c>
      <c r="C943" s="40">
        <v>39994</v>
      </c>
      <c r="D943" s="27"/>
      <c r="E943" s="39" t="s">
        <v>2904</v>
      </c>
      <c r="F943" s="41" t="s">
        <v>2905</v>
      </c>
      <c r="G943" s="27" t="s">
        <v>248</v>
      </c>
      <c r="H943" s="27" t="s">
        <v>569</v>
      </c>
      <c r="I943" s="27">
        <v>1</v>
      </c>
      <c r="J943" s="42">
        <v>103101638</v>
      </c>
      <c r="K943" s="38" t="s">
        <v>206</v>
      </c>
      <c r="L943" s="38" t="s">
        <v>2906</v>
      </c>
      <c r="M943" s="43" t="s">
        <v>2907</v>
      </c>
      <c r="N943" s="6"/>
      <c r="O943" s="2"/>
      <c r="P943" s="2"/>
      <c r="Q943" s="2"/>
      <c r="R943" s="2"/>
      <c r="S943" s="2"/>
      <c r="T943" s="2"/>
      <c r="U943" s="2"/>
      <c r="V943" s="2"/>
      <c r="W943" s="2"/>
      <c r="X943" s="2"/>
      <c r="Y943" s="2"/>
    </row>
    <row r="944" spans="1:25" ht="25.5" customHeight="1">
      <c r="A944" s="26">
        <v>645</v>
      </c>
      <c r="B944" s="27" t="s">
        <v>1005</v>
      </c>
      <c r="C944" s="28">
        <v>39994</v>
      </c>
      <c r="D944" s="27"/>
      <c r="E944" s="27" t="s">
        <v>2908</v>
      </c>
      <c r="F944" s="29" t="s">
        <v>2909</v>
      </c>
      <c r="G944" s="27" t="s">
        <v>1008</v>
      </c>
      <c r="H944" s="27" t="s">
        <v>569</v>
      </c>
      <c r="I944" s="27">
        <v>1</v>
      </c>
      <c r="J944" s="30">
        <v>103874900</v>
      </c>
      <c r="K944" s="26" t="s">
        <v>20</v>
      </c>
      <c r="L944" s="36" t="s">
        <v>229</v>
      </c>
      <c r="M944" s="48" t="s">
        <v>5209</v>
      </c>
      <c r="N944" s="6"/>
      <c r="O944" s="2"/>
      <c r="P944" s="2"/>
      <c r="Q944" s="2"/>
      <c r="R944" s="2"/>
      <c r="S944" s="2"/>
      <c r="T944" s="2"/>
      <c r="U944" s="2"/>
      <c r="V944" s="2"/>
      <c r="W944" s="2"/>
      <c r="X944" s="2"/>
      <c r="Y944" s="2"/>
    </row>
    <row r="945" spans="1:25" ht="12.75" customHeight="1">
      <c r="A945" s="26">
        <v>646</v>
      </c>
      <c r="B945" s="27" t="s">
        <v>2910</v>
      </c>
      <c r="C945" s="28">
        <v>40652</v>
      </c>
      <c r="D945" s="27"/>
      <c r="E945" s="27" t="s">
        <v>2911</v>
      </c>
      <c r="F945" s="29" t="s">
        <v>2912</v>
      </c>
      <c r="G945" s="27" t="s">
        <v>248</v>
      </c>
      <c r="H945" s="27" t="s">
        <v>249</v>
      </c>
      <c r="I945" s="27">
        <v>1</v>
      </c>
      <c r="J945" s="30">
        <v>105977357</v>
      </c>
      <c r="K945" s="26" t="s">
        <v>20</v>
      </c>
      <c r="L945" s="26" t="s">
        <v>233</v>
      </c>
      <c r="M945" s="31" t="s">
        <v>2913</v>
      </c>
      <c r="N945" s="6"/>
      <c r="O945" s="2"/>
      <c r="P945" s="2"/>
      <c r="Q945" s="2"/>
      <c r="R945" s="2"/>
      <c r="S945" s="2"/>
      <c r="T945" s="2"/>
      <c r="U945" s="2"/>
      <c r="V945" s="2"/>
      <c r="W945" s="2"/>
      <c r="X945" s="2"/>
      <c r="Y945" s="2"/>
    </row>
    <row r="946" spans="1:25" ht="12.75" customHeight="1">
      <c r="A946" s="26">
        <v>647</v>
      </c>
      <c r="B946" s="27" t="s">
        <v>2910</v>
      </c>
      <c r="C946" s="28">
        <v>40652</v>
      </c>
      <c r="D946" s="27"/>
      <c r="E946" s="27" t="s">
        <v>2914</v>
      </c>
      <c r="F946" s="29" t="s">
        <v>2915</v>
      </c>
      <c r="G946" s="27" t="s">
        <v>248</v>
      </c>
      <c r="H946" s="27" t="s">
        <v>249</v>
      </c>
      <c r="I946" s="27">
        <v>1</v>
      </c>
      <c r="J946" s="30">
        <v>105977357</v>
      </c>
      <c r="K946" s="26" t="s">
        <v>20</v>
      </c>
      <c r="L946" s="26" t="s">
        <v>423</v>
      </c>
      <c r="M946" s="31" t="s">
        <v>5274</v>
      </c>
      <c r="N946" s="6"/>
      <c r="O946" s="2"/>
      <c r="P946" s="2"/>
      <c r="Q946" s="2"/>
      <c r="R946" s="2"/>
      <c r="S946" s="2"/>
      <c r="T946" s="2"/>
      <c r="U946" s="2"/>
      <c r="V946" s="2"/>
      <c r="W946" s="2"/>
      <c r="X946" s="2"/>
      <c r="Y946" s="2"/>
    </row>
    <row r="947" spans="1:25" ht="25.5" customHeight="1">
      <c r="A947" s="26">
        <v>648</v>
      </c>
      <c r="B947" s="27" t="s">
        <v>42</v>
      </c>
      <c r="C947" s="28">
        <v>40702</v>
      </c>
      <c r="D947" s="27"/>
      <c r="E947" s="27" t="s">
        <v>2917</v>
      </c>
      <c r="F947" s="29" t="s">
        <v>2918</v>
      </c>
      <c r="G947" s="27" t="s">
        <v>1008</v>
      </c>
      <c r="H947" s="27" t="s">
        <v>249</v>
      </c>
      <c r="I947" s="27">
        <v>1</v>
      </c>
      <c r="J947" s="30">
        <v>107941512</v>
      </c>
      <c r="K947" s="26" t="s">
        <v>20</v>
      </c>
      <c r="L947" s="26" t="s">
        <v>233</v>
      </c>
      <c r="M947" s="31" t="s">
        <v>2919</v>
      </c>
      <c r="N947" s="6"/>
      <c r="O947" s="2"/>
      <c r="P947" s="2"/>
      <c r="Q947" s="2"/>
      <c r="R947" s="2"/>
      <c r="S947" s="2"/>
      <c r="T947" s="2"/>
      <c r="U947" s="2"/>
      <c r="V947" s="2"/>
      <c r="W947" s="2"/>
      <c r="X947" s="2"/>
      <c r="Y947" s="2"/>
    </row>
    <row r="948" spans="1:25" ht="25.5" customHeight="1">
      <c r="A948" s="26">
        <v>649</v>
      </c>
      <c r="B948" s="27" t="s">
        <v>42</v>
      </c>
      <c r="C948" s="28">
        <v>40702</v>
      </c>
      <c r="D948" s="27"/>
      <c r="E948" s="27" t="s">
        <v>2920</v>
      </c>
      <c r="F948" s="29" t="s">
        <v>2921</v>
      </c>
      <c r="G948" s="27" t="s">
        <v>1008</v>
      </c>
      <c r="H948" s="27" t="s">
        <v>249</v>
      </c>
      <c r="I948" s="27">
        <v>1</v>
      </c>
      <c r="J948" s="30">
        <v>107941512</v>
      </c>
      <c r="K948" s="26" t="s">
        <v>20</v>
      </c>
      <c r="L948" s="26" t="s">
        <v>233</v>
      </c>
      <c r="M948" s="31" t="s">
        <v>5275</v>
      </c>
      <c r="N948" s="6"/>
      <c r="O948" s="2"/>
      <c r="P948" s="2"/>
      <c r="Q948" s="2"/>
      <c r="R948" s="2"/>
      <c r="S948" s="2"/>
      <c r="T948" s="2"/>
      <c r="U948" s="2"/>
      <c r="V948" s="2"/>
      <c r="W948" s="2"/>
      <c r="X948" s="2"/>
      <c r="Y948" s="2"/>
    </row>
    <row r="949" spans="1:25" ht="12.75" customHeight="1">
      <c r="A949" s="26">
        <v>650</v>
      </c>
      <c r="B949" s="27" t="s">
        <v>2041</v>
      </c>
      <c r="C949" s="28">
        <v>42184</v>
      </c>
      <c r="D949" s="27"/>
      <c r="E949" s="27" t="s">
        <v>2923</v>
      </c>
      <c r="F949" s="29" t="s">
        <v>2924</v>
      </c>
      <c r="G949" s="27" t="s">
        <v>55</v>
      </c>
      <c r="H949" s="27" t="s">
        <v>19</v>
      </c>
      <c r="I949" s="27">
        <v>1</v>
      </c>
      <c r="J949" s="30">
        <v>133099518</v>
      </c>
      <c r="K949" s="26" t="s">
        <v>20</v>
      </c>
      <c r="L949" s="36" t="s">
        <v>229</v>
      </c>
      <c r="M949" s="31" t="s">
        <v>5276</v>
      </c>
      <c r="N949" s="6"/>
      <c r="O949" s="2"/>
      <c r="P949" s="2"/>
      <c r="Q949" s="2"/>
      <c r="R949" s="2"/>
      <c r="S949" s="2"/>
      <c r="T949" s="2"/>
      <c r="U949" s="2"/>
      <c r="V949" s="2"/>
      <c r="W949" s="2"/>
      <c r="X949" s="2"/>
      <c r="Y949" s="2"/>
    </row>
    <row r="950" spans="1:25" ht="12.75" customHeight="1">
      <c r="A950" s="26">
        <v>651</v>
      </c>
      <c r="B950" s="27" t="s">
        <v>2041</v>
      </c>
      <c r="C950" s="28">
        <v>42184</v>
      </c>
      <c r="D950" s="27"/>
      <c r="E950" s="27" t="s">
        <v>2925</v>
      </c>
      <c r="F950" s="29" t="s">
        <v>2926</v>
      </c>
      <c r="G950" s="27" t="s">
        <v>55</v>
      </c>
      <c r="H950" s="27" t="s">
        <v>19</v>
      </c>
      <c r="I950" s="27">
        <v>1</v>
      </c>
      <c r="J950" s="30">
        <v>133099518</v>
      </c>
      <c r="K950" s="26" t="s">
        <v>20</v>
      </c>
      <c r="L950" s="26" t="s">
        <v>233</v>
      </c>
      <c r="M950" s="31" t="s">
        <v>2927</v>
      </c>
      <c r="N950" s="6"/>
      <c r="O950" s="2"/>
      <c r="P950" s="2"/>
      <c r="Q950" s="2"/>
      <c r="R950" s="2"/>
      <c r="S950" s="2"/>
      <c r="T950" s="2"/>
      <c r="U950" s="2"/>
      <c r="V950" s="2"/>
      <c r="W950" s="2"/>
      <c r="X950" s="2"/>
      <c r="Y950" s="2"/>
    </row>
    <row r="951" spans="1:25" ht="25.5" customHeight="1">
      <c r="A951" s="26">
        <v>652</v>
      </c>
      <c r="B951" s="27" t="s">
        <v>938</v>
      </c>
      <c r="C951" s="28">
        <v>42368</v>
      </c>
      <c r="D951" s="27"/>
      <c r="E951" s="27" t="s">
        <v>2928</v>
      </c>
      <c r="F951" s="29" t="s">
        <v>2929</v>
      </c>
      <c r="G951" s="27" t="s">
        <v>45</v>
      </c>
      <c r="H951" s="27" t="s">
        <v>19</v>
      </c>
      <c r="I951" s="27">
        <v>1</v>
      </c>
      <c r="J951" s="30">
        <v>237768948</v>
      </c>
      <c r="K951" s="26" t="s">
        <v>20</v>
      </c>
      <c r="L951" s="26" t="s">
        <v>233</v>
      </c>
      <c r="M951" s="31" t="s">
        <v>5277</v>
      </c>
      <c r="N951" s="6"/>
      <c r="O951" s="2"/>
      <c r="P951" s="2"/>
      <c r="Q951" s="2"/>
      <c r="R951" s="2"/>
      <c r="S951" s="2"/>
      <c r="T951" s="2"/>
      <c r="U951" s="2"/>
      <c r="V951" s="2"/>
      <c r="W951" s="2"/>
      <c r="X951" s="2"/>
      <c r="Y951" s="2"/>
    </row>
    <row r="952" spans="1:25" ht="25.5" customHeight="1">
      <c r="A952" s="26">
        <v>653</v>
      </c>
      <c r="B952" s="27" t="s">
        <v>938</v>
      </c>
      <c r="C952" s="28">
        <v>42368</v>
      </c>
      <c r="D952" s="27"/>
      <c r="E952" s="27" t="s">
        <v>2931</v>
      </c>
      <c r="F952" s="29" t="s">
        <v>2932</v>
      </c>
      <c r="G952" s="27" t="s">
        <v>45</v>
      </c>
      <c r="H952" s="27" t="s">
        <v>19</v>
      </c>
      <c r="I952" s="27">
        <v>1</v>
      </c>
      <c r="J952" s="30">
        <v>237768948</v>
      </c>
      <c r="K952" s="26" t="s">
        <v>20</v>
      </c>
      <c r="L952" s="26" t="s">
        <v>233</v>
      </c>
      <c r="M952" s="31" t="s">
        <v>5278</v>
      </c>
      <c r="N952" s="6"/>
      <c r="O952" s="2"/>
      <c r="P952" s="2"/>
      <c r="Q952" s="2"/>
      <c r="R952" s="2"/>
      <c r="S952" s="2"/>
      <c r="T952" s="2"/>
      <c r="U952" s="2"/>
      <c r="V952" s="2"/>
      <c r="W952" s="2"/>
      <c r="X952" s="2"/>
      <c r="Y952" s="2"/>
    </row>
    <row r="953" spans="1:25" ht="25.5" customHeight="1">
      <c r="A953" s="26">
        <v>654</v>
      </c>
      <c r="B953" s="27" t="s">
        <v>599</v>
      </c>
      <c r="C953" s="28">
        <v>42671</v>
      </c>
      <c r="D953" s="27"/>
      <c r="E953" s="27" t="s">
        <v>2934</v>
      </c>
      <c r="F953" s="29" t="s">
        <v>2935</v>
      </c>
      <c r="G953" s="27" t="s">
        <v>248</v>
      </c>
      <c r="H953" s="27" t="s">
        <v>249</v>
      </c>
      <c r="I953" s="27">
        <v>1</v>
      </c>
      <c r="J953" s="30">
        <v>83104056</v>
      </c>
      <c r="K953" s="26" t="s">
        <v>36</v>
      </c>
      <c r="L953" s="26" t="s">
        <v>2054</v>
      </c>
      <c r="M953" s="31" t="s">
        <v>2936</v>
      </c>
      <c r="N953" s="6"/>
      <c r="O953" s="2"/>
      <c r="P953" s="2"/>
      <c r="Q953" s="2"/>
      <c r="R953" s="2"/>
      <c r="S953" s="2"/>
      <c r="T953" s="2"/>
      <c r="U953" s="2"/>
      <c r="V953" s="2"/>
      <c r="W953" s="2"/>
      <c r="X953" s="2"/>
      <c r="Y953" s="2"/>
    </row>
    <row r="954" spans="1:25" ht="25.5" customHeight="1">
      <c r="A954" s="26">
        <v>655</v>
      </c>
      <c r="B954" s="27" t="s">
        <v>599</v>
      </c>
      <c r="C954" s="28">
        <v>42671</v>
      </c>
      <c r="D954" s="27"/>
      <c r="E954" s="27" t="s">
        <v>2937</v>
      </c>
      <c r="F954" s="29" t="s">
        <v>2938</v>
      </c>
      <c r="G954" s="27" t="s">
        <v>248</v>
      </c>
      <c r="H954" s="27" t="s">
        <v>249</v>
      </c>
      <c r="I954" s="27">
        <v>1</v>
      </c>
      <c r="J954" s="30">
        <v>83104056</v>
      </c>
      <c r="K954" s="26" t="s">
        <v>36</v>
      </c>
      <c r="L954" s="45" t="s">
        <v>169</v>
      </c>
      <c r="M954" s="46" t="s">
        <v>2939</v>
      </c>
      <c r="N954" s="6"/>
      <c r="O954" s="2"/>
      <c r="P954" s="2"/>
      <c r="Q954" s="2"/>
      <c r="R954" s="2"/>
      <c r="S954" s="2"/>
      <c r="T954" s="2"/>
      <c r="U954" s="2"/>
      <c r="V954" s="2"/>
      <c r="W954" s="2"/>
      <c r="X954" s="2"/>
      <c r="Y954" s="2"/>
    </row>
    <row r="955" spans="1:25" ht="25.5" customHeight="1">
      <c r="A955" s="26">
        <v>656</v>
      </c>
      <c r="B955" s="27" t="s">
        <v>599</v>
      </c>
      <c r="C955" s="28">
        <v>42671</v>
      </c>
      <c r="D955" s="27"/>
      <c r="E955" s="27" t="s">
        <v>2940</v>
      </c>
      <c r="F955" s="29" t="s">
        <v>2941</v>
      </c>
      <c r="G955" s="27" t="s">
        <v>248</v>
      </c>
      <c r="H955" s="27" t="s">
        <v>249</v>
      </c>
      <c r="I955" s="27">
        <v>1</v>
      </c>
      <c r="J955" s="30">
        <v>83104056</v>
      </c>
      <c r="K955" s="26" t="s">
        <v>36</v>
      </c>
      <c r="L955" s="26" t="s">
        <v>2054</v>
      </c>
      <c r="M955" s="31" t="s">
        <v>2942</v>
      </c>
      <c r="N955" s="6"/>
      <c r="O955" s="2"/>
      <c r="P955" s="2"/>
      <c r="Q955" s="2"/>
      <c r="R955" s="2"/>
      <c r="S955" s="2"/>
      <c r="T955" s="2"/>
      <c r="U955" s="2"/>
      <c r="V955" s="2"/>
      <c r="W955" s="2"/>
      <c r="X955" s="2"/>
      <c r="Y955" s="2"/>
    </row>
    <row r="956" spans="1:25" ht="25.5" customHeight="1">
      <c r="A956" s="26">
        <v>657</v>
      </c>
      <c r="B956" s="27" t="s">
        <v>599</v>
      </c>
      <c r="C956" s="28">
        <v>42671</v>
      </c>
      <c r="D956" s="27"/>
      <c r="E956" s="27" t="s">
        <v>2943</v>
      </c>
      <c r="F956" s="29" t="s">
        <v>2944</v>
      </c>
      <c r="G956" s="27" t="s">
        <v>248</v>
      </c>
      <c r="H956" s="27" t="s">
        <v>249</v>
      </c>
      <c r="I956" s="27">
        <v>1</v>
      </c>
      <c r="J956" s="30">
        <v>83104057</v>
      </c>
      <c r="K956" s="26" t="s">
        <v>36</v>
      </c>
      <c r="L956" s="45" t="s">
        <v>169</v>
      </c>
      <c r="M956" s="46" t="s">
        <v>2939</v>
      </c>
      <c r="N956" s="6"/>
      <c r="O956" s="2"/>
      <c r="P956" s="2"/>
      <c r="Q956" s="2"/>
      <c r="R956" s="2"/>
      <c r="S956" s="2"/>
      <c r="T956" s="2"/>
      <c r="U956" s="2"/>
      <c r="V956" s="2"/>
      <c r="W956" s="2"/>
      <c r="X956" s="2"/>
      <c r="Y956" s="2"/>
    </row>
    <row r="957" spans="1:25" ht="25.5" customHeight="1">
      <c r="A957" s="26">
        <v>658</v>
      </c>
      <c r="B957" s="27" t="s">
        <v>599</v>
      </c>
      <c r="C957" s="28">
        <v>42671</v>
      </c>
      <c r="D957" s="27"/>
      <c r="E957" s="27" t="s">
        <v>2945</v>
      </c>
      <c r="F957" s="29" t="s">
        <v>2946</v>
      </c>
      <c r="G957" s="27" t="s">
        <v>1754</v>
      </c>
      <c r="H957" s="27" t="s">
        <v>249</v>
      </c>
      <c r="I957" s="27">
        <v>1</v>
      </c>
      <c r="J957" s="30">
        <v>87259259</v>
      </c>
      <c r="K957" s="26" t="s">
        <v>36</v>
      </c>
      <c r="L957" s="26" t="s">
        <v>2054</v>
      </c>
      <c r="M957" s="31" t="s">
        <v>2947</v>
      </c>
      <c r="N957" s="6"/>
      <c r="O957" s="2"/>
      <c r="P957" s="2"/>
      <c r="Q957" s="2"/>
      <c r="R957" s="2"/>
      <c r="S957" s="2"/>
      <c r="T957" s="2"/>
      <c r="U957" s="2"/>
      <c r="V957" s="2"/>
      <c r="W957" s="2"/>
      <c r="X957" s="2"/>
      <c r="Y957" s="2"/>
    </row>
    <row r="958" spans="1:25" ht="25.5" customHeight="1">
      <c r="A958" s="26">
        <v>659</v>
      </c>
      <c r="B958" s="27" t="s">
        <v>599</v>
      </c>
      <c r="C958" s="28">
        <v>42671</v>
      </c>
      <c r="D958" s="27"/>
      <c r="E958" s="27" t="s">
        <v>2948</v>
      </c>
      <c r="F958" s="29" t="s">
        <v>2949</v>
      </c>
      <c r="G958" s="27" t="s">
        <v>1754</v>
      </c>
      <c r="H958" s="27" t="s">
        <v>249</v>
      </c>
      <c r="I958" s="27">
        <v>1</v>
      </c>
      <c r="J958" s="30">
        <v>87259259</v>
      </c>
      <c r="K958" s="26" t="s">
        <v>36</v>
      </c>
      <c r="L958" s="26" t="s">
        <v>169</v>
      </c>
      <c r="M958" s="31" t="s">
        <v>2950</v>
      </c>
      <c r="N958" s="6"/>
      <c r="O958" s="2"/>
      <c r="P958" s="2"/>
      <c r="Q958" s="2"/>
      <c r="R958" s="2"/>
      <c r="S958" s="2"/>
      <c r="T958" s="2"/>
      <c r="U958" s="2"/>
      <c r="V958" s="2"/>
      <c r="W958" s="2"/>
      <c r="X958" s="2"/>
      <c r="Y958" s="2"/>
    </row>
    <row r="959" spans="1:25" ht="25.5" customHeight="1">
      <c r="A959" s="26">
        <v>660</v>
      </c>
      <c r="B959" s="27" t="s">
        <v>599</v>
      </c>
      <c r="C959" s="28">
        <v>42671</v>
      </c>
      <c r="D959" s="27"/>
      <c r="E959" s="27" t="s">
        <v>2951</v>
      </c>
      <c r="F959" s="29" t="s">
        <v>2952</v>
      </c>
      <c r="G959" s="27" t="s">
        <v>1754</v>
      </c>
      <c r="H959" s="27" t="s">
        <v>249</v>
      </c>
      <c r="I959" s="27">
        <v>1</v>
      </c>
      <c r="J959" s="30">
        <v>87259259</v>
      </c>
      <c r="K959" s="26" t="s">
        <v>36</v>
      </c>
      <c r="L959" s="26" t="s">
        <v>169</v>
      </c>
      <c r="M959" s="31" t="s">
        <v>2953</v>
      </c>
      <c r="N959" s="6"/>
      <c r="O959" s="2"/>
      <c r="P959" s="2"/>
      <c r="Q959" s="2"/>
      <c r="R959" s="2"/>
      <c r="S959" s="2"/>
      <c r="T959" s="2"/>
      <c r="U959" s="2"/>
      <c r="V959" s="2"/>
      <c r="W959" s="2"/>
      <c r="X959" s="2"/>
      <c r="Y959" s="2"/>
    </row>
    <row r="960" spans="1:25" ht="25.5" customHeight="1">
      <c r="A960" s="26">
        <v>661</v>
      </c>
      <c r="B960" s="27" t="s">
        <v>599</v>
      </c>
      <c r="C960" s="28">
        <v>42671</v>
      </c>
      <c r="D960" s="27"/>
      <c r="E960" s="27" t="s">
        <v>2954</v>
      </c>
      <c r="F960" s="29" t="s">
        <v>2955</v>
      </c>
      <c r="G960" s="27" t="s">
        <v>1754</v>
      </c>
      <c r="H960" s="27" t="s">
        <v>249</v>
      </c>
      <c r="I960" s="27">
        <v>1</v>
      </c>
      <c r="J960" s="30">
        <v>87259259</v>
      </c>
      <c r="K960" s="26" t="s">
        <v>36</v>
      </c>
      <c r="L960" s="26" t="s">
        <v>2054</v>
      </c>
      <c r="M960" s="31" t="s">
        <v>2956</v>
      </c>
      <c r="N960" s="6"/>
      <c r="O960" s="2"/>
      <c r="P960" s="2"/>
      <c r="Q960" s="2"/>
      <c r="R960" s="2"/>
      <c r="S960" s="2"/>
      <c r="T960" s="2"/>
      <c r="U960" s="2"/>
      <c r="V960" s="2"/>
      <c r="W960" s="2"/>
      <c r="X960" s="2"/>
      <c r="Y960" s="2"/>
    </row>
    <row r="961" spans="1:25" ht="25.5" customHeight="1">
      <c r="A961" s="26">
        <v>662</v>
      </c>
      <c r="B961" s="27" t="s">
        <v>797</v>
      </c>
      <c r="C961" s="28">
        <v>42671</v>
      </c>
      <c r="D961" s="27"/>
      <c r="E961" s="27" t="s">
        <v>2957</v>
      </c>
      <c r="F961" s="29" t="s">
        <v>2958</v>
      </c>
      <c r="G961" s="27" t="s">
        <v>248</v>
      </c>
      <c r="H961" s="27" t="s">
        <v>249</v>
      </c>
      <c r="I961" s="27">
        <v>1</v>
      </c>
      <c r="J961" s="30">
        <v>82266183</v>
      </c>
      <c r="K961" s="26" t="s">
        <v>206</v>
      </c>
      <c r="L961" s="45" t="s">
        <v>2906</v>
      </c>
      <c r="M961" s="46" t="s">
        <v>2959</v>
      </c>
      <c r="N961" s="6"/>
      <c r="O961" s="2"/>
      <c r="P961" s="2"/>
      <c r="Q961" s="2"/>
      <c r="R961" s="2"/>
      <c r="S961" s="2"/>
      <c r="T961" s="2"/>
      <c r="U961" s="2"/>
      <c r="V961" s="2"/>
      <c r="W961" s="2"/>
      <c r="X961" s="2"/>
      <c r="Y961" s="2"/>
    </row>
    <row r="962" spans="1:25" ht="25.5" customHeight="1">
      <c r="A962" s="26">
        <v>663</v>
      </c>
      <c r="B962" s="27" t="s">
        <v>797</v>
      </c>
      <c r="C962" s="28">
        <v>42671</v>
      </c>
      <c r="D962" s="27"/>
      <c r="E962" s="27" t="s">
        <v>2960</v>
      </c>
      <c r="F962" s="29" t="s">
        <v>2961</v>
      </c>
      <c r="G962" s="27" t="s">
        <v>248</v>
      </c>
      <c r="H962" s="27" t="s">
        <v>249</v>
      </c>
      <c r="I962" s="27">
        <v>1</v>
      </c>
      <c r="J962" s="30">
        <v>82266183</v>
      </c>
      <c r="K962" s="26" t="s">
        <v>206</v>
      </c>
      <c r="L962" s="26" t="s">
        <v>2906</v>
      </c>
      <c r="M962" s="31" t="s">
        <v>1041</v>
      </c>
      <c r="N962" s="6"/>
      <c r="O962" s="2"/>
      <c r="P962" s="2"/>
      <c r="Q962" s="2"/>
      <c r="R962" s="2"/>
      <c r="S962" s="2"/>
      <c r="T962" s="2"/>
      <c r="U962" s="2"/>
      <c r="V962" s="2"/>
      <c r="W962" s="2"/>
      <c r="X962" s="2"/>
      <c r="Y962" s="2"/>
    </row>
    <row r="963" spans="1:25" ht="25.5" customHeight="1">
      <c r="A963" s="26">
        <v>664</v>
      </c>
      <c r="B963" s="27" t="s">
        <v>797</v>
      </c>
      <c r="C963" s="28">
        <v>42671</v>
      </c>
      <c r="D963" s="27"/>
      <c r="E963" s="27" t="s">
        <v>2962</v>
      </c>
      <c r="F963" s="29" t="s">
        <v>2963</v>
      </c>
      <c r="G963" s="27" t="s">
        <v>248</v>
      </c>
      <c r="H963" s="27" t="s">
        <v>249</v>
      </c>
      <c r="I963" s="27">
        <v>1</v>
      </c>
      <c r="J963" s="30">
        <v>82266183</v>
      </c>
      <c r="K963" s="26" t="s">
        <v>206</v>
      </c>
      <c r="L963" s="26" t="s">
        <v>2906</v>
      </c>
      <c r="M963" s="31" t="s">
        <v>1041</v>
      </c>
      <c r="N963" s="6"/>
      <c r="O963" s="2"/>
      <c r="P963" s="2"/>
      <c r="Q963" s="2"/>
      <c r="R963" s="2"/>
      <c r="S963" s="2"/>
      <c r="T963" s="2"/>
      <c r="U963" s="2"/>
      <c r="V963" s="2"/>
      <c r="W963" s="2"/>
      <c r="X963" s="2"/>
      <c r="Y963" s="2"/>
    </row>
    <row r="964" spans="1:25" ht="25.5" customHeight="1">
      <c r="A964" s="26">
        <v>665</v>
      </c>
      <c r="B964" s="27" t="s">
        <v>797</v>
      </c>
      <c r="C964" s="28">
        <v>42671</v>
      </c>
      <c r="D964" s="27"/>
      <c r="E964" s="27" t="s">
        <v>2964</v>
      </c>
      <c r="F964" s="29" t="s">
        <v>2965</v>
      </c>
      <c r="G964" s="27" t="s">
        <v>248</v>
      </c>
      <c r="H964" s="27" t="s">
        <v>249</v>
      </c>
      <c r="I964" s="27">
        <v>1</v>
      </c>
      <c r="J964" s="30">
        <v>82266183</v>
      </c>
      <c r="K964" s="26" t="s">
        <v>206</v>
      </c>
      <c r="L964" s="26" t="s">
        <v>2906</v>
      </c>
      <c r="M964" s="31" t="s">
        <v>1041</v>
      </c>
      <c r="N964" s="6"/>
      <c r="O964" s="2"/>
      <c r="P964" s="2"/>
      <c r="Q964" s="2"/>
      <c r="R964" s="2"/>
      <c r="S964" s="2"/>
      <c r="T964" s="2"/>
      <c r="U964" s="2"/>
      <c r="V964" s="2"/>
      <c r="W964" s="2"/>
      <c r="X964" s="2"/>
      <c r="Y964" s="2"/>
    </row>
    <row r="965" spans="1:25" ht="25.5" customHeight="1">
      <c r="A965" s="26">
        <v>666</v>
      </c>
      <c r="B965" s="27" t="s">
        <v>797</v>
      </c>
      <c r="C965" s="28">
        <v>42671</v>
      </c>
      <c r="D965" s="27"/>
      <c r="E965" s="27" t="s">
        <v>2966</v>
      </c>
      <c r="F965" s="29" t="s">
        <v>2967</v>
      </c>
      <c r="G965" s="27" t="s">
        <v>248</v>
      </c>
      <c r="H965" s="27" t="s">
        <v>249</v>
      </c>
      <c r="I965" s="27">
        <v>1</v>
      </c>
      <c r="J965" s="30">
        <v>82266183</v>
      </c>
      <c r="K965" s="26" t="s">
        <v>206</v>
      </c>
      <c r="L965" s="26" t="s">
        <v>2906</v>
      </c>
      <c r="M965" s="31" t="s">
        <v>1265</v>
      </c>
      <c r="N965" s="6"/>
      <c r="O965" s="2"/>
      <c r="P965" s="2"/>
      <c r="Q965" s="2"/>
      <c r="R965" s="2"/>
      <c r="S965" s="2"/>
      <c r="T965" s="2"/>
      <c r="U965" s="2"/>
      <c r="V965" s="2"/>
      <c r="W965" s="2"/>
      <c r="X965" s="2"/>
      <c r="Y965" s="2"/>
    </row>
    <row r="966" spans="1:25" ht="25.5" customHeight="1">
      <c r="A966" s="26">
        <v>667</v>
      </c>
      <c r="B966" s="27" t="s">
        <v>797</v>
      </c>
      <c r="C966" s="28">
        <v>42671</v>
      </c>
      <c r="D966" s="27"/>
      <c r="E966" s="27" t="s">
        <v>2968</v>
      </c>
      <c r="F966" s="29" t="s">
        <v>2969</v>
      </c>
      <c r="G966" s="27" t="s">
        <v>248</v>
      </c>
      <c r="H966" s="27" t="s">
        <v>249</v>
      </c>
      <c r="I966" s="27">
        <v>1</v>
      </c>
      <c r="J966" s="30">
        <v>82266183</v>
      </c>
      <c r="K966" s="26" t="s">
        <v>206</v>
      </c>
      <c r="L966" s="26" t="s">
        <v>2906</v>
      </c>
      <c r="M966" s="31" t="s">
        <v>1041</v>
      </c>
      <c r="N966" s="6"/>
      <c r="O966" s="2"/>
      <c r="P966" s="2"/>
      <c r="Q966" s="2"/>
      <c r="R966" s="2"/>
      <c r="S966" s="2"/>
      <c r="T966" s="2"/>
      <c r="U966" s="2"/>
      <c r="V966" s="2"/>
      <c r="W966" s="2"/>
      <c r="X966" s="2"/>
      <c r="Y966" s="2"/>
    </row>
    <row r="967" spans="1:25" ht="25.5" customHeight="1">
      <c r="A967" s="26">
        <v>668</v>
      </c>
      <c r="B967" s="27" t="s">
        <v>797</v>
      </c>
      <c r="C967" s="28">
        <v>42671</v>
      </c>
      <c r="D967" s="27"/>
      <c r="E967" s="27" t="s">
        <v>2970</v>
      </c>
      <c r="F967" s="29" t="s">
        <v>2971</v>
      </c>
      <c r="G967" s="27" t="s">
        <v>1754</v>
      </c>
      <c r="H967" s="27" t="s">
        <v>249</v>
      </c>
      <c r="I967" s="27">
        <v>1</v>
      </c>
      <c r="J967" s="30">
        <v>86379493</v>
      </c>
      <c r="K967" s="26" t="s">
        <v>206</v>
      </c>
      <c r="L967" s="45" t="s">
        <v>2906</v>
      </c>
      <c r="M967" s="46" t="s">
        <v>2972</v>
      </c>
      <c r="N967" s="6"/>
      <c r="O967" s="2"/>
      <c r="P967" s="2"/>
      <c r="Q967" s="2"/>
      <c r="R967" s="2"/>
      <c r="S967" s="2"/>
      <c r="T967" s="2"/>
      <c r="U967" s="2"/>
      <c r="V967" s="2"/>
      <c r="W967" s="2"/>
      <c r="X967" s="2"/>
      <c r="Y967" s="2"/>
    </row>
    <row r="968" spans="1:25" ht="25.5" customHeight="1">
      <c r="A968" s="26">
        <v>669</v>
      </c>
      <c r="B968" s="27" t="s">
        <v>797</v>
      </c>
      <c r="C968" s="28">
        <v>42671</v>
      </c>
      <c r="D968" s="27"/>
      <c r="E968" s="27" t="s">
        <v>2973</v>
      </c>
      <c r="F968" s="29" t="s">
        <v>2974</v>
      </c>
      <c r="G968" s="27" t="s">
        <v>1754</v>
      </c>
      <c r="H968" s="27" t="s">
        <v>249</v>
      </c>
      <c r="I968" s="27">
        <v>1</v>
      </c>
      <c r="J968" s="30">
        <v>86379493</v>
      </c>
      <c r="K968" s="26" t="s">
        <v>206</v>
      </c>
      <c r="L968" s="45" t="s">
        <v>2906</v>
      </c>
      <c r="M968" s="46" t="s">
        <v>2975</v>
      </c>
      <c r="N968" s="6"/>
      <c r="O968" s="2"/>
      <c r="P968" s="2"/>
      <c r="Q968" s="2"/>
      <c r="R968" s="2"/>
      <c r="S968" s="2"/>
      <c r="T968" s="2"/>
      <c r="U968" s="2"/>
      <c r="V968" s="2"/>
      <c r="W968" s="2"/>
      <c r="X968" s="2"/>
      <c r="Y968" s="2"/>
    </row>
    <row r="969" spans="1:25" ht="25.5" customHeight="1">
      <c r="A969" s="26">
        <v>670</v>
      </c>
      <c r="B969" s="27" t="s">
        <v>797</v>
      </c>
      <c r="C969" s="28">
        <v>42671</v>
      </c>
      <c r="D969" s="27"/>
      <c r="E969" s="27" t="s">
        <v>2976</v>
      </c>
      <c r="F969" s="29" t="s">
        <v>2977</v>
      </c>
      <c r="G969" s="27" t="s">
        <v>307</v>
      </c>
      <c r="H969" s="27" t="s">
        <v>249</v>
      </c>
      <c r="I969" s="27">
        <v>1</v>
      </c>
      <c r="J969" s="30">
        <v>34316751</v>
      </c>
      <c r="K969" s="26" t="s">
        <v>206</v>
      </c>
      <c r="L969" s="45" t="s">
        <v>2906</v>
      </c>
      <c r="M969" s="46" t="s">
        <v>2978</v>
      </c>
      <c r="N969" s="6"/>
      <c r="O969" s="2"/>
      <c r="P969" s="2"/>
      <c r="Q969" s="2"/>
      <c r="R969" s="2"/>
      <c r="S969" s="2"/>
      <c r="T969" s="2"/>
      <c r="U969" s="2"/>
      <c r="V969" s="2"/>
      <c r="W969" s="2"/>
      <c r="X969" s="2"/>
      <c r="Y969" s="2"/>
    </row>
    <row r="970" spans="1:25" ht="25.5" customHeight="1">
      <c r="A970" s="26">
        <v>671</v>
      </c>
      <c r="B970" s="27" t="s">
        <v>797</v>
      </c>
      <c r="C970" s="28">
        <v>42671</v>
      </c>
      <c r="D970" s="27"/>
      <c r="E970" s="27" t="s">
        <v>2979</v>
      </c>
      <c r="F970" s="29" t="s">
        <v>2980</v>
      </c>
      <c r="G970" s="27" t="s">
        <v>307</v>
      </c>
      <c r="H970" s="27" t="s">
        <v>249</v>
      </c>
      <c r="I970" s="27">
        <v>1</v>
      </c>
      <c r="J970" s="30">
        <v>34316751</v>
      </c>
      <c r="K970" s="26" t="s">
        <v>206</v>
      </c>
      <c r="L970" s="26" t="s">
        <v>2906</v>
      </c>
      <c r="M970" s="31" t="s">
        <v>2981</v>
      </c>
      <c r="N970" s="6"/>
      <c r="O970" s="2"/>
      <c r="P970" s="2"/>
      <c r="Q970" s="2"/>
      <c r="R970" s="2"/>
      <c r="S970" s="2"/>
      <c r="T970" s="2"/>
      <c r="U970" s="2"/>
      <c r="V970" s="2"/>
      <c r="W970" s="2"/>
      <c r="X970" s="2"/>
      <c r="Y970" s="2"/>
    </row>
    <row r="971" spans="1:25" ht="12.75" customHeight="1">
      <c r="A971" s="26">
        <v>672</v>
      </c>
      <c r="B971" s="27" t="s">
        <v>1993</v>
      </c>
      <c r="C971" s="28">
        <v>42956</v>
      </c>
      <c r="D971" s="27"/>
      <c r="E971" s="27" t="s">
        <v>2982</v>
      </c>
      <c r="F971" s="29" t="s">
        <v>2983</v>
      </c>
      <c r="G971" s="27" t="s">
        <v>2426</v>
      </c>
      <c r="H971" s="27" t="s">
        <v>19</v>
      </c>
      <c r="I971" s="27">
        <v>1</v>
      </c>
      <c r="J971" s="30">
        <v>90000000</v>
      </c>
      <c r="K971" s="26" t="s">
        <v>36</v>
      </c>
      <c r="L971" s="26" t="s">
        <v>37</v>
      </c>
      <c r="M971" s="31" t="s">
        <v>2984</v>
      </c>
      <c r="N971" s="6"/>
      <c r="O971" s="2"/>
      <c r="P971" s="2"/>
      <c r="Q971" s="2"/>
      <c r="R971" s="2"/>
      <c r="S971" s="2"/>
      <c r="T971" s="2"/>
      <c r="U971" s="2"/>
      <c r="V971" s="2"/>
      <c r="W971" s="2"/>
      <c r="X971" s="2"/>
      <c r="Y971" s="2"/>
    </row>
    <row r="972" spans="1:25" ht="25.5" customHeight="1">
      <c r="A972" s="26">
        <v>673</v>
      </c>
      <c r="B972" s="27" t="s">
        <v>1143</v>
      </c>
      <c r="C972" s="28">
        <v>43343</v>
      </c>
      <c r="D972" s="27"/>
      <c r="E972" s="27" t="s">
        <v>2985</v>
      </c>
      <c r="F972" s="29" t="s">
        <v>2986</v>
      </c>
      <c r="G972" s="27" t="s">
        <v>248</v>
      </c>
      <c r="H972" s="27" t="s">
        <v>19</v>
      </c>
      <c r="I972" s="27">
        <v>1</v>
      </c>
      <c r="J972" s="30">
        <v>33500000</v>
      </c>
      <c r="K972" s="26" t="s">
        <v>20</v>
      </c>
      <c r="L972" s="36" t="s">
        <v>229</v>
      </c>
      <c r="M972" s="57" t="s">
        <v>5279</v>
      </c>
      <c r="N972" s="6"/>
      <c r="O972" s="2"/>
      <c r="P972" s="2"/>
      <c r="Q972" s="2"/>
      <c r="R972" s="2"/>
      <c r="S972" s="2"/>
      <c r="T972" s="2"/>
      <c r="U972" s="2"/>
      <c r="V972" s="2"/>
      <c r="W972" s="2"/>
      <c r="X972" s="2"/>
      <c r="Y972" s="2"/>
    </row>
    <row r="973" spans="1:25" ht="38.25" customHeight="1">
      <c r="A973" s="26">
        <v>674</v>
      </c>
      <c r="B973" s="27" t="s">
        <v>1143</v>
      </c>
      <c r="C973" s="28">
        <v>43343</v>
      </c>
      <c r="D973" s="27"/>
      <c r="E973" s="27" t="s">
        <v>2987</v>
      </c>
      <c r="F973" s="29" t="s">
        <v>2988</v>
      </c>
      <c r="G973" s="27" t="s">
        <v>248</v>
      </c>
      <c r="H973" s="27" t="s">
        <v>19</v>
      </c>
      <c r="I973" s="27">
        <v>1</v>
      </c>
      <c r="J973" s="30">
        <v>33500000</v>
      </c>
      <c r="K973" s="26" t="s">
        <v>20</v>
      </c>
      <c r="L973" s="36" t="s">
        <v>229</v>
      </c>
      <c r="M973" s="397" t="s">
        <v>5280</v>
      </c>
      <c r="N973" s="6"/>
      <c r="O973" s="2"/>
      <c r="P973" s="2"/>
      <c r="Q973" s="2"/>
      <c r="R973" s="2"/>
      <c r="S973" s="2"/>
      <c r="T973" s="2"/>
      <c r="U973" s="2"/>
      <c r="V973" s="2"/>
      <c r="W973" s="2"/>
      <c r="X973" s="2"/>
      <c r="Y973" s="2"/>
    </row>
    <row r="974" spans="1:25" ht="25.5" customHeight="1">
      <c r="A974" s="26">
        <v>675</v>
      </c>
      <c r="B974" s="27" t="s">
        <v>1143</v>
      </c>
      <c r="C974" s="28">
        <v>43343</v>
      </c>
      <c r="D974" s="27"/>
      <c r="E974" s="27" t="s">
        <v>2989</v>
      </c>
      <c r="F974" s="29" t="s">
        <v>2990</v>
      </c>
      <c r="G974" s="27" t="s">
        <v>248</v>
      </c>
      <c r="H974" s="27" t="s">
        <v>19</v>
      </c>
      <c r="I974" s="27">
        <v>1</v>
      </c>
      <c r="J974" s="30">
        <v>33500000</v>
      </c>
      <c r="K974" s="26" t="s">
        <v>20</v>
      </c>
      <c r="L974" s="26" t="s">
        <v>233</v>
      </c>
      <c r="M974" s="31" t="s">
        <v>5281</v>
      </c>
      <c r="N974" s="6"/>
      <c r="O974" s="2"/>
      <c r="P974" s="2"/>
      <c r="Q974" s="2"/>
      <c r="R974" s="2"/>
      <c r="S974" s="2"/>
      <c r="T974" s="2"/>
      <c r="U974" s="2"/>
      <c r="V974" s="2"/>
      <c r="W974" s="2"/>
      <c r="X974" s="2"/>
      <c r="Y974" s="2"/>
    </row>
    <row r="975" spans="1:25" ht="51" customHeight="1">
      <c r="A975" s="26">
        <v>676</v>
      </c>
      <c r="B975" s="27" t="s">
        <v>1037</v>
      </c>
      <c r="C975" s="28">
        <v>43799</v>
      </c>
      <c r="D975" s="27"/>
      <c r="E975" s="27" t="s">
        <v>2992</v>
      </c>
      <c r="F975" s="29" t="s">
        <v>2993</v>
      </c>
      <c r="G975" s="27" t="s">
        <v>2070</v>
      </c>
      <c r="H975" s="27" t="s">
        <v>19</v>
      </c>
      <c r="I975" s="27">
        <v>1</v>
      </c>
      <c r="J975" s="30">
        <v>5347432468</v>
      </c>
      <c r="K975" s="26" t="s">
        <v>20</v>
      </c>
      <c r="L975" s="394" t="s">
        <v>295</v>
      </c>
      <c r="M975" s="31" t="s">
        <v>2994</v>
      </c>
      <c r="N975" s="6"/>
      <c r="O975" s="2"/>
      <c r="P975" s="2"/>
      <c r="Q975" s="2"/>
      <c r="R975" s="2"/>
      <c r="S975" s="2"/>
      <c r="T975" s="2"/>
      <c r="U975" s="2"/>
      <c r="V975" s="2"/>
      <c r="W975" s="2"/>
      <c r="X975" s="2"/>
      <c r="Y975" s="2"/>
    </row>
    <row r="976" spans="1:25" ht="12.75" customHeight="1">
      <c r="A976" s="26">
        <v>678</v>
      </c>
      <c r="B976" s="27" t="s">
        <v>281</v>
      </c>
      <c r="C976" s="28">
        <v>41044</v>
      </c>
      <c r="D976" s="27"/>
      <c r="E976" s="27" t="s">
        <v>2998</v>
      </c>
      <c r="F976" s="29" t="s">
        <v>2999</v>
      </c>
      <c r="G976" s="27" t="s">
        <v>1435</v>
      </c>
      <c r="H976" s="27" t="s">
        <v>249</v>
      </c>
      <c r="I976" s="27">
        <v>1</v>
      </c>
      <c r="J976" s="30">
        <v>51460000</v>
      </c>
      <c r="K976" s="26" t="s">
        <v>206</v>
      </c>
      <c r="L976" s="45" t="s">
        <v>2906</v>
      </c>
      <c r="M976" s="46" t="s">
        <v>3000</v>
      </c>
      <c r="N976" s="6"/>
      <c r="O976" s="2"/>
      <c r="P976" s="2"/>
      <c r="Q976" s="2"/>
      <c r="R976" s="2"/>
      <c r="S976" s="2"/>
      <c r="T976" s="2"/>
      <c r="U976" s="2"/>
      <c r="V976" s="2"/>
      <c r="W976" s="2"/>
      <c r="X976" s="2"/>
      <c r="Y976" s="2"/>
    </row>
    <row r="977" spans="1:25" ht="12.75" customHeight="1">
      <c r="A977" s="26">
        <v>680</v>
      </c>
      <c r="B977" s="27" t="s">
        <v>470</v>
      </c>
      <c r="C977" s="28">
        <v>41983</v>
      </c>
      <c r="D977" s="27"/>
      <c r="E977" s="27" t="s">
        <v>3001</v>
      </c>
      <c r="F977" s="29" t="s">
        <v>3002</v>
      </c>
      <c r="G977" s="27" t="s">
        <v>1435</v>
      </c>
      <c r="H977" s="27" t="s">
        <v>249</v>
      </c>
      <c r="I977" s="27">
        <v>1</v>
      </c>
      <c r="J977" s="30">
        <v>51215395</v>
      </c>
      <c r="K977" s="26" t="s">
        <v>20</v>
      </c>
      <c r="L977" s="26" t="s">
        <v>423</v>
      </c>
      <c r="M977" s="31" t="s">
        <v>2145</v>
      </c>
      <c r="N977" s="6"/>
      <c r="O977" s="2"/>
      <c r="P977" s="2"/>
      <c r="Q977" s="2"/>
      <c r="R977" s="2"/>
      <c r="S977" s="2"/>
      <c r="T977" s="2"/>
      <c r="U977" s="2"/>
      <c r="V977" s="2"/>
      <c r="W977" s="2"/>
      <c r="X977" s="2"/>
      <c r="Y977" s="2"/>
    </row>
    <row r="978" spans="1:25" ht="12.75" customHeight="1">
      <c r="A978" s="26">
        <v>681</v>
      </c>
      <c r="B978" s="27" t="s">
        <v>470</v>
      </c>
      <c r="C978" s="28">
        <v>41983</v>
      </c>
      <c r="D978" s="27"/>
      <c r="E978" s="27" t="s">
        <v>3004</v>
      </c>
      <c r="F978" s="29" t="s">
        <v>3005</v>
      </c>
      <c r="G978" s="27" t="s">
        <v>1435</v>
      </c>
      <c r="H978" s="27" t="s">
        <v>249</v>
      </c>
      <c r="I978" s="27">
        <v>1</v>
      </c>
      <c r="J978" s="30">
        <v>51215395</v>
      </c>
      <c r="K978" s="26" t="s">
        <v>20</v>
      </c>
      <c r="L978" s="26" t="s">
        <v>423</v>
      </c>
      <c r="M978" s="31" t="s">
        <v>2145</v>
      </c>
      <c r="N978" s="6"/>
      <c r="O978" s="2"/>
      <c r="P978" s="2"/>
      <c r="Q978" s="2"/>
      <c r="R978" s="2"/>
      <c r="S978" s="2"/>
      <c r="T978" s="2"/>
      <c r="U978" s="2"/>
      <c r="V978" s="2"/>
      <c r="W978" s="2"/>
      <c r="X978" s="2"/>
      <c r="Y978" s="2"/>
    </row>
    <row r="979" spans="1:25" ht="12.75" customHeight="1">
      <c r="A979" s="26">
        <v>682</v>
      </c>
      <c r="B979" s="27" t="s">
        <v>909</v>
      </c>
      <c r="C979" s="28">
        <v>41999</v>
      </c>
      <c r="D979" s="27"/>
      <c r="E979" s="27" t="s">
        <v>3007</v>
      </c>
      <c r="F979" s="29" t="s">
        <v>3008</v>
      </c>
      <c r="G979" s="27" t="s">
        <v>1076</v>
      </c>
      <c r="H979" s="27" t="s">
        <v>19</v>
      </c>
      <c r="I979" s="27">
        <v>1</v>
      </c>
      <c r="J979" s="30">
        <v>81372812</v>
      </c>
      <c r="K979" s="26" t="s">
        <v>20</v>
      </c>
      <c r="L979" s="26" t="s">
        <v>233</v>
      </c>
      <c r="M979" s="72" t="s">
        <v>3009</v>
      </c>
      <c r="N979" s="6"/>
      <c r="O979" s="2"/>
      <c r="P979" s="2"/>
      <c r="Q979" s="2"/>
      <c r="R979" s="2"/>
      <c r="S979" s="2"/>
      <c r="T979" s="2"/>
      <c r="U979" s="2"/>
      <c r="V979" s="2"/>
      <c r="W979" s="2"/>
      <c r="X979" s="2"/>
      <c r="Y979" s="2"/>
    </row>
    <row r="980" spans="1:25" ht="12.75" customHeight="1">
      <c r="A980" s="26">
        <v>684</v>
      </c>
      <c r="B980" s="27" t="s">
        <v>1198</v>
      </c>
      <c r="C980" s="28">
        <v>36160</v>
      </c>
      <c r="D980" s="27" t="s">
        <v>3012</v>
      </c>
      <c r="E980" s="27" t="s">
        <v>3013</v>
      </c>
      <c r="F980" s="29" t="s">
        <v>3014</v>
      </c>
      <c r="G980" s="27"/>
      <c r="H980" s="27" t="s">
        <v>19</v>
      </c>
      <c r="I980" s="27">
        <v>1</v>
      </c>
      <c r="J980" s="30">
        <v>80054700</v>
      </c>
      <c r="K980" s="26" t="s">
        <v>20</v>
      </c>
      <c r="L980" s="36" t="s">
        <v>229</v>
      </c>
      <c r="M980" s="31" t="s">
        <v>1224</v>
      </c>
      <c r="N980" s="6"/>
      <c r="O980" s="2"/>
      <c r="P980" s="2"/>
      <c r="Q980" s="2"/>
      <c r="R980" s="2"/>
      <c r="S980" s="2"/>
      <c r="T980" s="2"/>
      <c r="U980" s="2"/>
      <c r="V980" s="2"/>
      <c r="W980" s="2"/>
      <c r="X980" s="2"/>
      <c r="Y980" s="2"/>
    </row>
    <row r="981" spans="1:25" ht="12.75" customHeight="1">
      <c r="A981" s="26" t="s">
        <v>3015</v>
      </c>
      <c r="B981" s="27"/>
      <c r="C981" s="28"/>
      <c r="D981" s="27"/>
      <c r="E981" s="27" t="s">
        <v>3016</v>
      </c>
      <c r="F981" s="29" t="s">
        <v>3017</v>
      </c>
      <c r="G981" s="27"/>
      <c r="H981" s="27"/>
      <c r="I981" s="27">
        <v>1</v>
      </c>
      <c r="J981" s="30"/>
      <c r="K981" s="26" t="s">
        <v>20</v>
      </c>
      <c r="L981" s="36" t="s">
        <v>229</v>
      </c>
      <c r="M981" s="31" t="s">
        <v>1224</v>
      </c>
      <c r="N981" s="6"/>
      <c r="O981" s="2"/>
      <c r="P981" s="2"/>
      <c r="Q981" s="2"/>
      <c r="R981" s="2"/>
      <c r="S981" s="2"/>
      <c r="T981" s="2"/>
      <c r="U981" s="2"/>
      <c r="V981" s="2"/>
      <c r="W981" s="2"/>
      <c r="X981" s="2"/>
      <c r="Y981" s="2"/>
    </row>
    <row r="982" spans="1:25" ht="12.75" customHeight="1">
      <c r="A982" s="26" t="s">
        <v>3018</v>
      </c>
      <c r="B982" s="27"/>
      <c r="C982" s="28"/>
      <c r="D982" s="27"/>
      <c r="E982" s="27" t="s">
        <v>3019</v>
      </c>
      <c r="F982" s="29" t="s">
        <v>3020</v>
      </c>
      <c r="G982" s="27"/>
      <c r="H982" s="27"/>
      <c r="I982" s="27">
        <v>1</v>
      </c>
      <c r="J982" s="30"/>
      <c r="K982" s="26" t="s">
        <v>20</v>
      </c>
      <c r="L982" s="36" t="s">
        <v>229</v>
      </c>
      <c r="M982" s="31" t="s">
        <v>1224</v>
      </c>
      <c r="N982" s="6"/>
      <c r="O982" s="2"/>
      <c r="P982" s="2"/>
      <c r="Q982" s="2"/>
      <c r="R982" s="2"/>
      <c r="S982" s="2"/>
      <c r="T982" s="2"/>
      <c r="U982" s="2"/>
      <c r="V982" s="2"/>
      <c r="W982" s="2"/>
      <c r="X982" s="2"/>
      <c r="Y982" s="2"/>
    </row>
    <row r="983" spans="1:25" ht="12.75" customHeight="1">
      <c r="A983" s="26" t="s">
        <v>3021</v>
      </c>
      <c r="B983" s="27"/>
      <c r="C983" s="28"/>
      <c r="D983" s="27"/>
      <c r="E983" s="27" t="s">
        <v>3022</v>
      </c>
      <c r="F983" s="29" t="s">
        <v>3023</v>
      </c>
      <c r="G983" s="27"/>
      <c r="H983" s="27"/>
      <c r="I983" s="27">
        <v>1</v>
      </c>
      <c r="J983" s="30"/>
      <c r="K983" s="26" t="s">
        <v>20</v>
      </c>
      <c r="L983" s="36" t="s">
        <v>229</v>
      </c>
      <c r="M983" s="31" t="s">
        <v>1224</v>
      </c>
      <c r="N983" s="6"/>
      <c r="O983" s="2"/>
      <c r="P983" s="2"/>
      <c r="Q983" s="2"/>
      <c r="R983" s="2"/>
      <c r="S983" s="2"/>
      <c r="T983" s="2"/>
      <c r="U983" s="2"/>
      <c r="V983" s="2"/>
      <c r="W983" s="2"/>
      <c r="X983" s="2"/>
      <c r="Y983" s="2"/>
    </row>
    <row r="984" spans="1:25" ht="25.5" customHeight="1">
      <c r="A984" s="26">
        <v>685</v>
      </c>
      <c r="B984" s="27" t="s">
        <v>1683</v>
      </c>
      <c r="C984" s="28">
        <v>42733</v>
      </c>
      <c r="D984" s="27"/>
      <c r="E984" s="27" t="s">
        <v>3024</v>
      </c>
      <c r="F984" s="29" t="s">
        <v>3025</v>
      </c>
      <c r="G984" s="27" t="s">
        <v>248</v>
      </c>
      <c r="H984" s="27" t="s">
        <v>19</v>
      </c>
      <c r="I984" s="27">
        <v>1</v>
      </c>
      <c r="J984" s="30">
        <v>50000000</v>
      </c>
      <c r="K984" s="26" t="s">
        <v>36</v>
      </c>
      <c r="L984" s="26" t="s">
        <v>2054</v>
      </c>
      <c r="M984" s="31" t="s">
        <v>3026</v>
      </c>
      <c r="N984" s="6"/>
      <c r="O984" s="2"/>
      <c r="P984" s="2"/>
      <c r="Q984" s="2"/>
      <c r="R984" s="2"/>
      <c r="S984" s="2"/>
      <c r="T984" s="2"/>
      <c r="U984" s="2"/>
      <c r="V984" s="2"/>
      <c r="W984" s="2"/>
      <c r="X984" s="2"/>
      <c r="Y984" s="2"/>
    </row>
    <row r="985" spans="1:25" ht="38.25" customHeight="1">
      <c r="A985" s="26">
        <v>686</v>
      </c>
      <c r="B985" s="27" t="s">
        <v>3027</v>
      </c>
      <c r="C985" s="28">
        <v>43099</v>
      </c>
      <c r="D985" s="27"/>
      <c r="E985" s="27" t="s">
        <v>3028</v>
      </c>
      <c r="F985" s="29" t="s">
        <v>3029</v>
      </c>
      <c r="G985" s="27" t="s">
        <v>35</v>
      </c>
      <c r="H985" s="27" t="s">
        <v>19</v>
      </c>
      <c r="I985" s="27">
        <v>1</v>
      </c>
      <c r="J985" s="30">
        <v>67401250</v>
      </c>
      <c r="K985" s="26"/>
      <c r="L985" s="26" t="s">
        <v>3030</v>
      </c>
      <c r="M985" s="31" t="s">
        <v>3031</v>
      </c>
      <c r="N985" s="6"/>
      <c r="O985" s="2"/>
      <c r="P985" s="2"/>
      <c r="Q985" s="2"/>
      <c r="R985" s="2"/>
      <c r="S985" s="2"/>
      <c r="T985" s="2"/>
      <c r="U985" s="2"/>
      <c r="V985" s="2"/>
      <c r="W985" s="2"/>
      <c r="X985" s="2"/>
      <c r="Y985" s="2"/>
    </row>
    <row r="986" spans="1:25" ht="12.75" customHeight="1">
      <c r="A986" s="26">
        <v>687</v>
      </c>
      <c r="B986" s="27" t="s">
        <v>3032</v>
      </c>
      <c r="C986" s="28">
        <v>40640</v>
      </c>
      <c r="D986" s="27"/>
      <c r="E986" s="27" t="s">
        <v>3033</v>
      </c>
      <c r="F986" s="29" t="s">
        <v>3034</v>
      </c>
      <c r="G986" s="27" t="s">
        <v>248</v>
      </c>
      <c r="H986" s="27" t="s">
        <v>249</v>
      </c>
      <c r="I986" s="27">
        <v>1</v>
      </c>
      <c r="J986" s="30">
        <v>72914838</v>
      </c>
      <c r="K986" s="26" t="s">
        <v>206</v>
      </c>
      <c r="L986" s="26" t="s">
        <v>2906</v>
      </c>
      <c r="M986" s="31" t="s">
        <v>3035</v>
      </c>
      <c r="N986" s="6"/>
      <c r="O986" s="2"/>
      <c r="P986" s="2"/>
      <c r="Q986" s="2"/>
      <c r="R986" s="2"/>
      <c r="S986" s="2"/>
      <c r="T986" s="2"/>
      <c r="U986" s="2"/>
      <c r="V986" s="2"/>
      <c r="W986" s="2"/>
      <c r="X986" s="2"/>
      <c r="Y986" s="2"/>
    </row>
    <row r="987" spans="1:25" ht="12.75" customHeight="1">
      <c r="A987" s="26">
        <v>688</v>
      </c>
      <c r="B987" s="27" t="s">
        <v>197</v>
      </c>
      <c r="C987" s="28">
        <v>40948</v>
      </c>
      <c r="D987" s="27"/>
      <c r="E987" s="27" t="s">
        <v>3036</v>
      </c>
      <c r="F987" s="29" t="s">
        <v>3037</v>
      </c>
      <c r="G987" s="27" t="s">
        <v>1435</v>
      </c>
      <c r="H987" s="27" t="s">
        <v>249</v>
      </c>
      <c r="I987" s="27">
        <v>1</v>
      </c>
      <c r="J987" s="30">
        <v>75050674</v>
      </c>
      <c r="K987" s="26" t="s">
        <v>20</v>
      </c>
      <c r="L987" s="36" t="s">
        <v>229</v>
      </c>
      <c r="M987" s="48" t="s">
        <v>1224</v>
      </c>
      <c r="N987" s="6"/>
      <c r="O987" s="2"/>
      <c r="P987" s="2"/>
      <c r="Q987" s="2"/>
      <c r="R987" s="2"/>
      <c r="S987" s="2"/>
      <c r="T987" s="2"/>
      <c r="U987" s="2"/>
      <c r="V987" s="2"/>
      <c r="W987" s="2"/>
      <c r="X987" s="2"/>
      <c r="Y987" s="2"/>
    </row>
    <row r="988" spans="1:25" ht="12.75" customHeight="1">
      <c r="A988" s="26">
        <v>689</v>
      </c>
      <c r="B988" s="27" t="s">
        <v>197</v>
      </c>
      <c r="C988" s="28">
        <v>40948</v>
      </c>
      <c r="D988" s="27"/>
      <c r="E988" s="27" t="s">
        <v>3038</v>
      </c>
      <c r="F988" s="29" t="s">
        <v>3039</v>
      </c>
      <c r="G988" s="27" t="s">
        <v>1435</v>
      </c>
      <c r="H988" s="27" t="s">
        <v>249</v>
      </c>
      <c r="I988" s="27">
        <v>1</v>
      </c>
      <c r="J988" s="30">
        <v>75050674</v>
      </c>
      <c r="K988" s="26" t="s">
        <v>20</v>
      </c>
      <c r="L988" s="36" t="s">
        <v>229</v>
      </c>
      <c r="M988" s="48" t="s">
        <v>1224</v>
      </c>
      <c r="N988" s="6"/>
      <c r="O988" s="2"/>
      <c r="P988" s="2"/>
      <c r="Q988" s="2"/>
      <c r="R988" s="2"/>
      <c r="S988" s="2"/>
      <c r="T988" s="2"/>
      <c r="U988" s="2"/>
      <c r="V988" s="2"/>
      <c r="W988" s="2"/>
      <c r="X988" s="2"/>
      <c r="Y988" s="2"/>
    </row>
    <row r="989" spans="1:25" ht="38.25" customHeight="1">
      <c r="A989" s="26">
        <v>690</v>
      </c>
      <c r="B989" s="27" t="s">
        <v>3040</v>
      </c>
      <c r="C989" s="28">
        <v>41915</v>
      </c>
      <c r="D989" s="27"/>
      <c r="E989" s="27" t="s">
        <v>3041</v>
      </c>
      <c r="F989" s="29" t="s">
        <v>3042</v>
      </c>
      <c r="G989" s="27" t="s">
        <v>1435</v>
      </c>
      <c r="H989" s="27" t="s">
        <v>249</v>
      </c>
      <c r="I989" s="27">
        <v>1</v>
      </c>
      <c r="J989" s="30">
        <v>32000000</v>
      </c>
      <c r="K989" s="26" t="s">
        <v>1195</v>
      </c>
      <c r="L989" s="26" t="s">
        <v>1196</v>
      </c>
      <c r="M989" s="31" t="s">
        <v>3043</v>
      </c>
      <c r="N989" s="6"/>
      <c r="O989" s="2"/>
      <c r="P989" s="2"/>
      <c r="Q989" s="2"/>
      <c r="R989" s="2"/>
      <c r="S989" s="2"/>
      <c r="T989" s="2"/>
      <c r="U989" s="2"/>
      <c r="V989" s="2"/>
      <c r="W989" s="2"/>
      <c r="X989" s="2"/>
      <c r="Y989" s="2"/>
    </row>
    <row r="990" spans="1:25" ht="38.25" customHeight="1">
      <c r="A990" s="26">
        <v>691</v>
      </c>
      <c r="B990" s="27" t="s">
        <v>3040</v>
      </c>
      <c r="C990" s="28">
        <v>41915</v>
      </c>
      <c r="D990" s="27"/>
      <c r="E990" s="27" t="s">
        <v>3044</v>
      </c>
      <c r="F990" s="29" t="s">
        <v>3045</v>
      </c>
      <c r="G990" s="27" t="s">
        <v>1435</v>
      </c>
      <c r="H990" s="27" t="s">
        <v>249</v>
      </c>
      <c r="I990" s="27">
        <v>1</v>
      </c>
      <c r="J990" s="30">
        <v>32000000</v>
      </c>
      <c r="K990" s="26" t="s">
        <v>1195</v>
      </c>
      <c r="L990" s="26" t="s">
        <v>1196</v>
      </c>
      <c r="M990" s="31" t="s">
        <v>3043</v>
      </c>
      <c r="N990" s="6"/>
      <c r="O990" s="2"/>
      <c r="P990" s="2"/>
      <c r="Q990" s="2"/>
      <c r="R990" s="2"/>
      <c r="S990" s="2"/>
      <c r="T990" s="2"/>
      <c r="U990" s="2"/>
      <c r="V990" s="2"/>
      <c r="W990" s="2"/>
      <c r="X990" s="2"/>
      <c r="Y990" s="2"/>
    </row>
    <row r="991" spans="1:25" ht="25.5" customHeight="1">
      <c r="A991" s="26">
        <v>692</v>
      </c>
      <c r="B991" s="27" t="s">
        <v>3040</v>
      </c>
      <c r="C991" s="28">
        <v>41915</v>
      </c>
      <c r="D991" s="27"/>
      <c r="E991" s="27" t="s">
        <v>3046</v>
      </c>
      <c r="F991" s="29" t="s">
        <v>3047</v>
      </c>
      <c r="G991" s="27" t="s">
        <v>1435</v>
      </c>
      <c r="H991" s="27" t="s">
        <v>249</v>
      </c>
      <c r="I991" s="27">
        <v>1</v>
      </c>
      <c r="J991" s="30">
        <v>32000000</v>
      </c>
      <c r="K991" s="26" t="s">
        <v>20</v>
      </c>
      <c r="L991" s="26" t="s">
        <v>423</v>
      </c>
      <c r="M991" s="31" t="s">
        <v>5282</v>
      </c>
      <c r="N991" s="6"/>
      <c r="O991" s="2"/>
      <c r="P991" s="2"/>
      <c r="Q991" s="2"/>
      <c r="R991" s="2"/>
      <c r="S991" s="2"/>
      <c r="T991" s="2"/>
      <c r="U991" s="2"/>
      <c r="V991" s="2"/>
      <c r="W991" s="2"/>
      <c r="X991" s="2"/>
      <c r="Y991" s="2"/>
    </row>
    <row r="992" spans="1:25" ht="12.75" customHeight="1">
      <c r="A992" s="26">
        <v>693</v>
      </c>
      <c r="B992" s="27" t="s">
        <v>3040</v>
      </c>
      <c r="C992" s="28">
        <v>41915</v>
      </c>
      <c r="D992" s="27"/>
      <c r="E992" s="27" t="s">
        <v>3049</v>
      </c>
      <c r="F992" s="29" t="s">
        <v>3050</v>
      </c>
      <c r="G992" s="27" t="s">
        <v>1435</v>
      </c>
      <c r="H992" s="27" t="s">
        <v>249</v>
      </c>
      <c r="I992" s="27">
        <v>1</v>
      </c>
      <c r="J992" s="30">
        <v>32000000</v>
      </c>
      <c r="K992" s="26" t="s">
        <v>20</v>
      </c>
      <c r="L992" s="394" t="s">
        <v>295</v>
      </c>
      <c r="M992" s="31" t="s">
        <v>3051</v>
      </c>
      <c r="N992" s="6"/>
      <c r="O992" s="2"/>
      <c r="P992" s="2"/>
      <c r="Q992" s="2"/>
      <c r="R992" s="2"/>
      <c r="S992" s="2"/>
      <c r="T992" s="2"/>
      <c r="U992" s="2"/>
      <c r="V992" s="2"/>
      <c r="W992" s="2"/>
      <c r="X992" s="2"/>
      <c r="Y992" s="2"/>
    </row>
    <row r="993" spans="1:25" ht="12.75" customHeight="1">
      <c r="A993" s="26">
        <v>694</v>
      </c>
      <c r="B993" s="27" t="s">
        <v>2723</v>
      </c>
      <c r="C993" s="28">
        <v>41502</v>
      </c>
      <c r="D993" s="27"/>
      <c r="E993" s="27" t="s">
        <v>3052</v>
      </c>
      <c r="F993" s="29" t="s">
        <v>3053</v>
      </c>
      <c r="G993" s="27" t="s">
        <v>55</v>
      </c>
      <c r="H993" s="27" t="s">
        <v>569</v>
      </c>
      <c r="I993" s="27">
        <v>1</v>
      </c>
      <c r="J993" s="30">
        <v>494300000</v>
      </c>
      <c r="K993" s="26" t="s">
        <v>20</v>
      </c>
      <c r="L993" s="26" t="s">
        <v>423</v>
      </c>
      <c r="M993" s="31" t="s">
        <v>2145</v>
      </c>
      <c r="N993" s="6"/>
      <c r="O993" s="2"/>
      <c r="P993" s="2"/>
      <c r="Q993" s="2"/>
      <c r="R993" s="2"/>
      <c r="S993" s="2"/>
      <c r="T993" s="2"/>
      <c r="U993" s="2"/>
      <c r="V993" s="2"/>
      <c r="W993" s="2"/>
      <c r="X993" s="2"/>
      <c r="Y993" s="2"/>
    </row>
    <row r="994" spans="1:25" ht="12.75" customHeight="1">
      <c r="A994" s="26">
        <v>695</v>
      </c>
      <c r="B994" s="27" t="s">
        <v>1005</v>
      </c>
      <c r="C994" s="28">
        <v>39994</v>
      </c>
      <c r="D994" s="27"/>
      <c r="E994" s="27" t="s">
        <v>3055</v>
      </c>
      <c r="F994" s="29" t="s">
        <v>3056</v>
      </c>
      <c r="G994" s="27" t="s">
        <v>55</v>
      </c>
      <c r="H994" s="27"/>
      <c r="I994" s="27">
        <v>1</v>
      </c>
      <c r="J994" s="30">
        <v>99228153</v>
      </c>
      <c r="K994" s="26" t="s">
        <v>206</v>
      </c>
      <c r="L994" s="26" t="s">
        <v>2906</v>
      </c>
      <c r="M994" s="31" t="s">
        <v>3057</v>
      </c>
      <c r="N994" s="6"/>
      <c r="O994" s="2"/>
      <c r="P994" s="2"/>
      <c r="Q994" s="2"/>
      <c r="R994" s="2"/>
      <c r="S994" s="2"/>
      <c r="T994" s="2"/>
      <c r="U994" s="2"/>
      <c r="V994" s="2"/>
      <c r="W994" s="2"/>
      <c r="X994" s="2"/>
      <c r="Y994" s="2"/>
    </row>
    <row r="995" spans="1:25" ht="12.75" customHeight="1">
      <c r="A995" s="26">
        <v>696</v>
      </c>
      <c r="B995" s="27" t="s">
        <v>3058</v>
      </c>
      <c r="C995" s="28">
        <v>41991</v>
      </c>
      <c r="D995" s="27"/>
      <c r="E995" s="27" t="s">
        <v>3059</v>
      </c>
      <c r="F995" s="29" t="s">
        <v>3060</v>
      </c>
      <c r="G995" s="27" t="s">
        <v>35</v>
      </c>
      <c r="H995" s="27" t="s">
        <v>249</v>
      </c>
      <c r="I995" s="27">
        <v>1</v>
      </c>
      <c r="J995" s="30">
        <v>33500000</v>
      </c>
      <c r="K995" s="26" t="s">
        <v>20</v>
      </c>
      <c r="L995" s="26" t="s">
        <v>233</v>
      </c>
      <c r="M995" s="31" t="s">
        <v>5283</v>
      </c>
      <c r="N995" s="6"/>
      <c r="O995" s="2"/>
      <c r="P995" s="2"/>
      <c r="Q995" s="2"/>
      <c r="R995" s="2"/>
      <c r="S995" s="2"/>
      <c r="T995" s="2"/>
      <c r="U995" s="2"/>
      <c r="V995" s="2"/>
      <c r="W995" s="2"/>
      <c r="X995" s="2"/>
      <c r="Y995" s="2"/>
    </row>
    <row r="996" spans="1:25" ht="25.5" customHeight="1">
      <c r="A996" s="26">
        <v>697</v>
      </c>
      <c r="B996" s="27" t="s">
        <v>3062</v>
      </c>
      <c r="C996" s="28">
        <v>41274</v>
      </c>
      <c r="D996" s="27"/>
      <c r="E996" s="27" t="s">
        <v>3063</v>
      </c>
      <c r="F996" s="29" t="s">
        <v>3064</v>
      </c>
      <c r="G996" s="27" t="s">
        <v>35</v>
      </c>
      <c r="H996" s="27" t="s">
        <v>157</v>
      </c>
      <c r="I996" s="27">
        <v>1</v>
      </c>
      <c r="J996" s="30">
        <v>48990000</v>
      </c>
      <c r="K996" s="26" t="s">
        <v>20</v>
      </c>
      <c r="L996" s="26" t="s">
        <v>233</v>
      </c>
      <c r="M996" s="31" t="s">
        <v>2183</v>
      </c>
      <c r="N996" s="6"/>
      <c r="O996" s="2"/>
      <c r="P996" s="2"/>
      <c r="Q996" s="2"/>
      <c r="R996" s="2"/>
      <c r="S996" s="2"/>
      <c r="T996" s="2"/>
      <c r="U996" s="2"/>
      <c r="V996" s="2"/>
      <c r="W996" s="2"/>
      <c r="X996" s="2"/>
      <c r="Y996" s="2"/>
    </row>
    <row r="997" spans="1:25" ht="25.5" customHeight="1">
      <c r="A997" s="26">
        <v>698</v>
      </c>
      <c r="B997" s="27" t="s">
        <v>3065</v>
      </c>
      <c r="C997" s="28">
        <v>41500</v>
      </c>
      <c r="D997" s="27"/>
      <c r="E997" s="27" t="s">
        <v>3066</v>
      </c>
      <c r="F997" s="29" t="s">
        <v>3067</v>
      </c>
      <c r="G997" s="27" t="s">
        <v>35</v>
      </c>
      <c r="H997" s="27" t="s">
        <v>157</v>
      </c>
      <c r="I997" s="27">
        <v>1</v>
      </c>
      <c r="J997" s="30">
        <v>50295000</v>
      </c>
      <c r="K997" s="26" t="s">
        <v>20</v>
      </c>
      <c r="L997" s="36" t="s">
        <v>229</v>
      </c>
      <c r="M997" s="31" t="s">
        <v>5284</v>
      </c>
      <c r="N997" s="6"/>
      <c r="O997" s="2"/>
      <c r="P997" s="2"/>
      <c r="Q997" s="2"/>
      <c r="R997" s="2"/>
      <c r="S997" s="2"/>
      <c r="T997" s="2"/>
      <c r="U997" s="2"/>
      <c r="V997" s="2"/>
      <c r="W997" s="2"/>
      <c r="X997" s="2"/>
      <c r="Y997" s="2"/>
    </row>
    <row r="998" spans="1:25" ht="12.75" customHeight="1">
      <c r="A998" s="26">
        <v>699</v>
      </c>
      <c r="B998" s="27" t="s">
        <v>470</v>
      </c>
      <c r="C998" s="28">
        <v>41983</v>
      </c>
      <c r="D998" s="27"/>
      <c r="E998" s="27" t="s">
        <v>3068</v>
      </c>
      <c r="F998" s="29" t="s">
        <v>3069</v>
      </c>
      <c r="G998" s="27" t="s">
        <v>35</v>
      </c>
      <c r="H998" s="27" t="s">
        <v>157</v>
      </c>
      <c r="I998" s="27">
        <v>1</v>
      </c>
      <c r="J998" s="30">
        <v>78569762</v>
      </c>
      <c r="K998" s="26" t="s">
        <v>20</v>
      </c>
      <c r="L998" s="26" t="s">
        <v>423</v>
      </c>
      <c r="M998" s="31" t="s">
        <v>2145</v>
      </c>
      <c r="N998" s="6"/>
      <c r="O998" s="2"/>
      <c r="P998" s="2"/>
      <c r="Q998" s="2"/>
      <c r="R998" s="2"/>
      <c r="S998" s="2"/>
      <c r="T998" s="2"/>
      <c r="U998" s="2"/>
      <c r="V998" s="2"/>
      <c r="W998" s="2"/>
      <c r="X998" s="2"/>
      <c r="Y998" s="2"/>
    </row>
    <row r="999" spans="1:25" ht="12.75" customHeight="1">
      <c r="A999" s="26">
        <v>700</v>
      </c>
      <c r="B999" s="27" t="s">
        <v>599</v>
      </c>
      <c r="C999" s="28">
        <v>42671</v>
      </c>
      <c r="D999" s="27"/>
      <c r="E999" s="27" t="s">
        <v>3071</v>
      </c>
      <c r="F999" s="29" t="s">
        <v>3072</v>
      </c>
      <c r="G999" s="27" t="s">
        <v>35</v>
      </c>
      <c r="H999" s="27" t="s">
        <v>19</v>
      </c>
      <c r="I999" s="27">
        <v>1</v>
      </c>
      <c r="J999" s="30">
        <v>86626535</v>
      </c>
      <c r="K999" s="26" t="s">
        <v>36</v>
      </c>
      <c r="L999" s="26" t="s">
        <v>169</v>
      </c>
      <c r="M999" s="31" t="s">
        <v>2956</v>
      </c>
      <c r="N999" s="6"/>
      <c r="O999" s="2"/>
      <c r="P999" s="2"/>
      <c r="Q999" s="2"/>
      <c r="R999" s="2"/>
      <c r="S999" s="2"/>
      <c r="T999" s="2"/>
      <c r="U999" s="2"/>
      <c r="V999" s="2"/>
      <c r="W999" s="2"/>
      <c r="X999" s="2"/>
      <c r="Y999" s="2"/>
    </row>
    <row r="1000" spans="1:25" ht="12.75" customHeight="1">
      <c r="A1000" s="26">
        <v>701</v>
      </c>
      <c r="B1000" s="27" t="s">
        <v>599</v>
      </c>
      <c r="C1000" s="28">
        <v>42671</v>
      </c>
      <c r="D1000" s="27"/>
      <c r="E1000" s="27" t="s">
        <v>3073</v>
      </c>
      <c r="F1000" s="29" t="s">
        <v>3072</v>
      </c>
      <c r="G1000" s="27" t="s">
        <v>35</v>
      </c>
      <c r="H1000" s="27" t="s">
        <v>19</v>
      </c>
      <c r="I1000" s="27">
        <v>1</v>
      </c>
      <c r="J1000" s="30">
        <v>86626536</v>
      </c>
      <c r="K1000" s="26" t="s">
        <v>36</v>
      </c>
      <c r="L1000" s="26" t="s">
        <v>169</v>
      </c>
      <c r="M1000" s="31" t="s">
        <v>2956</v>
      </c>
      <c r="N1000" s="6"/>
      <c r="O1000" s="2"/>
      <c r="P1000" s="2"/>
      <c r="Q1000" s="2"/>
      <c r="R1000" s="2"/>
      <c r="S1000" s="2"/>
      <c r="T1000" s="2"/>
      <c r="U1000" s="2"/>
      <c r="V1000" s="2"/>
      <c r="W1000" s="2"/>
      <c r="X1000" s="2"/>
      <c r="Y1000" s="2"/>
    </row>
    <row r="1001" spans="1:25" ht="25.5" customHeight="1">
      <c r="A1001" s="26">
        <v>702</v>
      </c>
      <c r="B1001" s="27" t="s">
        <v>797</v>
      </c>
      <c r="C1001" s="28">
        <v>42671</v>
      </c>
      <c r="D1001" s="27"/>
      <c r="E1001" s="27" t="s">
        <v>3074</v>
      </c>
      <c r="F1001" s="29" t="s">
        <v>3075</v>
      </c>
      <c r="G1001" s="27" t="s">
        <v>35</v>
      </c>
      <c r="H1001" s="27"/>
      <c r="I1001" s="27">
        <v>1</v>
      </c>
      <c r="J1001" s="30">
        <v>74039565</v>
      </c>
      <c r="K1001" s="26" t="s">
        <v>206</v>
      </c>
      <c r="L1001" s="26" t="s">
        <v>2906</v>
      </c>
      <c r="M1001" s="31" t="s">
        <v>1041</v>
      </c>
      <c r="N1001" s="6"/>
      <c r="O1001" s="2"/>
      <c r="P1001" s="2"/>
      <c r="Q1001" s="2"/>
      <c r="R1001" s="2"/>
      <c r="S1001" s="2"/>
      <c r="T1001" s="2"/>
      <c r="U1001" s="2"/>
      <c r="V1001" s="2"/>
      <c r="W1001" s="2"/>
      <c r="X1001" s="2"/>
      <c r="Y1001" s="2"/>
    </row>
    <row r="1002" spans="1:25" ht="25.5" customHeight="1">
      <c r="A1002" s="26">
        <v>703</v>
      </c>
      <c r="B1002" s="27" t="s">
        <v>797</v>
      </c>
      <c r="C1002" s="28">
        <v>42671</v>
      </c>
      <c r="D1002" s="27"/>
      <c r="E1002" s="27" t="s">
        <v>3076</v>
      </c>
      <c r="F1002" s="29" t="s">
        <v>3077</v>
      </c>
      <c r="G1002" s="27" t="s">
        <v>35</v>
      </c>
      <c r="H1002" s="27" t="s">
        <v>19</v>
      </c>
      <c r="I1002" s="27">
        <v>1</v>
      </c>
      <c r="J1002" s="30">
        <v>75214796</v>
      </c>
      <c r="K1002" s="26" t="s">
        <v>206</v>
      </c>
      <c r="L1002" s="26" t="s">
        <v>2906</v>
      </c>
      <c r="M1002" s="31" t="s">
        <v>1041</v>
      </c>
      <c r="N1002" s="6"/>
      <c r="O1002" s="2"/>
      <c r="P1002" s="2"/>
      <c r="Q1002" s="2"/>
      <c r="R1002" s="2"/>
      <c r="S1002" s="2"/>
      <c r="T1002" s="2"/>
      <c r="U1002" s="2"/>
      <c r="V1002" s="2"/>
      <c r="W1002" s="2"/>
      <c r="X1002" s="2"/>
      <c r="Y1002" s="2"/>
    </row>
    <row r="1003" spans="1:25" ht="25.5" customHeight="1">
      <c r="A1003" s="26">
        <v>704</v>
      </c>
      <c r="B1003" s="27" t="s">
        <v>797</v>
      </c>
      <c r="C1003" s="28">
        <v>42671</v>
      </c>
      <c r="D1003" s="27"/>
      <c r="E1003" s="27" t="s">
        <v>3078</v>
      </c>
      <c r="F1003" s="29" t="s">
        <v>3077</v>
      </c>
      <c r="G1003" s="27" t="s">
        <v>35</v>
      </c>
      <c r="H1003" s="27" t="s">
        <v>19</v>
      </c>
      <c r="I1003" s="27">
        <v>1</v>
      </c>
      <c r="J1003" s="30">
        <v>75214796</v>
      </c>
      <c r="K1003" s="26" t="s">
        <v>206</v>
      </c>
      <c r="L1003" s="26" t="s">
        <v>2906</v>
      </c>
      <c r="M1003" s="31" t="s">
        <v>1041</v>
      </c>
      <c r="N1003" s="6"/>
      <c r="O1003" s="2"/>
      <c r="P1003" s="2"/>
      <c r="Q1003" s="2"/>
      <c r="R1003" s="2"/>
      <c r="S1003" s="2"/>
      <c r="T1003" s="2"/>
      <c r="U1003" s="2"/>
      <c r="V1003" s="2"/>
      <c r="W1003" s="2"/>
      <c r="X1003" s="2"/>
      <c r="Y1003" s="2"/>
    </row>
    <row r="1004" spans="1:25" ht="25.5" customHeight="1">
      <c r="A1004" s="26">
        <v>705</v>
      </c>
      <c r="B1004" s="27" t="s">
        <v>797</v>
      </c>
      <c r="C1004" s="28">
        <v>42671</v>
      </c>
      <c r="D1004" s="27"/>
      <c r="E1004" s="27" t="s">
        <v>3079</v>
      </c>
      <c r="F1004" s="29" t="s">
        <v>3077</v>
      </c>
      <c r="G1004" s="27" t="s">
        <v>35</v>
      </c>
      <c r="H1004" s="27" t="s">
        <v>19</v>
      </c>
      <c r="I1004" s="27">
        <v>1</v>
      </c>
      <c r="J1004" s="30">
        <v>75214796</v>
      </c>
      <c r="K1004" s="26" t="s">
        <v>206</v>
      </c>
      <c r="L1004" s="26" t="s">
        <v>2906</v>
      </c>
      <c r="M1004" s="31" t="s">
        <v>1041</v>
      </c>
      <c r="N1004" s="6"/>
      <c r="O1004" s="2"/>
      <c r="P1004" s="2"/>
      <c r="Q1004" s="2"/>
      <c r="R1004" s="2"/>
      <c r="S1004" s="2"/>
      <c r="T1004" s="2"/>
      <c r="U1004" s="2"/>
      <c r="V1004" s="2"/>
      <c r="W1004" s="2"/>
      <c r="X1004" s="2"/>
      <c r="Y1004" s="2"/>
    </row>
    <row r="1005" spans="1:25" ht="25.5" customHeight="1">
      <c r="A1005" s="26">
        <v>706</v>
      </c>
      <c r="B1005" s="27" t="s">
        <v>797</v>
      </c>
      <c r="C1005" s="28">
        <v>42671</v>
      </c>
      <c r="D1005" s="27"/>
      <c r="E1005" s="27" t="s">
        <v>3080</v>
      </c>
      <c r="F1005" s="29" t="s">
        <v>3077</v>
      </c>
      <c r="G1005" s="27" t="s">
        <v>35</v>
      </c>
      <c r="H1005" s="27" t="s">
        <v>19</v>
      </c>
      <c r="I1005" s="27">
        <v>1</v>
      </c>
      <c r="J1005" s="30">
        <v>75214796</v>
      </c>
      <c r="K1005" s="26" t="s">
        <v>206</v>
      </c>
      <c r="L1005" s="26" t="s">
        <v>2906</v>
      </c>
      <c r="M1005" s="31" t="s">
        <v>1041</v>
      </c>
      <c r="N1005" s="6"/>
      <c r="O1005" s="2"/>
      <c r="P1005" s="2"/>
      <c r="Q1005" s="2"/>
      <c r="R1005" s="2"/>
      <c r="S1005" s="2"/>
      <c r="T1005" s="2"/>
      <c r="U1005" s="2"/>
      <c r="V1005" s="2"/>
      <c r="W1005" s="2"/>
      <c r="X1005" s="2"/>
      <c r="Y1005" s="2"/>
    </row>
    <row r="1006" spans="1:25" ht="12.75" customHeight="1">
      <c r="A1006" s="26">
        <v>708</v>
      </c>
      <c r="B1006" s="27" t="s">
        <v>52</v>
      </c>
      <c r="C1006" s="28">
        <v>40875</v>
      </c>
      <c r="D1006" s="27"/>
      <c r="E1006" s="27" t="s">
        <v>3084</v>
      </c>
      <c r="F1006" s="29" t="s">
        <v>3085</v>
      </c>
      <c r="G1006" s="27"/>
      <c r="H1006" s="27" t="s">
        <v>19</v>
      </c>
      <c r="I1006" s="27">
        <v>1</v>
      </c>
      <c r="J1006" s="30">
        <v>978360953</v>
      </c>
      <c r="K1006" s="26" t="s">
        <v>36</v>
      </c>
      <c r="L1006" s="26" t="s">
        <v>169</v>
      </c>
      <c r="M1006" s="31" t="s">
        <v>3086</v>
      </c>
      <c r="N1006" s="6"/>
      <c r="O1006" s="2"/>
      <c r="P1006" s="2"/>
      <c r="Q1006" s="2"/>
      <c r="R1006" s="2"/>
      <c r="S1006" s="2"/>
      <c r="T1006" s="2"/>
      <c r="U1006" s="2"/>
      <c r="V1006" s="2"/>
      <c r="W1006" s="2"/>
      <c r="X1006" s="2"/>
      <c r="Y1006" s="2"/>
    </row>
    <row r="1007" spans="1:25" ht="25.5" customHeight="1">
      <c r="A1007" s="26">
        <v>709</v>
      </c>
      <c r="B1007" s="27" t="s">
        <v>52</v>
      </c>
      <c r="C1007" s="28">
        <v>40875</v>
      </c>
      <c r="D1007" s="27"/>
      <c r="E1007" s="27" t="s">
        <v>3087</v>
      </c>
      <c r="F1007" s="29" t="s">
        <v>3088</v>
      </c>
      <c r="G1007" s="27"/>
      <c r="H1007" s="27" t="s">
        <v>19</v>
      </c>
      <c r="I1007" s="27">
        <v>1</v>
      </c>
      <c r="J1007" s="30">
        <v>503971832</v>
      </c>
      <c r="K1007" s="26" t="s">
        <v>36</v>
      </c>
      <c r="L1007" s="26" t="s">
        <v>169</v>
      </c>
      <c r="M1007" s="31" t="s">
        <v>3089</v>
      </c>
      <c r="N1007" s="6"/>
      <c r="O1007" s="2"/>
      <c r="P1007" s="2"/>
      <c r="Q1007" s="2"/>
      <c r="R1007" s="2"/>
      <c r="S1007" s="2"/>
      <c r="T1007" s="2"/>
      <c r="U1007" s="2"/>
      <c r="V1007" s="2"/>
      <c r="W1007" s="2"/>
      <c r="X1007" s="2"/>
      <c r="Y1007" s="2"/>
    </row>
    <row r="1008" spans="1:25" ht="12.75" customHeight="1">
      <c r="A1008" s="26">
        <v>710</v>
      </c>
      <c r="B1008" s="27" t="s">
        <v>52</v>
      </c>
      <c r="C1008" s="28">
        <v>40875</v>
      </c>
      <c r="D1008" s="27"/>
      <c r="E1008" s="27" t="s">
        <v>3090</v>
      </c>
      <c r="F1008" s="29" t="s">
        <v>3091</v>
      </c>
      <c r="G1008" s="27"/>
      <c r="H1008" s="27" t="s">
        <v>19</v>
      </c>
      <c r="I1008" s="27">
        <v>1</v>
      </c>
      <c r="J1008" s="30">
        <v>1277030857</v>
      </c>
      <c r="K1008" s="26" t="s">
        <v>36</v>
      </c>
      <c r="L1008" s="26" t="s">
        <v>169</v>
      </c>
      <c r="M1008" s="31" t="s">
        <v>3092</v>
      </c>
      <c r="N1008" s="6"/>
      <c r="O1008" s="2"/>
      <c r="P1008" s="2"/>
      <c r="Q1008" s="2"/>
      <c r="R1008" s="2"/>
      <c r="S1008" s="2"/>
      <c r="T1008" s="2"/>
      <c r="U1008" s="2"/>
      <c r="V1008" s="2"/>
      <c r="W1008" s="2"/>
      <c r="X1008" s="2"/>
      <c r="Y1008" s="2"/>
    </row>
    <row r="1009" spans="1:25" ht="12.75" customHeight="1">
      <c r="A1009" s="26">
        <v>711</v>
      </c>
      <c r="B1009" s="27" t="s">
        <v>52</v>
      </c>
      <c r="C1009" s="28">
        <v>40875</v>
      </c>
      <c r="D1009" s="27"/>
      <c r="E1009" s="27" t="s">
        <v>3093</v>
      </c>
      <c r="F1009" s="29" t="s">
        <v>3094</v>
      </c>
      <c r="G1009" s="27"/>
      <c r="H1009" s="27" t="s">
        <v>157</v>
      </c>
      <c r="I1009" s="27">
        <v>1</v>
      </c>
      <c r="J1009" s="30">
        <v>4487033104</v>
      </c>
      <c r="K1009" s="26" t="s">
        <v>36</v>
      </c>
      <c r="L1009" s="26" t="s">
        <v>169</v>
      </c>
      <c r="M1009" s="31" t="s">
        <v>3092</v>
      </c>
      <c r="N1009" s="6"/>
      <c r="O1009" s="2"/>
      <c r="P1009" s="2"/>
      <c r="Q1009" s="2"/>
      <c r="R1009" s="2"/>
      <c r="S1009" s="2"/>
      <c r="T1009" s="2"/>
      <c r="U1009" s="2"/>
      <c r="V1009" s="2"/>
      <c r="W1009" s="2"/>
      <c r="X1009" s="2"/>
      <c r="Y1009" s="2"/>
    </row>
    <row r="1010" spans="1:25" ht="12.75" customHeight="1">
      <c r="A1010" s="26">
        <v>712</v>
      </c>
      <c r="B1010" s="27" t="s">
        <v>52</v>
      </c>
      <c r="C1010" s="28">
        <v>40875</v>
      </c>
      <c r="D1010" s="27"/>
      <c r="E1010" s="27" t="s">
        <v>3095</v>
      </c>
      <c r="F1010" s="29" t="s">
        <v>3096</v>
      </c>
      <c r="G1010" s="27"/>
      <c r="H1010" s="27" t="s">
        <v>19</v>
      </c>
      <c r="I1010" s="27">
        <v>1</v>
      </c>
      <c r="J1010" s="30">
        <v>986599406</v>
      </c>
      <c r="K1010" s="26" t="s">
        <v>36</v>
      </c>
      <c r="L1010" s="26" t="s">
        <v>674</v>
      </c>
      <c r="M1010" s="31" t="s">
        <v>3097</v>
      </c>
      <c r="N1010" s="6"/>
      <c r="O1010" s="2"/>
      <c r="P1010" s="2"/>
      <c r="Q1010" s="2"/>
      <c r="R1010" s="2"/>
      <c r="S1010" s="2"/>
      <c r="T1010" s="2"/>
      <c r="U1010" s="2"/>
      <c r="V1010" s="2"/>
      <c r="W1010" s="2"/>
      <c r="X1010" s="2"/>
      <c r="Y1010" s="2"/>
    </row>
    <row r="1011" spans="1:25" ht="25.5" customHeight="1">
      <c r="A1011" s="26">
        <v>713</v>
      </c>
      <c r="B1011" s="27" t="s">
        <v>599</v>
      </c>
      <c r="C1011" s="28">
        <v>42671</v>
      </c>
      <c r="D1011" s="27"/>
      <c r="E1011" s="27" t="s">
        <v>3098</v>
      </c>
      <c r="F1011" s="29" t="s">
        <v>3099</v>
      </c>
      <c r="G1011" s="27" t="s">
        <v>307</v>
      </c>
      <c r="H1011" s="27" t="s">
        <v>522</v>
      </c>
      <c r="I1011" s="27">
        <v>1</v>
      </c>
      <c r="J1011" s="30">
        <v>275668028</v>
      </c>
      <c r="K1011" s="26" t="s">
        <v>36</v>
      </c>
      <c r="L1011" s="26" t="s">
        <v>2054</v>
      </c>
      <c r="M1011" s="31" t="s">
        <v>3100</v>
      </c>
      <c r="N1011" s="6"/>
      <c r="O1011" s="2"/>
      <c r="P1011" s="2"/>
      <c r="Q1011" s="2"/>
      <c r="R1011" s="2"/>
      <c r="S1011" s="2"/>
      <c r="T1011" s="2"/>
      <c r="U1011" s="2"/>
      <c r="V1011" s="2"/>
      <c r="W1011" s="2"/>
      <c r="X1011" s="2"/>
      <c r="Y1011" s="2"/>
    </row>
    <row r="1012" spans="1:25" ht="25.5" customHeight="1">
      <c r="A1012" s="26">
        <v>714</v>
      </c>
      <c r="B1012" s="27" t="s">
        <v>599</v>
      </c>
      <c r="C1012" s="28">
        <v>42671</v>
      </c>
      <c r="D1012" s="27"/>
      <c r="E1012" s="27" t="s">
        <v>3101</v>
      </c>
      <c r="F1012" s="29" t="s">
        <v>3099</v>
      </c>
      <c r="G1012" s="27" t="s">
        <v>307</v>
      </c>
      <c r="H1012" s="27" t="s">
        <v>522</v>
      </c>
      <c r="I1012" s="27">
        <v>1</v>
      </c>
      <c r="J1012" s="30">
        <v>275668028</v>
      </c>
      <c r="K1012" s="26" t="s">
        <v>36</v>
      </c>
      <c r="L1012" s="26" t="s">
        <v>2054</v>
      </c>
      <c r="M1012" s="31" t="s">
        <v>3100</v>
      </c>
      <c r="N1012" s="6"/>
      <c r="O1012" s="2"/>
      <c r="P1012" s="2"/>
      <c r="Q1012" s="2"/>
      <c r="R1012" s="2"/>
      <c r="S1012" s="2"/>
      <c r="T1012" s="2"/>
      <c r="U1012" s="2"/>
      <c r="V1012" s="2"/>
      <c r="W1012" s="2"/>
      <c r="X1012" s="2"/>
      <c r="Y1012" s="2"/>
    </row>
    <row r="1013" spans="1:25" ht="25.5" customHeight="1">
      <c r="A1013" s="26">
        <v>715</v>
      </c>
      <c r="B1013" s="27" t="s">
        <v>599</v>
      </c>
      <c r="C1013" s="28">
        <v>42671</v>
      </c>
      <c r="D1013" s="27"/>
      <c r="E1013" s="27" t="s">
        <v>3102</v>
      </c>
      <c r="F1013" s="29" t="s">
        <v>3099</v>
      </c>
      <c r="G1013" s="27" t="s">
        <v>307</v>
      </c>
      <c r="H1013" s="27" t="s">
        <v>522</v>
      </c>
      <c r="I1013" s="27">
        <v>1</v>
      </c>
      <c r="J1013" s="30">
        <v>275668028</v>
      </c>
      <c r="K1013" s="26" t="s">
        <v>36</v>
      </c>
      <c r="L1013" s="26" t="s">
        <v>2054</v>
      </c>
      <c r="M1013" s="31" t="s">
        <v>3100</v>
      </c>
      <c r="N1013" s="6"/>
      <c r="O1013" s="2"/>
      <c r="P1013" s="2"/>
      <c r="Q1013" s="2"/>
      <c r="R1013" s="2"/>
      <c r="S1013" s="2"/>
      <c r="T1013" s="2"/>
      <c r="U1013" s="2"/>
      <c r="V1013" s="2"/>
      <c r="W1013" s="2"/>
      <c r="X1013" s="2"/>
      <c r="Y1013" s="2"/>
    </row>
    <row r="1014" spans="1:25" ht="25.5" customHeight="1">
      <c r="A1014" s="26">
        <v>716</v>
      </c>
      <c r="B1014" s="27" t="s">
        <v>599</v>
      </c>
      <c r="C1014" s="28">
        <v>42671</v>
      </c>
      <c r="D1014" s="27"/>
      <c r="E1014" s="27" t="s">
        <v>3103</v>
      </c>
      <c r="F1014" s="29" t="s">
        <v>3099</v>
      </c>
      <c r="G1014" s="27" t="s">
        <v>307</v>
      </c>
      <c r="H1014" s="27" t="s">
        <v>522</v>
      </c>
      <c r="I1014" s="27">
        <v>1</v>
      </c>
      <c r="J1014" s="30">
        <v>275668028</v>
      </c>
      <c r="K1014" s="26" t="s">
        <v>36</v>
      </c>
      <c r="L1014" s="26" t="s">
        <v>2054</v>
      </c>
      <c r="M1014" s="31" t="s">
        <v>3100</v>
      </c>
      <c r="N1014" s="6"/>
      <c r="O1014" s="2"/>
      <c r="P1014" s="2"/>
      <c r="Q1014" s="2"/>
      <c r="R1014" s="2"/>
      <c r="S1014" s="2"/>
      <c r="T1014" s="2"/>
      <c r="U1014" s="2"/>
      <c r="V1014" s="2"/>
      <c r="W1014" s="2"/>
      <c r="X1014" s="2"/>
      <c r="Y1014" s="2"/>
    </row>
    <row r="1015" spans="1:25" ht="25.5" customHeight="1">
      <c r="A1015" s="26">
        <v>717</v>
      </c>
      <c r="B1015" s="27" t="s">
        <v>599</v>
      </c>
      <c r="C1015" s="28">
        <v>42671</v>
      </c>
      <c r="D1015" s="27"/>
      <c r="E1015" s="27" t="s">
        <v>3104</v>
      </c>
      <c r="F1015" s="29" t="s">
        <v>3105</v>
      </c>
      <c r="G1015" s="27" t="s">
        <v>307</v>
      </c>
      <c r="H1015" s="27" t="s">
        <v>522</v>
      </c>
      <c r="I1015" s="27">
        <v>1</v>
      </c>
      <c r="J1015" s="30">
        <v>1838617889</v>
      </c>
      <c r="K1015" s="26" t="s">
        <v>36</v>
      </c>
      <c r="L1015" s="26" t="s">
        <v>2054</v>
      </c>
      <c r="M1015" s="31" t="s">
        <v>3100</v>
      </c>
      <c r="N1015" s="6"/>
      <c r="O1015" s="2"/>
      <c r="P1015" s="2"/>
      <c r="Q1015" s="2"/>
      <c r="R1015" s="2"/>
      <c r="S1015" s="2"/>
      <c r="T1015" s="2"/>
      <c r="U1015" s="2"/>
      <c r="V1015" s="2"/>
      <c r="W1015" s="2"/>
      <c r="X1015" s="2"/>
      <c r="Y1015" s="2"/>
    </row>
    <row r="1016" spans="1:25" ht="25.5" customHeight="1">
      <c r="A1016" s="26">
        <v>718</v>
      </c>
      <c r="B1016" s="27" t="s">
        <v>599</v>
      </c>
      <c r="C1016" s="28">
        <v>42671</v>
      </c>
      <c r="D1016" s="27"/>
      <c r="E1016" s="27" t="s">
        <v>3106</v>
      </c>
      <c r="F1016" s="29" t="s">
        <v>3107</v>
      </c>
      <c r="G1016" s="27" t="s">
        <v>307</v>
      </c>
      <c r="H1016" s="27" t="s">
        <v>522</v>
      </c>
      <c r="I1016" s="27">
        <v>1</v>
      </c>
      <c r="J1016" s="30">
        <v>76574452</v>
      </c>
      <c r="K1016" s="26" t="s">
        <v>36</v>
      </c>
      <c r="L1016" s="26" t="s">
        <v>2054</v>
      </c>
      <c r="M1016" s="31" t="s">
        <v>3100</v>
      </c>
      <c r="N1016" s="6"/>
      <c r="O1016" s="2"/>
      <c r="P1016" s="2"/>
      <c r="Q1016" s="2"/>
      <c r="R1016" s="2"/>
      <c r="S1016" s="2"/>
      <c r="T1016" s="2"/>
      <c r="U1016" s="2"/>
      <c r="V1016" s="2"/>
      <c r="W1016" s="2"/>
      <c r="X1016" s="2"/>
      <c r="Y1016" s="2"/>
    </row>
    <row r="1017" spans="1:25" ht="25.5" customHeight="1">
      <c r="A1017" s="26">
        <v>719</v>
      </c>
      <c r="B1017" s="27" t="s">
        <v>599</v>
      </c>
      <c r="C1017" s="28">
        <v>42671</v>
      </c>
      <c r="D1017" s="27"/>
      <c r="E1017" s="27" t="s">
        <v>3108</v>
      </c>
      <c r="F1017" s="29" t="s">
        <v>3107</v>
      </c>
      <c r="G1017" s="27" t="s">
        <v>307</v>
      </c>
      <c r="H1017" s="27" t="s">
        <v>522</v>
      </c>
      <c r="I1017" s="27">
        <v>1</v>
      </c>
      <c r="J1017" s="30">
        <v>76574452</v>
      </c>
      <c r="K1017" s="26" t="s">
        <v>36</v>
      </c>
      <c r="L1017" s="26" t="s">
        <v>2054</v>
      </c>
      <c r="M1017" s="31" t="s">
        <v>3100</v>
      </c>
      <c r="N1017" s="6"/>
      <c r="O1017" s="2"/>
      <c r="P1017" s="2"/>
      <c r="Q1017" s="2"/>
      <c r="R1017" s="2"/>
      <c r="S1017" s="2"/>
      <c r="T1017" s="2"/>
      <c r="U1017" s="2"/>
      <c r="V1017" s="2"/>
      <c r="W1017" s="2"/>
      <c r="X1017" s="2"/>
      <c r="Y1017" s="2"/>
    </row>
    <row r="1018" spans="1:25" ht="25.5" customHeight="1">
      <c r="A1018" s="26">
        <v>720</v>
      </c>
      <c r="B1018" s="27" t="s">
        <v>599</v>
      </c>
      <c r="C1018" s="28">
        <v>42671</v>
      </c>
      <c r="D1018" s="27"/>
      <c r="E1018" s="27" t="s">
        <v>3109</v>
      </c>
      <c r="F1018" s="29" t="s">
        <v>3107</v>
      </c>
      <c r="G1018" s="27" t="s">
        <v>307</v>
      </c>
      <c r="H1018" s="27" t="s">
        <v>522</v>
      </c>
      <c r="I1018" s="27">
        <v>1</v>
      </c>
      <c r="J1018" s="30">
        <v>76574453</v>
      </c>
      <c r="K1018" s="26" t="s">
        <v>36</v>
      </c>
      <c r="L1018" s="26" t="s">
        <v>2054</v>
      </c>
      <c r="M1018" s="31" t="s">
        <v>3100</v>
      </c>
      <c r="N1018" s="6"/>
      <c r="O1018" s="2"/>
      <c r="P1018" s="2"/>
      <c r="Q1018" s="2"/>
      <c r="R1018" s="2"/>
      <c r="S1018" s="2"/>
      <c r="T1018" s="2"/>
      <c r="U1018" s="2"/>
      <c r="V1018" s="2"/>
      <c r="W1018" s="2"/>
      <c r="X1018" s="2"/>
      <c r="Y1018" s="2"/>
    </row>
    <row r="1019" spans="1:25" ht="25.5" customHeight="1">
      <c r="A1019" s="26">
        <v>721</v>
      </c>
      <c r="B1019" s="27" t="s">
        <v>599</v>
      </c>
      <c r="C1019" s="28">
        <v>42671</v>
      </c>
      <c r="D1019" s="27"/>
      <c r="E1019" s="27" t="s">
        <v>3110</v>
      </c>
      <c r="F1019" s="29" t="s">
        <v>3111</v>
      </c>
      <c r="G1019" s="27" t="s">
        <v>307</v>
      </c>
      <c r="H1019" s="27" t="s">
        <v>522</v>
      </c>
      <c r="I1019" s="27">
        <v>1</v>
      </c>
      <c r="J1019" s="30">
        <v>140802015</v>
      </c>
      <c r="K1019" s="26" t="s">
        <v>36</v>
      </c>
      <c r="L1019" s="26" t="s">
        <v>2054</v>
      </c>
      <c r="M1019" s="31" t="s">
        <v>3100</v>
      </c>
      <c r="N1019" s="6"/>
      <c r="O1019" s="2"/>
      <c r="P1019" s="2"/>
      <c r="Q1019" s="2"/>
      <c r="R1019" s="2"/>
      <c r="S1019" s="2"/>
      <c r="T1019" s="2"/>
      <c r="U1019" s="2"/>
      <c r="V1019" s="2"/>
      <c r="W1019" s="2"/>
      <c r="X1019" s="2"/>
      <c r="Y1019" s="2"/>
    </row>
    <row r="1020" spans="1:25" ht="25.5" customHeight="1">
      <c r="A1020" s="26">
        <v>722</v>
      </c>
      <c r="B1020" s="27" t="s">
        <v>599</v>
      </c>
      <c r="C1020" s="28">
        <v>42671</v>
      </c>
      <c r="D1020" s="27"/>
      <c r="E1020" s="27" t="s">
        <v>3112</v>
      </c>
      <c r="F1020" s="29" t="s">
        <v>3111</v>
      </c>
      <c r="G1020" s="27" t="s">
        <v>307</v>
      </c>
      <c r="H1020" s="27" t="s">
        <v>522</v>
      </c>
      <c r="I1020" s="27">
        <v>1</v>
      </c>
      <c r="J1020" s="30">
        <v>140802016</v>
      </c>
      <c r="K1020" s="26" t="s">
        <v>36</v>
      </c>
      <c r="L1020" s="26" t="s">
        <v>2054</v>
      </c>
      <c r="M1020" s="31" t="s">
        <v>3100</v>
      </c>
      <c r="N1020" s="6"/>
      <c r="O1020" s="2"/>
      <c r="P1020" s="2"/>
      <c r="Q1020" s="2"/>
      <c r="R1020" s="2"/>
      <c r="S1020" s="2"/>
      <c r="T1020" s="2"/>
      <c r="U1020" s="2"/>
      <c r="V1020" s="2"/>
      <c r="W1020" s="2"/>
      <c r="X1020" s="2"/>
      <c r="Y1020" s="2"/>
    </row>
    <row r="1021" spans="1:25" ht="12.75" customHeight="1">
      <c r="A1021" s="26">
        <v>723</v>
      </c>
      <c r="B1021" s="27" t="s">
        <v>599</v>
      </c>
      <c r="C1021" s="28">
        <v>42671</v>
      </c>
      <c r="D1021" s="27"/>
      <c r="E1021" s="27" t="s">
        <v>3113</v>
      </c>
      <c r="F1021" s="29" t="s">
        <v>3114</v>
      </c>
      <c r="G1021" s="27" t="s">
        <v>307</v>
      </c>
      <c r="H1021" s="27" t="s">
        <v>522</v>
      </c>
      <c r="I1021" s="27">
        <v>1</v>
      </c>
      <c r="J1021" s="30">
        <v>50574754</v>
      </c>
      <c r="K1021" s="26" t="s">
        <v>36</v>
      </c>
      <c r="L1021" s="26" t="s">
        <v>2054</v>
      </c>
      <c r="M1021" s="31" t="s">
        <v>3100</v>
      </c>
      <c r="N1021" s="6"/>
      <c r="O1021" s="2"/>
      <c r="P1021" s="2"/>
      <c r="Q1021" s="2"/>
      <c r="R1021" s="2"/>
      <c r="S1021" s="2"/>
      <c r="T1021" s="2"/>
      <c r="U1021" s="2"/>
      <c r="V1021" s="2"/>
      <c r="W1021" s="2"/>
      <c r="X1021" s="2"/>
      <c r="Y1021" s="2"/>
    </row>
    <row r="1022" spans="1:25" ht="12.75" customHeight="1">
      <c r="A1022" s="26">
        <v>724</v>
      </c>
      <c r="B1022" s="27" t="s">
        <v>599</v>
      </c>
      <c r="C1022" s="28">
        <v>42671</v>
      </c>
      <c r="D1022" s="27"/>
      <c r="E1022" s="27" t="s">
        <v>3115</v>
      </c>
      <c r="F1022" s="29" t="s">
        <v>3114</v>
      </c>
      <c r="G1022" s="27" t="s">
        <v>307</v>
      </c>
      <c r="H1022" s="27" t="s">
        <v>522</v>
      </c>
      <c r="I1022" s="27">
        <v>1</v>
      </c>
      <c r="J1022" s="30">
        <v>50574756</v>
      </c>
      <c r="K1022" s="26" t="s">
        <v>36</v>
      </c>
      <c r="L1022" s="26" t="s">
        <v>2054</v>
      </c>
      <c r="M1022" s="31" t="s">
        <v>3100</v>
      </c>
      <c r="N1022" s="6"/>
      <c r="O1022" s="2"/>
      <c r="P1022" s="2"/>
      <c r="Q1022" s="2"/>
      <c r="R1022" s="2"/>
      <c r="S1022" s="2"/>
      <c r="T1022" s="2"/>
      <c r="U1022" s="2"/>
      <c r="V1022" s="2"/>
      <c r="W1022" s="2"/>
      <c r="X1022" s="2"/>
      <c r="Y1022" s="2"/>
    </row>
    <row r="1023" spans="1:25" ht="25.5" customHeight="1">
      <c r="A1023" s="26">
        <v>725</v>
      </c>
      <c r="B1023" s="27" t="s">
        <v>599</v>
      </c>
      <c r="C1023" s="28">
        <v>42671</v>
      </c>
      <c r="D1023" s="27"/>
      <c r="E1023" s="27" t="s">
        <v>3116</v>
      </c>
      <c r="F1023" s="29" t="s">
        <v>3117</v>
      </c>
      <c r="G1023" s="27" t="s">
        <v>307</v>
      </c>
      <c r="H1023" s="27" t="s">
        <v>522</v>
      </c>
      <c r="I1023" s="27">
        <v>1</v>
      </c>
      <c r="J1023" s="30">
        <v>234709599</v>
      </c>
      <c r="K1023" s="26" t="s">
        <v>36</v>
      </c>
      <c r="L1023" s="26" t="s">
        <v>2054</v>
      </c>
      <c r="M1023" s="31" t="s">
        <v>3100</v>
      </c>
      <c r="N1023" s="6"/>
      <c r="O1023" s="2"/>
      <c r="P1023" s="2"/>
      <c r="Q1023" s="2"/>
      <c r="R1023" s="2"/>
      <c r="S1023" s="2"/>
      <c r="T1023" s="2"/>
      <c r="U1023" s="2"/>
      <c r="V1023" s="2"/>
      <c r="W1023" s="2"/>
      <c r="X1023" s="2"/>
      <c r="Y1023" s="2"/>
    </row>
    <row r="1024" spans="1:25" ht="25.5" customHeight="1">
      <c r="A1024" s="26">
        <v>726</v>
      </c>
      <c r="B1024" s="27" t="s">
        <v>599</v>
      </c>
      <c r="C1024" s="28">
        <v>42671</v>
      </c>
      <c r="D1024" s="27"/>
      <c r="E1024" s="27" t="s">
        <v>3118</v>
      </c>
      <c r="F1024" s="29" t="s">
        <v>3117</v>
      </c>
      <c r="G1024" s="27" t="s">
        <v>307</v>
      </c>
      <c r="H1024" s="27" t="s">
        <v>522</v>
      </c>
      <c r="I1024" s="27">
        <v>1</v>
      </c>
      <c r="J1024" s="30">
        <v>234709599</v>
      </c>
      <c r="K1024" s="26" t="s">
        <v>36</v>
      </c>
      <c r="L1024" s="26" t="s">
        <v>2054</v>
      </c>
      <c r="M1024" s="31" t="s">
        <v>3100</v>
      </c>
      <c r="N1024" s="6"/>
      <c r="O1024" s="2"/>
      <c r="P1024" s="2"/>
      <c r="Q1024" s="2"/>
      <c r="R1024" s="2"/>
      <c r="S1024" s="2"/>
      <c r="T1024" s="2"/>
      <c r="U1024" s="2"/>
      <c r="V1024" s="2"/>
      <c r="W1024" s="2"/>
      <c r="X1024" s="2"/>
      <c r="Y1024" s="2"/>
    </row>
    <row r="1025" spans="1:25" ht="25.5" customHeight="1">
      <c r="A1025" s="26">
        <v>727</v>
      </c>
      <c r="B1025" s="27" t="s">
        <v>599</v>
      </c>
      <c r="C1025" s="28">
        <v>42671</v>
      </c>
      <c r="D1025" s="27"/>
      <c r="E1025" s="27" t="s">
        <v>3119</v>
      </c>
      <c r="F1025" s="29" t="s">
        <v>3117</v>
      </c>
      <c r="G1025" s="27" t="s">
        <v>307</v>
      </c>
      <c r="H1025" s="27" t="s">
        <v>522</v>
      </c>
      <c r="I1025" s="27">
        <v>1</v>
      </c>
      <c r="J1025" s="30">
        <v>234709601</v>
      </c>
      <c r="K1025" s="26" t="s">
        <v>36</v>
      </c>
      <c r="L1025" s="26" t="s">
        <v>2054</v>
      </c>
      <c r="M1025" s="31" t="s">
        <v>3100</v>
      </c>
      <c r="N1025" s="6"/>
      <c r="O1025" s="2"/>
      <c r="P1025" s="2"/>
      <c r="Q1025" s="2"/>
      <c r="R1025" s="2"/>
      <c r="S1025" s="2"/>
      <c r="T1025" s="2"/>
      <c r="U1025" s="2"/>
      <c r="V1025" s="2"/>
      <c r="W1025" s="2"/>
      <c r="X1025" s="2"/>
      <c r="Y1025" s="2"/>
    </row>
    <row r="1026" spans="1:25" ht="12.75" customHeight="1">
      <c r="A1026" s="26">
        <v>728</v>
      </c>
      <c r="B1026" s="27" t="s">
        <v>599</v>
      </c>
      <c r="C1026" s="28">
        <v>42671</v>
      </c>
      <c r="D1026" s="27"/>
      <c r="E1026" s="27" t="s">
        <v>3120</v>
      </c>
      <c r="F1026" s="29" t="s">
        <v>3121</v>
      </c>
      <c r="G1026" s="27" t="s">
        <v>307</v>
      </c>
      <c r="H1026" s="27" t="s">
        <v>522</v>
      </c>
      <c r="I1026" s="27">
        <v>1</v>
      </c>
      <c r="J1026" s="30">
        <v>80610934</v>
      </c>
      <c r="K1026" s="26" t="s">
        <v>36</v>
      </c>
      <c r="L1026" s="26" t="s">
        <v>2054</v>
      </c>
      <c r="M1026" s="31" t="s">
        <v>3100</v>
      </c>
      <c r="N1026" s="6"/>
      <c r="O1026" s="2"/>
      <c r="P1026" s="2"/>
      <c r="Q1026" s="2"/>
      <c r="R1026" s="2"/>
      <c r="S1026" s="2"/>
      <c r="T1026" s="2"/>
      <c r="U1026" s="2"/>
      <c r="V1026" s="2"/>
      <c r="W1026" s="2"/>
      <c r="X1026" s="2"/>
      <c r="Y1026" s="2"/>
    </row>
    <row r="1027" spans="1:25" ht="12.75" customHeight="1">
      <c r="A1027" s="26">
        <v>729</v>
      </c>
      <c r="B1027" s="27" t="s">
        <v>599</v>
      </c>
      <c r="C1027" s="28">
        <v>42671</v>
      </c>
      <c r="D1027" s="27"/>
      <c r="E1027" s="27" t="s">
        <v>3122</v>
      </c>
      <c r="F1027" s="29" t="s">
        <v>3121</v>
      </c>
      <c r="G1027" s="27" t="s">
        <v>307</v>
      </c>
      <c r="H1027" s="27" t="s">
        <v>522</v>
      </c>
      <c r="I1027" s="27">
        <v>1</v>
      </c>
      <c r="J1027" s="30">
        <v>80610935</v>
      </c>
      <c r="K1027" s="26" t="s">
        <v>36</v>
      </c>
      <c r="L1027" s="26" t="s">
        <v>2054</v>
      </c>
      <c r="M1027" s="31" t="s">
        <v>3100</v>
      </c>
      <c r="N1027" s="6"/>
      <c r="O1027" s="2"/>
      <c r="P1027" s="2"/>
      <c r="Q1027" s="2"/>
      <c r="R1027" s="2"/>
      <c r="S1027" s="2"/>
      <c r="T1027" s="2"/>
      <c r="U1027" s="2"/>
      <c r="V1027" s="2"/>
      <c r="W1027" s="2"/>
      <c r="X1027" s="2"/>
      <c r="Y1027" s="2"/>
    </row>
    <row r="1028" spans="1:25" ht="12.75" customHeight="1">
      <c r="A1028" s="26">
        <v>730</v>
      </c>
      <c r="B1028" s="27" t="s">
        <v>599</v>
      </c>
      <c r="C1028" s="28">
        <v>42671</v>
      </c>
      <c r="D1028" s="27"/>
      <c r="E1028" s="27" t="s">
        <v>3123</v>
      </c>
      <c r="F1028" s="29" t="s">
        <v>3124</v>
      </c>
      <c r="G1028" s="27" t="s">
        <v>307</v>
      </c>
      <c r="H1028" s="27" t="s">
        <v>522</v>
      </c>
      <c r="I1028" s="27">
        <v>1</v>
      </c>
      <c r="J1028" s="30">
        <v>62565483</v>
      </c>
      <c r="K1028" s="26" t="s">
        <v>36</v>
      </c>
      <c r="L1028" s="26" t="s">
        <v>2054</v>
      </c>
      <c r="M1028" s="31" t="s">
        <v>3100</v>
      </c>
      <c r="N1028" s="6"/>
      <c r="O1028" s="2"/>
      <c r="P1028" s="2"/>
      <c r="Q1028" s="2"/>
      <c r="R1028" s="2"/>
      <c r="S1028" s="2"/>
      <c r="T1028" s="2"/>
      <c r="U1028" s="2"/>
      <c r="V1028" s="2"/>
      <c r="W1028" s="2"/>
      <c r="X1028" s="2"/>
      <c r="Y1028" s="2"/>
    </row>
    <row r="1029" spans="1:25" ht="25.5" customHeight="1">
      <c r="A1029" s="26">
        <v>731</v>
      </c>
      <c r="B1029" s="27" t="s">
        <v>599</v>
      </c>
      <c r="C1029" s="28">
        <v>42671</v>
      </c>
      <c r="D1029" s="27"/>
      <c r="E1029" s="27" t="s">
        <v>3125</v>
      </c>
      <c r="F1029" s="29" t="s">
        <v>3126</v>
      </c>
      <c r="G1029" s="27" t="s">
        <v>307</v>
      </c>
      <c r="H1029" s="27" t="s">
        <v>522</v>
      </c>
      <c r="I1029" s="27">
        <v>1</v>
      </c>
      <c r="J1029" s="30">
        <v>620668581</v>
      </c>
      <c r="K1029" s="26" t="s">
        <v>36</v>
      </c>
      <c r="L1029" s="26" t="s">
        <v>2054</v>
      </c>
      <c r="M1029" s="31" t="s">
        <v>3100</v>
      </c>
      <c r="N1029" s="6"/>
      <c r="O1029" s="2"/>
      <c r="P1029" s="2"/>
      <c r="Q1029" s="2"/>
      <c r="R1029" s="2"/>
      <c r="S1029" s="2"/>
      <c r="T1029" s="2"/>
      <c r="U1029" s="2"/>
      <c r="V1029" s="2"/>
      <c r="W1029" s="2"/>
      <c r="X1029" s="2"/>
      <c r="Y1029" s="2"/>
    </row>
    <row r="1030" spans="1:25" ht="38.25" customHeight="1">
      <c r="A1030" s="26">
        <v>732</v>
      </c>
      <c r="B1030" s="27" t="s">
        <v>599</v>
      </c>
      <c r="C1030" s="28">
        <v>42671</v>
      </c>
      <c r="D1030" s="27"/>
      <c r="E1030" s="27" t="s">
        <v>3127</v>
      </c>
      <c r="F1030" s="29" t="s">
        <v>3128</v>
      </c>
      <c r="G1030" s="27" t="s">
        <v>338</v>
      </c>
      <c r="H1030" s="27" t="s">
        <v>522</v>
      </c>
      <c r="I1030" s="27">
        <v>1</v>
      </c>
      <c r="J1030" s="30">
        <v>310215570</v>
      </c>
      <c r="K1030" s="26" t="s">
        <v>36</v>
      </c>
      <c r="L1030" s="26" t="s">
        <v>2054</v>
      </c>
      <c r="M1030" s="31" t="s">
        <v>3100</v>
      </c>
      <c r="N1030" s="6"/>
      <c r="O1030" s="2"/>
      <c r="P1030" s="2"/>
      <c r="Q1030" s="2"/>
      <c r="R1030" s="2"/>
      <c r="S1030" s="2"/>
      <c r="T1030" s="2"/>
      <c r="U1030" s="2"/>
      <c r="V1030" s="2"/>
      <c r="W1030" s="2"/>
      <c r="X1030" s="2"/>
      <c r="Y1030" s="2"/>
    </row>
    <row r="1031" spans="1:25" ht="12.75" customHeight="1">
      <c r="A1031" s="26">
        <v>733</v>
      </c>
      <c r="B1031" s="27" t="s">
        <v>797</v>
      </c>
      <c r="C1031" s="28">
        <v>42671</v>
      </c>
      <c r="D1031" s="27"/>
      <c r="E1031" s="27" t="s">
        <v>3129</v>
      </c>
      <c r="F1031" s="29" t="s">
        <v>3130</v>
      </c>
      <c r="G1031" s="27"/>
      <c r="H1031" s="27" t="s">
        <v>522</v>
      </c>
      <c r="I1031" s="27">
        <v>1</v>
      </c>
      <c r="J1031" s="30">
        <v>49947322</v>
      </c>
      <c r="K1031" s="26" t="s">
        <v>206</v>
      </c>
      <c r="L1031" s="45" t="s">
        <v>2906</v>
      </c>
      <c r="M1031" s="46">
        <v>0</v>
      </c>
      <c r="N1031" s="6"/>
      <c r="O1031" s="2"/>
      <c r="P1031" s="2"/>
      <c r="Q1031" s="2"/>
      <c r="R1031" s="2"/>
      <c r="S1031" s="2"/>
      <c r="T1031" s="2"/>
      <c r="U1031" s="2"/>
      <c r="V1031" s="2"/>
      <c r="W1031" s="2"/>
      <c r="X1031" s="2"/>
      <c r="Y1031" s="2"/>
    </row>
    <row r="1032" spans="1:25" ht="25.5" customHeight="1">
      <c r="A1032" s="26">
        <v>734</v>
      </c>
      <c r="B1032" s="27" t="s">
        <v>953</v>
      </c>
      <c r="C1032" s="28">
        <v>43256</v>
      </c>
      <c r="D1032" s="27"/>
      <c r="E1032" s="27" t="s">
        <v>3131</v>
      </c>
      <c r="F1032" s="29" t="s">
        <v>3132</v>
      </c>
      <c r="G1032" s="27" t="s">
        <v>2018</v>
      </c>
      <c r="H1032" s="27" t="s">
        <v>522</v>
      </c>
      <c r="I1032" s="27">
        <v>1</v>
      </c>
      <c r="J1032" s="30">
        <v>1007164447</v>
      </c>
      <c r="K1032" s="26" t="s">
        <v>20</v>
      </c>
      <c r="L1032" s="26" t="s">
        <v>423</v>
      </c>
      <c r="M1032" s="31" t="s">
        <v>5285</v>
      </c>
      <c r="N1032" s="6"/>
      <c r="O1032" s="2"/>
      <c r="P1032" s="2"/>
      <c r="Q1032" s="2"/>
      <c r="R1032" s="2"/>
      <c r="S1032" s="2"/>
      <c r="T1032" s="2"/>
      <c r="U1032" s="2"/>
      <c r="V1032" s="2"/>
      <c r="W1032" s="2"/>
      <c r="X1032" s="2"/>
      <c r="Y1032" s="2"/>
    </row>
    <row r="1033" spans="1:25" ht="25.5" customHeight="1">
      <c r="A1033" s="26">
        <v>735</v>
      </c>
      <c r="B1033" s="27" t="s">
        <v>953</v>
      </c>
      <c r="C1033" s="28">
        <v>43256</v>
      </c>
      <c r="D1033" s="27"/>
      <c r="E1033" s="27" t="s">
        <v>3134</v>
      </c>
      <c r="F1033" s="29" t="s">
        <v>3132</v>
      </c>
      <c r="G1033" s="27" t="s">
        <v>2018</v>
      </c>
      <c r="H1033" s="27" t="s">
        <v>522</v>
      </c>
      <c r="I1033" s="27">
        <v>1</v>
      </c>
      <c r="J1033" s="30">
        <v>1007164447</v>
      </c>
      <c r="K1033" s="26" t="s">
        <v>20</v>
      </c>
      <c r="L1033" s="36" t="s">
        <v>229</v>
      </c>
      <c r="M1033" s="57" t="s">
        <v>5286</v>
      </c>
      <c r="N1033" s="6"/>
      <c r="O1033" s="2"/>
      <c r="P1033" s="2"/>
      <c r="Q1033" s="2"/>
      <c r="R1033" s="2"/>
      <c r="S1033" s="2"/>
      <c r="T1033" s="2"/>
      <c r="U1033" s="2"/>
      <c r="V1033" s="2"/>
      <c r="W1033" s="2"/>
      <c r="X1033" s="2"/>
      <c r="Y1033" s="2"/>
    </row>
    <row r="1034" spans="1:25" ht="25.5" customHeight="1">
      <c r="A1034" s="26">
        <v>736</v>
      </c>
      <c r="B1034" s="27" t="s">
        <v>953</v>
      </c>
      <c r="C1034" s="28">
        <v>43256</v>
      </c>
      <c r="D1034" s="27"/>
      <c r="E1034" s="27" t="s">
        <v>3135</v>
      </c>
      <c r="F1034" s="29" t="s">
        <v>3136</v>
      </c>
      <c r="G1034" s="27" t="s">
        <v>2018</v>
      </c>
      <c r="H1034" s="27" t="s">
        <v>522</v>
      </c>
      <c r="I1034" s="27">
        <v>1</v>
      </c>
      <c r="J1034" s="30">
        <v>124836423</v>
      </c>
      <c r="K1034" s="26" t="s">
        <v>20</v>
      </c>
      <c r="L1034" s="36" t="s">
        <v>229</v>
      </c>
      <c r="M1034" s="57" t="s">
        <v>5286</v>
      </c>
      <c r="N1034" s="6"/>
      <c r="O1034" s="2"/>
      <c r="P1034" s="2"/>
      <c r="Q1034" s="2"/>
      <c r="R1034" s="2"/>
      <c r="S1034" s="2"/>
      <c r="T1034" s="2"/>
      <c r="U1034" s="2"/>
      <c r="V1034" s="2"/>
      <c r="W1034" s="2"/>
      <c r="X1034" s="2"/>
      <c r="Y1034" s="2"/>
    </row>
    <row r="1035" spans="1:25" ht="25.5" customHeight="1">
      <c r="A1035" s="26">
        <v>737</v>
      </c>
      <c r="B1035" s="27" t="s">
        <v>1037</v>
      </c>
      <c r="C1035" s="28">
        <v>43799</v>
      </c>
      <c r="D1035" s="27"/>
      <c r="E1035" s="27" t="s">
        <v>3137</v>
      </c>
      <c r="F1035" s="29" t="s">
        <v>3138</v>
      </c>
      <c r="G1035" s="27" t="s">
        <v>2070</v>
      </c>
      <c r="H1035" s="27" t="s">
        <v>522</v>
      </c>
      <c r="I1035" s="27">
        <v>1</v>
      </c>
      <c r="J1035" s="30">
        <v>297000000</v>
      </c>
      <c r="K1035" s="26" t="s">
        <v>20</v>
      </c>
      <c r="L1035" s="394" t="s">
        <v>295</v>
      </c>
      <c r="M1035" s="31" t="s">
        <v>3139</v>
      </c>
      <c r="N1035" s="6"/>
      <c r="O1035" s="2"/>
      <c r="P1035" s="2"/>
      <c r="Q1035" s="2"/>
      <c r="R1035" s="2"/>
      <c r="S1035" s="2"/>
      <c r="T1035" s="2"/>
      <c r="U1035" s="2"/>
      <c r="V1035" s="2"/>
      <c r="W1035" s="2"/>
      <c r="X1035" s="2"/>
      <c r="Y1035" s="2"/>
    </row>
    <row r="1036" spans="1:25" ht="25.5" customHeight="1">
      <c r="A1036" s="26">
        <v>738</v>
      </c>
      <c r="B1036" s="27" t="s">
        <v>973</v>
      </c>
      <c r="C1036" s="28">
        <v>43799</v>
      </c>
      <c r="D1036" s="27"/>
      <c r="E1036" s="27" t="s">
        <v>3140</v>
      </c>
      <c r="F1036" s="29" t="s">
        <v>3141</v>
      </c>
      <c r="G1036" s="27" t="s">
        <v>1088</v>
      </c>
      <c r="H1036" s="27" t="s">
        <v>522</v>
      </c>
      <c r="I1036" s="27">
        <v>1</v>
      </c>
      <c r="J1036" s="30">
        <v>906849170</v>
      </c>
      <c r="K1036" s="26" t="s">
        <v>20</v>
      </c>
      <c r="L1036" s="394" t="s">
        <v>295</v>
      </c>
      <c r="M1036" s="31" t="s">
        <v>3142</v>
      </c>
      <c r="N1036" s="6"/>
      <c r="O1036" s="2"/>
      <c r="P1036" s="2"/>
      <c r="Q1036" s="2"/>
      <c r="R1036" s="2"/>
      <c r="S1036" s="2"/>
      <c r="T1036" s="2"/>
      <c r="U1036" s="2"/>
      <c r="V1036" s="2"/>
      <c r="W1036" s="2"/>
      <c r="X1036" s="2"/>
      <c r="Y1036" s="2"/>
    </row>
    <row r="1037" spans="1:25" ht="25.5" customHeight="1">
      <c r="A1037" s="26">
        <v>739</v>
      </c>
      <c r="B1037" s="27" t="s">
        <v>973</v>
      </c>
      <c r="C1037" s="28">
        <v>43799</v>
      </c>
      <c r="D1037" s="27"/>
      <c r="E1037" s="27" t="s">
        <v>3143</v>
      </c>
      <c r="F1037" s="29" t="s">
        <v>3141</v>
      </c>
      <c r="G1037" s="27" t="s">
        <v>1088</v>
      </c>
      <c r="H1037" s="27" t="s">
        <v>522</v>
      </c>
      <c r="I1037" s="27">
        <v>1</v>
      </c>
      <c r="J1037" s="30">
        <v>906849170</v>
      </c>
      <c r="K1037" s="26" t="s">
        <v>20</v>
      </c>
      <c r="L1037" s="394" t="s">
        <v>295</v>
      </c>
      <c r="M1037" s="31" t="s">
        <v>3142</v>
      </c>
      <c r="N1037" s="6"/>
      <c r="O1037" s="2"/>
      <c r="P1037" s="2"/>
      <c r="Q1037" s="2"/>
      <c r="R1037" s="2"/>
      <c r="S1037" s="2"/>
      <c r="T1037" s="2"/>
      <c r="U1037" s="2"/>
      <c r="V1037" s="2"/>
      <c r="W1037" s="2"/>
      <c r="X1037" s="2"/>
      <c r="Y1037" s="2"/>
    </row>
    <row r="1038" spans="1:25" ht="25.5" customHeight="1">
      <c r="A1038" s="26">
        <v>740</v>
      </c>
      <c r="B1038" s="27" t="s">
        <v>973</v>
      </c>
      <c r="C1038" s="28">
        <v>43799</v>
      </c>
      <c r="D1038" s="27"/>
      <c r="E1038" s="27" t="s">
        <v>3144</v>
      </c>
      <c r="F1038" s="29" t="s">
        <v>3145</v>
      </c>
      <c r="G1038" s="27" t="s">
        <v>1088</v>
      </c>
      <c r="H1038" s="27" t="s">
        <v>522</v>
      </c>
      <c r="I1038" s="27">
        <v>1</v>
      </c>
      <c r="J1038" s="30">
        <v>1373141210</v>
      </c>
      <c r="K1038" s="26" t="s">
        <v>20</v>
      </c>
      <c r="L1038" s="394" t="s">
        <v>295</v>
      </c>
      <c r="M1038" s="31" t="s">
        <v>3142</v>
      </c>
      <c r="N1038" s="6"/>
      <c r="O1038" s="2"/>
      <c r="P1038" s="2"/>
      <c r="Q1038" s="2"/>
      <c r="R1038" s="2"/>
      <c r="S1038" s="2"/>
      <c r="T1038" s="2"/>
      <c r="U1038" s="2"/>
      <c r="V1038" s="2"/>
      <c r="W1038" s="2"/>
      <c r="X1038" s="2"/>
      <c r="Y1038" s="2"/>
    </row>
    <row r="1039" spans="1:25" ht="25.5" customHeight="1">
      <c r="A1039" s="26">
        <v>741</v>
      </c>
      <c r="B1039" s="27" t="s">
        <v>973</v>
      </c>
      <c r="C1039" s="28">
        <v>43799</v>
      </c>
      <c r="D1039" s="27"/>
      <c r="E1039" s="27" t="s">
        <v>3146</v>
      </c>
      <c r="F1039" s="29" t="s">
        <v>3147</v>
      </c>
      <c r="G1039" s="27" t="s">
        <v>1088</v>
      </c>
      <c r="H1039" s="27" t="s">
        <v>522</v>
      </c>
      <c r="I1039" s="27">
        <v>1</v>
      </c>
      <c r="J1039" s="30">
        <v>972411915</v>
      </c>
      <c r="K1039" s="26" t="s">
        <v>20</v>
      </c>
      <c r="L1039" s="394" t="s">
        <v>295</v>
      </c>
      <c r="M1039" s="31" t="s">
        <v>3142</v>
      </c>
      <c r="N1039" s="6"/>
      <c r="O1039" s="2"/>
      <c r="P1039" s="2"/>
      <c r="Q1039" s="2"/>
      <c r="R1039" s="2"/>
      <c r="S1039" s="2"/>
      <c r="T1039" s="2"/>
      <c r="U1039" s="2"/>
      <c r="V1039" s="2"/>
      <c r="W1039" s="2"/>
      <c r="X1039" s="2"/>
      <c r="Y1039" s="2"/>
    </row>
    <row r="1040" spans="1:25" ht="38.25" customHeight="1">
      <c r="A1040" s="26">
        <v>742</v>
      </c>
      <c r="B1040" s="27" t="s">
        <v>973</v>
      </c>
      <c r="C1040" s="28">
        <v>43799</v>
      </c>
      <c r="D1040" s="27"/>
      <c r="E1040" s="27" t="s">
        <v>3148</v>
      </c>
      <c r="F1040" s="29" t="s">
        <v>3149</v>
      </c>
      <c r="G1040" s="27" t="s">
        <v>1088</v>
      </c>
      <c r="H1040" s="27" t="s">
        <v>522</v>
      </c>
      <c r="I1040" s="27">
        <v>1</v>
      </c>
      <c r="J1040" s="30">
        <v>680627067</v>
      </c>
      <c r="K1040" s="26" t="s">
        <v>20</v>
      </c>
      <c r="L1040" s="394" t="s">
        <v>295</v>
      </c>
      <c r="M1040" s="31" t="s">
        <v>3142</v>
      </c>
      <c r="N1040" s="6"/>
      <c r="O1040" s="2"/>
      <c r="P1040" s="2"/>
      <c r="Q1040" s="2"/>
      <c r="R1040" s="2"/>
      <c r="S1040" s="2"/>
      <c r="T1040" s="2"/>
      <c r="U1040" s="2"/>
      <c r="V1040" s="2"/>
      <c r="W1040" s="2"/>
      <c r="X1040" s="2"/>
      <c r="Y1040" s="2"/>
    </row>
    <row r="1041" spans="1:25" ht="25.5" customHeight="1">
      <c r="A1041" s="26">
        <v>743</v>
      </c>
      <c r="B1041" s="27" t="s">
        <v>973</v>
      </c>
      <c r="C1041" s="28">
        <v>43799</v>
      </c>
      <c r="D1041" s="27"/>
      <c r="E1041" s="27" t="s">
        <v>3150</v>
      </c>
      <c r="F1041" s="29" t="s">
        <v>3151</v>
      </c>
      <c r="G1041" s="27" t="s">
        <v>1088</v>
      </c>
      <c r="H1041" s="27" t="s">
        <v>522</v>
      </c>
      <c r="I1041" s="27">
        <v>1</v>
      </c>
      <c r="J1041" s="30">
        <v>2099846019</v>
      </c>
      <c r="K1041" s="26" t="s">
        <v>20</v>
      </c>
      <c r="L1041" s="394" t="s">
        <v>295</v>
      </c>
      <c r="M1041" s="31" t="s">
        <v>3142</v>
      </c>
      <c r="N1041" s="6"/>
      <c r="O1041" s="2"/>
      <c r="P1041" s="2"/>
      <c r="Q1041" s="2"/>
      <c r="R1041" s="2"/>
      <c r="S1041" s="2"/>
      <c r="T1041" s="2"/>
      <c r="U1041" s="2"/>
      <c r="V1041" s="2"/>
      <c r="W1041" s="2"/>
      <c r="X1041" s="2"/>
      <c r="Y1041" s="2"/>
    </row>
    <row r="1042" spans="1:25" ht="25.5" customHeight="1">
      <c r="A1042" s="26">
        <v>744</v>
      </c>
      <c r="B1042" s="27" t="s">
        <v>973</v>
      </c>
      <c r="C1042" s="28">
        <v>43799</v>
      </c>
      <c r="D1042" s="27"/>
      <c r="E1042" s="27" t="s">
        <v>3152</v>
      </c>
      <c r="F1042" s="29" t="s">
        <v>3153</v>
      </c>
      <c r="G1042" s="27" t="s">
        <v>1088</v>
      </c>
      <c r="H1042" s="27" t="s">
        <v>522</v>
      </c>
      <c r="I1042" s="27">
        <v>1</v>
      </c>
      <c r="J1042" s="30">
        <v>209800781</v>
      </c>
      <c r="K1042" s="26" t="s">
        <v>20</v>
      </c>
      <c r="L1042" s="394" t="s">
        <v>295</v>
      </c>
      <c r="M1042" s="31" t="s">
        <v>3142</v>
      </c>
      <c r="N1042" s="6"/>
      <c r="O1042" s="2"/>
      <c r="P1042" s="2"/>
      <c r="Q1042" s="2"/>
      <c r="R1042" s="2"/>
      <c r="S1042" s="2"/>
      <c r="T1042" s="2"/>
      <c r="U1042" s="2"/>
      <c r="V1042" s="2"/>
      <c r="W1042" s="2"/>
      <c r="X1042" s="2"/>
      <c r="Y1042" s="2"/>
    </row>
    <row r="1043" spans="1:25" ht="25.5" customHeight="1">
      <c r="A1043" s="26">
        <v>745</v>
      </c>
      <c r="B1043" s="27" t="s">
        <v>973</v>
      </c>
      <c r="C1043" s="28">
        <v>43799</v>
      </c>
      <c r="D1043" s="27"/>
      <c r="E1043" s="27" t="s">
        <v>3154</v>
      </c>
      <c r="F1043" s="29" t="s">
        <v>3153</v>
      </c>
      <c r="G1043" s="27" t="s">
        <v>1088</v>
      </c>
      <c r="H1043" s="27" t="s">
        <v>522</v>
      </c>
      <c r="I1043" s="27">
        <v>1</v>
      </c>
      <c r="J1043" s="30">
        <v>209800781</v>
      </c>
      <c r="K1043" s="26" t="s">
        <v>20</v>
      </c>
      <c r="L1043" s="394" t="s">
        <v>295</v>
      </c>
      <c r="M1043" s="31" t="s">
        <v>3142</v>
      </c>
      <c r="N1043" s="6"/>
      <c r="O1043" s="2"/>
      <c r="P1043" s="2"/>
      <c r="Q1043" s="2"/>
      <c r="R1043" s="2"/>
      <c r="S1043" s="2"/>
      <c r="T1043" s="2"/>
      <c r="U1043" s="2"/>
      <c r="V1043" s="2"/>
      <c r="W1043" s="2"/>
      <c r="X1043" s="2"/>
      <c r="Y1043" s="2"/>
    </row>
    <row r="1044" spans="1:25" ht="25.5" customHeight="1">
      <c r="A1044" s="26">
        <v>746</v>
      </c>
      <c r="B1044" s="27" t="s">
        <v>973</v>
      </c>
      <c r="C1044" s="28">
        <v>43799</v>
      </c>
      <c r="D1044" s="27"/>
      <c r="E1044" s="27" t="s">
        <v>3155</v>
      </c>
      <c r="F1044" s="29" t="s">
        <v>3153</v>
      </c>
      <c r="G1044" s="27" t="s">
        <v>1088</v>
      </c>
      <c r="H1044" s="27" t="s">
        <v>522</v>
      </c>
      <c r="I1044" s="27">
        <v>1</v>
      </c>
      <c r="J1044" s="30">
        <v>209800781</v>
      </c>
      <c r="K1044" s="26" t="s">
        <v>20</v>
      </c>
      <c r="L1044" s="394" t="s">
        <v>295</v>
      </c>
      <c r="M1044" s="31" t="s">
        <v>3142</v>
      </c>
      <c r="N1044" s="6"/>
      <c r="O1044" s="2"/>
      <c r="P1044" s="2"/>
      <c r="Q1044" s="2"/>
      <c r="R1044" s="2"/>
      <c r="S1044" s="2"/>
      <c r="T1044" s="2"/>
      <c r="U1044" s="2"/>
      <c r="V1044" s="2"/>
      <c r="W1044" s="2"/>
      <c r="X1044" s="2"/>
      <c r="Y1044" s="2"/>
    </row>
    <row r="1045" spans="1:25" ht="25.5" customHeight="1">
      <c r="A1045" s="26">
        <v>747</v>
      </c>
      <c r="B1045" s="27" t="s">
        <v>973</v>
      </c>
      <c r="C1045" s="28">
        <v>43799</v>
      </c>
      <c r="D1045" s="27"/>
      <c r="E1045" s="27" t="s">
        <v>3156</v>
      </c>
      <c r="F1045" s="29" t="s">
        <v>3157</v>
      </c>
      <c r="G1045" s="27" t="s">
        <v>1088</v>
      </c>
      <c r="H1045" s="27" t="s">
        <v>522</v>
      </c>
      <c r="I1045" s="27">
        <v>1</v>
      </c>
      <c r="J1045" s="30">
        <v>1805732774</v>
      </c>
      <c r="K1045" s="26" t="s">
        <v>20</v>
      </c>
      <c r="L1045" s="394" t="s">
        <v>295</v>
      </c>
      <c r="M1045" s="31" t="s">
        <v>3142</v>
      </c>
      <c r="N1045" s="6"/>
      <c r="O1045" s="2"/>
      <c r="P1045" s="2"/>
      <c r="Q1045" s="2"/>
      <c r="R1045" s="2"/>
      <c r="S1045" s="2"/>
      <c r="T1045" s="2"/>
      <c r="U1045" s="2"/>
      <c r="V1045" s="2"/>
      <c r="W1045" s="2"/>
      <c r="X1045" s="2"/>
      <c r="Y1045" s="2"/>
    </row>
    <row r="1046" spans="1:25" ht="25.5" customHeight="1">
      <c r="A1046" s="26">
        <v>748</v>
      </c>
      <c r="B1046" s="27" t="s">
        <v>973</v>
      </c>
      <c r="C1046" s="28">
        <v>43799</v>
      </c>
      <c r="D1046" s="27"/>
      <c r="E1046" s="27" t="s">
        <v>3158</v>
      </c>
      <c r="F1046" s="29" t="s">
        <v>3157</v>
      </c>
      <c r="G1046" s="27" t="s">
        <v>1088</v>
      </c>
      <c r="H1046" s="27" t="s">
        <v>522</v>
      </c>
      <c r="I1046" s="27">
        <v>1</v>
      </c>
      <c r="J1046" s="30">
        <v>1805732774</v>
      </c>
      <c r="K1046" s="26" t="s">
        <v>20</v>
      </c>
      <c r="L1046" s="394" t="s">
        <v>295</v>
      </c>
      <c r="M1046" s="31" t="s">
        <v>3142</v>
      </c>
      <c r="N1046" s="6"/>
      <c r="O1046" s="2"/>
      <c r="P1046" s="2"/>
      <c r="Q1046" s="2"/>
      <c r="R1046" s="2"/>
      <c r="S1046" s="2"/>
      <c r="T1046" s="2"/>
      <c r="U1046" s="2"/>
      <c r="V1046" s="2"/>
      <c r="W1046" s="2"/>
      <c r="X1046" s="2"/>
      <c r="Y1046" s="2"/>
    </row>
    <row r="1047" spans="1:25" ht="12.75" customHeight="1">
      <c r="A1047" s="26">
        <v>749</v>
      </c>
      <c r="B1047" s="27" t="s">
        <v>973</v>
      </c>
      <c r="C1047" s="28">
        <v>43799</v>
      </c>
      <c r="D1047" s="27"/>
      <c r="E1047" s="27" t="s">
        <v>3159</v>
      </c>
      <c r="F1047" s="29" t="s">
        <v>3160</v>
      </c>
      <c r="G1047" s="27" t="s">
        <v>1088</v>
      </c>
      <c r="H1047" s="27" t="s">
        <v>522</v>
      </c>
      <c r="I1047" s="27">
        <v>1</v>
      </c>
      <c r="J1047" s="30">
        <v>656240177</v>
      </c>
      <c r="K1047" s="26" t="s">
        <v>20</v>
      </c>
      <c r="L1047" s="394" t="s">
        <v>295</v>
      </c>
      <c r="M1047" s="31" t="s">
        <v>3142</v>
      </c>
      <c r="N1047" s="6"/>
      <c r="O1047" s="2"/>
      <c r="P1047" s="2"/>
      <c r="Q1047" s="2"/>
      <c r="R1047" s="2"/>
      <c r="S1047" s="2"/>
      <c r="T1047" s="2"/>
      <c r="U1047" s="2"/>
      <c r="V1047" s="2"/>
      <c r="W1047" s="2"/>
      <c r="X1047" s="2"/>
      <c r="Y1047" s="2"/>
    </row>
    <row r="1048" spans="1:25" ht="25.5" customHeight="1">
      <c r="A1048" s="26">
        <v>750</v>
      </c>
      <c r="B1048" s="27" t="s">
        <v>973</v>
      </c>
      <c r="C1048" s="28">
        <v>43799</v>
      </c>
      <c r="D1048" s="27"/>
      <c r="E1048" s="27" t="s">
        <v>3161</v>
      </c>
      <c r="F1048" s="29" t="s">
        <v>3162</v>
      </c>
      <c r="G1048" s="27" t="s">
        <v>1088</v>
      </c>
      <c r="H1048" s="27" t="s">
        <v>522</v>
      </c>
      <c r="I1048" s="27">
        <v>1</v>
      </c>
      <c r="J1048" s="30">
        <v>972411915</v>
      </c>
      <c r="K1048" s="26" t="s">
        <v>20</v>
      </c>
      <c r="L1048" s="394" t="s">
        <v>295</v>
      </c>
      <c r="M1048" s="31" t="s">
        <v>3142</v>
      </c>
      <c r="N1048" s="6"/>
      <c r="O1048" s="2"/>
      <c r="P1048" s="2"/>
      <c r="Q1048" s="2"/>
      <c r="R1048" s="2"/>
      <c r="S1048" s="2"/>
      <c r="T1048" s="2"/>
      <c r="U1048" s="2"/>
      <c r="V1048" s="2"/>
      <c r="W1048" s="2"/>
      <c r="X1048" s="2"/>
      <c r="Y1048" s="2"/>
    </row>
    <row r="1049" spans="1:25" ht="25.5" customHeight="1">
      <c r="A1049" s="26">
        <v>751</v>
      </c>
      <c r="B1049" s="27" t="s">
        <v>973</v>
      </c>
      <c r="C1049" s="28">
        <v>43799</v>
      </c>
      <c r="D1049" s="27"/>
      <c r="E1049" s="27" t="s">
        <v>3163</v>
      </c>
      <c r="F1049" s="29" t="s">
        <v>3162</v>
      </c>
      <c r="G1049" s="27" t="s">
        <v>1088</v>
      </c>
      <c r="H1049" s="27" t="s">
        <v>522</v>
      </c>
      <c r="I1049" s="27">
        <v>1</v>
      </c>
      <c r="J1049" s="30">
        <v>972411915</v>
      </c>
      <c r="K1049" s="26" t="s">
        <v>20</v>
      </c>
      <c r="L1049" s="394" t="s">
        <v>295</v>
      </c>
      <c r="M1049" s="31" t="s">
        <v>3142</v>
      </c>
      <c r="N1049" s="6"/>
      <c r="O1049" s="2"/>
      <c r="P1049" s="2"/>
      <c r="Q1049" s="2"/>
      <c r="R1049" s="2"/>
      <c r="S1049" s="2"/>
      <c r="T1049" s="2"/>
      <c r="U1049" s="2"/>
      <c r="V1049" s="2"/>
      <c r="W1049" s="2"/>
      <c r="X1049" s="2"/>
      <c r="Y1049" s="2"/>
    </row>
    <row r="1050" spans="1:25" ht="25.5" customHeight="1">
      <c r="A1050" s="26">
        <v>752</v>
      </c>
      <c r="B1050" s="27" t="s">
        <v>973</v>
      </c>
      <c r="C1050" s="28">
        <v>43799</v>
      </c>
      <c r="D1050" s="27"/>
      <c r="E1050" s="27" t="s">
        <v>3164</v>
      </c>
      <c r="F1050" s="29" t="s">
        <v>3165</v>
      </c>
      <c r="G1050" s="27" t="s">
        <v>1088</v>
      </c>
      <c r="H1050" s="27" t="s">
        <v>522</v>
      </c>
      <c r="I1050" s="27">
        <v>1</v>
      </c>
      <c r="J1050" s="30">
        <v>233207293</v>
      </c>
      <c r="K1050" s="26" t="s">
        <v>20</v>
      </c>
      <c r="L1050" s="394" t="s">
        <v>295</v>
      </c>
      <c r="M1050" s="31" t="s">
        <v>3142</v>
      </c>
      <c r="N1050" s="6"/>
      <c r="O1050" s="2"/>
      <c r="P1050" s="2"/>
      <c r="Q1050" s="2"/>
      <c r="R1050" s="2"/>
      <c r="S1050" s="2"/>
      <c r="T1050" s="2"/>
      <c r="U1050" s="2"/>
      <c r="V1050" s="2"/>
      <c r="W1050" s="2"/>
      <c r="X1050" s="2"/>
      <c r="Y1050" s="2"/>
    </row>
    <row r="1051" spans="1:25" ht="25.5" customHeight="1">
      <c r="A1051" s="26">
        <v>753</v>
      </c>
      <c r="B1051" s="27" t="s">
        <v>973</v>
      </c>
      <c r="C1051" s="28">
        <v>43799</v>
      </c>
      <c r="D1051" s="27"/>
      <c r="E1051" s="27" t="s">
        <v>3166</v>
      </c>
      <c r="F1051" s="29" t="s">
        <v>3165</v>
      </c>
      <c r="G1051" s="27" t="s">
        <v>1088</v>
      </c>
      <c r="H1051" s="27" t="s">
        <v>522</v>
      </c>
      <c r="I1051" s="27">
        <v>1</v>
      </c>
      <c r="J1051" s="30">
        <v>233207293</v>
      </c>
      <c r="K1051" s="26" t="s">
        <v>20</v>
      </c>
      <c r="L1051" s="394" t="s">
        <v>295</v>
      </c>
      <c r="M1051" s="31" t="s">
        <v>3142</v>
      </c>
      <c r="N1051" s="6"/>
      <c r="O1051" s="2"/>
      <c r="P1051" s="2"/>
      <c r="Q1051" s="2"/>
      <c r="R1051" s="2"/>
      <c r="S1051" s="2"/>
      <c r="T1051" s="2"/>
      <c r="U1051" s="2"/>
      <c r="V1051" s="2"/>
      <c r="W1051" s="2"/>
      <c r="X1051" s="2"/>
      <c r="Y1051" s="2"/>
    </row>
    <row r="1052" spans="1:25" ht="25.5" customHeight="1">
      <c r="A1052" s="26">
        <v>754</v>
      </c>
      <c r="B1052" s="27" t="s">
        <v>973</v>
      </c>
      <c r="C1052" s="28">
        <v>43799</v>
      </c>
      <c r="D1052" s="27"/>
      <c r="E1052" s="27" t="s">
        <v>3167</v>
      </c>
      <c r="F1052" s="29" t="s">
        <v>3168</v>
      </c>
      <c r="G1052" s="27" t="s">
        <v>1088</v>
      </c>
      <c r="H1052" s="27" t="s">
        <v>522</v>
      </c>
      <c r="I1052" s="27">
        <v>1</v>
      </c>
      <c r="J1052" s="30">
        <v>777806985</v>
      </c>
      <c r="K1052" s="26" t="s">
        <v>20</v>
      </c>
      <c r="L1052" s="394" t="s">
        <v>295</v>
      </c>
      <c r="M1052" s="31" t="s">
        <v>3142</v>
      </c>
      <c r="N1052" s="6"/>
      <c r="O1052" s="2"/>
      <c r="P1052" s="2"/>
      <c r="Q1052" s="2"/>
      <c r="R1052" s="2"/>
      <c r="S1052" s="2"/>
      <c r="T1052" s="2"/>
      <c r="U1052" s="2"/>
      <c r="V1052" s="2"/>
      <c r="W1052" s="2"/>
      <c r="X1052" s="2"/>
      <c r="Y1052" s="2"/>
    </row>
    <row r="1053" spans="1:25" ht="25.5" customHeight="1">
      <c r="A1053" s="26">
        <v>755</v>
      </c>
      <c r="B1053" s="27" t="s">
        <v>973</v>
      </c>
      <c r="C1053" s="28">
        <v>43799</v>
      </c>
      <c r="D1053" s="27"/>
      <c r="E1053" s="27" t="s">
        <v>3169</v>
      </c>
      <c r="F1053" s="29" t="s">
        <v>3170</v>
      </c>
      <c r="G1053" s="27" t="s">
        <v>1088</v>
      </c>
      <c r="H1053" s="27" t="s">
        <v>522</v>
      </c>
      <c r="I1053" s="27">
        <v>1</v>
      </c>
      <c r="J1053" s="30">
        <v>1049984291</v>
      </c>
      <c r="K1053" s="26" t="s">
        <v>20</v>
      </c>
      <c r="L1053" s="394" t="s">
        <v>295</v>
      </c>
      <c r="M1053" s="31" t="s">
        <v>3142</v>
      </c>
      <c r="N1053" s="6"/>
      <c r="O1053" s="2"/>
      <c r="P1053" s="2"/>
      <c r="Q1053" s="2"/>
      <c r="R1053" s="2"/>
      <c r="S1053" s="2"/>
      <c r="T1053" s="2"/>
      <c r="U1053" s="2"/>
      <c r="V1053" s="2"/>
      <c r="W1053" s="2"/>
      <c r="X1053" s="2"/>
      <c r="Y1053" s="2"/>
    </row>
    <row r="1054" spans="1:25" ht="12.75" customHeight="1">
      <c r="A1054" s="26">
        <v>756</v>
      </c>
      <c r="B1054" s="27" t="s">
        <v>388</v>
      </c>
      <c r="C1054" s="28">
        <v>41576</v>
      </c>
      <c r="D1054" s="27"/>
      <c r="E1054" s="27" t="s">
        <v>3171</v>
      </c>
      <c r="F1054" s="29" t="s">
        <v>3172</v>
      </c>
      <c r="G1054" s="27" t="s">
        <v>573</v>
      </c>
      <c r="H1054" s="27" t="s">
        <v>522</v>
      </c>
      <c r="I1054" s="27">
        <v>1</v>
      </c>
      <c r="J1054" s="30">
        <v>1588901071</v>
      </c>
      <c r="K1054" s="26" t="s">
        <v>36</v>
      </c>
      <c r="L1054" s="26" t="s">
        <v>2054</v>
      </c>
      <c r="M1054" s="31" t="s">
        <v>3086</v>
      </c>
      <c r="N1054" s="6"/>
      <c r="O1054" s="2"/>
      <c r="P1054" s="2"/>
      <c r="Q1054" s="2"/>
      <c r="R1054" s="2"/>
      <c r="S1054" s="2"/>
      <c r="T1054" s="2"/>
      <c r="U1054" s="2"/>
      <c r="V1054" s="2"/>
      <c r="W1054" s="2"/>
      <c r="X1054" s="2"/>
      <c r="Y1054" s="2"/>
    </row>
    <row r="1055" spans="1:25" ht="12.75" customHeight="1">
      <c r="A1055" s="26">
        <v>757</v>
      </c>
      <c r="B1055" s="27" t="s">
        <v>470</v>
      </c>
      <c r="C1055" s="28">
        <v>41983</v>
      </c>
      <c r="D1055" s="27"/>
      <c r="E1055" s="27" t="s">
        <v>3173</v>
      </c>
      <c r="F1055" s="29" t="s">
        <v>3174</v>
      </c>
      <c r="G1055" s="27" t="s">
        <v>35</v>
      </c>
      <c r="H1055" s="27" t="s">
        <v>19</v>
      </c>
      <c r="I1055" s="27">
        <v>1</v>
      </c>
      <c r="J1055" s="30">
        <v>302191391</v>
      </c>
      <c r="K1055" s="26" t="s">
        <v>20</v>
      </c>
      <c r="L1055" s="26" t="s">
        <v>284</v>
      </c>
      <c r="M1055" s="31" t="s">
        <v>2122</v>
      </c>
      <c r="N1055" s="6"/>
      <c r="O1055" s="2"/>
      <c r="P1055" s="2"/>
      <c r="Q1055" s="2"/>
      <c r="R1055" s="2"/>
      <c r="S1055" s="2"/>
      <c r="T1055" s="2"/>
      <c r="U1055" s="2"/>
      <c r="V1055" s="2"/>
      <c r="W1055" s="2"/>
      <c r="X1055" s="2"/>
      <c r="Y1055" s="2"/>
    </row>
    <row r="1056" spans="1:25" ht="12.75" customHeight="1">
      <c r="A1056" s="26">
        <v>758</v>
      </c>
      <c r="B1056" s="27" t="s">
        <v>470</v>
      </c>
      <c r="C1056" s="28">
        <v>41983</v>
      </c>
      <c r="D1056" s="27"/>
      <c r="E1056" s="27" t="s">
        <v>3175</v>
      </c>
      <c r="F1056" s="29" t="s">
        <v>3174</v>
      </c>
      <c r="G1056" s="27" t="s">
        <v>35</v>
      </c>
      <c r="H1056" s="27" t="s">
        <v>19</v>
      </c>
      <c r="I1056" s="27">
        <v>1</v>
      </c>
      <c r="J1056" s="30">
        <v>302191391</v>
      </c>
      <c r="K1056" s="26" t="s">
        <v>20</v>
      </c>
      <c r="L1056" s="26" t="s">
        <v>284</v>
      </c>
      <c r="M1056" s="31" t="s">
        <v>2122</v>
      </c>
      <c r="N1056" s="6"/>
      <c r="O1056" s="2"/>
      <c r="P1056" s="2"/>
      <c r="Q1056" s="2"/>
      <c r="R1056" s="2"/>
      <c r="S1056" s="2"/>
      <c r="T1056" s="2"/>
      <c r="U1056" s="2"/>
      <c r="V1056" s="2"/>
      <c r="W1056" s="2"/>
      <c r="X1056" s="2"/>
      <c r="Y1056" s="2"/>
    </row>
    <row r="1057" spans="1:25" ht="29.25" customHeight="1">
      <c r="A1057" s="26">
        <v>759</v>
      </c>
      <c r="B1057" s="82" t="s">
        <v>3176</v>
      </c>
      <c r="C1057" s="83">
        <v>44196</v>
      </c>
      <c r="D1057" s="84"/>
      <c r="E1057" s="82" t="s">
        <v>3177</v>
      </c>
      <c r="F1057" s="29" t="s">
        <v>3178</v>
      </c>
      <c r="G1057" s="85" t="s">
        <v>35</v>
      </c>
      <c r="H1057" s="85" t="s">
        <v>19</v>
      </c>
      <c r="I1057" s="86">
        <v>1</v>
      </c>
      <c r="J1057" s="87">
        <v>313000000</v>
      </c>
      <c r="K1057" s="1" t="s">
        <v>36</v>
      </c>
      <c r="L1057" s="1" t="s">
        <v>1542</v>
      </c>
      <c r="M1057" s="6" t="s">
        <v>3179</v>
      </c>
      <c r="N1057" s="6"/>
      <c r="O1057" s="2"/>
      <c r="P1057" s="2"/>
      <c r="Q1057" s="2"/>
      <c r="R1057" s="2"/>
      <c r="S1057" s="2"/>
      <c r="T1057" s="2"/>
      <c r="U1057" s="2"/>
      <c r="V1057" s="2"/>
      <c r="W1057" s="2"/>
      <c r="X1057" s="2"/>
      <c r="Y1057" s="2"/>
    </row>
    <row r="1058" spans="1:25" ht="25.5" customHeight="1">
      <c r="A1058" s="26">
        <v>760</v>
      </c>
      <c r="B1058" s="82" t="s">
        <v>3180</v>
      </c>
      <c r="C1058" s="83">
        <v>44196</v>
      </c>
      <c r="D1058" s="84"/>
      <c r="E1058" s="82" t="s">
        <v>3181</v>
      </c>
      <c r="F1058" s="29" t="s">
        <v>3182</v>
      </c>
      <c r="G1058" s="85" t="s">
        <v>35</v>
      </c>
      <c r="H1058" s="85" t="s">
        <v>19</v>
      </c>
      <c r="I1058" s="86">
        <v>1</v>
      </c>
      <c r="J1058" s="87">
        <v>126000000</v>
      </c>
      <c r="K1058" s="1" t="s">
        <v>206</v>
      </c>
      <c r="L1058" s="1"/>
      <c r="M1058" s="6" t="s">
        <v>3183</v>
      </c>
      <c r="N1058" s="6"/>
      <c r="O1058" s="2"/>
      <c r="P1058" s="2"/>
      <c r="Q1058" s="2"/>
      <c r="R1058" s="2"/>
      <c r="S1058" s="2"/>
      <c r="T1058" s="2"/>
      <c r="U1058" s="2"/>
      <c r="V1058" s="2"/>
      <c r="W1058" s="2"/>
      <c r="X1058" s="2"/>
      <c r="Y1058" s="2"/>
    </row>
    <row r="1059" spans="1:25" ht="12.75" customHeight="1">
      <c r="A1059" s="26" t="s">
        <v>3184</v>
      </c>
      <c r="B1059" s="89"/>
      <c r="C1059" s="89"/>
      <c r="D1059" s="89"/>
      <c r="E1059" s="90" t="s">
        <v>3185</v>
      </c>
      <c r="F1059" s="29" t="s">
        <v>3186</v>
      </c>
      <c r="G1059" s="91" t="s">
        <v>248</v>
      </c>
      <c r="H1059" s="91" t="s">
        <v>249</v>
      </c>
      <c r="I1059" s="92">
        <v>1</v>
      </c>
      <c r="J1059" s="93">
        <v>0</v>
      </c>
      <c r="K1059" s="1" t="s">
        <v>206</v>
      </c>
      <c r="L1059" s="1"/>
      <c r="M1059" s="6" t="s">
        <v>3183</v>
      </c>
      <c r="N1059" s="6"/>
      <c r="O1059" s="2"/>
      <c r="P1059" s="2"/>
      <c r="Q1059" s="2"/>
      <c r="R1059" s="2"/>
      <c r="S1059" s="2"/>
      <c r="T1059" s="2"/>
      <c r="U1059" s="2"/>
      <c r="V1059" s="2"/>
      <c r="W1059" s="2"/>
      <c r="X1059" s="2"/>
      <c r="Y1059" s="2"/>
    </row>
    <row r="1060" spans="1:25" ht="25.5" customHeight="1">
      <c r="A1060" s="26">
        <v>761</v>
      </c>
      <c r="B1060" s="82" t="s">
        <v>3180</v>
      </c>
      <c r="C1060" s="83">
        <v>44196</v>
      </c>
      <c r="D1060" s="84"/>
      <c r="E1060" s="82" t="s">
        <v>3187</v>
      </c>
      <c r="F1060" s="29" t="s">
        <v>3188</v>
      </c>
      <c r="G1060" s="85" t="s">
        <v>35</v>
      </c>
      <c r="H1060" s="85" t="s">
        <v>19</v>
      </c>
      <c r="I1060" s="86">
        <v>1</v>
      </c>
      <c r="J1060" s="87">
        <v>126000000</v>
      </c>
      <c r="K1060" s="1" t="s">
        <v>206</v>
      </c>
      <c r="L1060" s="1"/>
      <c r="M1060" s="6" t="s">
        <v>3183</v>
      </c>
      <c r="N1060" s="6"/>
      <c r="O1060" s="2"/>
      <c r="P1060" s="2"/>
      <c r="Q1060" s="2"/>
      <c r="R1060" s="2"/>
      <c r="S1060" s="2"/>
      <c r="T1060" s="2"/>
      <c r="U1060" s="2"/>
      <c r="V1060" s="2"/>
      <c r="W1060" s="2"/>
      <c r="X1060" s="2"/>
      <c r="Y1060" s="2"/>
    </row>
    <row r="1061" spans="1:25" ht="12.75" customHeight="1">
      <c r="A1061" s="26" t="s">
        <v>3189</v>
      </c>
      <c r="B1061" s="89"/>
      <c r="C1061" s="89"/>
      <c r="D1061" s="89"/>
      <c r="E1061" s="90" t="s">
        <v>3190</v>
      </c>
      <c r="F1061" s="29" t="s">
        <v>3191</v>
      </c>
      <c r="G1061" s="91" t="s">
        <v>248</v>
      </c>
      <c r="H1061" s="91" t="s">
        <v>249</v>
      </c>
      <c r="I1061" s="92">
        <v>1</v>
      </c>
      <c r="J1061" s="93">
        <v>0</v>
      </c>
      <c r="K1061" s="1" t="s">
        <v>206</v>
      </c>
      <c r="L1061" s="1"/>
      <c r="M1061" s="6" t="s">
        <v>3183</v>
      </c>
      <c r="N1061" s="6"/>
      <c r="O1061" s="2"/>
      <c r="P1061" s="2"/>
      <c r="Q1061" s="2"/>
      <c r="R1061" s="2"/>
      <c r="S1061" s="2"/>
      <c r="T1061" s="2"/>
      <c r="U1061" s="2"/>
      <c r="V1061" s="2"/>
      <c r="W1061" s="2"/>
      <c r="X1061" s="2"/>
      <c r="Y1061" s="2"/>
    </row>
    <row r="1062" spans="1:25" ht="25.5" customHeight="1">
      <c r="A1062" s="26">
        <v>762</v>
      </c>
      <c r="B1062" s="82" t="s">
        <v>3192</v>
      </c>
      <c r="C1062" s="83">
        <v>44196</v>
      </c>
      <c r="D1062" s="84"/>
      <c r="E1062" s="82" t="s">
        <v>3193</v>
      </c>
      <c r="F1062" s="29" t="s">
        <v>3194</v>
      </c>
      <c r="G1062" s="85" t="s">
        <v>35</v>
      </c>
      <c r="H1062" s="85" t="s">
        <v>19</v>
      </c>
      <c r="I1062" s="86">
        <v>1</v>
      </c>
      <c r="J1062" s="87">
        <v>121000000</v>
      </c>
      <c r="K1062" s="1" t="s">
        <v>206</v>
      </c>
      <c r="L1062" s="1" t="s">
        <v>207</v>
      </c>
      <c r="M1062" s="6"/>
      <c r="N1062" s="6"/>
      <c r="O1062" s="2"/>
      <c r="P1062" s="2"/>
      <c r="Q1062" s="2"/>
      <c r="R1062" s="2"/>
      <c r="S1062" s="2"/>
      <c r="T1062" s="2"/>
      <c r="U1062" s="2"/>
      <c r="V1062" s="2"/>
      <c r="W1062" s="2"/>
      <c r="X1062" s="2"/>
      <c r="Y1062" s="2"/>
    </row>
    <row r="1063" spans="1:25" ht="25.5" customHeight="1">
      <c r="A1063" s="26">
        <v>763</v>
      </c>
      <c r="B1063" s="82" t="s">
        <v>3192</v>
      </c>
      <c r="C1063" s="83">
        <v>44196</v>
      </c>
      <c r="D1063" s="84"/>
      <c r="E1063" s="82" t="s">
        <v>3195</v>
      </c>
      <c r="F1063" s="29" t="s">
        <v>3196</v>
      </c>
      <c r="G1063" s="85" t="s">
        <v>35</v>
      </c>
      <c r="H1063" s="85" t="s">
        <v>19</v>
      </c>
      <c r="I1063" s="86">
        <v>1</v>
      </c>
      <c r="J1063" s="87">
        <v>121000000</v>
      </c>
      <c r="K1063" s="1" t="s">
        <v>206</v>
      </c>
      <c r="L1063" s="1" t="s">
        <v>207</v>
      </c>
      <c r="M1063" s="6"/>
      <c r="N1063" s="6"/>
      <c r="O1063" s="2"/>
      <c r="P1063" s="2"/>
      <c r="Q1063" s="2"/>
      <c r="R1063" s="2"/>
      <c r="S1063" s="2"/>
      <c r="T1063" s="2"/>
      <c r="U1063" s="2"/>
      <c r="V1063" s="2"/>
      <c r="W1063" s="2"/>
      <c r="X1063" s="2"/>
      <c r="Y1063" s="2"/>
    </row>
    <row r="1064" spans="1:25" ht="25.5" customHeight="1">
      <c r="A1064" s="26">
        <v>764</v>
      </c>
      <c r="B1064" s="82" t="s">
        <v>3192</v>
      </c>
      <c r="C1064" s="83">
        <v>44196</v>
      </c>
      <c r="D1064" s="84"/>
      <c r="E1064" s="82" t="s">
        <v>3197</v>
      </c>
      <c r="F1064" s="29" t="s">
        <v>3198</v>
      </c>
      <c r="G1064" s="85" t="s">
        <v>35</v>
      </c>
      <c r="H1064" s="85" t="s">
        <v>19</v>
      </c>
      <c r="I1064" s="86">
        <v>1</v>
      </c>
      <c r="J1064" s="87">
        <v>237000000</v>
      </c>
      <c r="K1064" s="1" t="s">
        <v>206</v>
      </c>
      <c r="L1064" s="1" t="s">
        <v>207</v>
      </c>
      <c r="M1064" s="6"/>
      <c r="N1064" s="6"/>
      <c r="O1064" s="2"/>
      <c r="P1064" s="2"/>
      <c r="Q1064" s="2"/>
      <c r="R1064" s="2"/>
      <c r="S1064" s="2"/>
      <c r="T1064" s="2"/>
      <c r="U1064" s="2"/>
      <c r="V1064" s="2"/>
      <c r="W1064" s="2"/>
      <c r="X1064" s="2"/>
      <c r="Y1064" s="2"/>
    </row>
    <row r="1065" spans="1:25" ht="25.5" customHeight="1">
      <c r="A1065" s="26">
        <v>765</v>
      </c>
      <c r="B1065" s="82" t="s">
        <v>3192</v>
      </c>
      <c r="C1065" s="83">
        <v>44196</v>
      </c>
      <c r="D1065" s="84"/>
      <c r="E1065" s="82" t="s">
        <v>3199</v>
      </c>
      <c r="F1065" s="29" t="s">
        <v>3200</v>
      </c>
      <c r="G1065" s="85" t="s">
        <v>35</v>
      </c>
      <c r="H1065" s="85" t="s">
        <v>19</v>
      </c>
      <c r="I1065" s="86">
        <v>1</v>
      </c>
      <c r="J1065" s="87">
        <v>237000000</v>
      </c>
      <c r="K1065" s="1" t="s">
        <v>206</v>
      </c>
      <c r="L1065" s="1" t="s">
        <v>207</v>
      </c>
      <c r="M1065" s="6"/>
      <c r="N1065" s="6"/>
      <c r="O1065" s="2"/>
      <c r="P1065" s="2"/>
      <c r="Q1065" s="2"/>
      <c r="R1065" s="2"/>
      <c r="S1065" s="2"/>
      <c r="T1065" s="2"/>
      <c r="U1065" s="2"/>
      <c r="V1065" s="2"/>
      <c r="W1065" s="2"/>
      <c r="X1065" s="2"/>
      <c r="Y1065" s="2"/>
    </row>
    <row r="1066" spans="1:25" ht="25.5" customHeight="1">
      <c r="A1066" s="26">
        <v>766</v>
      </c>
      <c r="B1066" s="82" t="s">
        <v>3192</v>
      </c>
      <c r="C1066" s="83">
        <v>44196</v>
      </c>
      <c r="D1066" s="84"/>
      <c r="E1066" s="82" t="s">
        <v>3201</v>
      </c>
      <c r="F1066" s="29" t="s">
        <v>3202</v>
      </c>
      <c r="G1066" s="85" t="s">
        <v>35</v>
      </c>
      <c r="H1066" s="85" t="s">
        <v>19</v>
      </c>
      <c r="I1066" s="86">
        <v>1</v>
      </c>
      <c r="J1066" s="87">
        <v>237000000</v>
      </c>
      <c r="K1066" s="1" t="s">
        <v>206</v>
      </c>
      <c r="L1066" s="1" t="s">
        <v>207</v>
      </c>
      <c r="M1066" s="6"/>
      <c r="N1066" s="6"/>
      <c r="O1066" s="2"/>
      <c r="P1066" s="2"/>
      <c r="Q1066" s="2"/>
      <c r="R1066" s="2"/>
      <c r="S1066" s="2"/>
      <c r="T1066" s="2"/>
      <c r="U1066" s="2"/>
      <c r="V1066" s="2"/>
      <c r="W1066" s="2"/>
      <c r="X1066" s="2"/>
      <c r="Y1066" s="2"/>
    </row>
    <row r="1067" spans="1:25" ht="25.5" customHeight="1">
      <c r="A1067" s="26">
        <v>767</v>
      </c>
      <c r="B1067" s="82" t="s">
        <v>3192</v>
      </c>
      <c r="C1067" s="83">
        <v>44196</v>
      </c>
      <c r="D1067" s="84"/>
      <c r="E1067" s="82" t="s">
        <v>3203</v>
      </c>
      <c r="F1067" s="29" t="s">
        <v>3204</v>
      </c>
      <c r="G1067" s="85" t="s">
        <v>35</v>
      </c>
      <c r="H1067" s="85" t="s">
        <v>19</v>
      </c>
      <c r="I1067" s="86">
        <v>1</v>
      </c>
      <c r="J1067" s="87">
        <v>237000000</v>
      </c>
      <c r="K1067" s="1" t="s">
        <v>206</v>
      </c>
      <c r="L1067" s="1" t="s">
        <v>207</v>
      </c>
      <c r="M1067" s="6"/>
      <c r="N1067" s="6"/>
      <c r="O1067" s="2"/>
      <c r="P1067" s="2"/>
      <c r="Q1067" s="2"/>
      <c r="R1067" s="2"/>
      <c r="S1067" s="2"/>
      <c r="T1067" s="2"/>
      <c r="U1067" s="2"/>
      <c r="V1067" s="2"/>
      <c r="W1067" s="2"/>
      <c r="X1067" s="2"/>
      <c r="Y1067" s="2"/>
    </row>
    <row r="1068" spans="1:25" ht="12.75" customHeight="1">
      <c r="A1068" s="26">
        <v>768</v>
      </c>
      <c r="B1068" s="82" t="s">
        <v>3176</v>
      </c>
      <c r="C1068" s="83">
        <v>44196</v>
      </c>
      <c r="D1068" s="84"/>
      <c r="E1068" s="82" t="s">
        <v>3205</v>
      </c>
      <c r="F1068" s="82" t="s">
        <v>3206</v>
      </c>
      <c r="G1068" s="85" t="s">
        <v>1008</v>
      </c>
      <c r="H1068" s="85" t="s">
        <v>19</v>
      </c>
      <c r="I1068" s="86">
        <v>1</v>
      </c>
      <c r="J1068" s="94">
        <v>1300000000</v>
      </c>
      <c r="K1068" s="26" t="s">
        <v>20</v>
      </c>
      <c r="L1068" s="26" t="s">
        <v>233</v>
      </c>
      <c r="M1068" s="31" t="s">
        <v>3207</v>
      </c>
      <c r="N1068" s="6"/>
      <c r="O1068" s="2"/>
      <c r="P1068" s="2"/>
      <c r="Q1068" s="2"/>
      <c r="R1068" s="2"/>
      <c r="S1068" s="2"/>
      <c r="T1068" s="2"/>
      <c r="U1068" s="2"/>
      <c r="V1068" s="2"/>
      <c r="W1068" s="2"/>
      <c r="X1068" s="2"/>
      <c r="Y1068" s="2"/>
    </row>
    <row r="1069" spans="1:25" ht="12.75" customHeight="1">
      <c r="A1069" s="26" t="s">
        <v>3208</v>
      </c>
      <c r="B1069" s="89"/>
      <c r="C1069" s="89"/>
      <c r="D1069" s="89"/>
      <c r="E1069" s="90" t="s">
        <v>3209</v>
      </c>
      <c r="F1069" s="90" t="s">
        <v>3210</v>
      </c>
      <c r="G1069" s="91" t="s">
        <v>1008</v>
      </c>
      <c r="H1069" s="91" t="s">
        <v>249</v>
      </c>
      <c r="I1069" s="92">
        <v>1</v>
      </c>
      <c r="J1069" s="95">
        <v>0</v>
      </c>
      <c r="K1069" s="26" t="s">
        <v>20</v>
      </c>
      <c r="L1069" s="26" t="s">
        <v>233</v>
      </c>
      <c r="M1069" s="31" t="s">
        <v>3207</v>
      </c>
      <c r="N1069" s="6"/>
      <c r="O1069" s="2"/>
      <c r="P1069" s="2"/>
      <c r="Q1069" s="2"/>
      <c r="R1069" s="2"/>
      <c r="S1069" s="2"/>
      <c r="T1069" s="2"/>
      <c r="U1069" s="2"/>
      <c r="V1069" s="2"/>
      <c r="W1069" s="2"/>
      <c r="X1069" s="2"/>
      <c r="Y1069" s="2"/>
    </row>
    <row r="1070" spans="1:25" ht="12.75" customHeight="1">
      <c r="A1070" s="26" t="s">
        <v>3211</v>
      </c>
      <c r="B1070" s="89"/>
      <c r="C1070" s="89"/>
      <c r="D1070" s="89"/>
      <c r="E1070" s="90" t="s">
        <v>3212</v>
      </c>
      <c r="F1070" s="90" t="s">
        <v>3213</v>
      </c>
      <c r="G1070" s="91" t="s">
        <v>1008</v>
      </c>
      <c r="H1070" s="91" t="s">
        <v>249</v>
      </c>
      <c r="I1070" s="92">
        <v>1</v>
      </c>
      <c r="J1070" s="95">
        <v>0</v>
      </c>
      <c r="K1070" s="26" t="s">
        <v>20</v>
      </c>
      <c r="L1070" s="26" t="s">
        <v>233</v>
      </c>
      <c r="M1070" s="31" t="s">
        <v>3207</v>
      </c>
      <c r="N1070" s="6"/>
      <c r="O1070" s="2"/>
      <c r="P1070" s="2"/>
      <c r="Q1070" s="2"/>
      <c r="R1070" s="2"/>
      <c r="S1070" s="2"/>
      <c r="T1070" s="2"/>
      <c r="U1070" s="2"/>
      <c r="V1070" s="2"/>
      <c r="W1070" s="2"/>
      <c r="X1070" s="2"/>
      <c r="Y1070" s="2"/>
    </row>
    <row r="1071" spans="1:25" ht="12.75" customHeight="1">
      <c r="A1071" s="26" t="s">
        <v>3214</v>
      </c>
      <c r="B1071" s="89"/>
      <c r="C1071" s="89"/>
      <c r="D1071" s="89"/>
      <c r="E1071" s="90" t="s">
        <v>3215</v>
      </c>
      <c r="F1071" s="90" t="s">
        <v>3216</v>
      </c>
      <c r="G1071" s="91" t="s">
        <v>1008</v>
      </c>
      <c r="H1071" s="91" t="s">
        <v>249</v>
      </c>
      <c r="I1071" s="92">
        <v>1</v>
      </c>
      <c r="J1071" s="95">
        <v>0</v>
      </c>
      <c r="K1071" s="26" t="s">
        <v>20</v>
      </c>
      <c r="L1071" s="26" t="s">
        <v>233</v>
      </c>
      <c r="M1071" s="31" t="s">
        <v>3207</v>
      </c>
      <c r="N1071" s="6"/>
      <c r="O1071" s="2"/>
      <c r="P1071" s="2"/>
      <c r="Q1071" s="2"/>
      <c r="R1071" s="2"/>
      <c r="S1071" s="2"/>
      <c r="T1071" s="2"/>
      <c r="U1071" s="2"/>
      <c r="V1071" s="2"/>
      <c r="W1071" s="2"/>
      <c r="X1071" s="2"/>
      <c r="Y1071" s="2"/>
    </row>
    <row r="1072" spans="1:25" ht="12.75" customHeight="1">
      <c r="A1072" s="26" t="s">
        <v>3217</v>
      </c>
      <c r="B1072" s="89"/>
      <c r="C1072" s="89"/>
      <c r="D1072" s="89"/>
      <c r="E1072" s="90" t="s">
        <v>3218</v>
      </c>
      <c r="F1072" s="90" t="s">
        <v>3219</v>
      </c>
      <c r="G1072" s="91" t="s">
        <v>1008</v>
      </c>
      <c r="H1072" s="91" t="s">
        <v>249</v>
      </c>
      <c r="I1072" s="92">
        <v>1</v>
      </c>
      <c r="J1072" s="95">
        <v>0</v>
      </c>
      <c r="K1072" s="26" t="s">
        <v>20</v>
      </c>
      <c r="L1072" s="26" t="s">
        <v>233</v>
      </c>
      <c r="M1072" s="31" t="s">
        <v>3207</v>
      </c>
      <c r="N1072" s="6"/>
      <c r="O1072" s="2"/>
      <c r="P1072" s="2"/>
      <c r="Q1072" s="2"/>
      <c r="R1072" s="2"/>
      <c r="S1072" s="2"/>
      <c r="T1072" s="2"/>
      <c r="U1072" s="2"/>
      <c r="V1072" s="2"/>
      <c r="W1072" s="2"/>
      <c r="X1072" s="2"/>
      <c r="Y1072" s="2"/>
    </row>
    <row r="1073" spans="1:25" ht="15.75" customHeight="1">
      <c r="A1073" s="96">
        <v>769</v>
      </c>
      <c r="B1073" s="97" t="s">
        <v>3220</v>
      </c>
      <c r="C1073" s="98">
        <v>44515</v>
      </c>
      <c r="D1073" s="99"/>
      <c r="E1073" s="97" t="s">
        <v>3221</v>
      </c>
      <c r="F1073" s="29" t="s">
        <v>3222</v>
      </c>
      <c r="G1073" s="100" t="s">
        <v>35</v>
      </c>
      <c r="H1073" s="100" t="s">
        <v>19</v>
      </c>
      <c r="I1073" s="101">
        <v>1</v>
      </c>
      <c r="J1073" s="102">
        <v>272000000</v>
      </c>
      <c r="K1073" s="26" t="s">
        <v>20</v>
      </c>
      <c r="L1073" s="36" t="s">
        <v>229</v>
      </c>
      <c r="M1073" s="31" t="s">
        <v>3340</v>
      </c>
      <c r="N1073" s="6" t="s">
        <v>3349</v>
      </c>
      <c r="O1073" s="2"/>
      <c r="P1073" s="2"/>
      <c r="Q1073" s="2"/>
      <c r="R1073" s="2"/>
      <c r="S1073" s="2"/>
      <c r="T1073" s="2"/>
      <c r="U1073" s="2"/>
      <c r="V1073" s="2"/>
      <c r="W1073" s="2"/>
      <c r="X1073" s="2"/>
      <c r="Y1073" s="2"/>
    </row>
    <row r="1074" spans="1:25" ht="15.75" customHeight="1">
      <c r="A1074" s="96">
        <v>770</v>
      </c>
      <c r="B1074" s="97" t="s">
        <v>3220</v>
      </c>
      <c r="C1074" s="98">
        <v>44515</v>
      </c>
      <c r="D1074" s="99"/>
      <c r="E1074" s="97" t="s">
        <v>3223</v>
      </c>
      <c r="F1074" s="29" t="s">
        <v>3224</v>
      </c>
      <c r="G1074" s="100" t="s">
        <v>35</v>
      </c>
      <c r="H1074" s="100" t="s">
        <v>19</v>
      </c>
      <c r="I1074" s="101">
        <v>1</v>
      </c>
      <c r="J1074" s="102">
        <v>272000000</v>
      </c>
      <c r="K1074" s="26" t="s">
        <v>20</v>
      </c>
      <c r="L1074" s="394" t="s">
        <v>295</v>
      </c>
      <c r="M1074" s="31" t="s">
        <v>3225</v>
      </c>
      <c r="N1074" s="6"/>
      <c r="O1074" s="2"/>
      <c r="P1074" s="2"/>
      <c r="Q1074" s="2"/>
      <c r="R1074" s="2"/>
      <c r="S1074" s="2"/>
      <c r="T1074" s="2"/>
      <c r="U1074" s="2"/>
      <c r="V1074" s="2"/>
      <c r="W1074" s="2"/>
      <c r="X1074" s="2"/>
      <c r="Y1074" s="2"/>
    </row>
    <row r="1075" spans="1:25" ht="15.75" customHeight="1">
      <c r="A1075" s="96">
        <v>771</v>
      </c>
      <c r="B1075" s="97" t="s">
        <v>3226</v>
      </c>
      <c r="C1075" s="98">
        <v>44515</v>
      </c>
      <c r="D1075" s="99"/>
      <c r="E1075" s="97" t="s">
        <v>3227</v>
      </c>
      <c r="F1075" s="29" t="s">
        <v>3228</v>
      </c>
      <c r="G1075" s="100" t="s">
        <v>2070</v>
      </c>
      <c r="H1075" s="100" t="s">
        <v>19</v>
      </c>
      <c r="I1075" s="101">
        <v>1</v>
      </c>
      <c r="J1075" s="102">
        <v>484545454</v>
      </c>
      <c r="K1075" s="26" t="s">
        <v>20</v>
      </c>
      <c r="L1075" s="394" t="s">
        <v>295</v>
      </c>
      <c r="M1075" s="395" t="s">
        <v>5287</v>
      </c>
      <c r="N1075" s="6"/>
      <c r="O1075" s="2"/>
      <c r="P1075" s="2"/>
      <c r="Q1075" s="2"/>
      <c r="R1075" s="2"/>
      <c r="S1075" s="2"/>
      <c r="T1075" s="2"/>
      <c r="U1075" s="2"/>
      <c r="V1075" s="2"/>
      <c r="W1075" s="2"/>
      <c r="X1075" s="2"/>
      <c r="Y1075" s="2"/>
    </row>
    <row r="1076" spans="1:25" ht="15.75" customHeight="1">
      <c r="A1076" s="96">
        <v>772</v>
      </c>
      <c r="B1076" s="97" t="s">
        <v>3226</v>
      </c>
      <c r="C1076" s="98">
        <v>44515</v>
      </c>
      <c r="D1076" s="99"/>
      <c r="E1076" s="97" t="s">
        <v>3230</v>
      </c>
      <c r="F1076" s="29" t="s">
        <v>3231</v>
      </c>
      <c r="G1076" s="100" t="s">
        <v>2070</v>
      </c>
      <c r="H1076" s="100" t="s">
        <v>19</v>
      </c>
      <c r="I1076" s="101">
        <v>1</v>
      </c>
      <c r="J1076" s="102">
        <v>484545455</v>
      </c>
      <c r="K1076" s="26" t="s">
        <v>20</v>
      </c>
      <c r="L1076" s="394" t="s">
        <v>295</v>
      </c>
      <c r="M1076" s="31" t="s">
        <v>3232</v>
      </c>
      <c r="N1076" s="6"/>
      <c r="O1076" s="2"/>
      <c r="P1076" s="2"/>
      <c r="Q1076" s="2"/>
      <c r="R1076" s="2"/>
      <c r="S1076" s="2"/>
      <c r="T1076" s="2"/>
      <c r="U1076" s="2"/>
      <c r="V1076" s="2"/>
      <c r="W1076" s="2"/>
      <c r="X1076" s="2"/>
      <c r="Y1076" s="2"/>
    </row>
    <row r="1077" spans="1:25" ht="12.75" customHeight="1">
      <c r="A1077" s="1"/>
      <c r="B1077" s="115"/>
      <c r="C1077" s="115"/>
      <c r="D1077" s="115"/>
      <c r="E1077" s="116"/>
      <c r="F1077" s="116"/>
      <c r="G1077" s="117"/>
      <c r="H1077" s="117"/>
      <c r="I1077" s="118"/>
      <c r="J1077" s="119"/>
      <c r="K1077" s="1"/>
      <c r="L1077" s="1"/>
      <c r="M1077" s="6"/>
      <c r="N1077" s="6"/>
      <c r="O1077" s="2"/>
      <c r="P1077" s="2"/>
      <c r="Q1077" s="2"/>
      <c r="R1077" s="2"/>
      <c r="S1077" s="2"/>
      <c r="T1077" s="2"/>
      <c r="U1077" s="2"/>
      <c r="V1077" s="2"/>
      <c r="W1077" s="2"/>
      <c r="X1077" s="2"/>
      <c r="Y1077" s="2"/>
    </row>
    <row r="1078" spans="1:25" ht="12.75" customHeight="1">
      <c r="A1078" s="1"/>
      <c r="B1078" s="115"/>
      <c r="C1078" s="115"/>
      <c r="D1078" s="115"/>
      <c r="E1078" s="116"/>
      <c r="F1078" s="116"/>
      <c r="G1078" s="117"/>
      <c r="H1078" s="117"/>
      <c r="I1078" s="118"/>
      <c r="J1078" s="119"/>
      <c r="K1078" s="1"/>
      <c r="L1078" s="1"/>
      <c r="M1078" s="6"/>
      <c r="N1078" s="6"/>
      <c r="O1078" s="2"/>
      <c r="P1078" s="2"/>
      <c r="Q1078" s="2"/>
      <c r="R1078" s="2"/>
      <c r="S1078" s="2"/>
      <c r="T1078" s="2"/>
      <c r="U1078" s="2"/>
      <c r="V1078" s="2"/>
      <c r="W1078" s="2"/>
      <c r="X1078" s="2"/>
      <c r="Y1078" s="2"/>
    </row>
    <row r="1079" spans="1:25" ht="12.75" customHeight="1">
      <c r="A1079" s="1"/>
      <c r="B1079" s="115"/>
      <c r="C1079" s="115"/>
      <c r="D1079" s="115"/>
      <c r="E1079" s="116"/>
      <c r="F1079" s="116"/>
      <c r="G1079" s="117"/>
      <c r="H1079" s="117"/>
      <c r="I1079" s="118"/>
      <c r="J1079" s="119"/>
      <c r="K1079" s="1"/>
      <c r="L1079" s="1"/>
      <c r="M1079" s="6"/>
      <c r="N1079" s="6"/>
      <c r="O1079" s="2"/>
      <c r="P1079" s="2"/>
      <c r="Q1079" s="2"/>
      <c r="R1079" s="2"/>
      <c r="S1079" s="2"/>
      <c r="T1079" s="2"/>
      <c r="U1079" s="2"/>
      <c r="V1079" s="2"/>
      <c r="W1079" s="2"/>
      <c r="X1079" s="2"/>
      <c r="Y1079" s="2"/>
    </row>
    <row r="1080" spans="1:25" ht="12.75" customHeight="1">
      <c r="A1080" s="1"/>
      <c r="B1080" s="115"/>
      <c r="C1080" s="115"/>
      <c r="D1080" s="115"/>
      <c r="E1080" s="116"/>
      <c r="F1080" s="116"/>
      <c r="G1080" s="117"/>
      <c r="H1080" s="117"/>
      <c r="I1080" s="118"/>
      <c r="J1080" s="119"/>
      <c r="K1080" s="1"/>
      <c r="L1080" s="1"/>
      <c r="M1080" s="6"/>
      <c r="N1080" s="6"/>
      <c r="O1080" s="2"/>
      <c r="P1080" s="2"/>
      <c r="Q1080" s="2"/>
      <c r="R1080" s="2"/>
      <c r="S1080" s="2"/>
      <c r="T1080" s="2"/>
      <c r="U1080" s="2"/>
      <c r="V1080" s="2"/>
      <c r="W1080" s="2"/>
      <c r="X1080" s="2"/>
      <c r="Y1080" s="2"/>
    </row>
    <row r="1081" spans="1:25" ht="12.75" customHeight="1">
      <c r="A1081" s="1"/>
      <c r="B1081" s="115"/>
      <c r="C1081" s="115"/>
      <c r="D1081" s="115"/>
      <c r="E1081" s="116"/>
      <c r="F1081" s="116"/>
      <c r="G1081" s="117"/>
      <c r="H1081" s="117"/>
      <c r="I1081" s="118"/>
      <c r="J1081" s="119"/>
      <c r="K1081" s="1"/>
      <c r="L1081" s="1"/>
      <c r="M1081" s="6"/>
      <c r="N1081" s="6"/>
      <c r="O1081" s="2"/>
      <c r="P1081" s="2"/>
      <c r="Q1081" s="2"/>
      <c r="R1081" s="2"/>
      <c r="S1081" s="2"/>
      <c r="T1081" s="2"/>
      <c r="U1081" s="2"/>
      <c r="V1081" s="2"/>
      <c r="W1081" s="2"/>
      <c r="X1081" s="2"/>
      <c r="Y1081" s="2"/>
    </row>
    <row r="1082" spans="1:25" ht="12.75" customHeight="1">
      <c r="A1082" s="1"/>
      <c r="B1082" s="115"/>
      <c r="C1082" s="115"/>
      <c r="D1082" s="115"/>
      <c r="E1082" s="116"/>
      <c r="F1082" s="116"/>
      <c r="G1082" s="117"/>
      <c r="H1082" s="117"/>
      <c r="I1082" s="118"/>
      <c r="J1082" s="119"/>
      <c r="K1082" s="1"/>
      <c r="L1082" s="1"/>
      <c r="M1082" s="6"/>
      <c r="N1082" s="6"/>
      <c r="O1082" s="2"/>
      <c r="P1082" s="2"/>
      <c r="Q1082" s="2"/>
      <c r="R1082" s="2"/>
      <c r="S1082" s="2"/>
      <c r="T1082" s="2"/>
      <c r="U1082" s="2"/>
      <c r="V1082" s="2"/>
      <c r="W1082" s="2"/>
      <c r="X1082" s="2"/>
      <c r="Y1082" s="2"/>
    </row>
    <row r="1083" spans="1:25" ht="12.75" customHeight="1">
      <c r="A1083" s="1"/>
      <c r="B1083" s="115"/>
      <c r="C1083" s="115"/>
      <c r="D1083" s="115"/>
      <c r="E1083" s="116"/>
      <c r="F1083" s="116"/>
      <c r="G1083" s="117"/>
      <c r="H1083" s="117"/>
      <c r="I1083" s="118"/>
      <c r="J1083" s="119"/>
      <c r="K1083" s="1"/>
      <c r="L1083" s="1"/>
      <c r="M1083" s="6"/>
      <c r="N1083" s="6"/>
      <c r="O1083" s="2"/>
      <c r="P1083" s="2"/>
      <c r="Q1083" s="2"/>
      <c r="R1083" s="2"/>
      <c r="S1083" s="2"/>
      <c r="T1083" s="2"/>
      <c r="U1083" s="2"/>
      <c r="V1083" s="2"/>
      <c r="W1083" s="2"/>
      <c r="X1083" s="2"/>
      <c r="Y1083" s="2"/>
    </row>
    <row r="1084" spans="1:25" ht="12.75" customHeight="1">
      <c r="A1084" s="1"/>
      <c r="B1084" s="115"/>
      <c r="C1084" s="115"/>
      <c r="D1084" s="115"/>
      <c r="E1084" s="116"/>
      <c r="F1084" s="116"/>
      <c r="G1084" s="117"/>
      <c r="H1084" s="117"/>
      <c r="I1084" s="118"/>
      <c r="J1084" s="119"/>
      <c r="K1084" s="1"/>
      <c r="L1084" s="1"/>
      <c r="M1084" s="6"/>
      <c r="N1084" s="6"/>
      <c r="O1084" s="2"/>
      <c r="P1084" s="2"/>
      <c r="Q1084" s="2"/>
      <c r="R1084" s="2"/>
      <c r="S1084" s="2"/>
      <c r="T1084" s="2"/>
      <c r="U1084" s="2"/>
      <c r="V1084" s="2"/>
      <c r="W1084" s="2"/>
      <c r="X1084" s="2"/>
      <c r="Y1084" s="2"/>
    </row>
    <row r="1085" spans="1:25" ht="12.75" customHeight="1">
      <c r="A1085" s="1"/>
      <c r="B1085" s="2"/>
      <c r="C1085" s="8"/>
      <c r="D1085" s="2"/>
      <c r="E1085" s="2"/>
      <c r="F1085" s="4"/>
      <c r="G1085" s="2"/>
      <c r="H1085" s="2"/>
      <c r="I1085" s="2"/>
      <c r="J1085" s="5"/>
      <c r="K1085" s="1"/>
      <c r="L1085" s="1"/>
      <c r="M1085" s="6"/>
      <c r="N1085" s="6"/>
      <c r="O1085" s="2"/>
      <c r="P1085" s="2"/>
      <c r="Q1085" s="2"/>
      <c r="R1085" s="2"/>
      <c r="S1085" s="2"/>
      <c r="T1085" s="2"/>
      <c r="U1085" s="2"/>
      <c r="V1085" s="2"/>
      <c r="W1085" s="2"/>
      <c r="X1085" s="2"/>
      <c r="Y1085" s="2"/>
    </row>
    <row r="1086" spans="1:25" ht="12.75" customHeight="1">
      <c r="A1086" s="1"/>
      <c r="B1086" s="2"/>
      <c r="C1086" s="8"/>
      <c r="D1086" s="2"/>
      <c r="E1086" s="2"/>
      <c r="F1086" s="4"/>
      <c r="G1086" s="2"/>
      <c r="H1086" s="2"/>
      <c r="I1086" s="2"/>
      <c r="J1086" s="5"/>
      <c r="K1086" s="1"/>
      <c r="L1086" s="1"/>
      <c r="M1086" s="6"/>
      <c r="N1086" s="6"/>
      <c r="O1086" s="2"/>
      <c r="P1086" s="2"/>
      <c r="Q1086" s="2"/>
      <c r="R1086" s="2"/>
      <c r="S1086" s="2"/>
      <c r="T1086" s="2"/>
      <c r="U1086" s="2"/>
      <c r="V1086" s="2"/>
      <c r="W1086" s="2"/>
      <c r="X1086" s="2"/>
      <c r="Y1086" s="2"/>
    </row>
    <row r="1087" spans="1:25" ht="12.75" customHeight="1">
      <c r="A1087" s="1"/>
      <c r="B1087" s="2"/>
      <c r="C1087" s="8"/>
      <c r="D1087" s="2"/>
      <c r="E1087" s="398" t="s">
        <v>3276</v>
      </c>
      <c r="F1087" s="4"/>
      <c r="G1087" s="2"/>
      <c r="H1087" s="2"/>
      <c r="I1087" s="2"/>
      <c r="J1087" s="2"/>
      <c r="K1087" s="121" t="s">
        <v>3277</v>
      </c>
      <c r="L1087" s="1"/>
      <c r="M1087" s="6"/>
      <c r="N1087" s="6"/>
      <c r="O1087" s="2"/>
      <c r="P1087" s="2"/>
      <c r="Q1087" s="2"/>
      <c r="R1087" s="2"/>
      <c r="S1087" s="2"/>
      <c r="T1087" s="2"/>
      <c r="U1087" s="2"/>
      <c r="V1087" s="2"/>
      <c r="W1087" s="2"/>
      <c r="X1087" s="2"/>
      <c r="Y1087" s="2"/>
    </row>
    <row r="1088" spans="1:25" ht="12.75" customHeight="1">
      <c r="A1088" s="1"/>
      <c r="B1088" s="2"/>
      <c r="C1088" s="8"/>
      <c r="D1088" s="2"/>
      <c r="E1088" s="2"/>
      <c r="F1088" s="4"/>
      <c r="G1088" s="2"/>
      <c r="H1088" s="2"/>
      <c r="I1088" s="2"/>
      <c r="J1088" s="5"/>
      <c r="K1088" s="1"/>
      <c r="L1088" s="1"/>
      <c r="M1088" s="6"/>
      <c r="N1088" s="6"/>
      <c r="O1088" s="2"/>
      <c r="P1088" s="2"/>
      <c r="Q1088" s="2"/>
      <c r="R1088" s="2"/>
      <c r="S1088" s="2"/>
      <c r="T1088" s="2"/>
      <c r="U1088" s="2"/>
      <c r="V1088" s="2"/>
      <c r="W1088" s="2"/>
      <c r="X1088" s="2"/>
      <c r="Y1088" s="2"/>
    </row>
    <row r="1089" spans="1:25" ht="12.75" customHeight="1">
      <c r="A1089" s="1"/>
      <c r="B1089" s="2"/>
      <c r="C1089" s="8"/>
      <c r="D1089" s="2"/>
      <c r="E1089" s="2"/>
      <c r="F1089" s="4"/>
      <c r="G1089" s="2"/>
      <c r="H1089" s="2"/>
      <c r="I1089" s="2"/>
      <c r="J1089" s="5"/>
      <c r="K1089" s="1"/>
      <c r="L1089" s="1"/>
      <c r="M1089" s="6"/>
      <c r="N1089" s="6"/>
      <c r="O1089" s="2"/>
      <c r="P1089" s="2"/>
      <c r="Q1089" s="2"/>
      <c r="R1089" s="2"/>
      <c r="S1089" s="2"/>
      <c r="T1089" s="2"/>
      <c r="U1089" s="2"/>
      <c r="V1089" s="2"/>
      <c r="W1089" s="2"/>
      <c r="X1089" s="2"/>
      <c r="Y1089" s="2"/>
    </row>
    <row r="1090" spans="1:25" ht="12.75" customHeight="1">
      <c r="A1090" s="1"/>
      <c r="B1090" s="2"/>
      <c r="C1090" s="8"/>
      <c r="D1090" s="2"/>
      <c r="E1090" s="2"/>
      <c r="F1090" s="4"/>
      <c r="G1090" s="2"/>
      <c r="H1090" s="2"/>
      <c r="I1090" s="2"/>
      <c r="J1090" s="5"/>
      <c r="K1090" s="1"/>
      <c r="L1090" s="1"/>
      <c r="M1090" s="6"/>
      <c r="N1090" s="6"/>
      <c r="O1090" s="2"/>
      <c r="P1090" s="2"/>
      <c r="Q1090" s="2"/>
      <c r="R1090" s="2"/>
      <c r="S1090" s="2"/>
      <c r="T1090" s="2"/>
      <c r="U1090" s="2"/>
      <c r="V1090" s="2"/>
      <c r="W1090" s="2"/>
      <c r="X1090" s="2"/>
      <c r="Y1090" s="2"/>
    </row>
    <row r="1091" spans="1:25" ht="12.75" customHeight="1">
      <c r="A1091" s="1"/>
      <c r="B1091" s="2"/>
      <c r="C1091" s="8"/>
      <c r="D1091" s="2"/>
      <c r="E1091" s="2"/>
      <c r="F1091" s="4"/>
      <c r="G1091" s="2"/>
      <c r="H1091" s="2"/>
      <c r="I1091" s="2"/>
      <c r="J1091" s="5"/>
      <c r="K1091" s="1"/>
      <c r="L1091" s="1"/>
      <c r="M1091" s="6"/>
      <c r="N1091" s="6"/>
      <c r="O1091" s="2"/>
      <c r="P1091" s="2"/>
      <c r="Q1091" s="2"/>
      <c r="R1091" s="2"/>
      <c r="S1091" s="2"/>
      <c r="T1091" s="2"/>
      <c r="U1091" s="2"/>
      <c r="V1091" s="2"/>
      <c r="W1091" s="2"/>
      <c r="X1091" s="2"/>
      <c r="Y1091" s="2"/>
    </row>
    <row r="1092" spans="1:25" ht="12.75" customHeight="1">
      <c r="A1092" s="1"/>
      <c r="B1092" s="2"/>
      <c r="C1092" s="8"/>
      <c r="D1092" s="2"/>
      <c r="E1092" s="2"/>
      <c r="F1092" s="4"/>
      <c r="G1092" s="2"/>
      <c r="H1092" s="2"/>
      <c r="I1092" s="2"/>
      <c r="J1092" s="5"/>
      <c r="K1092" s="1"/>
      <c r="L1092" s="1"/>
      <c r="M1092" s="6"/>
      <c r="N1092" s="6"/>
      <c r="O1092" s="2"/>
      <c r="P1092" s="2"/>
      <c r="Q1092" s="2"/>
      <c r="R1092" s="2"/>
      <c r="S1092" s="2"/>
      <c r="T1092" s="2"/>
      <c r="U1092" s="2"/>
      <c r="V1092" s="2"/>
      <c r="W1092" s="2"/>
      <c r="X1092" s="2"/>
      <c r="Y1092" s="2"/>
    </row>
    <row r="1093" spans="1:25" ht="12.75" customHeight="1">
      <c r="A1093" s="1"/>
      <c r="B1093" s="2"/>
      <c r="C1093" s="8"/>
      <c r="D1093" s="2"/>
      <c r="E1093" s="2"/>
      <c r="F1093" s="4"/>
      <c r="G1093" s="2"/>
      <c r="H1093" s="2"/>
      <c r="I1093" s="2"/>
      <c r="J1093" s="5"/>
      <c r="K1093" s="1"/>
      <c r="L1093" s="1"/>
      <c r="M1093" s="6"/>
      <c r="N1093" s="6"/>
      <c r="O1093" s="2"/>
      <c r="P1093" s="2"/>
      <c r="Q1093" s="2"/>
      <c r="R1093" s="2"/>
      <c r="S1093" s="2"/>
      <c r="T1093" s="2"/>
      <c r="U1093" s="2"/>
      <c r="V1093" s="2"/>
      <c r="W1093" s="2"/>
      <c r="X1093" s="2"/>
      <c r="Y1093" s="2"/>
    </row>
    <row r="1094" spans="1:25" ht="12.75" customHeight="1">
      <c r="A1094" s="1"/>
      <c r="B1094" s="2"/>
      <c r="C1094" s="8"/>
      <c r="D1094" s="2"/>
      <c r="E1094" s="2"/>
      <c r="F1094" s="4"/>
      <c r="G1094" s="2"/>
      <c r="H1094" s="2"/>
      <c r="I1094" s="2"/>
      <c r="J1094" s="5"/>
      <c r="K1094" s="1"/>
      <c r="L1094" s="1"/>
      <c r="M1094" s="6"/>
      <c r="N1094" s="6"/>
      <c r="O1094" s="2"/>
      <c r="P1094" s="2"/>
      <c r="Q1094" s="2"/>
      <c r="R1094" s="2"/>
      <c r="S1094" s="2"/>
      <c r="T1094" s="2"/>
      <c r="U1094" s="2"/>
      <c r="V1094" s="2"/>
      <c r="W1094" s="2"/>
      <c r="X1094" s="2"/>
      <c r="Y1094" s="2"/>
    </row>
    <row r="1095" spans="1:25" ht="12.75" customHeight="1">
      <c r="A1095" s="1"/>
      <c r="B1095" s="2"/>
      <c r="C1095" s="8"/>
      <c r="D1095" s="2"/>
      <c r="E1095" s="2"/>
      <c r="F1095" s="122" t="s">
        <v>3278</v>
      </c>
      <c r="G1095" s="2"/>
      <c r="H1095" s="2"/>
      <c r="I1095" s="2"/>
      <c r="J1095" s="5"/>
      <c r="K1095" s="1"/>
      <c r="L1095" s="1"/>
      <c r="M1095" s="6"/>
      <c r="N1095" s="6"/>
      <c r="O1095" s="2"/>
      <c r="P1095" s="2"/>
      <c r="Q1095" s="2"/>
      <c r="R1095" s="2"/>
      <c r="S1095" s="2"/>
      <c r="T1095" s="2"/>
      <c r="U1095" s="2"/>
      <c r="V1095" s="2"/>
      <c r="W1095" s="2"/>
      <c r="X1095" s="2"/>
      <c r="Y1095" s="2"/>
    </row>
  </sheetData>
  <autoFilter ref="A6:N1076"/>
  <pageMargins left="0.7" right="0.25" top="0.5" bottom="0.5" header="0" footer="0"/>
  <pageSetup orientation="landscape"/>
  <rowBreaks count="2" manualBreakCount="2">
    <brk id="1076" man="1"/>
    <brk id="1039" man="1"/>
  </rowBreaks>
  <colBreaks count="1" manualBreakCount="1">
    <brk id="13"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Z1149"/>
  <sheetViews>
    <sheetView workbookViewId="0"/>
  </sheetViews>
  <sheetFormatPr defaultColWidth="12.6328125" defaultRowHeight="15" customHeight="1"/>
  <cols>
    <col min="1" max="1" width="8.453125" customWidth="1"/>
    <col min="2" max="2" width="23.26953125" hidden="1" customWidth="1"/>
    <col min="3" max="3" width="14.26953125" customWidth="1"/>
    <col min="4" max="4" width="20" hidden="1" customWidth="1"/>
    <col min="5" max="5" width="21.08984375" customWidth="1"/>
    <col min="6" max="6" width="67.90625" customWidth="1"/>
    <col min="7" max="7" width="12.08984375" hidden="1" customWidth="1"/>
    <col min="8" max="8" width="10.7265625" hidden="1" customWidth="1"/>
    <col min="9" max="9" width="6" hidden="1" customWidth="1"/>
    <col min="10" max="10" width="14.26953125" customWidth="1"/>
    <col min="11" max="11" width="10" customWidth="1"/>
    <col min="12" max="12" width="11.453125" customWidth="1"/>
    <col min="13" max="13" width="22.90625" customWidth="1"/>
    <col min="14" max="26" width="8" customWidth="1"/>
  </cols>
  <sheetData>
    <row r="1" spans="1:26" ht="12.75" customHeight="1">
      <c r="A1" s="1"/>
      <c r="B1" s="2"/>
      <c r="C1" s="1" t="s">
        <v>0</v>
      </c>
      <c r="D1" s="2"/>
      <c r="E1" s="2"/>
      <c r="F1" s="4"/>
      <c r="G1" s="2"/>
      <c r="H1" s="2"/>
      <c r="I1" s="2"/>
      <c r="J1" s="5"/>
      <c r="K1" s="1"/>
      <c r="L1" s="1"/>
      <c r="M1" s="6"/>
      <c r="N1" s="2"/>
      <c r="O1" s="2"/>
      <c r="P1" s="2"/>
      <c r="Q1" s="2"/>
      <c r="R1" s="2"/>
      <c r="S1" s="2"/>
      <c r="T1" s="2"/>
      <c r="U1" s="2"/>
      <c r="V1" s="2"/>
      <c r="W1" s="2"/>
      <c r="X1" s="2"/>
      <c r="Y1" s="2"/>
      <c r="Z1" s="2"/>
    </row>
    <row r="2" spans="1:26" ht="12.75" customHeight="1">
      <c r="A2" s="1"/>
      <c r="B2" s="2"/>
      <c r="C2" s="1" t="s">
        <v>1</v>
      </c>
      <c r="D2" s="2"/>
      <c r="E2" s="2"/>
      <c r="F2" s="4"/>
      <c r="G2" s="2"/>
      <c r="H2" s="2"/>
      <c r="I2" s="2"/>
      <c r="J2" s="5"/>
      <c r="K2" s="1"/>
      <c r="L2" s="1"/>
      <c r="M2" s="6"/>
      <c r="N2" s="2"/>
      <c r="O2" s="2"/>
      <c r="P2" s="2"/>
      <c r="Q2" s="2"/>
      <c r="R2" s="2"/>
      <c r="S2" s="2"/>
      <c r="T2" s="2"/>
      <c r="U2" s="2"/>
      <c r="V2" s="2"/>
      <c r="W2" s="2"/>
      <c r="X2" s="2"/>
      <c r="Y2" s="2"/>
      <c r="Z2" s="2"/>
    </row>
    <row r="3" spans="1:26" ht="12.75" customHeight="1">
      <c r="A3" s="1"/>
      <c r="B3" s="2"/>
      <c r="C3" s="8"/>
      <c r="D3" s="2"/>
      <c r="E3" s="2"/>
      <c r="F3" s="4"/>
      <c r="G3" s="2"/>
      <c r="H3" s="2"/>
      <c r="I3" s="2"/>
      <c r="J3" s="5"/>
      <c r="K3" s="1"/>
      <c r="L3" s="1"/>
      <c r="M3" s="6"/>
      <c r="N3" s="2"/>
      <c r="O3" s="2"/>
      <c r="P3" s="2"/>
      <c r="Q3" s="2"/>
      <c r="R3" s="2"/>
      <c r="S3" s="2"/>
      <c r="T3" s="2"/>
      <c r="U3" s="2"/>
      <c r="V3" s="2"/>
      <c r="W3" s="2"/>
      <c r="X3" s="2"/>
      <c r="Y3" s="2"/>
      <c r="Z3" s="2"/>
    </row>
    <row r="4" spans="1:26" ht="18" customHeight="1">
      <c r="A4" s="1"/>
      <c r="B4" s="2"/>
      <c r="C4" s="8"/>
      <c r="D4" s="2"/>
      <c r="E4" s="2"/>
      <c r="F4" s="9" t="s">
        <v>2</v>
      </c>
      <c r="G4" s="2"/>
      <c r="H4" s="2"/>
      <c r="I4" s="2"/>
      <c r="J4" s="5"/>
      <c r="K4" s="1"/>
      <c r="L4" s="1"/>
      <c r="M4" s="6"/>
      <c r="N4" s="2"/>
      <c r="O4" s="2"/>
      <c r="P4" s="2"/>
      <c r="Q4" s="2"/>
      <c r="R4" s="2"/>
      <c r="S4" s="2"/>
      <c r="T4" s="2"/>
      <c r="U4" s="2"/>
      <c r="V4" s="2"/>
      <c r="W4" s="2"/>
      <c r="X4" s="2"/>
      <c r="Y4" s="2"/>
      <c r="Z4" s="2"/>
    </row>
    <row r="5" spans="1:26" ht="12.75" customHeight="1">
      <c r="A5" s="1"/>
      <c r="B5" s="2"/>
      <c r="C5" s="8"/>
      <c r="D5" s="2"/>
      <c r="E5" s="2"/>
      <c r="F5" s="4"/>
      <c r="G5" s="2"/>
      <c r="H5" s="2"/>
      <c r="I5" s="2"/>
      <c r="J5" s="5"/>
      <c r="K5" s="1"/>
      <c r="L5" s="1"/>
      <c r="M5" s="6"/>
      <c r="N5" s="2"/>
      <c r="O5" s="2"/>
      <c r="P5" s="2"/>
      <c r="Q5" s="2"/>
      <c r="R5" s="2"/>
      <c r="S5" s="2"/>
      <c r="T5" s="2"/>
      <c r="U5" s="2"/>
      <c r="V5" s="2"/>
      <c r="W5" s="2"/>
      <c r="X5" s="2"/>
      <c r="Y5" s="2"/>
      <c r="Z5" s="2"/>
    </row>
    <row r="6" spans="1:26" ht="12.75" customHeight="1">
      <c r="A6" s="10" t="s">
        <v>3</v>
      </c>
      <c r="B6" s="11" t="s">
        <v>4</v>
      </c>
      <c r="C6" s="12" t="s">
        <v>5</v>
      </c>
      <c r="D6" s="11" t="s">
        <v>6</v>
      </c>
      <c r="E6" s="11" t="s">
        <v>7</v>
      </c>
      <c r="F6" s="14" t="s">
        <v>8</v>
      </c>
      <c r="G6" s="11" t="s">
        <v>9</v>
      </c>
      <c r="H6" s="11" t="s">
        <v>10</v>
      </c>
      <c r="I6" s="11" t="s">
        <v>11</v>
      </c>
      <c r="J6" s="15" t="s">
        <v>12</v>
      </c>
      <c r="K6" s="10" t="s">
        <v>13</v>
      </c>
      <c r="L6" s="10" t="s">
        <v>14</v>
      </c>
      <c r="M6" s="16" t="s">
        <v>15</v>
      </c>
      <c r="N6" s="2"/>
      <c r="O6" s="2"/>
      <c r="P6" s="2"/>
      <c r="Q6" s="2"/>
      <c r="R6" s="2"/>
      <c r="S6" s="2"/>
      <c r="T6" s="2"/>
      <c r="U6" s="2"/>
      <c r="V6" s="2"/>
      <c r="W6" s="2"/>
      <c r="X6" s="2"/>
      <c r="Y6" s="2"/>
      <c r="Z6" s="2"/>
    </row>
    <row r="7" spans="1:26" ht="25.5" hidden="1" customHeight="1">
      <c r="A7" s="26">
        <v>1</v>
      </c>
      <c r="B7" s="27" t="s">
        <v>16</v>
      </c>
      <c r="C7" s="28">
        <v>40024</v>
      </c>
      <c r="D7" s="27"/>
      <c r="E7" s="27" t="s">
        <v>17</v>
      </c>
      <c r="F7" s="29" t="s">
        <v>18</v>
      </c>
      <c r="G7" s="27"/>
      <c r="H7" s="27" t="s">
        <v>19</v>
      </c>
      <c r="I7" s="27">
        <v>1</v>
      </c>
      <c r="J7" s="30">
        <v>593040360</v>
      </c>
      <c r="K7" s="26" t="s">
        <v>20</v>
      </c>
      <c r="L7" s="26" t="s">
        <v>5288</v>
      </c>
      <c r="M7" s="31" t="s">
        <v>5289</v>
      </c>
      <c r="N7" s="2"/>
      <c r="O7" s="2"/>
      <c r="P7" s="2"/>
      <c r="Q7" s="2"/>
      <c r="R7" s="2"/>
      <c r="S7" s="2"/>
      <c r="T7" s="2"/>
      <c r="U7" s="2"/>
      <c r="V7" s="2"/>
      <c r="W7" s="2"/>
      <c r="X7" s="2"/>
      <c r="Y7" s="2"/>
      <c r="Z7" s="2"/>
    </row>
    <row r="8" spans="1:26" ht="51" hidden="1" customHeight="1">
      <c r="A8" s="26" t="s">
        <v>23</v>
      </c>
      <c r="B8" s="27"/>
      <c r="C8" s="28"/>
      <c r="D8" s="27"/>
      <c r="E8" s="27" t="s">
        <v>24</v>
      </c>
      <c r="F8" s="29" t="s">
        <v>25</v>
      </c>
      <c r="G8" s="27"/>
      <c r="H8" s="27"/>
      <c r="I8" s="27">
        <v>1</v>
      </c>
      <c r="J8" s="30">
        <v>0</v>
      </c>
      <c r="K8" s="26" t="s">
        <v>20</v>
      </c>
      <c r="L8" s="26" t="s">
        <v>5288</v>
      </c>
      <c r="M8" s="31" t="s">
        <v>5290</v>
      </c>
      <c r="N8" s="2"/>
      <c r="O8" s="2"/>
      <c r="P8" s="2"/>
      <c r="Q8" s="2"/>
      <c r="R8" s="2"/>
      <c r="S8" s="2"/>
      <c r="T8" s="2"/>
      <c r="U8" s="2"/>
      <c r="V8" s="2"/>
      <c r="W8" s="2"/>
      <c r="X8" s="2"/>
      <c r="Y8" s="2"/>
      <c r="Z8" s="2"/>
    </row>
    <row r="9" spans="1:26" ht="12.75" hidden="1" customHeight="1">
      <c r="A9" s="26" t="s">
        <v>26</v>
      </c>
      <c r="B9" s="27"/>
      <c r="C9" s="28"/>
      <c r="D9" s="27"/>
      <c r="E9" s="27" t="s">
        <v>27</v>
      </c>
      <c r="F9" s="29" t="s">
        <v>28</v>
      </c>
      <c r="G9" s="27"/>
      <c r="H9" s="27"/>
      <c r="I9" s="27">
        <v>1</v>
      </c>
      <c r="J9" s="30">
        <v>0</v>
      </c>
      <c r="K9" s="26" t="s">
        <v>20</v>
      </c>
      <c r="L9" s="26" t="s">
        <v>5288</v>
      </c>
      <c r="M9" s="31" t="s">
        <v>5290</v>
      </c>
      <c r="N9" s="2"/>
      <c r="O9" s="2"/>
      <c r="P9" s="2"/>
      <c r="Q9" s="2"/>
      <c r="R9" s="2"/>
      <c r="S9" s="2"/>
      <c r="T9" s="2"/>
      <c r="U9" s="2"/>
      <c r="V9" s="2"/>
      <c r="W9" s="2"/>
      <c r="X9" s="2"/>
      <c r="Y9" s="2"/>
      <c r="Z9" s="2"/>
    </row>
    <row r="10" spans="1:26" ht="51" hidden="1" customHeight="1">
      <c r="A10" s="26" t="s">
        <v>29</v>
      </c>
      <c r="B10" s="27"/>
      <c r="C10" s="28"/>
      <c r="D10" s="27"/>
      <c r="E10" s="27" t="s">
        <v>30</v>
      </c>
      <c r="F10" s="29" t="s">
        <v>31</v>
      </c>
      <c r="G10" s="27"/>
      <c r="H10" s="27"/>
      <c r="I10" s="27">
        <v>1</v>
      </c>
      <c r="J10" s="30">
        <v>0</v>
      </c>
      <c r="K10" s="26" t="s">
        <v>20</v>
      </c>
      <c r="L10" s="26" t="s">
        <v>5288</v>
      </c>
      <c r="M10" s="31" t="s">
        <v>5290</v>
      </c>
      <c r="N10" s="2"/>
      <c r="O10" s="2"/>
      <c r="P10" s="2"/>
      <c r="Q10" s="2"/>
      <c r="R10" s="2"/>
      <c r="S10" s="2"/>
      <c r="T10" s="2"/>
      <c r="U10" s="2"/>
      <c r="V10" s="2"/>
      <c r="W10" s="2"/>
      <c r="X10" s="2"/>
      <c r="Y10" s="2"/>
      <c r="Z10" s="2"/>
    </row>
    <row r="11" spans="1:26" ht="25.5" hidden="1" customHeight="1">
      <c r="A11" s="26">
        <v>2</v>
      </c>
      <c r="B11" s="27" t="s">
        <v>32</v>
      </c>
      <c r="C11" s="28">
        <v>40178</v>
      </c>
      <c r="D11" s="27"/>
      <c r="E11" s="27" t="s">
        <v>5291</v>
      </c>
      <c r="F11" s="29" t="s">
        <v>5292</v>
      </c>
      <c r="G11" s="27" t="s">
        <v>35</v>
      </c>
      <c r="H11" s="27" t="s">
        <v>19</v>
      </c>
      <c r="I11" s="27">
        <v>1</v>
      </c>
      <c r="J11" s="30">
        <v>224486622</v>
      </c>
      <c r="K11" s="26" t="s">
        <v>20</v>
      </c>
      <c r="L11" s="26" t="s">
        <v>233</v>
      </c>
      <c r="M11" s="31" t="s">
        <v>1537</v>
      </c>
      <c r="N11" s="2"/>
      <c r="O11" s="2"/>
      <c r="P11" s="2"/>
      <c r="Q11" s="2"/>
      <c r="R11" s="2"/>
      <c r="S11" s="2"/>
      <c r="T11" s="2"/>
      <c r="U11" s="2"/>
      <c r="V11" s="2"/>
      <c r="W11" s="2"/>
      <c r="X11" s="2"/>
      <c r="Y11" s="2"/>
      <c r="Z11" s="2"/>
    </row>
    <row r="12" spans="1:26" ht="12.75" hidden="1" customHeight="1">
      <c r="A12" s="26" t="s">
        <v>5293</v>
      </c>
      <c r="B12" s="27"/>
      <c r="C12" s="28"/>
      <c r="D12" s="27"/>
      <c r="E12" s="27" t="s">
        <v>5294</v>
      </c>
      <c r="F12" s="29" t="s">
        <v>5295</v>
      </c>
      <c r="G12" s="27"/>
      <c r="H12" s="27"/>
      <c r="I12" s="27">
        <v>1</v>
      </c>
      <c r="J12" s="30">
        <v>0</v>
      </c>
      <c r="K12" s="26" t="s">
        <v>20</v>
      </c>
      <c r="L12" s="26" t="s">
        <v>233</v>
      </c>
      <c r="M12" s="31"/>
      <c r="N12" s="2"/>
      <c r="O12" s="2"/>
      <c r="P12" s="2"/>
      <c r="Q12" s="2"/>
      <c r="R12" s="2"/>
      <c r="S12" s="2"/>
      <c r="T12" s="2"/>
      <c r="U12" s="2"/>
      <c r="V12" s="2"/>
      <c r="W12" s="2"/>
      <c r="X12" s="2"/>
      <c r="Y12" s="2"/>
      <c r="Z12" s="2"/>
    </row>
    <row r="13" spans="1:26" ht="25.5" hidden="1" customHeight="1">
      <c r="A13" s="26">
        <v>3</v>
      </c>
      <c r="B13" s="27" t="s">
        <v>32</v>
      </c>
      <c r="C13" s="28">
        <v>40178</v>
      </c>
      <c r="D13" s="27"/>
      <c r="E13" s="27" t="s">
        <v>33</v>
      </c>
      <c r="F13" s="29" t="s">
        <v>34</v>
      </c>
      <c r="G13" s="27" t="s">
        <v>35</v>
      </c>
      <c r="H13" s="27" t="s">
        <v>19</v>
      </c>
      <c r="I13" s="27">
        <v>1</v>
      </c>
      <c r="J13" s="30">
        <v>224486622</v>
      </c>
      <c r="K13" s="26" t="s">
        <v>36</v>
      </c>
      <c r="L13" s="26" t="s">
        <v>37</v>
      </c>
      <c r="M13" s="31" t="s">
        <v>38</v>
      </c>
      <c r="N13" s="2"/>
      <c r="O13" s="2"/>
      <c r="P13" s="2"/>
      <c r="Q13" s="2"/>
      <c r="R13" s="2"/>
      <c r="S13" s="2"/>
      <c r="T13" s="2"/>
      <c r="U13" s="2"/>
      <c r="V13" s="2"/>
      <c r="W13" s="2"/>
      <c r="X13" s="2"/>
      <c r="Y13" s="2"/>
      <c r="Z13" s="2"/>
    </row>
    <row r="14" spans="1:26" ht="12.75" hidden="1" customHeight="1">
      <c r="A14" s="26" t="s">
        <v>39</v>
      </c>
      <c r="B14" s="27"/>
      <c r="C14" s="28"/>
      <c r="D14" s="27"/>
      <c r="E14" s="27" t="s">
        <v>40</v>
      </c>
      <c r="F14" s="29" t="s">
        <v>41</v>
      </c>
      <c r="G14" s="27"/>
      <c r="H14" s="27"/>
      <c r="I14" s="27">
        <v>1</v>
      </c>
      <c r="J14" s="30">
        <v>0</v>
      </c>
      <c r="K14" s="26" t="s">
        <v>36</v>
      </c>
      <c r="L14" s="26" t="s">
        <v>37</v>
      </c>
      <c r="M14" s="31"/>
      <c r="N14" s="2"/>
      <c r="O14" s="2"/>
      <c r="P14" s="2"/>
      <c r="Q14" s="2"/>
      <c r="R14" s="2"/>
      <c r="S14" s="2"/>
      <c r="T14" s="2"/>
      <c r="U14" s="2"/>
      <c r="V14" s="2"/>
      <c r="W14" s="2"/>
      <c r="X14" s="2"/>
      <c r="Y14" s="2"/>
      <c r="Z14" s="2"/>
    </row>
    <row r="15" spans="1:26" ht="12.75" hidden="1" customHeight="1">
      <c r="A15" s="26">
        <v>4</v>
      </c>
      <c r="B15" s="27" t="s">
        <v>42</v>
      </c>
      <c r="C15" s="28">
        <v>40702</v>
      </c>
      <c r="D15" s="27"/>
      <c r="E15" s="27" t="s">
        <v>43</v>
      </c>
      <c r="F15" s="29" t="s">
        <v>44</v>
      </c>
      <c r="G15" s="27" t="s">
        <v>45</v>
      </c>
      <c r="H15" s="27" t="s">
        <v>19</v>
      </c>
      <c r="I15" s="27">
        <v>1</v>
      </c>
      <c r="J15" s="30">
        <v>385639606</v>
      </c>
      <c r="K15" s="26" t="s">
        <v>20</v>
      </c>
      <c r="L15" s="26" t="s">
        <v>295</v>
      </c>
      <c r="M15" s="31" t="s">
        <v>5296</v>
      </c>
      <c r="N15" s="2"/>
      <c r="O15" s="2"/>
      <c r="P15" s="2"/>
      <c r="Q15" s="2"/>
      <c r="R15" s="2"/>
      <c r="S15" s="2"/>
      <c r="T15" s="2"/>
      <c r="U15" s="2"/>
      <c r="V15" s="2"/>
      <c r="W15" s="2"/>
      <c r="X15" s="2"/>
      <c r="Y15" s="2"/>
      <c r="Z15" s="2"/>
    </row>
    <row r="16" spans="1:26" ht="12.75" hidden="1" customHeight="1">
      <c r="A16" s="26" t="s">
        <v>46</v>
      </c>
      <c r="B16" s="27"/>
      <c r="C16" s="28"/>
      <c r="D16" s="27"/>
      <c r="E16" s="27" t="s">
        <v>47</v>
      </c>
      <c r="F16" s="29" t="s">
        <v>48</v>
      </c>
      <c r="G16" s="27"/>
      <c r="H16" s="27"/>
      <c r="I16" s="27">
        <v>1</v>
      </c>
      <c r="J16" s="30">
        <v>12894230</v>
      </c>
      <c r="K16" s="26" t="s">
        <v>20</v>
      </c>
      <c r="L16" s="26" t="s">
        <v>295</v>
      </c>
      <c r="M16" s="31" t="s">
        <v>5296</v>
      </c>
      <c r="N16" s="2"/>
      <c r="O16" s="2"/>
      <c r="P16" s="2"/>
      <c r="Q16" s="2"/>
      <c r="R16" s="2"/>
      <c r="S16" s="2"/>
      <c r="T16" s="2"/>
      <c r="U16" s="2"/>
      <c r="V16" s="2"/>
      <c r="W16" s="2"/>
      <c r="X16" s="2"/>
      <c r="Y16" s="2"/>
      <c r="Z16" s="2"/>
    </row>
    <row r="17" spans="1:26" ht="12.75" hidden="1" customHeight="1">
      <c r="A17" s="26" t="s">
        <v>49</v>
      </c>
      <c r="B17" s="27"/>
      <c r="C17" s="28"/>
      <c r="D17" s="27"/>
      <c r="E17" s="27" t="s">
        <v>50</v>
      </c>
      <c r="F17" s="34" t="s">
        <v>51</v>
      </c>
      <c r="G17" s="27"/>
      <c r="H17" s="27"/>
      <c r="I17" s="27">
        <v>1</v>
      </c>
      <c r="J17" s="30">
        <v>0</v>
      </c>
      <c r="K17" s="26" t="s">
        <v>20</v>
      </c>
      <c r="L17" s="26" t="s">
        <v>295</v>
      </c>
      <c r="M17" s="31" t="s">
        <v>5296</v>
      </c>
      <c r="N17" s="2"/>
      <c r="O17" s="2"/>
      <c r="P17" s="2"/>
      <c r="Q17" s="2"/>
      <c r="R17" s="2"/>
      <c r="S17" s="2"/>
      <c r="T17" s="2"/>
      <c r="U17" s="2"/>
      <c r="V17" s="2"/>
      <c r="W17" s="2"/>
      <c r="X17" s="2"/>
      <c r="Y17" s="2"/>
      <c r="Z17" s="2"/>
    </row>
    <row r="18" spans="1:26" ht="63.75" hidden="1" customHeight="1">
      <c r="A18" s="26">
        <v>5</v>
      </c>
      <c r="B18" s="27" t="s">
        <v>52</v>
      </c>
      <c r="C18" s="28">
        <v>40875</v>
      </c>
      <c r="D18" s="27"/>
      <c r="E18" s="27" t="s">
        <v>53</v>
      </c>
      <c r="F18" s="29" t="s">
        <v>54</v>
      </c>
      <c r="G18" s="27" t="s">
        <v>55</v>
      </c>
      <c r="H18" s="27" t="s">
        <v>19</v>
      </c>
      <c r="I18" s="27">
        <v>1</v>
      </c>
      <c r="J18" s="30">
        <v>367831511</v>
      </c>
      <c r="K18" s="26" t="s">
        <v>36</v>
      </c>
      <c r="L18" s="26" t="s">
        <v>56</v>
      </c>
      <c r="M18" s="31" t="s">
        <v>57</v>
      </c>
      <c r="N18" s="2"/>
      <c r="O18" s="2"/>
      <c r="P18" s="2"/>
      <c r="Q18" s="2"/>
      <c r="R18" s="2"/>
      <c r="S18" s="2"/>
      <c r="T18" s="2"/>
      <c r="U18" s="2"/>
      <c r="V18" s="2"/>
      <c r="W18" s="2"/>
      <c r="X18" s="2"/>
      <c r="Y18" s="2"/>
      <c r="Z18" s="2"/>
    </row>
    <row r="19" spans="1:26" ht="25.5" hidden="1" customHeight="1">
      <c r="A19" s="26">
        <v>6</v>
      </c>
      <c r="B19" s="27" t="s">
        <v>52</v>
      </c>
      <c r="C19" s="28">
        <v>40875</v>
      </c>
      <c r="D19" s="27"/>
      <c r="E19" s="27" t="s">
        <v>58</v>
      </c>
      <c r="F19" s="29" t="s">
        <v>59</v>
      </c>
      <c r="G19" s="27"/>
      <c r="H19" s="27" t="s">
        <v>19</v>
      </c>
      <c r="I19" s="27">
        <v>1</v>
      </c>
      <c r="J19" s="30">
        <v>317721303</v>
      </c>
      <c r="K19" s="26" t="s">
        <v>36</v>
      </c>
      <c r="L19" s="26" t="s">
        <v>56</v>
      </c>
      <c r="M19" s="31" t="s">
        <v>60</v>
      </c>
      <c r="N19" s="2"/>
      <c r="O19" s="2"/>
      <c r="P19" s="2"/>
      <c r="Q19" s="2"/>
      <c r="R19" s="2"/>
      <c r="S19" s="2"/>
      <c r="T19" s="2"/>
      <c r="U19" s="2"/>
      <c r="V19" s="2"/>
      <c r="W19" s="2"/>
      <c r="X19" s="2"/>
      <c r="Y19" s="2"/>
      <c r="Z19" s="2"/>
    </row>
    <row r="20" spans="1:26" ht="51" hidden="1" customHeight="1">
      <c r="A20" s="26" t="s">
        <v>61</v>
      </c>
      <c r="B20" s="27"/>
      <c r="C20" s="28"/>
      <c r="D20" s="27"/>
      <c r="E20" s="27" t="s">
        <v>62</v>
      </c>
      <c r="F20" s="29" t="s">
        <v>63</v>
      </c>
      <c r="G20" s="27"/>
      <c r="H20" s="27"/>
      <c r="I20" s="27">
        <v>1</v>
      </c>
      <c r="J20" s="30">
        <v>243712689</v>
      </c>
      <c r="K20" s="26" t="s">
        <v>36</v>
      </c>
      <c r="L20" s="26" t="s">
        <v>56</v>
      </c>
      <c r="M20" s="31"/>
      <c r="N20" s="2"/>
      <c r="O20" s="2"/>
      <c r="P20" s="2"/>
      <c r="Q20" s="2"/>
      <c r="R20" s="2"/>
      <c r="S20" s="2"/>
      <c r="T20" s="2"/>
      <c r="U20" s="2"/>
      <c r="V20" s="2"/>
      <c r="W20" s="2"/>
      <c r="X20" s="2"/>
      <c r="Y20" s="2"/>
      <c r="Z20" s="2"/>
    </row>
    <row r="21" spans="1:26" ht="12.75" hidden="1" customHeight="1">
      <c r="A21" s="26" t="s">
        <v>64</v>
      </c>
      <c r="B21" s="27"/>
      <c r="C21" s="28"/>
      <c r="D21" s="27"/>
      <c r="E21" s="27" t="s">
        <v>65</v>
      </c>
      <c r="F21" s="34" t="s">
        <v>66</v>
      </c>
      <c r="G21" s="27"/>
      <c r="H21" s="27"/>
      <c r="I21" s="27">
        <v>1</v>
      </c>
      <c r="J21" s="30">
        <v>8407751</v>
      </c>
      <c r="K21" s="26" t="s">
        <v>36</v>
      </c>
      <c r="L21" s="26" t="s">
        <v>56</v>
      </c>
      <c r="M21" s="31"/>
      <c r="N21" s="2"/>
      <c r="O21" s="2"/>
      <c r="P21" s="2"/>
      <c r="Q21" s="2"/>
      <c r="R21" s="2"/>
      <c r="S21" s="2"/>
      <c r="T21" s="2"/>
      <c r="U21" s="2"/>
      <c r="V21" s="2"/>
      <c r="W21" s="2"/>
      <c r="X21" s="2"/>
      <c r="Y21" s="2"/>
      <c r="Z21" s="2"/>
    </row>
    <row r="22" spans="1:26" ht="12.75" hidden="1" customHeight="1">
      <c r="A22" s="26">
        <v>7</v>
      </c>
      <c r="B22" s="27" t="s">
        <v>52</v>
      </c>
      <c r="C22" s="28">
        <v>40875</v>
      </c>
      <c r="D22" s="27"/>
      <c r="E22" s="27" t="s">
        <v>67</v>
      </c>
      <c r="F22" s="29" t="s">
        <v>68</v>
      </c>
      <c r="G22" s="27"/>
      <c r="H22" s="27" t="s">
        <v>19</v>
      </c>
      <c r="I22" s="27">
        <v>1</v>
      </c>
      <c r="J22" s="30">
        <v>339581457</v>
      </c>
      <c r="K22" s="26" t="s">
        <v>36</v>
      </c>
      <c r="L22" s="26" t="s">
        <v>56</v>
      </c>
      <c r="M22" s="31" t="s">
        <v>69</v>
      </c>
      <c r="N22" s="2"/>
      <c r="O22" s="2"/>
      <c r="P22" s="2"/>
      <c r="Q22" s="2"/>
      <c r="R22" s="2"/>
      <c r="S22" s="2"/>
      <c r="T22" s="2"/>
      <c r="U22" s="2"/>
      <c r="V22" s="2"/>
      <c r="W22" s="2"/>
      <c r="X22" s="2"/>
      <c r="Y22" s="2"/>
      <c r="Z22" s="2"/>
    </row>
    <row r="23" spans="1:26" ht="12.75" hidden="1" customHeight="1">
      <c r="A23" s="26" t="s">
        <v>70</v>
      </c>
      <c r="B23" s="27"/>
      <c r="C23" s="28"/>
      <c r="D23" s="27"/>
      <c r="E23" s="27" t="s">
        <v>71</v>
      </c>
      <c r="F23" s="29" t="s">
        <v>72</v>
      </c>
      <c r="G23" s="27"/>
      <c r="H23" s="27"/>
      <c r="I23" s="27">
        <v>1</v>
      </c>
      <c r="J23" s="30">
        <v>14573436</v>
      </c>
      <c r="K23" s="26" t="s">
        <v>36</v>
      </c>
      <c r="L23" s="26" t="s">
        <v>56</v>
      </c>
      <c r="M23" s="31"/>
      <c r="N23" s="2"/>
      <c r="O23" s="2"/>
      <c r="P23" s="2"/>
      <c r="Q23" s="2"/>
      <c r="R23" s="2"/>
      <c r="S23" s="2"/>
      <c r="T23" s="2"/>
      <c r="U23" s="2"/>
      <c r="V23" s="2"/>
      <c r="W23" s="2"/>
      <c r="X23" s="2"/>
      <c r="Y23" s="2"/>
      <c r="Z23" s="2"/>
    </row>
    <row r="24" spans="1:26" ht="38.25" hidden="1" customHeight="1">
      <c r="A24" s="26" t="s">
        <v>73</v>
      </c>
      <c r="B24" s="27"/>
      <c r="C24" s="28"/>
      <c r="D24" s="27"/>
      <c r="E24" s="27" t="s">
        <v>74</v>
      </c>
      <c r="F24" s="29" t="s">
        <v>75</v>
      </c>
      <c r="G24" s="27"/>
      <c r="H24" s="27"/>
      <c r="I24" s="27">
        <v>1</v>
      </c>
      <c r="J24" s="30">
        <v>166361375</v>
      </c>
      <c r="K24" s="26" t="s">
        <v>36</v>
      </c>
      <c r="L24" s="26" t="s">
        <v>56</v>
      </c>
      <c r="M24" s="31"/>
      <c r="N24" s="2"/>
      <c r="O24" s="2"/>
      <c r="P24" s="2"/>
      <c r="Q24" s="2"/>
      <c r="R24" s="2"/>
      <c r="S24" s="2"/>
      <c r="T24" s="2"/>
      <c r="U24" s="2"/>
      <c r="V24" s="2"/>
      <c r="W24" s="2"/>
      <c r="X24" s="2"/>
      <c r="Y24" s="2"/>
      <c r="Z24" s="2"/>
    </row>
    <row r="25" spans="1:26" ht="12.75" hidden="1" customHeight="1">
      <c r="A25" s="26">
        <v>8</v>
      </c>
      <c r="B25" s="27" t="s">
        <v>52</v>
      </c>
      <c r="C25" s="28">
        <v>40875</v>
      </c>
      <c r="D25" s="27"/>
      <c r="E25" s="27" t="s">
        <v>76</v>
      </c>
      <c r="F25" s="29" t="s">
        <v>68</v>
      </c>
      <c r="G25" s="27"/>
      <c r="H25" s="27" t="s">
        <v>19</v>
      </c>
      <c r="I25" s="27">
        <v>1</v>
      </c>
      <c r="J25" s="30">
        <v>339581457</v>
      </c>
      <c r="K25" s="26" t="s">
        <v>36</v>
      </c>
      <c r="L25" s="26" t="s">
        <v>56</v>
      </c>
      <c r="M25" s="31" t="s">
        <v>77</v>
      </c>
      <c r="N25" s="2"/>
      <c r="O25" s="2"/>
      <c r="P25" s="2"/>
      <c r="Q25" s="2"/>
      <c r="R25" s="2"/>
      <c r="S25" s="2"/>
      <c r="T25" s="2"/>
      <c r="U25" s="2"/>
      <c r="V25" s="2"/>
      <c r="W25" s="2"/>
      <c r="X25" s="2"/>
      <c r="Y25" s="2"/>
      <c r="Z25" s="2"/>
    </row>
    <row r="26" spans="1:26" ht="12.75" hidden="1" customHeight="1">
      <c r="A26" s="26" t="s">
        <v>78</v>
      </c>
      <c r="B26" s="27"/>
      <c r="C26" s="28"/>
      <c r="D26" s="27"/>
      <c r="E26" s="27" t="s">
        <v>79</v>
      </c>
      <c r="F26" s="29" t="s">
        <v>80</v>
      </c>
      <c r="G26" s="27"/>
      <c r="H26" s="27"/>
      <c r="I26" s="27">
        <v>1</v>
      </c>
      <c r="J26" s="30">
        <v>14573436</v>
      </c>
      <c r="K26" s="26" t="s">
        <v>36</v>
      </c>
      <c r="L26" s="26" t="s">
        <v>56</v>
      </c>
      <c r="M26" s="31"/>
      <c r="N26" s="2"/>
      <c r="O26" s="2"/>
      <c r="P26" s="2"/>
      <c r="Q26" s="2"/>
      <c r="R26" s="2"/>
      <c r="S26" s="2"/>
      <c r="T26" s="2"/>
      <c r="U26" s="2"/>
      <c r="V26" s="2"/>
      <c r="W26" s="2"/>
      <c r="X26" s="2"/>
      <c r="Y26" s="2"/>
      <c r="Z26" s="2"/>
    </row>
    <row r="27" spans="1:26" ht="38.25" hidden="1" customHeight="1">
      <c r="A27" s="26" t="s">
        <v>81</v>
      </c>
      <c r="B27" s="27"/>
      <c r="C27" s="28"/>
      <c r="D27" s="27"/>
      <c r="E27" s="27" t="s">
        <v>82</v>
      </c>
      <c r="F27" s="29" t="s">
        <v>83</v>
      </c>
      <c r="G27" s="27"/>
      <c r="H27" s="27"/>
      <c r="I27" s="27">
        <v>1</v>
      </c>
      <c r="J27" s="30">
        <v>166361375</v>
      </c>
      <c r="K27" s="26" t="s">
        <v>36</v>
      </c>
      <c r="L27" s="26" t="s">
        <v>56</v>
      </c>
      <c r="M27" s="31"/>
      <c r="N27" s="2"/>
      <c r="O27" s="2"/>
      <c r="P27" s="2"/>
      <c r="Q27" s="2"/>
      <c r="R27" s="2"/>
      <c r="S27" s="2"/>
      <c r="T27" s="2"/>
      <c r="U27" s="2"/>
      <c r="V27" s="2"/>
      <c r="W27" s="2"/>
      <c r="X27" s="2"/>
      <c r="Y27" s="2"/>
      <c r="Z27" s="2"/>
    </row>
    <row r="28" spans="1:26" ht="25.5" hidden="1" customHeight="1">
      <c r="A28" s="26">
        <v>9</v>
      </c>
      <c r="B28" s="27" t="s">
        <v>52</v>
      </c>
      <c r="C28" s="28">
        <v>40875</v>
      </c>
      <c r="D28" s="27"/>
      <c r="E28" s="27" t="s">
        <v>84</v>
      </c>
      <c r="F28" s="29" t="s">
        <v>85</v>
      </c>
      <c r="G28" s="27"/>
      <c r="H28" s="27" t="s">
        <v>19</v>
      </c>
      <c r="I28" s="27">
        <v>1</v>
      </c>
      <c r="J28" s="30">
        <v>209765774</v>
      </c>
      <c r="K28" s="26" t="s">
        <v>36</v>
      </c>
      <c r="L28" s="26" t="s">
        <v>56</v>
      </c>
      <c r="M28" s="31" t="s">
        <v>86</v>
      </c>
      <c r="N28" s="2"/>
      <c r="O28" s="2"/>
      <c r="P28" s="2"/>
      <c r="Q28" s="2"/>
      <c r="R28" s="2"/>
      <c r="S28" s="2"/>
      <c r="T28" s="2"/>
      <c r="U28" s="2"/>
      <c r="V28" s="2"/>
      <c r="W28" s="2"/>
      <c r="X28" s="2"/>
      <c r="Y28" s="2"/>
      <c r="Z28" s="2"/>
    </row>
    <row r="29" spans="1:26" ht="63.75" hidden="1" customHeight="1">
      <c r="A29" s="26" t="s">
        <v>87</v>
      </c>
      <c r="B29" s="27"/>
      <c r="C29" s="28"/>
      <c r="D29" s="27"/>
      <c r="E29" s="27" t="s">
        <v>88</v>
      </c>
      <c r="F29" s="34" t="s">
        <v>89</v>
      </c>
      <c r="G29" s="27"/>
      <c r="H29" s="27"/>
      <c r="I29" s="27">
        <v>1</v>
      </c>
      <c r="J29" s="30">
        <v>129591475</v>
      </c>
      <c r="K29" s="26" t="s">
        <v>36</v>
      </c>
      <c r="L29" s="26" t="s">
        <v>56</v>
      </c>
      <c r="M29" s="31"/>
      <c r="N29" s="2"/>
      <c r="O29" s="2"/>
      <c r="P29" s="2"/>
      <c r="Q29" s="2"/>
      <c r="R29" s="2"/>
      <c r="S29" s="2"/>
      <c r="T29" s="2"/>
      <c r="U29" s="2"/>
      <c r="V29" s="2"/>
      <c r="W29" s="2"/>
      <c r="X29" s="2"/>
      <c r="Y29" s="2"/>
      <c r="Z29" s="2"/>
    </row>
    <row r="30" spans="1:26" ht="12.75" hidden="1" customHeight="1">
      <c r="A30" s="26" t="s">
        <v>90</v>
      </c>
      <c r="B30" s="27"/>
      <c r="C30" s="28"/>
      <c r="D30" s="27"/>
      <c r="E30" s="27" t="s">
        <v>91</v>
      </c>
      <c r="F30" s="29" t="s">
        <v>92</v>
      </c>
      <c r="G30" s="27"/>
      <c r="H30" s="27"/>
      <c r="I30" s="27">
        <v>1</v>
      </c>
      <c r="J30" s="30">
        <v>14573436</v>
      </c>
      <c r="K30" s="26" t="s">
        <v>36</v>
      </c>
      <c r="L30" s="26" t="s">
        <v>56</v>
      </c>
      <c r="M30" s="31"/>
      <c r="N30" s="2"/>
      <c r="O30" s="2"/>
      <c r="P30" s="2"/>
      <c r="Q30" s="2"/>
      <c r="R30" s="2"/>
      <c r="S30" s="2"/>
      <c r="T30" s="2"/>
      <c r="U30" s="2"/>
      <c r="V30" s="2"/>
      <c r="W30" s="2"/>
      <c r="X30" s="2"/>
      <c r="Y30" s="2"/>
      <c r="Z30" s="2"/>
    </row>
    <row r="31" spans="1:26" ht="12.75" hidden="1" customHeight="1">
      <c r="A31" s="26">
        <v>10</v>
      </c>
      <c r="B31" s="27" t="s">
        <v>52</v>
      </c>
      <c r="C31" s="28">
        <v>40875</v>
      </c>
      <c r="D31" s="27"/>
      <c r="E31" s="27" t="s">
        <v>93</v>
      </c>
      <c r="F31" s="29" t="s">
        <v>85</v>
      </c>
      <c r="G31" s="27"/>
      <c r="H31" s="27" t="s">
        <v>19</v>
      </c>
      <c r="I31" s="27">
        <v>1</v>
      </c>
      <c r="J31" s="30">
        <v>209765774</v>
      </c>
      <c r="K31" s="26" t="s">
        <v>36</v>
      </c>
      <c r="L31" s="26" t="s">
        <v>56</v>
      </c>
      <c r="M31" s="31" t="s">
        <v>94</v>
      </c>
      <c r="N31" s="2"/>
      <c r="O31" s="2"/>
      <c r="P31" s="2"/>
      <c r="Q31" s="2"/>
      <c r="R31" s="2"/>
      <c r="S31" s="2"/>
      <c r="T31" s="2"/>
      <c r="U31" s="2"/>
      <c r="V31" s="2"/>
      <c r="W31" s="2"/>
      <c r="X31" s="2"/>
      <c r="Y31" s="2"/>
      <c r="Z31" s="2"/>
    </row>
    <row r="32" spans="1:26" ht="63.75" hidden="1" customHeight="1">
      <c r="A32" s="26" t="s">
        <v>95</v>
      </c>
      <c r="B32" s="27"/>
      <c r="C32" s="28"/>
      <c r="D32" s="27"/>
      <c r="E32" s="27" t="s">
        <v>96</v>
      </c>
      <c r="F32" s="34" t="s">
        <v>97</v>
      </c>
      <c r="G32" s="27"/>
      <c r="H32" s="27"/>
      <c r="I32" s="27">
        <v>1</v>
      </c>
      <c r="J32" s="30">
        <v>129591475</v>
      </c>
      <c r="K32" s="26" t="s">
        <v>36</v>
      </c>
      <c r="L32" s="26" t="s">
        <v>56</v>
      </c>
      <c r="M32" s="31"/>
      <c r="N32" s="2"/>
      <c r="O32" s="2"/>
      <c r="P32" s="2"/>
      <c r="Q32" s="2"/>
      <c r="R32" s="2"/>
      <c r="S32" s="2"/>
      <c r="T32" s="2"/>
      <c r="U32" s="2"/>
      <c r="V32" s="2"/>
      <c r="W32" s="2"/>
      <c r="X32" s="2"/>
      <c r="Y32" s="2"/>
      <c r="Z32" s="2"/>
    </row>
    <row r="33" spans="1:26" ht="12.75" hidden="1" customHeight="1">
      <c r="A33" s="26" t="s">
        <v>98</v>
      </c>
      <c r="B33" s="27"/>
      <c r="C33" s="28"/>
      <c r="D33" s="27"/>
      <c r="E33" s="27" t="s">
        <v>99</v>
      </c>
      <c r="F33" s="29" t="s">
        <v>100</v>
      </c>
      <c r="G33" s="27"/>
      <c r="H33" s="27"/>
      <c r="I33" s="27">
        <v>1</v>
      </c>
      <c r="J33" s="30">
        <v>14573436</v>
      </c>
      <c r="K33" s="26" t="s">
        <v>36</v>
      </c>
      <c r="L33" s="26" t="s">
        <v>56</v>
      </c>
      <c r="M33" s="31"/>
      <c r="N33" s="2"/>
      <c r="O33" s="2"/>
      <c r="P33" s="2"/>
      <c r="Q33" s="2"/>
      <c r="R33" s="2"/>
      <c r="S33" s="2"/>
      <c r="T33" s="2"/>
      <c r="U33" s="2"/>
      <c r="V33" s="2"/>
      <c r="W33" s="2"/>
      <c r="X33" s="2"/>
      <c r="Y33" s="2"/>
      <c r="Z33" s="2"/>
    </row>
    <row r="34" spans="1:26" ht="12.75" hidden="1" customHeight="1">
      <c r="A34" s="26">
        <v>11</v>
      </c>
      <c r="B34" s="27" t="s">
        <v>52</v>
      </c>
      <c r="C34" s="28">
        <v>40875</v>
      </c>
      <c r="D34" s="27"/>
      <c r="E34" s="27" t="s">
        <v>101</v>
      </c>
      <c r="F34" s="29" t="s">
        <v>85</v>
      </c>
      <c r="G34" s="27"/>
      <c r="H34" s="27" t="s">
        <v>19</v>
      </c>
      <c r="I34" s="27">
        <v>1</v>
      </c>
      <c r="J34" s="30">
        <v>209765774</v>
      </c>
      <c r="K34" s="26" t="s">
        <v>36</v>
      </c>
      <c r="L34" s="26" t="s">
        <v>56</v>
      </c>
      <c r="M34" s="31" t="s">
        <v>102</v>
      </c>
      <c r="N34" s="2"/>
      <c r="O34" s="2"/>
      <c r="P34" s="2"/>
      <c r="Q34" s="2"/>
      <c r="R34" s="2"/>
      <c r="S34" s="2"/>
      <c r="T34" s="2"/>
      <c r="U34" s="2"/>
      <c r="V34" s="2"/>
      <c r="W34" s="2"/>
      <c r="X34" s="2"/>
      <c r="Y34" s="2"/>
      <c r="Z34" s="2"/>
    </row>
    <row r="35" spans="1:26" ht="63.75" hidden="1" customHeight="1">
      <c r="A35" s="26" t="s">
        <v>103</v>
      </c>
      <c r="B35" s="27"/>
      <c r="C35" s="28"/>
      <c r="D35" s="27"/>
      <c r="E35" s="27" t="s">
        <v>104</v>
      </c>
      <c r="F35" s="34" t="s">
        <v>105</v>
      </c>
      <c r="G35" s="27"/>
      <c r="H35" s="27"/>
      <c r="I35" s="27">
        <v>1</v>
      </c>
      <c r="J35" s="30">
        <v>129591475</v>
      </c>
      <c r="K35" s="26" t="s">
        <v>36</v>
      </c>
      <c r="L35" s="26" t="s">
        <v>56</v>
      </c>
      <c r="M35" s="31"/>
      <c r="N35" s="2"/>
      <c r="O35" s="2"/>
      <c r="P35" s="2"/>
      <c r="Q35" s="2"/>
      <c r="R35" s="2"/>
      <c r="S35" s="2"/>
      <c r="T35" s="2"/>
      <c r="U35" s="2"/>
      <c r="V35" s="2"/>
      <c r="W35" s="2"/>
      <c r="X35" s="2"/>
      <c r="Y35" s="2"/>
      <c r="Z35" s="2"/>
    </row>
    <row r="36" spans="1:26" ht="12.75" hidden="1" customHeight="1">
      <c r="A36" s="26" t="s">
        <v>106</v>
      </c>
      <c r="B36" s="27"/>
      <c r="C36" s="28"/>
      <c r="D36" s="27"/>
      <c r="E36" s="27" t="s">
        <v>107</v>
      </c>
      <c r="F36" s="29" t="s">
        <v>108</v>
      </c>
      <c r="G36" s="27"/>
      <c r="H36" s="27"/>
      <c r="I36" s="27">
        <v>1</v>
      </c>
      <c r="J36" s="30">
        <v>14573436</v>
      </c>
      <c r="K36" s="26" t="s">
        <v>36</v>
      </c>
      <c r="L36" s="26" t="s">
        <v>56</v>
      </c>
      <c r="M36" s="31"/>
      <c r="N36" s="2"/>
      <c r="O36" s="2"/>
      <c r="P36" s="2"/>
      <c r="Q36" s="2"/>
      <c r="R36" s="2"/>
      <c r="S36" s="2"/>
      <c r="T36" s="2"/>
      <c r="U36" s="2"/>
      <c r="V36" s="2"/>
      <c r="W36" s="2"/>
      <c r="X36" s="2"/>
      <c r="Y36" s="2"/>
      <c r="Z36" s="2"/>
    </row>
    <row r="37" spans="1:26" ht="12.75" hidden="1" customHeight="1">
      <c r="A37" s="26">
        <v>12</v>
      </c>
      <c r="B37" s="27" t="s">
        <v>52</v>
      </c>
      <c r="C37" s="28">
        <v>40875</v>
      </c>
      <c r="D37" s="27"/>
      <c r="E37" s="27" t="s">
        <v>109</v>
      </c>
      <c r="F37" s="29" t="s">
        <v>85</v>
      </c>
      <c r="G37" s="27"/>
      <c r="H37" s="27" t="s">
        <v>19</v>
      </c>
      <c r="I37" s="27">
        <v>1</v>
      </c>
      <c r="J37" s="30">
        <v>209765774</v>
      </c>
      <c r="K37" s="26" t="s">
        <v>36</v>
      </c>
      <c r="L37" s="26" t="s">
        <v>56</v>
      </c>
      <c r="M37" s="31" t="s">
        <v>110</v>
      </c>
      <c r="N37" s="2"/>
      <c r="O37" s="2"/>
      <c r="P37" s="2"/>
      <c r="Q37" s="2"/>
      <c r="R37" s="2"/>
      <c r="S37" s="2"/>
      <c r="T37" s="2"/>
      <c r="U37" s="2"/>
      <c r="V37" s="2"/>
      <c r="W37" s="2"/>
      <c r="X37" s="2"/>
      <c r="Y37" s="2"/>
      <c r="Z37" s="2"/>
    </row>
    <row r="38" spans="1:26" ht="63.75" hidden="1" customHeight="1">
      <c r="A38" s="26" t="s">
        <v>111</v>
      </c>
      <c r="B38" s="27"/>
      <c r="C38" s="28"/>
      <c r="D38" s="27"/>
      <c r="E38" s="27" t="s">
        <v>112</v>
      </c>
      <c r="F38" s="34" t="s">
        <v>113</v>
      </c>
      <c r="G38" s="27"/>
      <c r="H38" s="27"/>
      <c r="I38" s="27">
        <v>1</v>
      </c>
      <c r="J38" s="30">
        <v>129591475</v>
      </c>
      <c r="K38" s="26" t="s">
        <v>36</v>
      </c>
      <c r="L38" s="26" t="s">
        <v>56</v>
      </c>
      <c r="M38" s="31"/>
      <c r="N38" s="2"/>
      <c r="O38" s="2"/>
      <c r="P38" s="2"/>
      <c r="Q38" s="2"/>
      <c r="R38" s="2"/>
      <c r="S38" s="2"/>
      <c r="T38" s="2"/>
      <c r="U38" s="2"/>
      <c r="V38" s="2"/>
      <c r="W38" s="2"/>
      <c r="X38" s="2"/>
      <c r="Y38" s="2"/>
      <c r="Z38" s="2"/>
    </row>
    <row r="39" spans="1:26" ht="12.75" hidden="1" customHeight="1">
      <c r="A39" s="26">
        <v>13</v>
      </c>
      <c r="B39" s="27" t="s">
        <v>52</v>
      </c>
      <c r="C39" s="28">
        <v>40875</v>
      </c>
      <c r="D39" s="27"/>
      <c r="E39" s="27" t="s">
        <v>114</v>
      </c>
      <c r="F39" s="29" t="s">
        <v>85</v>
      </c>
      <c r="G39" s="27"/>
      <c r="H39" s="27" t="s">
        <v>19</v>
      </c>
      <c r="I39" s="27">
        <v>1</v>
      </c>
      <c r="J39" s="30">
        <v>209765775</v>
      </c>
      <c r="K39" s="26" t="s">
        <v>36</v>
      </c>
      <c r="L39" s="26" t="s">
        <v>56</v>
      </c>
      <c r="M39" s="31" t="s">
        <v>110</v>
      </c>
      <c r="N39" s="2"/>
      <c r="O39" s="2"/>
      <c r="P39" s="2"/>
      <c r="Q39" s="2"/>
      <c r="R39" s="2"/>
      <c r="S39" s="2"/>
      <c r="T39" s="2"/>
      <c r="U39" s="2"/>
      <c r="V39" s="2"/>
      <c r="W39" s="2"/>
      <c r="X39" s="2"/>
      <c r="Y39" s="2"/>
      <c r="Z39" s="2"/>
    </row>
    <row r="40" spans="1:26" ht="63.75" hidden="1" customHeight="1">
      <c r="A40" s="26" t="s">
        <v>115</v>
      </c>
      <c r="B40" s="27"/>
      <c r="C40" s="28"/>
      <c r="D40" s="27"/>
      <c r="E40" s="27" t="s">
        <v>116</v>
      </c>
      <c r="F40" s="34" t="s">
        <v>117</v>
      </c>
      <c r="G40" s="27"/>
      <c r="H40" s="27"/>
      <c r="I40" s="27">
        <v>1</v>
      </c>
      <c r="J40" s="30">
        <v>129591475</v>
      </c>
      <c r="K40" s="26" t="s">
        <v>36</v>
      </c>
      <c r="L40" s="26" t="s">
        <v>56</v>
      </c>
      <c r="M40" s="31"/>
      <c r="N40" s="2"/>
      <c r="O40" s="2"/>
      <c r="P40" s="2"/>
      <c r="Q40" s="2"/>
      <c r="R40" s="2"/>
      <c r="S40" s="2"/>
      <c r="T40" s="2"/>
      <c r="U40" s="2"/>
      <c r="V40" s="2"/>
      <c r="W40" s="2"/>
      <c r="X40" s="2"/>
      <c r="Y40" s="2"/>
      <c r="Z40" s="2"/>
    </row>
    <row r="41" spans="1:26" ht="12.75" hidden="1" customHeight="1">
      <c r="A41" s="26">
        <v>14</v>
      </c>
      <c r="B41" s="27" t="s">
        <v>52</v>
      </c>
      <c r="C41" s="28">
        <v>40875</v>
      </c>
      <c r="D41" s="27"/>
      <c r="E41" s="27" t="s">
        <v>118</v>
      </c>
      <c r="F41" s="29" t="s">
        <v>85</v>
      </c>
      <c r="G41" s="27"/>
      <c r="H41" s="27" t="s">
        <v>19</v>
      </c>
      <c r="I41" s="27">
        <v>1</v>
      </c>
      <c r="J41" s="30">
        <v>105621760</v>
      </c>
      <c r="K41" s="26" t="s">
        <v>36</v>
      </c>
      <c r="L41" s="26" t="s">
        <v>56</v>
      </c>
      <c r="M41" s="31" t="s">
        <v>119</v>
      </c>
      <c r="N41" s="2"/>
      <c r="O41" s="2"/>
      <c r="P41" s="2"/>
      <c r="Q41" s="2"/>
      <c r="R41" s="2"/>
      <c r="S41" s="2"/>
      <c r="T41" s="2"/>
      <c r="U41" s="2"/>
      <c r="V41" s="2"/>
      <c r="W41" s="2"/>
      <c r="X41" s="2"/>
      <c r="Y41" s="2"/>
      <c r="Z41" s="2"/>
    </row>
    <row r="42" spans="1:26" ht="51" hidden="1" customHeight="1">
      <c r="A42" s="26" t="s">
        <v>120</v>
      </c>
      <c r="B42" s="27"/>
      <c r="C42" s="28"/>
      <c r="D42" s="27"/>
      <c r="E42" s="27" t="s">
        <v>121</v>
      </c>
      <c r="F42" s="29" t="s">
        <v>122</v>
      </c>
      <c r="G42" s="27"/>
      <c r="H42" s="27"/>
      <c r="I42" s="27">
        <v>1</v>
      </c>
      <c r="J42" s="30">
        <v>31613146</v>
      </c>
      <c r="K42" s="26" t="s">
        <v>36</v>
      </c>
      <c r="L42" s="26" t="s">
        <v>56</v>
      </c>
      <c r="M42" s="31"/>
      <c r="N42" s="2"/>
      <c r="O42" s="2"/>
      <c r="P42" s="2"/>
      <c r="Q42" s="2"/>
      <c r="R42" s="2"/>
      <c r="S42" s="2"/>
      <c r="T42" s="2"/>
      <c r="U42" s="2"/>
      <c r="V42" s="2"/>
      <c r="W42" s="2"/>
      <c r="X42" s="2"/>
      <c r="Y42" s="2"/>
      <c r="Z42" s="2"/>
    </row>
    <row r="43" spans="1:26" ht="25.5" hidden="1" customHeight="1">
      <c r="A43" s="26">
        <v>15</v>
      </c>
      <c r="B43" s="27" t="s">
        <v>52</v>
      </c>
      <c r="C43" s="28">
        <v>40875</v>
      </c>
      <c r="D43" s="27"/>
      <c r="E43" s="27" t="s">
        <v>123</v>
      </c>
      <c r="F43" s="29" t="s">
        <v>85</v>
      </c>
      <c r="G43" s="27"/>
      <c r="H43" s="27" t="s">
        <v>19</v>
      </c>
      <c r="I43" s="27">
        <v>1</v>
      </c>
      <c r="J43" s="30">
        <v>105621760</v>
      </c>
      <c r="K43" s="26" t="s">
        <v>36</v>
      </c>
      <c r="L43" s="26" t="s">
        <v>56</v>
      </c>
      <c r="M43" s="31" t="s">
        <v>124</v>
      </c>
      <c r="N43" s="2"/>
      <c r="O43" s="2"/>
      <c r="P43" s="2"/>
      <c r="Q43" s="2"/>
      <c r="R43" s="2"/>
      <c r="S43" s="2"/>
      <c r="T43" s="2"/>
      <c r="U43" s="2"/>
      <c r="V43" s="2"/>
      <c r="W43" s="2"/>
      <c r="X43" s="2"/>
      <c r="Y43" s="2"/>
      <c r="Z43" s="2"/>
    </row>
    <row r="44" spans="1:26" ht="51" hidden="1" customHeight="1">
      <c r="A44" s="26" t="s">
        <v>125</v>
      </c>
      <c r="B44" s="27"/>
      <c r="C44" s="28"/>
      <c r="D44" s="27"/>
      <c r="E44" s="27" t="s">
        <v>126</v>
      </c>
      <c r="F44" s="29" t="s">
        <v>127</v>
      </c>
      <c r="G44" s="27"/>
      <c r="H44" s="27"/>
      <c r="I44" s="27">
        <v>1</v>
      </c>
      <c r="J44" s="30">
        <v>31613146</v>
      </c>
      <c r="K44" s="26" t="s">
        <v>36</v>
      </c>
      <c r="L44" s="26" t="s">
        <v>56</v>
      </c>
      <c r="M44" s="31"/>
      <c r="N44" s="2"/>
      <c r="O44" s="2"/>
      <c r="P44" s="2"/>
      <c r="Q44" s="2"/>
      <c r="R44" s="2"/>
      <c r="S44" s="2"/>
      <c r="T44" s="2"/>
      <c r="U44" s="2"/>
      <c r="V44" s="2"/>
      <c r="W44" s="2"/>
      <c r="X44" s="2"/>
      <c r="Y44" s="2"/>
      <c r="Z44" s="2"/>
    </row>
    <row r="45" spans="1:26" ht="12.75" hidden="1" customHeight="1">
      <c r="A45" s="26" t="s">
        <v>128</v>
      </c>
      <c r="B45" s="27"/>
      <c r="C45" s="28"/>
      <c r="D45" s="27"/>
      <c r="E45" s="27" t="s">
        <v>129</v>
      </c>
      <c r="F45" s="34" t="s">
        <v>130</v>
      </c>
      <c r="G45" s="27"/>
      <c r="H45" s="27"/>
      <c r="I45" s="27">
        <v>1</v>
      </c>
      <c r="J45" s="30">
        <v>8407752</v>
      </c>
      <c r="K45" s="26" t="s">
        <v>36</v>
      </c>
      <c r="L45" s="26" t="s">
        <v>56</v>
      </c>
      <c r="M45" s="31"/>
      <c r="N45" s="2"/>
      <c r="O45" s="2"/>
      <c r="P45" s="2"/>
      <c r="Q45" s="2"/>
      <c r="R45" s="2"/>
      <c r="S45" s="2"/>
      <c r="T45" s="2"/>
      <c r="U45" s="2"/>
      <c r="V45" s="2"/>
      <c r="W45" s="2"/>
      <c r="X45" s="2"/>
      <c r="Y45" s="2"/>
      <c r="Z45" s="2"/>
    </row>
    <row r="46" spans="1:26" ht="12.75" hidden="1" customHeight="1">
      <c r="A46" s="26">
        <v>16</v>
      </c>
      <c r="B46" s="27" t="s">
        <v>52</v>
      </c>
      <c r="C46" s="28">
        <v>40875</v>
      </c>
      <c r="D46" s="27"/>
      <c r="E46" s="27" t="s">
        <v>131</v>
      </c>
      <c r="F46" s="29" t="s">
        <v>132</v>
      </c>
      <c r="G46" s="27"/>
      <c r="H46" s="27" t="s">
        <v>19</v>
      </c>
      <c r="I46" s="27">
        <v>1</v>
      </c>
      <c r="J46" s="30">
        <v>40020897</v>
      </c>
      <c r="K46" s="26" t="s">
        <v>36</v>
      </c>
      <c r="L46" s="26" t="s">
        <v>56</v>
      </c>
      <c r="M46" s="31" t="s">
        <v>133</v>
      </c>
      <c r="N46" s="2"/>
      <c r="O46" s="2"/>
      <c r="P46" s="2"/>
      <c r="Q46" s="2"/>
      <c r="R46" s="2"/>
      <c r="S46" s="2"/>
      <c r="T46" s="2"/>
      <c r="U46" s="2"/>
      <c r="V46" s="2"/>
      <c r="W46" s="2"/>
      <c r="X46" s="2"/>
      <c r="Y46" s="2"/>
      <c r="Z46" s="2"/>
    </row>
    <row r="47" spans="1:26" ht="51" hidden="1" customHeight="1">
      <c r="A47" s="26" t="s">
        <v>134</v>
      </c>
      <c r="B47" s="27"/>
      <c r="C47" s="28"/>
      <c r="D47" s="27"/>
      <c r="E47" s="27" t="s">
        <v>135</v>
      </c>
      <c r="F47" s="29" t="s">
        <v>136</v>
      </c>
      <c r="G47" s="27"/>
      <c r="H47" s="27"/>
      <c r="I47" s="27">
        <v>1</v>
      </c>
      <c r="J47" s="30">
        <v>31613145</v>
      </c>
      <c r="K47" s="26" t="s">
        <v>36</v>
      </c>
      <c r="L47" s="26" t="s">
        <v>56</v>
      </c>
      <c r="M47" s="31"/>
      <c r="N47" s="2"/>
      <c r="O47" s="2"/>
      <c r="P47" s="2"/>
      <c r="Q47" s="2"/>
      <c r="R47" s="2"/>
      <c r="S47" s="2"/>
      <c r="T47" s="2"/>
      <c r="U47" s="2"/>
      <c r="V47" s="2"/>
      <c r="W47" s="2"/>
      <c r="X47" s="2"/>
      <c r="Y47" s="2"/>
      <c r="Z47" s="2"/>
    </row>
    <row r="48" spans="1:26" ht="12.75" hidden="1" customHeight="1">
      <c r="A48" s="26" t="s">
        <v>137</v>
      </c>
      <c r="B48" s="27"/>
      <c r="C48" s="28"/>
      <c r="D48" s="27"/>
      <c r="E48" s="27" t="s">
        <v>138</v>
      </c>
      <c r="F48" s="34" t="s">
        <v>139</v>
      </c>
      <c r="G48" s="27"/>
      <c r="H48" s="27"/>
      <c r="I48" s="27">
        <v>1</v>
      </c>
      <c r="J48" s="30">
        <v>8407752</v>
      </c>
      <c r="K48" s="26" t="s">
        <v>36</v>
      </c>
      <c r="L48" s="26" t="s">
        <v>56</v>
      </c>
      <c r="M48" s="31"/>
      <c r="N48" s="2"/>
      <c r="O48" s="2"/>
      <c r="P48" s="2"/>
      <c r="Q48" s="2"/>
      <c r="R48" s="2"/>
      <c r="S48" s="2"/>
      <c r="T48" s="2"/>
      <c r="U48" s="2"/>
      <c r="V48" s="2"/>
      <c r="W48" s="2"/>
      <c r="X48" s="2"/>
      <c r="Y48" s="2"/>
      <c r="Z48" s="2"/>
    </row>
    <row r="49" spans="1:26" ht="12.75" hidden="1" customHeight="1">
      <c r="A49" s="26">
        <v>17</v>
      </c>
      <c r="B49" s="27" t="s">
        <v>52</v>
      </c>
      <c r="C49" s="28">
        <v>40875</v>
      </c>
      <c r="D49" s="27"/>
      <c r="E49" s="27" t="s">
        <v>140</v>
      </c>
      <c r="F49" s="29" t="s">
        <v>132</v>
      </c>
      <c r="G49" s="27"/>
      <c r="H49" s="27" t="s">
        <v>19</v>
      </c>
      <c r="I49" s="27">
        <v>1</v>
      </c>
      <c r="J49" s="30">
        <v>105621760</v>
      </c>
      <c r="K49" s="26" t="s">
        <v>36</v>
      </c>
      <c r="L49" s="26" t="s">
        <v>56</v>
      </c>
      <c r="M49" s="31" t="s">
        <v>110</v>
      </c>
      <c r="N49" s="2"/>
      <c r="O49" s="2"/>
      <c r="P49" s="2"/>
      <c r="Q49" s="2"/>
      <c r="R49" s="2"/>
      <c r="S49" s="2"/>
      <c r="T49" s="2"/>
      <c r="U49" s="2"/>
      <c r="V49" s="2"/>
      <c r="W49" s="2"/>
      <c r="X49" s="2"/>
      <c r="Y49" s="2"/>
      <c r="Z49" s="2"/>
    </row>
    <row r="50" spans="1:26" ht="51" hidden="1" customHeight="1">
      <c r="A50" s="26" t="s">
        <v>142</v>
      </c>
      <c r="B50" s="27"/>
      <c r="C50" s="28"/>
      <c r="D50" s="27"/>
      <c r="E50" s="27" t="s">
        <v>143</v>
      </c>
      <c r="F50" s="29" t="s">
        <v>144</v>
      </c>
      <c r="G50" s="27"/>
      <c r="H50" s="27"/>
      <c r="I50" s="27">
        <v>1</v>
      </c>
      <c r="J50" s="30">
        <v>31613145</v>
      </c>
      <c r="K50" s="26" t="s">
        <v>36</v>
      </c>
      <c r="L50" s="26" t="s">
        <v>56</v>
      </c>
      <c r="M50" s="31"/>
      <c r="N50" s="2"/>
      <c r="O50" s="2"/>
      <c r="P50" s="2"/>
      <c r="Q50" s="2"/>
      <c r="R50" s="2"/>
      <c r="S50" s="2"/>
      <c r="T50" s="2"/>
      <c r="U50" s="2"/>
      <c r="V50" s="2"/>
      <c r="W50" s="2"/>
      <c r="X50" s="2"/>
      <c r="Y50" s="2"/>
      <c r="Z50" s="2"/>
    </row>
    <row r="51" spans="1:26" ht="12.75" hidden="1" customHeight="1">
      <c r="A51" s="26" t="s">
        <v>145</v>
      </c>
      <c r="B51" s="27"/>
      <c r="C51" s="28"/>
      <c r="D51" s="27"/>
      <c r="E51" s="27" t="s">
        <v>146</v>
      </c>
      <c r="F51" s="34" t="s">
        <v>147</v>
      </c>
      <c r="G51" s="27"/>
      <c r="H51" s="27"/>
      <c r="I51" s="27">
        <v>1</v>
      </c>
      <c r="J51" s="30">
        <v>8407752</v>
      </c>
      <c r="K51" s="26" t="s">
        <v>36</v>
      </c>
      <c r="L51" s="26" t="s">
        <v>56</v>
      </c>
      <c r="M51" s="31"/>
      <c r="N51" s="2"/>
      <c r="O51" s="2"/>
      <c r="P51" s="2"/>
      <c r="Q51" s="2"/>
      <c r="R51" s="2"/>
      <c r="S51" s="2"/>
      <c r="T51" s="2"/>
      <c r="U51" s="2"/>
      <c r="V51" s="2"/>
      <c r="W51" s="2"/>
      <c r="X51" s="2"/>
      <c r="Y51" s="2"/>
      <c r="Z51" s="2"/>
    </row>
    <row r="52" spans="1:26" ht="12.75" hidden="1" customHeight="1">
      <c r="A52" s="26">
        <v>18</v>
      </c>
      <c r="B52" s="27" t="s">
        <v>52</v>
      </c>
      <c r="C52" s="28">
        <v>40875</v>
      </c>
      <c r="D52" s="27"/>
      <c r="E52" s="27" t="s">
        <v>148</v>
      </c>
      <c r="F52" s="29" t="s">
        <v>132</v>
      </c>
      <c r="G52" s="27"/>
      <c r="H52" s="27" t="s">
        <v>19</v>
      </c>
      <c r="I52" s="27">
        <v>1</v>
      </c>
      <c r="J52" s="30">
        <v>40020897</v>
      </c>
      <c r="K52" s="26" t="s">
        <v>36</v>
      </c>
      <c r="L52" s="26" t="s">
        <v>56</v>
      </c>
      <c r="M52" s="31" t="s">
        <v>102</v>
      </c>
      <c r="N52" s="2"/>
      <c r="O52" s="2"/>
      <c r="P52" s="2"/>
      <c r="Q52" s="2"/>
      <c r="R52" s="2"/>
      <c r="S52" s="2"/>
      <c r="T52" s="2"/>
      <c r="U52" s="2"/>
      <c r="V52" s="2"/>
      <c r="W52" s="2"/>
      <c r="X52" s="2"/>
      <c r="Y52" s="2"/>
      <c r="Z52" s="2"/>
    </row>
    <row r="53" spans="1:26" ht="51" hidden="1" customHeight="1">
      <c r="A53" s="26" t="s">
        <v>149</v>
      </c>
      <c r="B53" s="27"/>
      <c r="C53" s="28"/>
      <c r="D53" s="27"/>
      <c r="E53" s="27" t="s">
        <v>150</v>
      </c>
      <c r="F53" s="29" t="s">
        <v>151</v>
      </c>
      <c r="G53" s="27"/>
      <c r="H53" s="27"/>
      <c r="I53" s="27">
        <v>1</v>
      </c>
      <c r="J53" s="30">
        <v>31613145</v>
      </c>
      <c r="K53" s="26" t="s">
        <v>36</v>
      </c>
      <c r="L53" s="26" t="s">
        <v>56</v>
      </c>
      <c r="M53" s="31"/>
      <c r="N53" s="2"/>
      <c r="O53" s="2"/>
      <c r="P53" s="2"/>
      <c r="Q53" s="2"/>
      <c r="R53" s="2"/>
      <c r="S53" s="2"/>
      <c r="T53" s="2"/>
      <c r="U53" s="2"/>
      <c r="V53" s="2"/>
      <c r="W53" s="2"/>
      <c r="X53" s="2"/>
      <c r="Y53" s="2"/>
      <c r="Z53" s="2"/>
    </row>
    <row r="54" spans="1:26" ht="12.75" hidden="1" customHeight="1">
      <c r="A54" s="26" t="s">
        <v>152</v>
      </c>
      <c r="B54" s="27"/>
      <c r="C54" s="28"/>
      <c r="D54" s="27"/>
      <c r="E54" s="27" t="s">
        <v>153</v>
      </c>
      <c r="F54" s="34" t="s">
        <v>154</v>
      </c>
      <c r="G54" s="27"/>
      <c r="H54" s="27"/>
      <c r="I54" s="27">
        <v>1</v>
      </c>
      <c r="J54" s="30">
        <v>8407752</v>
      </c>
      <c r="K54" s="26" t="s">
        <v>36</v>
      </c>
      <c r="L54" s="26" t="s">
        <v>56</v>
      </c>
      <c r="M54" s="31"/>
      <c r="N54" s="2"/>
      <c r="O54" s="2"/>
      <c r="P54" s="2"/>
      <c r="Q54" s="2"/>
      <c r="R54" s="2"/>
      <c r="S54" s="2"/>
      <c r="T54" s="2"/>
      <c r="U54" s="2"/>
      <c r="V54" s="2"/>
      <c r="W54" s="2"/>
      <c r="X54" s="2"/>
      <c r="Y54" s="2"/>
      <c r="Z54" s="2"/>
    </row>
    <row r="55" spans="1:26" ht="76.5" hidden="1" customHeight="1">
      <c r="A55" s="26">
        <v>19</v>
      </c>
      <c r="B55" s="27" t="s">
        <v>52</v>
      </c>
      <c r="C55" s="28">
        <v>40875</v>
      </c>
      <c r="D55" s="27"/>
      <c r="E55" s="27" t="s">
        <v>155</v>
      </c>
      <c r="F55" s="29" t="s">
        <v>156</v>
      </c>
      <c r="G55" s="27"/>
      <c r="H55" s="27" t="s">
        <v>157</v>
      </c>
      <c r="I55" s="27">
        <v>1</v>
      </c>
      <c r="J55" s="30">
        <v>4296111982</v>
      </c>
      <c r="K55" s="26" t="s">
        <v>36</v>
      </c>
      <c r="L55" s="26" t="s">
        <v>56</v>
      </c>
      <c r="M55" s="31" t="s">
        <v>158</v>
      </c>
      <c r="N55" s="2"/>
      <c r="O55" s="2"/>
      <c r="P55" s="2"/>
      <c r="Q55" s="2"/>
      <c r="R55" s="2"/>
      <c r="S55" s="2"/>
      <c r="T55" s="2"/>
      <c r="U55" s="2"/>
      <c r="V55" s="2"/>
      <c r="W55" s="2"/>
      <c r="X55" s="2"/>
      <c r="Y55" s="2"/>
      <c r="Z55" s="2"/>
    </row>
    <row r="56" spans="1:26" ht="12.75" hidden="1" customHeight="1">
      <c r="A56" s="26">
        <v>20</v>
      </c>
      <c r="B56" s="27" t="s">
        <v>52</v>
      </c>
      <c r="C56" s="28">
        <v>40875</v>
      </c>
      <c r="D56" s="27"/>
      <c r="E56" s="27" t="s">
        <v>159</v>
      </c>
      <c r="F56" s="29" t="s">
        <v>160</v>
      </c>
      <c r="G56" s="27"/>
      <c r="H56" s="27" t="s">
        <v>19</v>
      </c>
      <c r="I56" s="27">
        <v>1</v>
      </c>
      <c r="J56" s="30">
        <v>105621760</v>
      </c>
      <c r="K56" s="26" t="s">
        <v>36</v>
      </c>
      <c r="L56" s="26" t="s">
        <v>56</v>
      </c>
      <c r="M56" s="31" t="s">
        <v>161</v>
      </c>
      <c r="N56" s="2"/>
      <c r="O56" s="2"/>
      <c r="P56" s="2"/>
      <c r="Q56" s="2"/>
      <c r="R56" s="2"/>
      <c r="S56" s="2"/>
      <c r="T56" s="2"/>
      <c r="U56" s="2"/>
      <c r="V56" s="2"/>
      <c r="W56" s="2"/>
      <c r="X56" s="2"/>
      <c r="Y56" s="2"/>
      <c r="Z56" s="2"/>
    </row>
    <row r="57" spans="1:26" ht="51" hidden="1" customHeight="1">
      <c r="A57" s="26" t="s">
        <v>162</v>
      </c>
      <c r="B57" s="27"/>
      <c r="C57" s="28"/>
      <c r="D57" s="27"/>
      <c r="E57" s="27" t="s">
        <v>163</v>
      </c>
      <c r="F57" s="29" t="s">
        <v>164</v>
      </c>
      <c r="G57" s="27"/>
      <c r="H57" s="27"/>
      <c r="I57" s="27">
        <v>1</v>
      </c>
      <c r="J57" s="30">
        <v>31613145</v>
      </c>
      <c r="K57" s="26" t="s">
        <v>36</v>
      </c>
      <c r="L57" s="26" t="s">
        <v>56</v>
      </c>
      <c r="M57" s="31"/>
      <c r="N57" s="2"/>
      <c r="O57" s="2"/>
      <c r="P57" s="2"/>
      <c r="Q57" s="2"/>
      <c r="R57" s="2"/>
      <c r="S57" s="2"/>
      <c r="T57" s="2"/>
      <c r="U57" s="2"/>
      <c r="V57" s="2"/>
      <c r="W57" s="2"/>
      <c r="X57" s="2"/>
      <c r="Y57" s="2"/>
      <c r="Z57" s="2"/>
    </row>
    <row r="58" spans="1:26" ht="12.75" hidden="1" customHeight="1">
      <c r="A58" s="26" t="s">
        <v>165</v>
      </c>
      <c r="B58" s="27"/>
      <c r="C58" s="28"/>
      <c r="D58" s="27"/>
      <c r="E58" s="27" t="s">
        <v>166</v>
      </c>
      <c r="F58" s="34" t="s">
        <v>167</v>
      </c>
      <c r="G58" s="27"/>
      <c r="H58" s="27"/>
      <c r="I58" s="27">
        <v>1</v>
      </c>
      <c r="J58" s="30">
        <v>8407752</v>
      </c>
      <c r="K58" s="26" t="s">
        <v>36</v>
      </c>
      <c r="L58" s="26" t="s">
        <v>56</v>
      </c>
      <c r="M58" s="31"/>
      <c r="N58" s="2"/>
      <c r="O58" s="2"/>
      <c r="P58" s="2"/>
      <c r="Q58" s="2"/>
      <c r="R58" s="2"/>
      <c r="S58" s="2"/>
      <c r="T58" s="2"/>
      <c r="U58" s="2"/>
      <c r="V58" s="2"/>
      <c r="W58" s="2"/>
      <c r="X58" s="2"/>
      <c r="Y58" s="2"/>
      <c r="Z58" s="2"/>
    </row>
    <row r="59" spans="1:26" ht="25.5" hidden="1" customHeight="1">
      <c r="A59" s="26">
        <v>21</v>
      </c>
      <c r="B59" s="27" t="s">
        <v>52</v>
      </c>
      <c r="C59" s="28">
        <v>40875</v>
      </c>
      <c r="D59" s="27"/>
      <c r="E59" s="27" t="s">
        <v>168</v>
      </c>
      <c r="F59" s="29" t="s">
        <v>160</v>
      </c>
      <c r="G59" s="27"/>
      <c r="H59" s="27" t="s">
        <v>19</v>
      </c>
      <c r="I59" s="27">
        <v>1</v>
      </c>
      <c r="J59" s="30">
        <v>105621760</v>
      </c>
      <c r="K59" s="26" t="s">
        <v>36</v>
      </c>
      <c r="L59" s="26" t="s">
        <v>169</v>
      </c>
      <c r="M59" s="31" t="s">
        <v>170</v>
      </c>
      <c r="N59" s="2"/>
      <c r="O59" s="2"/>
      <c r="P59" s="2"/>
      <c r="Q59" s="2"/>
      <c r="R59" s="2"/>
      <c r="S59" s="2"/>
      <c r="T59" s="2"/>
      <c r="U59" s="2"/>
      <c r="V59" s="2"/>
      <c r="W59" s="2"/>
      <c r="X59" s="2"/>
      <c r="Y59" s="2"/>
      <c r="Z59" s="2"/>
    </row>
    <row r="60" spans="1:26" ht="51" hidden="1" customHeight="1">
      <c r="A60" s="26" t="s">
        <v>171</v>
      </c>
      <c r="B60" s="27"/>
      <c r="C60" s="28"/>
      <c r="D60" s="27"/>
      <c r="E60" s="27" t="s">
        <v>172</v>
      </c>
      <c r="F60" s="29" t="s">
        <v>173</v>
      </c>
      <c r="G60" s="27"/>
      <c r="H60" s="27"/>
      <c r="I60" s="27">
        <v>1</v>
      </c>
      <c r="J60" s="30">
        <v>31613145</v>
      </c>
      <c r="K60" s="26" t="s">
        <v>36</v>
      </c>
      <c r="L60" s="26" t="s">
        <v>169</v>
      </c>
      <c r="M60" s="31"/>
      <c r="N60" s="2"/>
      <c r="O60" s="2"/>
      <c r="P60" s="2"/>
      <c r="Q60" s="2"/>
      <c r="R60" s="2"/>
      <c r="S60" s="2"/>
      <c r="T60" s="2"/>
      <c r="U60" s="2"/>
      <c r="V60" s="2"/>
      <c r="W60" s="2"/>
      <c r="X60" s="2"/>
      <c r="Y60" s="2"/>
      <c r="Z60" s="2"/>
    </row>
    <row r="61" spans="1:26" ht="12.75" hidden="1" customHeight="1">
      <c r="A61" s="26" t="s">
        <v>174</v>
      </c>
      <c r="B61" s="27"/>
      <c r="C61" s="28"/>
      <c r="D61" s="27"/>
      <c r="E61" s="27" t="s">
        <v>175</v>
      </c>
      <c r="F61" s="34" t="s">
        <v>176</v>
      </c>
      <c r="G61" s="27"/>
      <c r="H61" s="27"/>
      <c r="I61" s="27">
        <v>1</v>
      </c>
      <c r="J61" s="30">
        <v>8407752</v>
      </c>
      <c r="K61" s="26" t="s">
        <v>36</v>
      </c>
      <c r="L61" s="26" t="s">
        <v>169</v>
      </c>
      <c r="M61" s="31"/>
      <c r="N61" s="2"/>
      <c r="O61" s="2"/>
      <c r="P61" s="2"/>
      <c r="Q61" s="2"/>
      <c r="R61" s="2"/>
      <c r="S61" s="2"/>
      <c r="T61" s="2"/>
      <c r="U61" s="2"/>
      <c r="V61" s="2"/>
      <c r="W61" s="2"/>
      <c r="X61" s="2"/>
      <c r="Y61" s="2"/>
      <c r="Z61" s="2"/>
    </row>
    <row r="62" spans="1:26" ht="12.75" hidden="1" customHeight="1">
      <c r="A62" s="26">
        <v>22</v>
      </c>
      <c r="B62" s="27" t="s">
        <v>52</v>
      </c>
      <c r="C62" s="28">
        <v>40875</v>
      </c>
      <c r="D62" s="27"/>
      <c r="E62" s="27" t="s">
        <v>177</v>
      </c>
      <c r="F62" s="29" t="s">
        <v>160</v>
      </c>
      <c r="G62" s="27"/>
      <c r="H62" s="27" t="s">
        <v>19</v>
      </c>
      <c r="I62" s="27">
        <v>1</v>
      </c>
      <c r="J62" s="30">
        <v>105621760</v>
      </c>
      <c r="K62" s="26" t="s">
        <v>36</v>
      </c>
      <c r="L62" s="26" t="s">
        <v>169</v>
      </c>
      <c r="M62" s="31" t="s">
        <v>178</v>
      </c>
      <c r="N62" s="2"/>
      <c r="O62" s="2"/>
      <c r="P62" s="2"/>
      <c r="Q62" s="2"/>
      <c r="R62" s="2"/>
      <c r="S62" s="2"/>
      <c r="T62" s="2"/>
      <c r="U62" s="2"/>
      <c r="V62" s="2"/>
      <c r="W62" s="2"/>
      <c r="X62" s="2"/>
      <c r="Y62" s="2"/>
      <c r="Z62" s="2"/>
    </row>
    <row r="63" spans="1:26" ht="51" hidden="1" customHeight="1">
      <c r="A63" s="26" t="s">
        <v>179</v>
      </c>
      <c r="B63" s="27"/>
      <c r="C63" s="28"/>
      <c r="D63" s="27"/>
      <c r="E63" s="27" t="s">
        <v>180</v>
      </c>
      <c r="F63" s="29" t="s">
        <v>181</v>
      </c>
      <c r="G63" s="27"/>
      <c r="H63" s="27"/>
      <c r="I63" s="27">
        <v>1</v>
      </c>
      <c r="J63" s="30">
        <v>31613145</v>
      </c>
      <c r="K63" s="26" t="s">
        <v>36</v>
      </c>
      <c r="L63" s="26" t="s">
        <v>169</v>
      </c>
      <c r="M63" s="31"/>
      <c r="N63" s="2"/>
      <c r="O63" s="2"/>
      <c r="P63" s="2"/>
      <c r="Q63" s="2"/>
      <c r="R63" s="2"/>
      <c r="S63" s="2"/>
      <c r="T63" s="2"/>
      <c r="U63" s="2"/>
      <c r="V63" s="2"/>
      <c r="W63" s="2"/>
      <c r="X63" s="2"/>
      <c r="Y63" s="2"/>
      <c r="Z63" s="2"/>
    </row>
    <row r="64" spans="1:26" ht="12.75" hidden="1" customHeight="1">
      <c r="A64" s="26">
        <v>23</v>
      </c>
      <c r="B64" s="27" t="s">
        <v>52</v>
      </c>
      <c r="C64" s="28">
        <v>40875</v>
      </c>
      <c r="D64" s="27"/>
      <c r="E64" s="27" t="s">
        <v>182</v>
      </c>
      <c r="F64" s="29" t="s">
        <v>160</v>
      </c>
      <c r="G64" s="27"/>
      <c r="H64" s="27" t="s">
        <v>19</v>
      </c>
      <c r="I64" s="27">
        <v>1</v>
      </c>
      <c r="J64" s="30">
        <v>105621760</v>
      </c>
      <c r="K64" s="26" t="s">
        <v>36</v>
      </c>
      <c r="L64" s="26" t="s">
        <v>169</v>
      </c>
      <c r="M64" s="31" t="s">
        <v>178</v>
      </c>
      <c r="N64" s="2"/>
      <c r="O64" s="2"/>
      <c r="P64" s="2"/>
      <c r="Q64" s="2"/>
      <c r="R64" s="2"/>
      <c r="S64" s="2"/>
      <c r="T64" s="2"/>
      <c r="U64" s="2"/>
      <c r="V64" s="2"/>
      <c r="W64" s="2"/>
      <c r="X64" s="2"/>
      <c r="Y64" s="2"/>
      <c r="Z64" s="2"/>
    </row>
    <row r="65" spans="1:26" ht="51" hidden="1" customHeight="1">
      <c r="A65" s="26" t="s">
        <v>183</v>
      </c>
      <c r="B65" s="27"/>
      <c r="C65" s="28"/>
      <c r="D65" s="27"/>
      <c r="E65" s="27" t="s">
        <v>184</v>
      </c>
      <c r="F65" s="29" t="s">
        <v>185</v>
      </c>
      <c r="G65" s="27"/>
      <c r="H65" s="27"/>
      <c r="I65" s="27">
        <v>1</v>
      </c>
      <c r="J65" s="30">
        <v>31613145</v>
      </c>
      <c r="K65" s="26" t="s">
        <v>36</v>
      </c>
      <c r="L65" s="26" t="s">
        <v>169</v>
      </c>
      <c r="M65" s="31"/>
      <c r="N65" s="2"/>
      <c r="O65" s="2"/>
      <c r="P65" s="2"/>
      <c r="Q65" s="2"/>
      <c r="R65" s="2"/>
      <c r="S65" s="2"/>
      <c r="T65" s="2"/>
      <c r="U65" s="2"/>
      <c r="V65" s="2"/>
      <c r="W65" s="2"/>
      <c r="X65" s="2"/>
      <c r="Y65" s="2"/>
      <c r="Z65" s="2"/>
    </row>
    <row r="66" spans="1:26" ht="12.75" hidden="1" customHeight="1">
      <c r="A66" s="26" t="s">
        <v>186</v>
      </c>
      <c r="B66" s="27"/>
      <c r="C66" s="28"/>
      <c r="D66" s="27"/>
      <c r="E66" s="27" t="s">
        <v>187</v>
      </c>
      <c r="F66" s="34" t="s">
        <v>188</v>
      </c>
      <c r="G66" s="27"/>
      <c r="H66" s="27"/>
      <c r="I66" s="27">
        <v>1</v>
      </c>
      <c r="J66" s="30">
        <v>8407752</v>
      </c>
      <c r="K66" s="26" t="s">
        <v>36</v>
      </c>
      <c r="L66" s="26" t="s">
        <v>169</v>
      </c>
      <c r="M66" s="31"/>
      <c r="N66" s="2"/>
      <c r="O66" s="2"/>
      <c r="P66" s="2"/>
      <c r="Q66" s="2"/>
      <c r="R66" s="2"/>
      <c r="S66" s="2"/>
      <c r="T66" s="2"/>
      <c r="U66" s="2"/>
      <c r="V66" s="2"/>
      <c r="W66" s="2"/>
      <c r="X66" s="2"/>
      <c r="Y66" s="2"/>
      <c r="Z66" s="2"/>
    </row>
    <row r="67" spans="1:26" ht="12.75" hidden="1" customHeight="1">
      <c r="A67" s="26">
        <v>24</v>
      </c>
      <c r="B67" s="27" t="s">
        <v>52</v>
      </c>
      <c r="C67" s="28">
        <v>40875</v>
      </c>
      <c r="D67" s="27"/>
      <c r="E67" s="27" t="s">
        <v>189</v>
      </c>
      <c r="F67" s="29" t="s">
        <v>160</v>
      </c>
      <c r="G67" s="27"/>
      <c r="H67" s="27" t="s">
        <v>19</v>
      </c>
      <c r="I67" s="27">
        <v>1</v>
      </c>
      <c r="J67" s="30">
        <v>105621760</v>
      </c>
      <c r="K67" s="26" t="s">
        <v>36</v>
      </c>
      <c r="L67" s="26" t="s">
        <v>169</v>
      </c>
      <c r="M67" s="31" t="s">
        <v>190</v>
      </c>
      <c r="N67" s="2"/>
      <c r="O67" s="2"/>
      <c r="P67" s="2"/>
      <c r="Q67" s="2"/>
      <c r="R67" s="2"/>
      <c r="S67" s="2"/>
      <c r="T67" s="2"/>
      <c r="U67" s="2"/>
      <c r="V67" s="2"/>
      <c r="W67" s="2"/>
      <c r="X67" s="2"/>
      <c r="Y67" s="2"/>
      <c r="Z67" s="2"/>
    </row>
    <row r="68" spans="1:26" ht="51" hidden="1" customHeight="1">
      <c r="A68" s="26" t="s">
        <v>191</v>
      </c>
      <c r="B68" s="27"/>
      <c r="C68" s="28"/>
      <c r="D68" s="27"/>
      <c r="E68" s="27" t="s">
        <v>192</v>
      </c>
      <c r="F68" s="29" t="s">
        <v>193</v>
      </c>
      <c r="G68" s="27"/>
      <c r="H68" s="27"/>
      <c r="I68" s="27">
        <v>1</v>
      </c>
      <c r="J68" s="30">
        <v>31613145</v>
      </c>
      <c r="K68" s="26" t="s">
        <v>36</v>
      </c>
      <c r="L68" s="26" t="s">
        <v>169</v>
      </c>
      <c r="M68" s="31"/>
      <c r="N68" s="2"/>
      <c r="O68" s="2"/>
      <c r="P68" s="2"/>
      <c r="Q68" s="2"/>
      <c r="R68" s="2"/>
      <c r="S68" s="2"/>
      <c r="T68" s="2"/>
      <c r="U68" s="2"/>
      <c r="V68" s="2"/>
      <c r="W68" s="2"/>
      <c r="X68" s="2"/>
      <c r="Y68" s="2"/>
      <c r="Z68" s="2"/>
    </row>
    <row r="69" spans="1:26" ht="12.75" hidden="1" customHeight="1">
      <c r="A69" s="26" t="s">
        <v>194</v>
      </c>
      <c r="B69" s="27"/>
      <c r="C69" s="28"/>
      <c r="D69" s="27"/>
      <c r="E69" s="27" t="s">
        <v>195</v>
      </c>
      <c r="F69" s="34" t="s">
        <v>196</v>
      </c>
      <c r="G69" s="27"/>
      <c r="H69" s="27"/>
      <c r="I69" s="27">
        <v>1</v>
      </c>
      <c r="J69" s="30">
        <v>8407752</v>
      </c>
      <c r="K69" s="26" t="s">
        <v>36</v>
      </c>
      <c r="L69" s="26" t="s">
        <v>169</v>
      </c>
      <c r="M69" s="31"/>
      <c r="N69" s="2"/>
      <c r="O69" s="2"/>
      <c r="P69" s="2"/>
      <c r="Q69" s="2"/>
      <c r="R69" s="2"/>
      <c r="S69" s="2"/>
      <c r="T69" s="2"/>
      <c r="U69" s="2"/>
      <c r="V69" s="2"/>
      <c r="W69" s="2"/>
      <c r="X69" s="2"/>
      <c r="Y69" s="2"/>
      <c r="Z69" s="2"/>
    </row>
    <row r="70" spans="1:26" ht="25.5" hidden="1" customHeight="1">
      <c r="A70" s="26">
        <v>25</v>
      </c>
      <c r="B70" s="27" t="s">
        <v>197</v>
      </c>
      <c r="C70" s="28">
        <v>40948</v>
      </c>
      <c r="D70" s="27"/>
      <c r="E70" s="27" t="s">
        <v>198</v>
      </c>
      <c r="F70" s="29" t="s">
        <v>199</v>
      </c>
      <c r="G70" s="27" t="s">
        <v>35</v>
      </c>
      <c r="H70" s="27" t="s">
        <v>19</v>
      </c>
      <c r="I70" s="27">
        <v>1</v>
      </c>
      <c r="J70" s="30">
        <v>180121617</v>
      </c>
      <c r="K70" s="26" t="s">
        <v>36</v>
      </c>
      <c r="L70" s="26" t="s">
        <v>169</v>
      </c>
      <c r="M70" s="31" t="s">
        <v>200</v>
      </c>
      <c r="N70" s="2"/>
      <c r="O70" s="2"/>
      <c r="P70" s="2"/>
      <c r="Q70" s="2"/>
      <c r="R70" s="2"/>
      <c r="S70" s="2"/>
      <c r="T70" s="2"/>
      <c r="U70" s="2"/>
      <c r="V70" s="2"/>
      <c r="W70" s="2"/>
      <c r="X70" s="2"/>
      <c r="Y70" s="2"/>
      <c r="Z70" s="2"/>
    </row>
    <row r="71" spans="1:26" ht="12.75" hidden="1" customHeight="1">
      <c r="A71" s="26" t="s">
        <v>201</v>
      </c>
      <c r="B71" s="27"/>
      <c r="C71" s="28"/>
      <c r="D71" s="27"/>
      <c r="E71" s="27" t="s">
        <v>202</v>
      </c>
      <c r="F71" s="29" t="s">
        <v>203</v>
      </c>
      <c r="G71" s="27"/>
      <c r="H71" s="27"/>
      <c r="I71" s="27">
        <v>1</v>
      </c>
      <c r="J71" s="30">
        <v>0</v>
      </c>
      <c r="K71" s="26" t="s">
        <v>36</v>
      </c>
      <c r="L71" s="26" t="s">
        <v>169</v>
      </c>
      <c r="M71" s="31"/>
      <c r="N71" s="2"/>
      <c r="O71" s="2"/>
      <c r="P71" s="2"/>
      <c r="Q71" s="2"/>
      <c r="R71" s="2"/>
      <c r="S71" s="2"/>
      <c r="T71" s="2"/>
      <c r="U71" s="2"/>
      <c r="V71" s="2"/>
      <c r="W71" s="2"/>
      <c r="X71" s="2"/>
      <c r="Y71" s="2"/>
      <c r="Z71" s="2"/>
    </row>
    <row r="72" spans="1:26" ht="12.75" hidden="1" customHeight="1">
      <c r="A72" s="26">
        <v>26</v>
      </c>
      <c r="B72" s="27" t="s">
        <v>197</v>
      </c>
      <c r="C72" s="28">
        <v>40948</v>
      </c>
      <c r="D72" s="27"/>
      <c r="E72" s="27" t="s">
        <v>204</v>
      </c>
      <c r="F72" s="29" t="s">
        <v>205</v>
      </c>
      <c r="G72" s="27" t="s">
        <v>35</v>
      </c>
      <c r="H72" s="27" t="s">
        <v>19</v>
      </c>
      <c r="I72" s="27">
        <v>1</v>
      </c>
      <c r="J72" s="30">
        <v>180121617</v>
      </c>
      <c r="K72" s="26" t="s">
        <v>206</v>
      </c>
      <c r="L72" s="26" t="s">
        <v>207</v>
      </c>
      <c r="M72" s="31" t="s">
        <v>208</v>
      </c>
      <c r="N72" s="2"/>
      <c r="O72" s="2"/>
      <c r="P72" s="2"/>
      <c r="Q72" s="2"/>
      <c r="R72" s="2"/>
      <c r="S72" s="2"/>
      <c r="T72" s="2"/>
      <c r="U72" s="2"/>
      <c r="V72" s="2"/>
      <c r="W72" s="2"/>
      <c r="X72" s="2"/>
      <c r="Y72" s="2"/>
      <c r="Z72" s="2"/>
    </row>
    <row r="73" spans="1:26" ht="12.75" hidden="1" customHeight="1">
      <c r="A73" s="26" t="s">
        <v>209</v>
      </c>
      <c r="B73" s="27"/>
      <c r="C73" s="28"/>
      <c r="D73" s="27"/>
      <c r="E73" s="27" t="s">
        <v>210</v>
      </c>
      <c r="F73" s="29" t="s">
        <v>211</v>
      </c>
      <c r="G73" s="27"/>
      <c r="H73" s="27"/>
      <c r="I73" s="27">
        <v>1</v>
      </c>
      <c r="J73" s="30">
        <v>0</v>
      </c>
      <c r="K73" s="26" t="s">
        <v>206</v>
      </c>
      <c r="L73" s="26" t="s">
        <v>207</v>
      </c>
      <c r="M73" s="31"/>
      <c r="N73" s="2"/>
      <c r="O73" s="2"/>
      <c r="P73" s="2"/>
      <c r="Q73" s="2"/>
      <c r="R73" s="2"/>
      <c r="S73" s="2"/>
      <c r="T73" s="2"/>
      <c r="U73" s="2"/>
      <c r="V73" s="2"/>
      <c r="W73" s="2"/>
      <c r="X73" s="2"/>
      <c r="Y73" s="2"/>
      <c r="Z73" s="2"/>
    </row>
    <row r="74" spans="1:26" ht="12.75" hidden="1" customHeight="1">
      <c r="A74" s="26">
        <v>27</v>
      </c>
      <c r="B74" s="27" t="s">
        <v>212</v>
      </c>
      <c r="C74" s="28">
        <v>41512</v>
      </c>
      <c r="D74" s="27"/>
      <c r="E74" s="27" t="s">
        <v>213</v>
      </c>
      <c r="F74" s="29" t="s">
        <v>214</v>
      </c>
      <c r="G74" s="27" t="s">
        <v>35</v>
      </c>
      <c r="H74" s="27" t="s">
        <v>19</v>
      </c>
      <c r="I74" s="27">
        <v>1</v>
      </c>
      <c r="J74" s="30">
        <v>175328000</v>
      </c>
      <c r="K74" s="26" t="s">
        <v>206</v>
      </c>
      <c r="L74" s="26" t="s">
        <v>207</v>
      </c>
      <c r="M74" s="31" t="s">
        <v>215</v>
      </c>
      <c r="N74" s="2"/>
      <c r="O74" s="2"/>
      <c r="P74" s="2"/>
      <c r="Q74" s="2"/>
      <c r="R74" s="2"/>
      <c r="S74" s="2"/>
      <c r="T74" s="2"/>
      <c r="U74" s="2"/>
      <c r="V74" s="2"/>
      <c r="W74" s="2"/>
      <c r="X74" s="2"/>
      <c r="Y74" s="2"/>
      <c r="Z74" s="2"/>
    </row>
    <row r="75" spans="1:26" ht="12.75" hidden="1" customHeight="1">
      <c r="A75" s="26" t="s">
        <v>216</v>
      </c>
      <c r="B75" s="27"/>
      <c r="C75" s="28"/>
      <c r="D75" s="27"/>
      <c r="E75" s="27" t="s">
        <v>217</v>
      </c>
      <c r="F75" s="29" t="s">
        <v>218</v>
      </c>
      <c r="G75" s="27"/>
      <c r="H75" s="27"/>
      <c r="I75" s="27">
        <v>1</v>
      </c>
      <c r="J75" s="30">
        <v>0</v>
      </c>
      <c r="K75" s="26" t="s">
        <v>206</v>
      </c>
      <c r="L75" s="26" t="s">
        <v>207</v>
      </c>
      <c r="M75" s="31"/>
      <c r="N75" s="2"/>
      <c r="O75" s="2"/>
      <c r="P75" s="2"/>
      <c r="Q75" s="2"/>
      <c r="R75" s="2"/>
      <c r="S75" s="2"/>
      <c r="T75" s="2"/>
      <c r="U75" s="2"/>
      <c r="V75" s="2"/>
      <c r="W75" s="2"/>
      <c r="X75" s="2"/>
      <c r="Y75" s="2"/>
      <c r="Z75" s="2"/>
    </row>
    <row r="76" spans="1:26" ht="12.75" hidden="1" customHeight="1">
      <c r="A76" s="26">
        <v>28</v>
      </c>
      <c r="B76" s="27" t="s">
        <v>219</v>
      </c>
      <c r="C76" s="28">
        <v>41635</v>
      </c>
      <c r="D76" s="27"/>
      <c r="E76" s="27" t="s">
        <v>220</v>
      </c>
      <c r="F76" s="29" t="s">
        <v>221</v>
      </c>
      <c r="G76" s="27" t="s">
        <v>35</v>
      </c>
      <c r="H76" s="27" t="s">
        <v>19</v>
      </c>
      <c r="I76" s="27">
        <v>1</v>
      </c>
      <c r="J76" s="30">
        <v>254478351</v>
      </c>
      <c r="K76" s="26" t="s">
        <v>206</v>
      </c>
      <c r="L76" s="26" t="s">
        <v>207</v>
      </c>
      <c r="M76" s="31" t="s">
        <v>222</v>
      </c>
      <c r="N76" s="2"/>
      <c r="O76" s="2"/>
      <c r="P76" s="2"/>
      <c r="Q76" s="2"/>
      <c r="R76" s="2"/>
      <c r="S76" s="2"/>
      <c r="T76" s="2"/>
      <c r="U76" s="2"/>
      <c r="V76" s="2"/>
      <c r="W76" s="2"/>
      <c r="X76" s="2"/>
      <c r="Y76" s="2"/>
      <c r="Z76" s="2"/>
    </row>
    <row r="77" spans="1:26" ht="38.25" hidden="1" customHeight="1">
      <c r="A77" s="26" t="s">
        <v>223</v>
      </c>
      <c r="B77" s="27"/>
      <c r="C77" s="28"/>
      <c r="D77" s="27"/>
      <c r="E77" s="27" t="s">
        <v>224</v>
      </c>
      <c r="F77" s="29" t="s">
        <v>225</v>
      </c>
      <c r="G77" s="27"/>
      <c r="H77" s="27"/>
      <c r="I77" s="27">
        <v>1</v>
      </c>
      <c r="J77" s="30">
        <v>0</v>
      </c>
      <c r="K77" s="26" t="s">
        <v>206</v>
      </c>
      <c r="L77" s="26" t="s">
        <v>207</v>
      </c>
      <c r="M77" s="35" t="s">
        <v>226</v>
      </c>
      <c r="N77" s="2"/>
      <c r="O77" s="2"/>
      <c r="P77" s="2"/>
      <c r="Q77" s="2"/>
      <c r="R77" s="2"/>
      <c r="S77" s="2"/>
      <c r="T77" s="2"/>
      <c r="U77" s="2"/>
      <c r="V77" s="2"/>
      <c r="W77" s="2"/>
      <c r="X77" s="2"/>
      <c r="Y77" s="2"/>
      <c r="Z77" s="2"/>
    </row>
    <row r="78" spans="1:26" ht="25.5" hidden="1" customHeight="1">
      <c r="A78" s="26">
        <v>29</v>
      </c>
      <c r="B78" s="27" t="s">
        <v>219</v>
      </c>
      <c r="C78" s="28">
        <v>41635</v>
      </c>
      <c r="D78" s="27"/>
      <c r="E78" s="27" t="s">
        <v>227</v>
      </c>
      <c r="F78" s="29" t="s">
        <v>228</v>
      </c>
      <c r="G78" s="27" t="s">
        <v>35</v>
      </c>
      <c r="H78" s="27" t="s">
        <v>19</v>
      </c>
      <c r="I78" s="27">
        <v>1</v>
      </c>
      <c r="J78" s="30">
        <v>254478351</v>
      </c>
      <c r="K78" s="26" t="s">
        <v>20</v>
      </c>
      <c r="L78" s="36" t="s">
        <v>229</v>
      </c>
      <c r="M78" s="31" t="s">
        <v>5297</v>
      </c>
      <c r="N78" s="2"/>
      <c r="O78" s="2"/>
      <c r="P78" s="2"/>
      <c r="Q78" s="2"/>
      <c r="R78" s="2"/>
      <c r="S78" s="2"/>
      <c r="T78" s="2"/>
      <c r="U78" s="2"/>
      <c r="V78" s="2"/>
      <c r="W78" s="2"/>
      <c r="X78" s="2"/>
      <c r="Y78" s="2"/>
      <c r="Z78" s="2"/>
    </row>
    <row r="79" spans="1:26" ht="12.75" hidden="1" customHeight="1">
      <c r="A79" s="26" t="s">
        <v>230</v>
      </c>
      <c r="B79" s="27"/>
      <c r="C79" s="28"/>
      <c r="D79" s="27"/>
      <c r="E79" s="27" t="s">
        <v>231</v>
      </c>
      <c r="F79" s="29" t="s">
        <v>232</v>
      </c>
      <c r="G79" s="27"/>
      <c r="H79" s="27"/>
      <c r="I79" s="27">
        <v>1</v>
      </c>
      <c r="J79" s="30">
        <v>0</v>
      </c>
      <c r="K79" s="26" t="s">
        <v>20</v>
      </c>
      <c r="L79" s="36" t="s">
        <v>229</v>
      </c>
      <c r="M79" s="31" t="s">
        <v>5298</v>
      </c>
      <c r="N79" s="2"/>
      <c r="O79" s="2"/>
      <c r="P79" s="2"/>
      <c r="Q79" s="2"/>
      <c r="R79" s="2"/>
      <c r="S79" s="2"/>
      <c r="T79" s="2"/>
      <c r="U79" s="2"/>
      <c r="V79" s="2"/>
      <c r="W79" s="2"/>
      <c r="X79" s="2"/>
      <c r="Y79" s="2"/>
      <c r="Z79" s="2"/>
    </row>
    <row r="80" spans="1:26" ht="12.75" hidden="1" customHeight="1">
      <c r="A80" s="26">
        <v>30</v>
      </c>
      <c r="B80" s="27" t="s">
        <v>219</v>
      </c>
      <c r="C80" s="28">
        <v>41635</v>
      </c>
      <c r="D80" s="27"/>
      <c r="E80" s="27" t="s">
        <v>235</v>
      </c>
      <c r="F80" s="29" t="s">
        <v>236</v>
      </c>
      <c r="G80" s="27" t="s">
        <v>35</v>
      </c>
      <c r="H80" s="27" t="s">
        <v>19</v>
      </c>
      <c r="I80" s="27">
        <v>1</v>
      </c>
      <c r="J80" s="30">
        <v>254478351</v>
      </c>
      <c r="K80" s="26" t="s">
        <v>206</v>
      </c>
      <c r="L80" s="26" t="s">
        <v>207</v>
      </c>
      <c r="M80" s="31" t="s">
        <v>237</v>
      </c>
      <c r="N80" s="2"/>
      <c r="O80" s="2"/>
      <c r="P80" s="2"/>
      <c r="Q80" s="2"/>
      <c r="R80" s="2"/>
      <c r="S80" s="2"/>
      <c r="T80" s="2"/>
      <c r="U80" s="2"/>
      <c r="V80" s="2"/>
      <c r="W80" s="2"/>
      <c r="X80" s="2"/>
      <c r="Y80" s="2"/>
      <c r="Z80" s="2"/>
    </row>
    <row r="81" spans="1:26" ht="12.75" hidden="1" customHeight="1">
      <c r="A81" s="26" t="s">
        <v>238</v>
      </c>
      <c r="B81" s="27"/>
      <c r="C81" s="28"/>
      <c r="D81" s="27"/>
      <c r="E81" s="27" t="s">
        <v>239</v>
      </c>
      <c r="F81" s="29" t="s">
        <v>240</v>
      </c>
      <c r="G81" s="27"/>
      <c r="H81" s="27"/>
      <c r="I81" s="27">
        <v>1</v>
      </c>
      <c r="J81" s="30">
        <v>0</v>
      </c>
      <c r="K81" s="26" t="s">
        <v>206</v>
      </c>
      <c r="L81" s="26" t="s">
        <v>207</v>
      </c>
      <c r="M81" s="31"/>
      <c r="N81" s="2"/>
      <c r="O81" s="2"/>
      <c r="P81" s="2"/>
      <c r="Q81" s="2"/>
      <c r="R81" s="2"/>
      <c r="S81" s="2"/>
      <c r="T81" s="2"/>
      <c r="U81" s="2"/>
      <c r="V81" s="2"/>
      <c r="W81" s="2"/>
      <c r="X81" s="2"/>
      <c r="Y81" s="2"/>
      <c r="Z81" s="2"/>
    </row>
    <row r="82" spans="1:26" ht="25.5" hidden="1" customHeight="1">
      <c r="A82" s="26">
        <v>31</v>
      </c>
      <c r="B82" s="27" t="s">
        <v>241</v>
      </c>
      <c r="C82" s="28">
        <v>42726</v>
      </c>
      <c r="D82" s="27"/>
      <c r="E82" s="27" t="s">
        <v>242</v>
      </c>
      <c r="F82" s="29" t="s">
        <v>243</v>
      </c>
      <c r="G82" s="27" t="s">
        <v>35</v>
      </c>
      <c r="H82" s="27" t="s">
        <v>19</v>
      </c>
      <c r="I82" s="27">
        <v>1</v>
      </c>
      <c r="J82" s="30">
        <v>180900000</v>
      </c>
      <c r="K82" s="26" t="s">
        <v>206</v>
      </c>
      <c r="L82" s="26" t="s">
        <v>207</v>
      </c>
      <c r="M82" s="31" t="s">
        <v>244</v>
      </c>
      <c r="N82" s="2"/>
      <c r="O82" s="2"/>
      <c r="P82" s="2"/>
      <c r="Q82" s="2"/>
      <c r="R82" s="2"/>
      <c r="S82" s="2"/>
      <c r="T82" s="2"/>
      <c r="U82" s="2"/>
      <c r="V82" s="2"/>
      <c r="W82" s="2"/>
      <c r="X82" s="2"/>
      <c r="Y82" s="2"/>
      <c r="Z82" s="2"/>
    </row>
    <row r="83" spans="1:26" ht="12.75" hidden="1" customHeight="1">
      <c r="A83" s="26" t="s">
        <v>245</v>
      </c>
      <c r="B83" s="27"/>
      <c r="C83" s="28"/>
      <c r="D83" s="27"/>
      <c r="E83" s="27" t="s">
        <v>246</v>
      </c>
      <c r="F83" s="29" t="s">
        <v>247</v>
      </c>
      <c r="G83" s="27" t="s">
        <v>248</v>
      </c>
      <c r="H83" s="27" t="s">
        <v>249</v>
      </c>
      <c r="I83" s="27">
        <v>1</v>
      </c>
      <c r="J83" s="30">
        <v>0</v>
      </c>
      <c r="K83" s="26" t="s">
        <v>206</v>
      </c>
      <c r="L83" s="26" t="s">
        <v>207</v>
      </c>
      <c r="M83" s="31"/>
      <c r="N83" s="2"/>
      <c r="O83" s="2"/>
      <c r="P83" s="2"/>
      <c r="Q83" s="2"/>
      <c r="R83" s="2"/>
      <c r="S83" s="2"/>
      <c r="T83" s="2"/>
      <c r="U83" s="2"/>
      <c r="V83" s="2"/>
      <c r="W83" s="2"/>
      <c r="X83" s="2"/>
      <c r="Y83" s="2"/>
      <c r="Z83" s="2"/>
    </row>
    <row r="84" spans="1:26" ht="25.5" hidden="1" customHeight="1">
      <c r="A84" s="26">
        <v>32</v>
      </c>
      <c r="B84" s="27" t="s">
        <v>241</v>
      </c>
      <c r="C84" s="28">
        <v>42726</v>
      </c>
      <c r="D84" s="27"/>
      <c r="E84" s="27" t="s">
        <v>250</v>
      </c>
      <c r="F84" s="29" t="s">
        <v>251</v>
      </c>
      <c r="G84" s="27" t="s">
        <v>35</v>
      </c>
      <c r="H84" s="27" t="s">
        <v>19</v>
      </c>
      <c r="I84" s="27">
        <v>1</v>
      </c>
      <c r="J84" s="30">
        <v>180900000</v>
      </c>
      <c r="K84" s="26" t="s">
        <v>206</v>
      </c>
      <c r="L84" s="26" t="s">
        <v>207</v>
      </c>
      <c r="M84" s="31" t="s">
        <v>252</v>
      </c>
      <c r="N84" s="2"/>
      <c r="O84" s="2"/>
      <c r="P84" s="2"/>
      <c r="Q84" s="2"/>
      <c r="R84" s="2"/>
      <c r="S84" s="2"/>
      <c r="T84" s="2"/>
      <c r="U84" s="2"/>
      <c r="V84" s="2"/>
      <c r="W84" s="2"/>
      <c r="X84" s="2"/>
      <c r="Y84" s="2"/>
      <c r="Z84" s="2"/>
    </row>
    <row r="85" spans="1:26" ht="12.75" hidden="1" customHeight="1">
      <c r="A85" s="26" t="s">
        <v>253</v>
      </c>
      <c r="B85" s="27"/>
      <c r="C85" s="28"/>
      <c r="D85" s="27"/>
      <c r="E85" s="27" t="s">
        <v>254</v>
      </c>
      <c r="F85" s="29" t="s">
        <v>255</v>
      </c>
      <c r="G85" s="27" t="s">
        <v>248</v>
      </c>
      <c r="H85" s="27" t="s">
        <v>249</v>
      </c>
      <c r="I85" s="27">
        <v>1</v>
      </c>
      <c r="J85" s="30">
        <v>0</v>
      </c>
      <c r="K85" s="26" t="s">
        <v>206</v>
      </c>
      <c r="L85" s="26" t="s">
        <v>207</v>
      </c>
      <c r="M85" s="31"/>
      <c r="N85" s="2"/>
      <c r="O85" s="2"/>
      <c r="P85" s="2"/>
      <c r="Q85" s="2"/>
      <c r="R85" s="2"/>
      <c r="S85" s="2"/>
      <c r="T85" s="2"/>
      <c r="U85" s="2"/>
      <c r="V85" s="2"/>
      <c r="W85" s="2"/>
      <c r="X85" s="2"/>
      <c r="Y85" s="2"/>
      <c r="Z85" s="2"/>
    </row>
    <row r="86" spans="1:26" ht="25.5" hidden="1" customHeight="1">
      <c r="A86" s="26">
        <v>33</v>
      </c>
      <c r="B86" s="27" t="s">
        <v>241</v>
      </c>
      <c r="C86" s="28">
        <v>42726</v>
      </c>
      <c r="D86" s="27"/>
      <c r="E86" s="27" t="s">
        <v>256</v>
      </c>
      <c r="F86" s="29" t="s">
        <v>257</v>
      </c>
      <c r="G86" s="27" t="s">
        <v>35</v>
      </c>
      <c r="H86" s="27" t="s">
        <v>19</v>
      </c>
      <c r="I86" s="27">
        <v>1</v>
      </c>
      <c r="J86" s="30">
        <v>180900000</v>
      </c>
      <c r="K86" s="26" t="s">
        <v>206</v>
      </c>
      <c r="L86" s="26" t="s">
        <v>207</v>
      </c>
      <c r="M86" s="31" t="s">
        <v>258</v>
      </c>
      <c r="N86" s="2"/>
      <c r="O86" s="2"/>
      <c r="P86" s="2"/>
      <c r="Q86" s="2"/>
      <c r="R86" s="2"/>
      <c r="S86" s="2"/>
      <c r="T86" s="2"/>
      <c r="U86" s="2"/>
      <c r="V86" s="2"/>
      <c r="W86" s="2"/>
      <c r="X86" s="2"/>
      <c r="Y86" s="2"/>
      <c r="Z86" s="2"/>
    </row>
    <row r="87" spans="1:26" ht="12.75" hidden="1" customHeight="1">
      <c r="A87" s="26" t="s">
        <v>259</v>
      </c>
      <c r="B87" s="27"/>
      <c r="C87" s="28"/>
      <c r="D87" s="27"/>
      <c r="E87" s="27" t="s">
        <v>260</v>
      </c>
      <c r="F87" s="29" t="s">
        <v>261</v>
      </c>
      <c r="G87" s="27" t="s">
        <v>248</v>
      </c>
      <c r="H87" s="27" t="s">
        <v>249</v>
      </c>
      <c r="I87" s="27">
        <v>1</v>
      </c>
      <c r="J87" s="30">
        <v>0</v>
      </c>
      <c r="K87" s="26" t="s">
        <v>206</v>
      </c>
      <c r="L87" s="26" t="s">
        <v>207</v>
      </c>
      <c r="M87" s="31"/>
      <c r="N87" s="2"/>
      <c r="O87" s="2"/>
      <c r="P87" s="2"/>
      <c r="Q87" s="2"/>
      <c r="R87" s="2"/>
      <c r="S87" s="2"/>
      <c r="T87" s="2"/>
      <c r="U87" s="2"/>
      <c r="V87" s="2"/>
      <c r="W87" s="2"/>
      <c r="X87" s="2"/>
      <c r="Y87" s="2"/>
      <c r="Z87" s="2"/>
    </row>
    <row r="88" spans="1:26" ht="25.5" hidden="1" customHeight="1">
      <c r="A88" s="26">
        <v>34</v>
      </c>
      <c r="B88" s="27" t="s">
        <v>241</v>
      </c>
      <c r="C88" s="28">
        <v>42726</v>
      </c>
      <c r="D88" s="27"/>
      <c r="E88" s="27" t="s">
        <v>262</v>
      </c>
      <c r="F88" s="29" t="s">
        <v>263</v>
      </c>
      <c r="G88" s="27" t="s">
        <v>35</v>
      </c>
      <c r="H88" s="27" t="s">
        <v>19</v>
      </c>
      <c r="I88" s="27">
        <v>1</v>
      </c>
      <c r="J88" s="30">
        <v>180900000</v>
      </c>
      <c r="K88" s="26" t="s">
        <v>206</v>
      </c>
      <c r="L88" s="26" t="s">
        <v>207</v>
      </c>
      <c r="M88" s="31" t="s">
        <v>264</v>
      </c>
      <c r="N88" s="2"/>
      <c r="O88" s="2"/>
      <c r="P88" s="2"/>
      <c r="Q88" s="2"/>
      <c r="R88" s="2"/>
      <c r="S88" s="2"/>
      <c r="T88" s="2"/>
      <c r="U88" s="2"/>
      <c r="V88" s="2"/>
      <c r="W88" s="2"/>
      <c r="X88" s="2"/>
      <c r="Y88" s="2"/>
      <c r="Z88" s="2"/>
    </row>
    <row r="89" spans="1:26" ht="12.75" hidden="1" customHeight="1">
      <c r="A89" s="26" t="s">
        <v>265</v>
      </c>
      <c r="B89" s="27"/>
      <c r="C89" s="28"/>
      <c r="D89" s="27"/>
      <c r="E89" s="27" t="s">
        <v>266</v>
      </c>
      <c r="F89" s="29" t="s">
        <v>267</v>
      </c>
      <c r="G89" s="27" t="s">
        <v>248</v>
      </c>
      <c r="H89" s="27" t="s">
        <v>249</v>
      </c>
      <c r="I89" s="27">
        <v>1</v>
      </c>
      <c r="J89" s="30">
        <v>0</v>
      </c>
      <c r="K89" s="26" t="s">
        <v>206</v>
      </c>
      <c r="L89" s="26" t="s">
        <v>207</v>
      </c>
      <c r="M89" s="31"/>
      <c r="N89" s="2"/>
      <c r="O89" s="2"/>
      <c r="P89" s="2"/>
      <c r="Q89" s="2"/>
      <c r="R89" s="2"/>
      <c r="S89" s="2"/>
      <c r="T89" s="2"/>
      <c r="U89" s="2"/>
      <c r="V89" s="2"/>
      <c r="W89" s="2"/>
      <c r="X89" s="2"/>
      <c r="Y89" s="2"/>
      <c r="Z89" s="2"/>
    </row>
    <row r="90" spans="1:26" ht="25.5" hidden="1" customHeight="1">
      <c r="A90" s="26">
        <v>35</v>
      </c>
      <c r="B90" s="27" t="s">
        <v>241</v>
      </c>
      <c r="C90" s="28">
        <v>42726</v>
      </c>
      <c r="D90" s="27"/>
      <c r="E90" s="27" t="s">
        <v>268</v>
      </c>
      <c r="F90" s="29" t="s">
        <v>269</v>
      </c>
      <c r="G90" s="27" t="s">
        <v>35</v>
      </c>
      <c r="H90" s="27" t="s">
        <v>19</v>
      </c>
      <c r="I90" s="27">
        <v>1</v>
      </c>
      <c r="J90" s="30">
        <v>180900000</v>
      </c>
      <c r="K90" s="26" t="s">
        <v>206</v>
      </c>
      <c r="L90" s="26" t="s">
        <v>207</v>
      </c>
      <c r="M90" s="31" t="s">
        <v>270</v>
      </c>
      <c r="N90" s="2"/>
      <c r="O90" s="2"/>
      <c r="P90" s="2"/>
      <c r="Q90" s="2"/>
      <c r="R90" s="2"/>
      <c r="S90" s="2"/>
      <c r="T90" s="2"/>
      <c r="U90" s="2"/>
      <c r="V90" s="2"/>
      <c r="W90" s="2"/>
      <c r="X90" s="2"/>
      <c r="Y90" s="2"/>
      <c r="Z90" s="2"/>
    </row>
    <row r="91" spans="1:26" ht="12.75" hidden="1" customHeight="1">
      <c r="A91" s="26" t="s">
        <v>271</v>
      </c>
      <c r="B91" s="27"/>
      <c r="C91" s="28"/>
      <c r="D91" s="27"/>
      <c r="E91" s="27" t="s">
        <v>272</v>
      </c>
      <c r="F91" s="29" t="s">
        <v>273</v>
      </c>
      <c r="G91" s="27" t="s">
        <v>248</v>
      </c>
      <c r="H91" s="27" t="s">
        <v>249</v>
      </c>
      <c r="I91" s="27">
        <v>1</v>
      </c>
      <c r="J91" s="30">
        <v>0</v>
      </c>
      <c r="K91" s="26" t="s">
        <v>206</v>
      </c>
      <c r="L91" s="26" t="s">
        <v>207</v>
      </c>
      <c r="M91" s="31"/>
      <c r="N91" s="2"/>
      <c r="O91" s="2"/>
      <c r="P91" s="2"/>
      <c r="Q91" s="2"/>
      <c r="R91" s="2"/>
      <c r="S91" s="2"/>
      <c r="T91" s="2"/>
      <c r="U91" s="2"/>
      <c r="V91" s="2"/>
      <c r="W91" s="2"/>
      <c r="X91" s="2"/>
      <c r="Y91" s="2"/>
      <c r="Z91" s="2"/>
    </row>
    <row r="92" spans="1:26" ht="25.5" hidden="1" customHeight="1">
      <c r="A92" s="26">
        <v>36</v>
      </c>
      <c r="B92" s="27" t="s">
        <v>274</v>
      </c>
      <c r="C92" s="28">
        <v>41542</v>
      </c>
      <c r="D92" s="27"/>
      <c r="E92" s="27" t="s">
        <v>275</v>
      </c>
      <c r="F92" s="29" t="s">
        <v>276</v>
      </c>
      <c r="G92" s="27" t="s">
        <v>35</v>
      </c>
      <c r="H92" s="27" t="s">
        <v>19</v>
      </c>
      <c r="I92" s="27">
        <v>1</v>
      </c>
      <c r="J92" s="30">
        <v>59900000</v>
      </c>
      <c r="K92" s="26" t="s">
        <v>20</v>
      </c>
      <c r="L92" s="26" t="s">
        <v>3375</v>
      </c>
      <c r="M92" s="31" t="s">
        <v>280</v>
      </c>
      <c r="N92" s="2"/>
      <c r="O92" s="2"/>
      <c r="P92" s="2"/>
      <c r="Q92" s="2"/>
      <c r="R92" s="2"/>
      <c r="S92" s="2"/>
      <c r="T92" s="2"/>
      <c r="U92" s="2"/>
      <c r="V92" s="2"/>
      <c r="W92" s="2"/>
      <c r="X92" s="2"/>
      <c r="Y92" s="2"/>
      <c r="Z92" s="2"/>
    </row>
    <row r="93" spans="1:26" ht="25.5" hidden="1" customHeight="1">
      <c r="A93" s="26" t="s">
        <v>277</v>
      </c>
      <c r="B93" s="27"/>
      <c r="C93" s="28"/>
      <c r="D93" s="27"/>
      <c r="E93" s="27" t="s">
        <v>278</v>
      </c>
      <c r="F93" s="29" t="s">
        <v>279</v>
      </c>
      <c r="G93" s="27"/>
      <c r="H93" s="27"/>
      <c r="I93" s="27">
        <v>1</v>
      </c>
      <c r="J93" s="30">
        <v>0</v>
      </c>
      <c r="K93" s="37" t="s">
        <v>206</v>
      </c>
      <c r="L93" s="37" t="s">
        <v>5299</v>
      </c>
      <c r="M93" s="35" t="s">
        <v>280</v>
      </c>
      <c r="N93" s="2"/>
      <c r="O93" s="2"/>
      <c r="P93" s="2"/>
      <c r="Q93" s="2"/>
      <c r="R93" s="2"/>
      <c r="S93" s="2"/>
      <c r="T93" s="2"/>
      <c r="U93" s="2"/>
      <c r="V93" s="2"/>
      <c r="W93" s="2"/>
      <c r="X93" s="2"/>
      <c r="Y93" s="2"/>
      <c r="Z93" s="2"/>
    </row>
    <row r="94" spans="1:26" ht="12.75" hidden="1" customHeight="1">
      <c r="A94" s="26">
        <v>37</v>
      </c>
      <c r="B94" s="27" t="s">
        <v>281</v>
      </c>
      <c r="C94" s="28">
        <v>41044</v>
      </c>
      <c r="D94" s="27"/>
      <c r="E94" s="27" t="s">
        <v>282</v>
      </c>
      <c r="F94" s="29" t="s">
        <v>283</v>
      </c>
      <c r="G94" s="27" t="s">
        <v>248</v>
      </c>
      <c r="H94" s="27" t="s">
        <v>19</v>
      </c>
      <c r="I94" s="27">
        <v>1</v>
      </c>
      <c r="J94" s="30">
        <v>320390000</v>
      </c>
      <c r="K94" s="26" t="s">
        <v>20</v>
      </c>
      <c r="L94" s="26" t="s">
        <v>284</v>
      </c>
      <c r="M94" s="31" t="s">
        <v>5160</v>
      </c>
      <c r="N94" s="2"/>
      <c r="O94" s="2"/>
      <c r="P94" s="2"/>
      <c r="Q94" s="2"/>
      <c r="R94" s="2"/>
      <c r="S94" s="2"/>
      <c r="T94" s="2"/>
      <c r="U94" s="2"/>
      <c r="V94" s="2"/>
      <c r="W94" s="2"/>
      <c r="X94" s="2"/>
      <c r="Y94" s="2"/>
      <c r="Z94" s="2"/>
    </row>
    <row r="95" spans="1:26" ht="25.5" hidden="1" customHeight="1">
      <c r="A95" s="26" t="s">
        <v>286</v>
      </c>
      <c r="B95" s="27"/>
      <c r="C95" s="28"/>
      <c r="D95" s="27"/>
      <c r="E95" s="27" t="s">
        <v>287</v>
      </c>
      <c r="F95" s="29" t="s">
        <v>288</v>
      </c>
      <c r="G95" s="27"/>
      <c r="H95" s="27"/>
      <c r="I95" s="27">
        <v>1</v>
      </c>
      <c r="J95" s="30">
        <v>0</v>
      </c>
      <c r="K95" s="26" t="s">
        <v>20</v>
      </c>
      <c r="L95" s="26" t="s">
        <v>284</v>
      </c>
      <c r="M95" s="31" t="s">
        <v>5161</v>
      </c>
      <c r="N95" s="2"/>
      <c r="O95" s="2"/>
      <c r="P95" s="2"/>
      <c r="Q95" s="2"/>
      <c r="R95" s="2"/>
      <c r="S95" s="2"/>
      <c r="T95" s="2"/>
      <c r="U95" s="2"/>
      <c r="V95" s="2"/>
      <c r="W95" s="2"/>
      <c r="X95" s="2"/>
      <c r="Y95" s="2"/>
      <c r="Z95" s="2"/>
    </row>
    <row r="96" spans="1:26" ht="12.75" hidden="1" customHeight="1">
      <c r="A96" s="26" t="s">
        <v>289</v>
      </c>
      <c r="B96" s="27"/>
      <c r="C96" s="28"/>
      <c r="D96" s="27"/>
      <c r="E96" s="27" t="s">
        <v>290</v>
      </c>
      <c r="F96" s="29" t="s">
        <v>291</v>
      </c>
      <c r="G96" s="27"/>
      <c r="H96" s="27"/>
      <c r="I96" s="27">
        <v>1</v>
      </c>
      <c r="J96" s="30">
        <v>0</v>
      </c>
      <c r="K96" s="26" t="s">
        <v>20</v>
      </c>
      <c r="L96" s="26" t="s">
        <v>284</v>
      </c>
      <c r="M96" s="31"/>
      <c r="N96" s="2"/>
      <c r="O96" s="2"/>
      <c r="P96" s="2"/>
      <c r="Q96" s="2"/>
      <c r="R96" s="2"/>
      <c r="S96" s="2"/>
      <c r="T96" s="2"/>
      <c r="U96" s="2"/>
      <c r="V96" s="2"/>
      <c r="W96" s="2"/>
      <c r="X96" s="2"/>
      <c r="Y96" s="2"/>
      <c r="Z96" s="2"/>
    </row>
    <row r="97" spans="1:26" ht="12.75" hidden="1" customHeight="1">
      <c r="A97" s="26">
        <v>38</v>
      </c>
      <c r="B97" s="27" t="s">
        <v>281</v>
      </c>
      <c r="C97" s="28">
        <v>41044</v>
      </c>
      <c r="D97" s="27"/>
      <c r="E97" s="27" t="s">
        <v>292</v>
      </c>
      <c r="F97" s="29" t="s">
        <v>293</v>
      </c>
      <c r="G97" s="27" t="s">
        <v>248</v>
      </c>
      <c r="H97" s="27" t="s">
        <v>19</v>
      </c>
      <c r="I97" s="27">
        <v>1</v>
      </c>
      <c r="J97" s="30">
        <v>320390000</v>
      </c>
      <c r="K97" s="26"/>
      <c r="L97" s="26" t="s">
        <v>1003</v>
      </c>
      <c r="M97" s="31" t="s">
        <v>285</v>
      </c>
      <c r="N97" s="2"/>
      <c r="O97" s="2"/>
      <c r="P97" s="2"/>
      <c r="Q97" s="2"/>
      <c r="R97" s="2"/>
      <c r="S97" s="2"/>
      <c r="T97" s="2"/>
      <c r="U97" s="2"/>
      <c r="V97" s="2"/>
      <c r="W97" s="2"/>
      <c r="X97" s="2"/>
      <c r="Y97" s="2"/>
      <c r="Z97" s="2"/>
    </row>
    <row r="98" spans="1:26" ht="12.75" hidden="1" customHeight="1">
      <c r="A98" s="26" t="s">
        <v>297</v>
      </c>
      <c r="B98" s="27"/>
      <c r="C98" s="28"/>
      <c r="D98" s="27"/>
      <c r="E98" s="27" t="s">
        <v>298</v>
      </c>
      <c r="F98" s="29" t="s">
        <v>299</v>
      </c>
      <c r="G98" s="27"/>
      <c r="H98" s="27"/>
      <c r="I98" s="27">
        <v>1</v>
      </c>
      <c r="J98" s="30">
        <v>0</v>
      </c>
      <c r="K98" s="26"/>
      <c r="L98" s="26" t="s">
        <v>1003</v>
      </c>
      <c r="M98" s="31"/>
      <c r="N98" s="2"/>
      <c r="O98" s="2"/>
      <c r="P98" s="2"/>
      <c r="Q98" s="2"/>
      <c r="R98" s="2"/>
      <c r="S98" s="2"/>
      <c r="T98" s="2"/>
      <c r="U98" s="2"/>
      <c r="V98" s="2"/>
      <c r="W98" s="2"/>
      <c r="X98" s="2"/>
      <c r="Y98" s="2"/>
      <c r="Z98" s="2"/>
    </row>
    <row r="99" spans="1:26" ht="12.75" hidden="1" customHeight="1">
      <c r="A99" s="26" t="s">
        <v>300</v>
      </c>
      <c r="B99" s="27"/>
      <c r="C99" s="28"/>
      <c r="D99" s="27"/>
      <c r="E99" s="27" t="s">
        <v>301</v>
      </c>
      <c r="F99" s="29" t="s">
        <v>302</v>
      </c>
      <c r="G99" s="27"/>
      <c r="H99" s="27"/>
      <c r="I99" s="27">
        <v>1</v>
      </c>
      <c r="J99" s="30">
        <v>0</v>
      </c>
      <c r="K99" s="26"/>
      <c r="L99" s="26" t="s">
        <v>1003</v>
      </c>
      <c r="M99" s="31"/>
      <c r="N99" s="2"/>
      <c r="O99" s="2"/>
      <c r="P99" s="2"/>
      <c r="Q99" s="2"/>
      <c r="R99" s="2"/>
      <c r="S99" s="2"/>
      <c r="T99" s="2"/>
      <c r="U99" s="2"/>
      <c r="V99" s="2"/>
      <c r="W99" s="2"/>
      <c r="X99" s="2"/>
      <c r="Y99" s="2"/>
      <c r="Z99" s="2"/>
    </row>
    <row r="100" spans="1:26" ht="25.5" hidden="1" customHeight="1">
      <c r="A100" s="26">
        <v>39</v>
      </c>
      <c r="B100" s="27" t="s">
        <v>304</v>
      </c>
      <c r="C100" s="28">
        <v>41073</v>
      </c>
      <c r="D100" s="27"/>
      <c r="E100" s="27" t="s">
        <v>305</v>
      </c>
      <c r="F100" s="29" t="s">
        <v>306</v>
      </c>
      <c r="G100" s="27" t="s">
        <v>307</v>
      </c>
      <c r="H100" s="27" t="s">
        <v>19</v>
      </c>
      <c r="I100" s="27">
        <v>1</v>
      </c>
      <c r="J100" s="30">
        <v>199017590</v>
      </c>
      <c r="K100" s="26" t="s">
        <v>36</v>
      </c>
      <c r="L100" s="26" t="s">
        <v>169</v>
      </c>
      <c r="M100" s="31" t="s">
        <v>308</v>
      </c>
      <c r="N100" s="2"/>
      <c r="O100" s="2"/>
      <c r="P100" s="2"/>
      <c r="Q100" s="2"/>
      <c r="R100" s="2"/>
      <c r="S100" s="2"/>
      <c r="T100" s="2"/>
      <c r="U100" s="2"/>
      <c r="V100" s="2"/>
      <c r="W100" s="2"/>
      <c r="X100" s="2"/>
      <c r="Y100" s="2"/>
      <c r="Z100" s="2"/>
    </row>
    <row r="101" spans="1:26" ht="25.5" hidden="1" customHeight="1">
      <c r="A101" s="26">
        <v>40</v>
      </c>
      <c r="B101" s="27" t="s">
        <v>219</v>
      </c>
      <c r="C101" s="28">
        <v>41635</v>
      </c>
      <c r="D101" s="27"/>
      <c r="E101" s="27" t="s">
        <v>309</v>
      </c>
      <c r="F101" s="29" t="s">
        <v>310</v>
      </c>
      <c r="G101" s="27" t="s">
        <v>307</v>
      </c>
      <c r="H101" s="27" t="s">
        <v>19</v>
      </c>
      <c r="I101" s="27">
        <v>1</v>
      </c>
      <c r="J101" s="30">
        <v>236609694</v>
      </c>
      <c r="K101" s="26" t="s">
        <v>20</v>
      </c>
      <c r="L101" s="26" t="s">
        <v>284</v>
      </c>
      <c r="M101" s="31" t="s">
        <v>3287</v>
      </c>
      <c r="N101" s="2"/>
      <c r="O101" s="2"/>
      <c r="P101" s="2"/>
      <c r="Q101" s="2"/>
      <c r="R101" s="2"/>
      <c r="S101" s="2"/>
      <c r="T101" s="2"/>
      <c r="U101" s="2"/>
      <c r="V101" s="2"/>
      <c r="W101" s="2"/>
      <c r="X101" s="2"/>
      <c r="Y101" s="2"/>
      <c r="Z101" s="2"/>
    </row>
    <row r="102" spans="1:26" ht="25.5" hidden="1" customHeight="1">
      <c r="A102" s="26" t="s">
        <v>311</v>
      </c>
      <c r="B102" s="27"/>
      <c r="C102" s="28"/>
      <c r="D102" s="27"/>
      <c r="E102" s="27" t="s">
        <v>312</v>
      </c>
      <c r="F102" s="29" t="s">
        <v>313</v>
      </c>
      <c r="G102" s="27"/>
      <c r="H102" s="27"/>
      <c r="I102" s="27">
        <v>1</v>
      </c>
      <c r="J102" s="30">
        <v>0</v>
      </c>
      <c r="K102" s="26" t="s">
        <v>20</v>
      </c>
      <c r="L102" s="26" t="s">
        <v>284</v>
      </c>
      <c r="M102" s="31" t="s">
        <v>5188</v>
      </c>
      <c r="N102" s="2"/>
      <c r="O102" s="2"/>
      <c r="P102" s="2"/>
      <c r="Q102" s="2"/>
      <c r="R102" s="2"/>
      <c r="S102" s="2"/>
      <c r="T102" s="2"/>
      <c r="U102" s="2"/>
      <c r="V102" s="2"/>
      <c r="W102" s="2"/>
      <c r="X102" s="2"/>
      <c r="Y102" s="2"/>
      <c r="Z102" s="2"/>
    </row>
    <row r="103" spans="1:26" ht="12.75" hidden="1" customHeight="1">
      <c r="A103" s="26">
        <v>41</v>
      </c>
      <c r="B103" s="27" t="s">
        <v>314</v>
      </c>
      <c r="C103" s="28">
        <v>41107</v>
      </c>
      <c r="D103" s="27"/>
      <c r="E103" s="27" t="s">
        <v>315</v>
      </c>
      <c r="F103" s="29" t="s">
        <v>316</v>
      </c>
      <c r="G103" s="27" t="s">
        <v>35</v>
      </c>
      <c r="H103" s="27" t="s">
        <v>19</v>
      </c>
      <c r="I103" s="27">
        <v>1</v>
      </c>
      <c r="J103" s="30">
        <v>48500000</v>
      </c>
      <c r="K103" s="26" t="s">
        <v>206</v>
      </c>
      <c r="L103" s="26" t="s">
        <v>207</v>
      </c>
      <c r="M103" s="31" t="s">
        <v>317</v>
      </c>
      <c r="N103" s="2"/>
      <c r="O103" s="2"/>
      <c r="P103" s="2"/>
      <c r="Q103" s="2"/>
      <c r="R103" s="2"/>
      <c r="S103" s="2"/>
      <c r="T103" s="2"/>
      <c r="U103" s="2"/>
      <c r="V103" s="2"/>
      <c r="W103" s="2"/>
      <c r="X103" s="2"/>
      <c r="Y103" s="2"/>
      <c r="Z103" s="2"/>
    </row>
    <row r="104" spans="1:26" ht="76.5" hidden="1" customHeight="1">
      <c r="A104" s="26">
        <v>42</v>
      </c>
      <c r="B104" s="27" t="s">
        <v>318</v>
      </c>
      <c r="C104" s="28">
        <v>41193</v>
      </c>
      <c r="D104" s="27"/>
      <c r="E104" s="27" t="s">
        <v>319</v>
      </c>
      <c r="F104" s="29" t="s">
        <v>320</v>
      </c>
      <c r="G104" s="27" t="s">
        <v>307</v>
      </c>
      <c r="H104" s="27" t="s">
        <v>19</v>
      </c>
      <c r="I104" s="27">
        <v>1</v>
      </c>
      <c r="J104" s="30">
        <v>932830700</v>
      </c>
      <c r="K104" s="26" t="s">
        <v>20</v>
      </c>
      <c r="L104" s="26" t="s">
        <v>284</v>
      </c>
      <c r="M104" s="31" t="s">
        <v>5300</v>
      </c>
      <c r="N104" s="2"/>
      <c r="O104" s="2"/>
      <c r="P104" s="2"/>
      <c r="Q104" s="2"/>
      <c r="R104" s="2"/>
      <c r="S104" s="2"/>
      <c r="T104" s="2"/>
      <c r="U104" s="2"/>
      <c r="V104" s="2"/>
      <c r="W104" s="2"/>
      <c r="X104" s="2"/>
      <c r="Y104" s="2"/>
      <c r="Z104" s="2"/>
    </row>
    <row r="105" spans="1:26" ht="12.75" hidden="1" customHeight="1">
      <c r="A105" s="26" t="s">
        <v>321</v>
      </c>
      <c r="B105" s="27"/>
      <c r="C105" s="28"/>
      <c r="D105" s="27"/>
      <c r="E105" s="27" t="s">
        <v>322</v>
      </c>
      <c r="F105" s="29" t="s">
        <v>323</v>
      </c>
      <c r="G105" s="27"/>
      <c r="H105" s="27"/>
      <c r="I105" s="27">
        <v>1</v>
      </c>
      <c r="J105" s="30">
        <v>0</v>
      </c>
      <c r="K105" s="26" t="s">
        <v>20</v>
      </c>
      <c r="L105" s="26" t="s">
        <v>284</v>
      </c>
      <c r="M105" s="31" t="s">
        <v>324</v>
      </c>
      <c r="N105" s="2"/>
      <c r="O105" s="2"/>
      <c r="P105" s="2"/>
      <c r="Q105" s="2"/>
      <c r="R105" s="2"/>
      <c r="S105" s="2"/>
      <c r="T105" s="2"/>
      <c r="U105" s="2"/>
      <c r="V105" s="2"/>
      <c r="W105" s="2"/>
      <c r="X105" s="2"/>
      <c r="Y105" s="2"/>
      <c r="Z105" s="2"/>
    </row>
    <row r="106" spans="1:26" ht="25.5" hidden="1" customHeight="1">
      <c r="A106" s="26">
        <v>43</v>
      </c>
      <c r="B106" s="27" t="s">
        <v>219</v>
      </c>
      <c r="C106" s="28">
        <v>41635</v>
      </c>
      <c r="D106" s="27"/>
      <c r="E106" s="27" t="s">
        <v>325</v>
      </c>
      <c r="F106" s="29" t="s">
        <v>326</v>
      </c>
      <c r="G106" s="27" t="s">
        <v>307</v>
      </c>
      <c r="H106" s="27" t="s">
        <v>19</v>
      </c>
      <c r="I106" s="27">
        <v>1</v>
      </c>
      <c r="J106" s="30">
        <v>910947323</v>
      </c>
      <c r="K106" s="26" t="s">
        <v>20</v>
      </c>
      <c r="L106" s="26" t="s">
        <v>284</v>
      </c>
      <c r="M106" s="31" t="s">
        <v>5301</v>
      </c>
      <c r="N106" s="2"/>
      <c r="O106" s="2"/>
      <c r="P106" s="2"/>
      <c r="Q106" s="2"/>
      <c r="R106" s="2"/>
      <c r="S106" s="2"/>
      <c r="T106" s="2"/>
      <c r="U106" s="2"/>
      <c r="V106" s="2"/>
      <c r="W106" s="2"/>
      <c r="X106" s="2"/>
      <c r="Y106" s="2"/>
      <c r="Z106" s="2"/>
    </row>
    <row r="107" spans="1:26" ht="25.5" hidden="1" customHeight="1">
      <c r="A107" s="26" t="s">
        <v>328</v>
      </c>
      <c r="B107" s="27"/>
      <c r="C107" s="28"/>
      <c r="D107" s="27"/>
      <c r="E107" s="27" t="s">
        <v>329</v>
      </c>
      <c r="F107" s="29" t="s">
        <v>330</v>
      </c>
      <c r="G107" s="27"/>
      <c r="H107" s="27"/>
      <c r="I107" s="27">
        <v>1</v>
      </c>
      <c r="J107" s="30">
        <v>0</v>
      </c>
      <c r="K107" s="26" t="s">
        <v>20</v>
      </c>
      <c r="L107" s="26" t="s">
        <v>284</v>
      </c>
      <c r="M107" s="31" t="s">
        <v>5188</v>
      </c>
      <c r="N107" s="2"/>
      <c r="O107" s="2"/>
      <c r="P107" s="2"/>
      <c r="Q107" s="2"/>
      <c r="R107" s="2"/>
      <c r="S107" s="2"/>
      <c r="T107" s="2"/>
      <c r="U107" s="2"/>
      <c r="V107" s="2"/>
      <c r="W107" s="2"/>
      <c r="X107" s="2"/>
      <c r="Y107" s="2"/>
      <c r="Z107" s="2"/>
    </row>
    <row r="108" spans="1:26" ht="89.25" hidden="1" customHeight="1">
      <c r="A108" s="26">
        <v>44</v>
      </c>
      <c r="B108" s="27" t="s">
        <v>318</v>
      </c>
      <c r="C108" s="28">
        <v>41193</v>
      </c>
      <c r="D108" s="27"/>
      <c r="E108" s="27" t="s">
        <v>331</v>
      </c>
      <c r="F108" s="29" t="s">
        <v>332</v>
      </c>
      <c r="G108" s="27" t="s">
        <v>307</v>
      </c>
      <c r="H108" s="27" t="s">
        <v>19</v>
      </c>
      <c r="I108" s="27">
        <v>1</v>
      </c>
      <c r="J108" s="30">
        <v>115933734</v>
      </c>
      <c r="K108" s="26" t="s">
        <v>20</v>
      </c>
      <c r="L108" s="26" t="s">
        <v>284</v>
      </c>
      <c r="M108" s="31" t="s">
        <v>5302</v>
      </c>
      <c r="N108" s="2"/>
      <c r="O108" s="2"/>
      <c r="P108" s="2"/>
      <c r="Q108" s="2"/>
      <c r="R108" s="2"/>
      <c r="S108" s="2"/>
      <c r="T108" s="2"/>
      <c r="U108" s="2"/>
      <c r="V108" s="2"/>
      <c r="W108" s="2"/>
      <c r="X108" s="2"/>
      <c r="Y108" s="2"/>
      <c r="Z108" s="2"/>
    </row>
    <row r="109" spans="1:26" ht="25.5" hidden="1" customHeight="1">
      <c r="A109" s="26" t="s">
        <v>333</v>
      </c>
      <c r="B109" s="27"/>
      <c r="C109" s="28"/>
      <c r="D109" s="27"/>
      <c r="E109" s="27" t="s">
        <v>334</v>
      </c>
      <c r="F109" s="29" t="s">
        <v>335</v>
      </c>
      <c r="G109" s="27"/>
      <c r="H109" s="27"/>
      <c r="I109" s="27">
        <v>1</v>
      </c>
      <c r="J109" s="30">
        <v>0</v>
      </c>
      <c r="K109" s="26" t="s">
        <v>20</v>
      </c>
      <c r="L109" s="26" t="s">
        <v>284</v>
      </c>
      <c r="M109" s="31" t="s">
        <v>5188</v>
      </c>
      <c r="N109" s="2"/>
      <c r="O109" s="2"/>
      <c r="P109" s="2"/>
      <c r="Q109" s="2"/>
      <c r="R109" s="2"/>
      <c r="S109" s="2"/>
      <c r="T109" s="2"/>
      <c r="U109" s="2"/>
      <c r="V109" s="2"/>
      <c r="W109" s="2"/>
      <c r="X109" s="2"/>
      <c r="Y109" s="2"/>
      <c r="Z109" s="2"/>
    </row>
    <row r="110" spans="1:26" ht="25.5" hidden="1" customHeight="1">
      <c r="A110" s="26">
        <v>45</v>
      </c>
      <c r="B110" s="27" t="s">
        <v>212</v>
      </c>
      <c r="C110" s="28">
        <v>41512</v>
      </c>
      <c r="D110" s="27"/>
      <c r="E110" s="27" t="s">
        <v>336</v>
      </c>
      <c r="F110" s="29" t="s">
        <v>337</v>
      </c>
      <c r="G110" s="27" t="s">
        <v>338</v>
      </c>
      <c r="H110" s="27" t="s">
        <v>19</v>
      </c>
      <c r="I110" s="27">
        <v>1</v>
      </c>
      <c r="J110" s="30">
        <v>102409248</v>
      </c>
      <c r="K110" s="26" t="s">
        <v>36</v>
      </c>
      <c r="L110" s="26" t="s">
        <v>141</v>
      </c>
      <c r="M110" s="31" t="s">
        <v>339</v>
      </c>
      <c r="N110" s="2"/>
      <c r="O110" s="2"/>
      <c r="P110" s="2"/>
      <c r="Q110" s="2"/>
      <c r="R110" s="2"/>
      <c r="S110" s="2"/>
      <c r="T110" s="2"/>
      <c r="U110" s="2"/>
      <c r="V110" s="2"/>
      <c r="W110" s="2"/>
      <c r="X110" s="2"/>
      <c r="Y110" s="2"/>
      <c r="Z110" s="2"/>
    </row>
    <row r="111" spans="1:26" ht="25.5" hidden="1" customHeight="1">
      <c r="A111" s="26">
        <v>46</v>
      </c>
      <c r="B111" s="27" t="s">
        <v>212</v>
      </c>
      <c r="C111" s="28">
        <v>41512</v>
      </c>
      <c r="D111" s="27"/>
      <c r="E111" s="27" t="s">
        <v>340</v>
      </c>
      <c r="F111" s="29" t="s">
        <v>341</v>
      </c>
      <c r="G111" s="27" t="s">
        <v>338</v>
      </c>
      <c r="H111" s="27" t="s">
        <v>19</v>
      </c>
      <c r="I111" s="27">
        <v>1</v>
      </c>
      <c r="J111" s="30">
        <v>102409247</v>
      </c>
      <c r="K111" s="26" t="s">
        <v>36</v>
      </c>
      <c r="L111" s="26" t="s">
        <v>141</v>
      </c>
      <c r="M111" s="31" t="s">
        <v>339</v>
      </c>
      <c r="N111" s="2"/>
      <c r="O111" s="2"/>
      <c r="P111" s="2"/>
      <c r="Q111" s="2"/>
      <c r="R111" s="2"/>
      <c r="S111" s="2"/>
      <c r="T111" s="2"/>
      <c r="U111" s="2"/>
      <c r="V111" s="2"/>
      <c r="W111" s="2"/>
      <c r="X111" s="2"/>
      <c r="Y111" s="2"/>
      <c r="Z111" s="2"/>
    </row>
    <row r="112" spans="1:26" ht="12.75" hidden="1" customHeight="1">
      <c r="A112" s="26">
        <v>47</v>
      </c>
      <c r="B112" s="27" t="s">
        <v>212</v>
      </c>
      <c r="C112" s="28">
        <v>41512</v>
      </c>
      <c r="D112" s="27"/>
      <c r="E112" s="27" t="s">
        <v>342</v>
      </c>
      <c r="F112" s="29" t="s">
        <v>343</v>
      </c>
      <c r="G112" s="27" t="s">
        <v>35</v>
      </c>
      <c r="H112" s="27" t="s">
        <v>19</v>
      </c>
      <c r="I112" s="27">
        <v>1</v>
      </c>
      <c r="J112" s="30">
        <v>140968000</v>
      </c>
      <c r="K112" s="26" t="s">
        <v>206</v>
      </c>
      <c r="L112" s="26" t="s">
        <v>207</v>
      </c>
      <c r="M112" s="31" t="s">
        <v>344</v>
      </c>
      <c r="N112" s="2"/>
      <c r="O112" s="2"/>
      <c r="P112" s="2"/>
      <c r="Q112" s="2"/>
      <c r="R112" s="2"/>
      <c r="S112" s="2"/>
      <c r="T112" s="2"/>
      <c r="U112" s="2"/>
      <c r="V112" s="2"/>
      <c r="W112" s="2"/>
      <c r="X112" s="2"/>
      <c r="Y112" s="2"/>
      <c r="Z112" s="2"/>
    </row>
    <row r="113" spans="1:26" ht="12.75" hidden="1" customHeight="1">
      <c r="A113" s="26" t="s">
        <v>345</v>
      </c>
      <c r="B113" s="27"/>
      <c r="C113" s="28"/>
      <c r="D113" s="27"/>
      <c r="E113" s="27" t="s">
        <v>346</v>
      </c>
      <c r="F113" s="29" t="s">
        <v>347</v>
      </c>
      <c r="G113" s="27"/>
      <c r="H113" s="27"/>
      <c r="I113" s="27">
        <v>1</v>
      </c>
      <c r="J113" s="30">
        <v>0</v>
      </c>
      <c r="K113" s="26" t="s">
        <v>206</v>
      </c>
      <c r="L113" s="26" t="s">
        <v>207</v>
      </c>
      <c r="M113" s="31"/>
      <c r="N113" s="2"/>
      <c r="O113" s="2"/>
      <c r="P113" s="2"/>
      <c r="Q113" s="2"/>
      <c r="R113" s="2"/>
      <c r="S113" s="2"/>
      <c r="T113" s="2"/>
      <c r="U113" s="2"/>
      <c r="V113" s="2"/>
      <c r="W113" s="2"/>
      <c r="X113" s="2"/>
      <c r="Y113" s="2"/>
      <c r="Z113" s="2"/>
    </row>
    <row r="114" spans="1:26" ht="12.75" hidden="1" customHeight="1">
      <c r="A114" s="26">
        <v>48</v>
      </c>
      <c r="B114" s="27" t="s">
        <v>212</v>
      </c>
      <c r="C114" s="28">
        <v>41512</v>
      </c>
      <c r="D114" s="27"/>
      <c r="E114" s="27" t="s">
        <v>348</v>
      </c>
      <c r="F114" s="29" t="s">
        <v>349</v>
      </c>
      <c r="G114" s="27" t="s">
        <v>35</v>
      </c>
      <c r="H114" s="27" t="s">
        <v>19</v>
      </c>
      <c r="I114" s="27">
        <v>1</v>
      </c>
      <c r="J114" s="30">
        <v>140968000</v>
      </c>
      <c r="K114" s="26" t="s">
        <v>206</v>
      </c>
      <c r="L114" s="26" t="s">
        <v>207</v>
      </c>
      <c r="M114" s="31" t="s">
        <v>350</v>
      </c>
      <c r="N114" s="2"/>
      <c r="O114" s="2"/>
      <c r="P114" s="2"/>
      <c r="Q114" s="2"/>
      <c r="R114" s="2"/>
      <c r="S114" s="2"/>
      <c r="T114" s="2"/>
      <c r="U114" s="2"/>
      <c r="V114" s="2"/>
      <c r="W114" s="2"/>
      <c r="X114" s="2"/>
      <c r="Y114" s="2"/>
      <c r="Z114" s="2"/>
    </row>
    <row r="115" spans="1:26" ht="12.75" hidden="1" customHeight="1">
      <c r="A115" s="26" t="s">
        <v>351</v>
      </c>
      <c r="B115" s="27"/>
      <c r="C115" s="28"/>
      <c r="D115" s="27"/>
      <c r="E115" s="27" t="s">
        <v>352</v>
      </c>
      <c r="F115" s="29" t="s">
        <v>353</v>
      </c>
      <c r="G115" s="27"/>
      <c r="H115" s="27"/>
      <c r="I115" s="27">
        <v>1</v>
      </c>
      <c r="J115" s="30">
        <v>0</v>
      </c>
      <c r="K115" s="26" t="s">
        <v>206</v>
      </c>
      <c r="L115" s="26" t="s">
        <v>207</v>
      </c>
      <c r="M115" s="31"/>
      <c r="N115" s="2"/>
      <c r="O115" s="2"/>
      <c r="P115" s="2"/>
      <c r="Q115" s="2"/>
      <c r="R115" s="2"/>
      <c r="S115" s="2"/>
      <c r="T115" s="2"/>
      <c r="U115" s="2"/>
      <c r="V115" s="2"/>
      <c r="W115" s="2"/>
      <c r="X115" s="2"/>
      <c r="Y115" s="2"/>
      <c r="Z115" s="2"/>
    </row>
    <row r="116" spans="1:26" ht="12.75" hidden="1" customHeight="1">
      <c r="A116" s="26">
        <v>49</v>
      </c>
      <c r="B116" s="27" t="s">
        <v>212</v>
      </c>
      <c r="C116" s="28">
        <v>41512</v>
      </c>
      <c r="D116" s="27"/>
      <c r="E116" s="27" t="s">
        <v>354</v>
      </c>
      <c r="F116" s="29" t="s">
        <v>355</v>
      </c>
      <c r="G116" s="27" t="s">
        <v>35</v>
      </c>
      <c r="H116" s="27" t="s">
        <v>19</v>
      </c>
      <c r="I116" s="27">
        <v>1</v>
      </c>
      <c r="J116" s="30">
        <v>140968000</v>
      </c>
      <c r="K116" s="26" t="s">
        <v>206</v>
      </c>
      <c r="L116" s="26" t="s">
        <v>207</v>
      </c>
      <c r="M116" s="31" t="s">
        <v>356</v>
      </c>
      <c r="N116" s="2"/>
      <c r="O116" s="2"/>
      <c r="P116" s="2"/>
      <c r="Q116" s="2"/>
      <c r="R116" s="2"/>
      <c r="S116" s="2"/>
      <c r="T116" s="2"/>
      <c r="U116" s="2"/>
      <c r="V116" s="2"/>
      <c r="W116" s="2"/>
      <c r="X116" s="2"/>
      <c r="Y116" s="2"/>
      <c r="Z116" s="2"/>
    </row>
    <row r="117" spans="1:26" ht="12.75" hidden="1" customHeight="1">
      <c r="A117" s="26" t="s">
        <v>357</v>
      </c>
      <c r="B117" s="27"/>
      <c r="C117" s="28"/>
      <c r="D117" s="27"/>
      <c r="E117" s="27" t="s">
        <v>358</v>
      </c>
      <c r="F117" s="29" t="s">
        <v>359</v>
      </c>
      <c r="G117" s="27"/>
      <c r="H117" s="27"/>
      <c r="I117" s="27">
        <v>1</v>
      </c>
      <c r="J117" s="30">
        <v>0</v>
      </c>
      <c r="K117" s="26" t="s">
        <v>206</v>
      </c>
      <c r="L117" s="26" t="s">
        <v>207</v>
      </c>
      <c r="M117" s="31"/>
      <c r="N117" s="2"/>
      <c r="O117" s="2"/>
      <c r="P117" s="2"/>
      <c r="Q117" s="2"/>
      <c r="R117" s="2"/>
      <c r="S117" s="2"/>
      <c r="T117" s="2"/>
      <c r="U117" s="2"/>
      <c r="V117" s="2"/>
      <c r="W117" s="2"/>
      <c r="X117" s="2"/>
      <c r="Y117" s="2"/>
      <c r="Z117" s="2"/>
    </row>
    <row r="118" spans="1:26" ht="12.75" hidden="1" customHeight="1">
      <c r="A118" s="38">
        <v>50</v>
      </c>
      <c r="B118" s="39" t="s">
        <v>212</v>
      </c>
      <c r="C118" s="40">
        <v>41512</v>
      </c>
      <c r="D118" s="39"/>
      <c r="E118" s="39" t="s">
        <v>360</v>
      </c>
      <c r="F118" s="41" t="s">
        <v>361</v>
      </c>
      <c r="G118" s="39" t="s">
        <v>35</v>
      </c>
      <c r="H118" s="39" t="s">
        <v>19</v>
      </c>
      <c r="I118" s="39">
        <v>1</v>
      </c>
      <c r="J118" s="42">
        <v>220034000</v>
      </c>
      <c r="K118" s="38" t="s">
        <v>206</v>
      </c>
      <c r="L118" s="38" t="s">
        <v>207</v>
      </c>
      <c r="M118" s="43" t="s">
        <v>362</v>
      </c>
      <c r="N118" s="2"/>
      <c r="O118" s="2"/>
      <c r="P118" s="2"/>
      <c r="Q118" s="2"/>
      <c r="R118" s="2"/>
      <c r="S118" s="2"/>
      <c r="T118" s="2"/>
      <c r="U118" s="2"/>
      <c r="V118" s="2"/>
      <c r="W118" s="2"/>
      <c r="X118" s="2"/>
      <c r="Y118" s="2"/>
      <c r="Z118" s="2"/>
    </row>
    <row r="119" spans="1:26" ht="12.75" hidden="1" customHeight="1">
      <c r="A119" s="38">
        <v>50.1</v>
      </c>
      <c r="B119" s="39"/>
      <c r="C119" s="40"/>
      <c r="D119" s="39"/>
      <c r="E119" s="39" t="s">
        <v>363</v>
      </c>
      <c r="F119" s="41" t="s">
        <v>364</v>
      </c>
      <c r="G119" s="39"/>
      <c r="H119" s="39"/>
      <c r="I119" s="39">
        <v>1</v>
      </c>
      <c r="J119" s="42">
        <v>0</v>
      </c>
      <c r="K119" s="38" t="s">
        <v>206</v>
      </c>
      <c r="L119" s="38" t="s">
        <v>207</v>
      </c>
      <c r="M119" s="43"/>
      <c r="N119" s="2"/>
      <c r="O119" s="2"/>
      <c r="P119" s="2"/>
      <c r="Q119" s="2"/>
      <c r="R119" s="2"/>
      <c r="S119" s="2"/>
      <c r="T119" s="2"/>
      <c r="U119" s="2"/>
      <c r="V119" s="2"/>
      <c r="W119" s="2"/>
      <c r="X119" s="2"/>
      <c r="Y119" s="2"/>
      <c r="Z119" s="2"/>
    </row>
    <row r="120" spans="1:26" ht="12.75" hidden="1" customHeight="1">
      <c r="A120" s="26">
        <v>51</v>
      </c>
      <c r="B120" s="27" t="s">
        <v>274</v>
      </c>
      <c r="C120" s="28">
        <v>41542</v>
      </c>
      <c r="D120" s="27"/>
      <c r="E120" s="27" t="s">
        <v>365</v>
      </c>
      <c r="F120" s="29" t="s">
        <v>366</v>
      </c>
      <c r="G120" s="27" t="s">
        <v>35</v>
      </c>
      <c r="H120" s="27" t="s">
        <v>19</v>
      </c>
      <c r="I120" s="27">
        <v>1</v>
      </c>
      <c r="J120" s="30">
        <v>327700776</v>
      </c>
      <c r="K120" s="26" t="s">
        <v>36</v>
      </c>
      <c r="L120" s="26" t="s">
        <v>141</v>
      </c>
      <c r="M120" s="31" t="s">
        <v>367</v>
      </c>
      <c r="N120" s="2"/>
      <c r="O120" s="2"/>
      <c r="P120" s="2"/>
      <c r="Q120" s="2"/>
      <c r="R120" s="2"/>
      <c r="S120" s="2"/>
      <c r="T120" s="2"/>
      <c r="U120" s="2"/>
      <c r="V120" s="2"/>
      <c r="W120" s="2"/>
      <c r="X120" s="2"/>
      <c r="Y120" s="2"/>
      <c r="Z120" s="2"/>
    </row>
    <row r="121" spans="1:26" ht="12.75" hidden="1" customHeight="1">
      <c r="A121" s="26" t="s">
        <v>368</v>
      </c>
      <c r="B121" s="27"/>
      <c r="C121" s="28"/>
      <c r="D121" s="27"/>
      <c r="E121" s="27" t="s">
        <v>369</v>
      </c>
      <c r="F121" s="29" t="s">
        <v>370</v>
      </c>
      <c r="G121" s="27"/>
      <c r="H121" s="27"/>
      <c r="I121" s="27">
        <v>1</v>
      </c>
      <c r="J121" s="30">
        <v>0</v>
      </c>
      <c r="K121" s="26" t="s">
        <v>36</v>
      </c>
      <c r="L121" s="26" t="s">
        <v>141</v>
      </c>
      <c r="M121" s="31"/>
      <c r="N121" s="2"/>
      <c r="O121" s="2"/>
      <c r="P121" s="2"/>
      <c r="Q121" s="2"/>
      <c r="R121" s="2"/>
      <c r="S121" s="2"/>
      <c r="T121" s="2"/>
      <c r="U121" s="2"/>
      <c r="V121" s="2"/>
      <c r="W121" s="2"/>
      <c r="X121" s="2"/>
      <c r="Y121" s="2"/>
      <c r="Z121" s="2"/>
    </row>
    <row r="122" spans="1:26" ht="12.75" hidden="1" customHeight="1">
      <c r="A122" s="26">
        <v>52</v>
      </c>
      <c r="B122" s="27" t="s">
        <v>274</v>
      </c>
      <c r="C122" s="28">
        <v>41542</v>
      </c>
      <c r="D122" s="27"/>
      <c r="E122" s="27" t="s">
        <v>371</v>
      </c>
      <c r="F122" s="29" t="s">
        <v>372</v>
      </c>
      <c r="G122" s="27" t="s">
        <v>35</v>
      </c>
      <c r="H122" s="27" t="s">
        <v>19</v>
      </c>
      <c r="I122" s="27">
        <v>1</v>
      </c>
      <c r="J122" s="30">
        <v>327700776</v>
      </c>
      <c r="K122" s="26" t="s">
        <v>36</v>
      </c>
      <c r="L122" s="26" t="s">
        <v>141</v>
      </c>
      <c r="M122" s="31" t="s">
        <v>339</v>
      </c>
      <c r="N122" s="2"/>
      <c r="O122" s="2"/>
      <c r="P122" s="2"/>
      <c r="Q122" s="2"/>
      <c r="R122" s="2"/>
      <c r="S122" s="2"/>
      <c r="T122" s="2"/>
      <c r="U122" s="2"/>
      <c r="V122" s="2"/>
      <c r="W122" s="2"/>
      <c r="X122" s="2"/>
      <c r="Y122" s="2"/>
      <c r="Z122" s="2"/>
    </row>
    <row r="123" spans="1:26" ht="12.75" hidden="1" customHeight="1">
      <c r="A123" s="26" t="s">
        <v>373</v>
      </c>
      <c r="B123" s="27"/>
      <c r="C123" s="28"/>
      <c r="D123" s="27"/>
      <c r="E123" s="27" t="s">
        <v>374</v>
      </c>
      <c r="F123" s="29" t="s">
        <v>375</v>
      </c>
      <c r="G123" s="27"/>
      <c r="H123" s="27"/>
      <c r="I123" s="27">
        <v>1</v>
      </c>
      <c r="J123" s="30">
        <v>0</v>
      </c>
      <c r="K123" s="26" t="s">
        <v>36</v>
      </c>
      <c r="L123" s="26" t="s">
        <v>141</v>
      </c>
      <c r="M123" s="31"/>
      <c r="N123" s="2"/>
      <c r="O123" s="2"/>
      <c r="P123" s="2"/>
      <c r="Q123" s="2"/>
      <c r="R123" s="2"/>
      <c r="S123" s="2"/>
      <c r="T123" s="2"/>
      <c r="U123" s="2"/>
      <c r="V123" s="2"/>
      <c r="W123" s="2"/>
      <c r="X123" s="2"/>
      <c r="Y123" s="2"/>
      <c r="Z123" s="2"/>
    </row>
    <row r="124" spans="1:26" ht="12.75" hidden="1" customHeight="1">
      <c r="A124" s="26">
        <v>53</v>
      </c>
      <c r="B124" s="27" t="s">
        <v>274</v>
      </c>
      <c r="C124" s="28">
        <v>41542</v>
      </c>
      <c r="D124" s="27"/>
      <c r="E124" s="27" t="s">
        <v>376</v>
      </c>
      <c r="F124" s="29" t="s">
        <v>377</v>
      </c>
      <c r="G124" s="27" t="s">
        <v>35</v>
      </c>
      <c r="H124" s="27" t="s">
        <v>19</v>
      </c>
      <c r="I124" s="27">
        <v>1</v>
      </c>
      <c r="J124" s="30">
        <v>154602654</v>
      </c>
      <c r="K124" s="26" t="s">
        <v>36</v>
      </c>
      <c r="L124" s="26" t="s">
        <v>141</v>
      </c>
      <c r="M124" s="31" t="s">
        <v>378</v>
      </c>
      <c r="N124" s="2"/>
      <c r="O124" s="2"/>
      <c r="P124" s="2"/>
      <c r="Q124" s="2"/>
      <c r="R124" s="2"/>
      <c r="S124" s="2"/>
      <c r="T124" s="2"/>
      <c r="U124" s="2"/>
      <c r="V124" s="2"/>
      <c r="W124" s="2"/>
      <c r="X124" s="2"/>
      <c r="Y124" s="2"/>
      <c r="Z124" s="2"/>
    </row>
    <row r="125" spans="1:26" ht="12.75" hidden="1" customHeight="1">
      <c r="A125" s="26" t="s">
        <v>379</v>
      </c>
      <c r="B125" s="27"/>
      <c r="C125" s="28"/>
      <c r="D125" s="27"/>
      <c r="E125" s="27" t="s">
        <v>380</v>
      </c>
      <c r="F125" s="29" t="s">
        <v>381</v>
      </c>
      <c r="G125" s="27"/>
      <c r="H125" s="27"/>
      <c r="I125" s="27">
        <v>1</v>
      </c>
      <c r="J125" s="30">
        <v>0</v>
      </c>
      <c r="K125" s="26" t="s">
        <v>36</v>
      </c>
      <c r="L125" s="26" t="s">
        <v>141</v>
      </c>
      <c r="M125" s="31"/>
      <c r="N125" s="2"/>
      <c r="O125" s="2"/>
      <c r="P125" s="2"/>
      <c r="Q125" s="2"/>
      <c r="R125" s="2"/>
      <c r="S125" s="2"/>
      <c r="T125" s="2"/>
      <c r="U125" s="2"/>
      <c r="V125" s="2"/>
      <c r="W125" s="2"/>
      <c r="X125" s="2"/>
      <c r="Y125" s="2"/>
      <c r="Z125" s="2"/>
    </row>
    <row r="126" spans="1:26" ht="12.75" hidden="1" customHeight="1">
      <c r="A126" s="26">
        <v>54</v>
      </c>
      <c r="B126" s="27" t="s">
        <v>274</v>
      </c>
      <c r="C126" s="28">
        <v>41542</v>
      </c>
      <c r="D126" s="27"/>
      <c r="E126" s="27" t="s">
        <v>382</v>
      </c>
      <c r="F126" s="29" t="s">
        <v>383</v>
      </c>
      <c r="G126" s="27" t="s">
        <v>35</v>
      </c>
      <c r="H126" s="27" t="s">
        <v>19</v>
      </c>
      <c r="I126" s="27">
        <v>1</v>
      </c>
      <c r="J126" s="30">
        <v>154602654</v>
      </c>
      <c r="K126" s="26" t="s">
        <v>36</v>
      </c>
      <c r="L126" s="45" t="s">
        <v>141</v>
      </c>
      <c r="M126" s="46" t="s">
        <v>384</v>
      </c>
      <c r="N126" s="2"/>
      <c r="O126" s="2"/>
      <c r="P126" s="2"/>
      <c r="Q126" s="2"/>
      <c r="R126" s="2"/>
      <c r="S126" s="2"/>
      <c r="T126" s="2"/>
      <c r="U126" s="2"/>
      <c r="V126" s="2"/>
      <c r="W126" s="2"/>
      <c r="X126" s="2"/>
      <c r="Y126" s="2"/>
      <c r="Z126" s="2"/>
    </row>
    <row r="127" spans="1:26" ht="12.75" hidden="1" customHeight="1">
      <c r="A127" s="26" t="s">
        <v>385</v>
      </c>
      <c r="B127" s="27"/>
      <c r="C127" s="28"/>
      <c r="D127" s="27"/>
      <c r="E127" s="27" t="s">
        <v>386</v>
      </c>
      <c r="F127" s="29" t="s">
        <v>387</v>
      </c>
      <c r="G127" s="27"/>
      <c r="H127" s="27"/>
      <c r="I127" s="27">
        <v>1</v>
      </c>
      <c r="J127" s="30">
        <v>0</v>
      </c>
      <c r="K127" s="26" t="s">
        <v>36</v>
      </c>
      <c r="L127" s="26" t="s">
        <v>141</v>
      </c>
      <c r="M127" s="31"/>
      <c r="N127" s="2"/>
      <c r="O127" s="2"/>
      <c r="P127" s="2"/>
      <c r="Q127" s="2"/>
      <c r="R127" s="2"/>
      <c r="S127" s="2"/>
      <c r="T127" s="2"/>
      <c r="U127" s="2"/>
      <c r="V127" s="2"/>
      <c r="W127" s="2"/>
      <c r="X127" s="2"/>
      <c r="Y127" s="2"/>
      <c r="Z127" s="2"/>
    </row>
    <row r="128" spans="1:26" ht="25.5" hidden="1" customHeight="1">
      <c r="A128" s="26">
        <v>55</v>
      </c>
      <c r="B128" s="27" t="s">
        <v>388</v>
      </c>
      <c r="C128" s="28">
        <v>41576</v>
      </c>
      <c r="D128" s="27"/>
      <c r="E128" s="27" t="s">
        <v>389</v>
      </c>
      <c r="F128" s="29" t="s">
        <v>390</v>
      </c>
      <c r="G128" s="27" t="s">
        <v>307</v>
      </c>
      <c r="H128" s="27" t="s">
        <v>19</v>
      </c>
      <c r="I128" s="27">
        <v>1</v>
      </c>
      <c r="J128" s="30">
        <v>181724537</v>
      </c>
      <c r="K128" s="26" t="s">
        <v>36</v>
      </c>
      <c r="L128" s="26" t="s">
        <v>141</v>
      </c>
      <c r="M128" s="31" t="s">
        <v>391</v>
      </c>
      <c r="N128" s="2"/>
      <c r="O128" s="2"/>
      <c r="P128" s="2"/>
      <c r="Q128" s="2"/>
      <c r="R128" s="2"/>
      <c r="S128" s="2"/>
      <c r="T128" s="2"/>
      <c r="U128" s="2"/>
      <c r="V128" s="2"/>
      <c r="W128" s="2"/>
      <c r="X128" s="2"/>
      <c r="Y128" s="2"/>
      <c r="Z128" s="2"/>
    </row>
    <row r="129" spans="1:26" ht="63.75" hidden="1" customHeight="1">
      <c r="A129" s="26">
        <v>56</v>
      </c>
      <c r="B129" s="27" t="s">
        <v>388</v>
      </c>
      <c r="C129" s="28">
        <v>41576</v>
      </c>
      <c r="D129" s="27"/>
      <c r="E129" s="27" t="s">
        <v>392</v>
      </c>
      <c r="F129" s="29" t="s">
        <v>393</v>
      </c>
      <c r="G129" s="27" t="s">
        <v>55</v>
      </c>
      <c r="H129" s="27" t="s">
        <v>19</v>
      </c>
      <c r="I129" s="27">
        <v>1</v>
      </c>
      <c r="J129" s="30">
        <v>1578228438</v>
      </c>
      <c r="K129" s="26" t="s">
        <v>36</v>
      </c>
      <c r="L129" s="26" t="s">
        <v>141</v>
      </c>
      <c r="M129" s="31" t="s">
        <v>394</v>
      </c>
      <c r="N129" s="2"/>
      <c r="O129" s="2"/>
      <c r="P129" s="2"/>
      <c r="Q129" s="2"/>
      <c r="R129" s="2"/>
      <c r="S129" s="2"/>
      <c r="T129" s="2"/>
      <c r="U129" s="2"/>
      <c r="V129" s="2"/>
      <c r="W129" s="2"/>
      <c r="X129" s="2"/>
      <c r="Y129" s="2"/>
      <c r="Z129" s="2"/>
    </row>
    <row r="130" spans="1:26" ht="12.75" hidden="1" customHeight="1">
      <c r="A130" s="26" t="s">
        <v>395</v>
      </c>
      <c r="B130" s="27"/>
      <c r="C130" s="28"/>
      <c r="D130" s="27"/>
      <c r="E130" s="27" t="s">
        <v>396</v>
      </c>
      <c r="F130" s="29" t="s">
        <v>397</v>
      </c>
      <c r="G130" s="27"/>
      <c r="H130" s="27"/>
      <c r="I130" s="27">
        <v>1</v>
      </c>
      <c r="J130" s="30">
        <v>0</v>
      </c>
      <c r="K130" s="26" t="s">
        <v>36</v>
      </c>
      <c r="L130" s="26" t="s">
        <v>141</v>
      </c>
      <c r="M130" s="31"/>
      <c r="N130" s="2"/>
      <c r="O130" s="2"/>
      <c r="P130" s="2"/>
      <c r="Q130" s="2"/>
      <c r="R130" s="2"/>
      <c r="S130" s="2"/>
      <c r="T130" s="2"/>
      <c r="U130" s="2"/>
      <c r="V130" s="2"/>
      <c r="W130" s="2"/>
      <c r="X130" s="2"/>
      <c r="Y130" s="2"/>
      <c r="Z130" s="2"/>
    </row>
    <row r="131" spans="1:26" ht="12.75" hidden="1" customHeight="1">
      <c r="A131" s="26" t="s">
        <v>398</v>
      </c>
      <c r="B131" s="27"/>
      <c r="C131" s="28"/>
      <c r="D131" s="27"/>
      <c r="E131" s="27" t="s">
        <v>399</v>
      </c>
      <c r="F131" s="29" t="s">
        <v>400</v>
      </c>
      <c r="G131" s="27"/>
      <c r="H131" s="27"/>
      <c r="I131" s="27">
        <v>1</v>
      </c>
      <c r="J131" s="30">
        <v>0</v>
      </c>
      <c r="K131" s="26" t="s">
        <v>36</v>
      </c>
      <c r="L131" s="26" t="s">
        <v>141</v>
      </c>
      <c r="M131" s="31"/>
      <c r="N131" s="2"/>
      <c r="O131" s="2"/>
      <c r="P131" s="2"/>
      <c r="Q131" s="2"/>
      <c r="R131" s="2"/>
      <c r="S131" s="2"/>
      <c r="T131" s="2"/>
      <c r="U131" s="2"/>
      <c r="V131" s="2"/>
      <c r="W131" s="2"/>
      <c r="X131" s="2"/>
      <c r="Y131" s="2"/>
      <c r="Z131" s="2"/>
    </row>
    <row r="132" spans="1:26" ht="25.5" hidden="1" customHeight="1">
      <c r="A132" s="26">
        <v>57</v>
      </c>
      <c r="B132" s="27" t="s">
        <v>388</v>
      </c>
      <c r="C132" s="28">
        <v>41576</v>
      </c>
      <c r="D132" s="27"/>
      <c r="E132" s="27" t="s">
        <v>401</v>
      </c>
      <c r="F132" s="29" t="s">
        <v>402</v>
      </c>
      <c r="G132" s="27" t="s">
        <v>55</v>
      </c>
      <c r="H132" s="27" t="s">
        <v>19</v>
      </c>
      <c r="I132" s="27">
        <v>1</v>
      </c>
      <c r="J132" s="30">
        <v>709294101</v>
      </c>
      <c r="K132" s="26" t="s">
        <v>36</v>
      </c>
      <c r="L132" s="26" t="s">
        <v>141</v>
      </c>
      <c r="M132" s="31" t="s">
        <v>394</v>
      </c>
      <c r="N132" s="2"/>
      <c r="O132" s="2"/>
      <c r="P132" s="2"/>
      <c r="Q132" s="2"/>
      <c r="R132" s="2"/>
      <c r="S132" s="2"/>
      <c r="T132" s="2"/>
      <c r="U132" s="2"/>
      <c r="V132" s="2"/>
      <c r="W132" s="2"/>
      <c r="X132" s="2"/>
      <c r="Y132" s="2"/>
      <c r="Z132" s="2"/>
    </row>
    <row r="133" spans="1:26" ht="25.5" hidden="1" customHeight="1">
      <c r="A133" s="26">
        <v>58</v>
      </c>
      <c r="B133" s="27" t="s">
        <v>388</v>
      </c>
      <c r="C133" s="28">
        <v>41576</v>
      </c>
      <c r="D133" s="27"/>
      <c r="E133" s="27" t="s">
        <v>403</v>
      </c>
      <c r="F133" s="29" t="s">
        <v>404</v>
      </c>
      <c r="G133" s="27" t="s">
        <v>55</v>
      </c>
      <c r="H133" s="27" t="s">
        <v>19</v>
      </c>
      <c r="I133" s="27">
        <v>1</v>
      </c>
      <c r="J133" s="30">
        <v>165083338</v>
      </c>
      <c r="K133" s="26" t="s">
        <v>36</v>
      </c>
      <c r="L133" s="26" t="s">
        <v>141</v>
      </c>
      <c r="M133" s="31" t="s">
        <v>394</v>
      </c>
      <c r="N133" s="2"/>
      <c r="O133" s="2"/>
      <c r="P133" s="2"/>
      <c r="Q133" s="2"/>
      <c r="R133" s="2"/>
      <c r="S133" s="2"/>
      <c r="T133" s="2"/>
      <c r="U133" s="2"/>
      <c r="V133" s="2"/>
      <c r="W133" s="2"/>
      <c r="X133" s="2"/>
      <c r="Y133" s="2"/>
      <c r="Z133" s="2"/>
    </row>
    <row r="134" spans="1:26" ht="25.5" hidden="1" customHeight="1">
      <c r="A134" s="26">
        <v>59</v>
      </c>
      <c r="B134" s="27" t="s">
        <v>388</v>
      </c>
      <c r="C134" s="28">
        <v>41576</v>
      </c>
      <c r="D134" s="27"/>
      <c r="E134" s="27" t="s">
        <v>405</v>
      </c>
      <c r="F134" s="29" t="s">
        <v>406</v>
      </c>
      <c r="G134" s="27" t="s">
        <v>407</v>
      </c>
      <c r="H134" s="27" t="s">
        <v>19</v>
      </c>
      <c r="I134" s="27">
        <v>1</v>
      </c>
      <c r="J134" s="30">
        <v>230680171</v>
      </c>
      <c r="K134" s="26" t="s">
        <v>36</v>
      </c>
      <c r="L134" s="26" t="s">
        <v>141</v>
      </c>
      <c r="M134" s="31" t="s">
        <v>394</v>
      </c>
      <c r="N134" s="2"/>
      <c r="O134" s="2"/>
      <c r="P134" s="2"/>
      <c r="Q134" s="2"/>
      <c r="R134" s="2"/>
      <c r="S134" s="2"/>
      <c r="T134" s="2"/>
      <c r="U134" s="2"/>
      <c r="V134" s="2"/>
      <c r="W134" s="2"/>
      <c r="X134" s="2"/>
      <c r="Y134" s="2"/>
      <c r="Z134" s="2"/>
    </row>
    <row r="135" spans="1:26" ht="12.75" hidden="1" customHeight="1">
      <c r="A135" s="26" t="s">
        <v>408</v>
      </c>
      <c r="B135" s="27"/>
      <c r="C135" s="28"/>
      <c r="D135" s="27"/>
      <c r="E135" s="27" t="s">
        <v>409</v>
      </c>
      <c r="F135" s="29" t="s">
        <v>410</v>
      </c>
      <c r="G135" s="27"/>
      <c r="H135" s="27"/>
      <c r="I135" s="27">
        <v>1</v>
      </c>
      <c r="J135" s="30">
        <v>0</v>
      </c>
      <c r="K135" s="26" t="s">
        <v>36</v>
      </c>
      <c r="L135" s="26" t="s">
        <v>141</v>
      </c>
      <c r="M135" s="31"/>
      <c r="N135" s="2"/>
      <c r="O135" s="2"/>
      <c r="P135" s="2"/>
      <c r="Q135" s="2"/>
      <c r="R135" s="2"/>
      <c r="S135" s="2"/>
      <c r="T135" s="2"/>
      <c r="U135" s="2"/>
      <c r="V135" s="2"/>
      <c r="W135" s="2"/>
      <c r="X135" s="2"/>
      <c r="Y135" s="2"/>
      <c r="Z135" s="2"/>
    </row>
    <row r="136" spans="1:26" ht="12.75" hidden="1" customHeight="1">
      <c r="A136" s="26">
        <v>60</v>
      </c>
      <c r="B136" s="27" t="s">
        <v>411</v>
      </c>
      <c r="C136" s="28">
        <v>41599</v>
      </c>
      <c r="D136" s="27"/>
      <c r="E136" s="27" t="s">
        <v>412</v>
      </c>
      <c r="F136" s="29" t="s">
        <v>413</v>
      </c>
      <c r="G136" s="27" t="s">
        <v>307</v>
      </c>
      <c r="H136" s="27" t="s">
        <v>19</v>
      </c>
      <c r="I136" s="27">
        <v>1</v>
      </c>
      <c r="J136" s="30">
        <v>4399153344</v>
      </c>
      <c r="K136" s="26" t="s">
        <v>20</v>
      </c>
      <c r="L136" s="26" t="s">
        <v>284</v>
      </c>
      <c r="M136" s="31" t="s">
        <v>5303</v>
      </c>
      <c r="N136" s="2"/>
      <c r="O136" s="2"/>
      <c r="P136" s="2"/>
      <c r="Q136" s="2"/>
      <c r="R136" s="2"/>
      <c r="S136" s="2"/>
      <c r="T136" s="2"/>
      <c r="U136" s="2"/>
      <c r="V136" s="2"/>
      <c r="W136" s="2"/>
      <c r="X136" s="2"/>
      <c r="Y136" s="2"/>
      <c r="Z136" s="2"/>
    </row>
    <row r="137" spans="1:26" ht="12.75" hidden="1" customHeight="1">
      <c r="A137" s="26" t="s">
        <v>414</v>
      </c>
      <c r="B137" s="27"/>
      <c r="C137" s="28"/>
      <c r="D137" s="27"/>
      <c r="E137" s="27" t="s">
        <v>415</v>
      </c>
      <c r="F137" s="29" t="s">
        <v>416</v>
      </c>
      <c r="G137" s="27"/>
      <c r="H137" s="27"/>
      <c r="I137" s="27">
        <v>1</v>
      </c>
      <c r="J137" s="30">
        <v>0</v>
      </c>
      <c r="K137" s="26" t="s">
        <v>20</v>
      </c>
      <c r="L137" s="26" t="s">
        <v>284</v>
      </c>
      <c r="M137" s="31" t="s">
        <v>3947</v>
      </c>
      <c r="N137" s="2"/>
      <c r="O137" s="2"/>
      <c r="P137" s="2"/>
      <c r="Q137" s="2"/>
      <c r="R137" s="2"/>
      <c r="S137" s="2"/>
      <c r="T137" s="2"/>
      <c r="U137" s="2"/>
      <c r="V137" s="2"/>
      <c r="W137" s="2"/>
      <c r="X137" s="2"/>
      <c r="Y137" s="2"/>
      <c r="Z137" s="2"/>
    </row>
    <row r="138" spans="1:26" ht="12.75" hidden="1" customHeight="1">
      <c r="A138" s="26" t="s">
        <v>417</v>
      </c>
      <c r="B138" s="27"/>
      <c r="C138" s="28"/>
      <c r="D138" s="27"/>
      <c r="E138" s="27" t="s">
        <v>418</v>
      </c>
      <c r="F138" s="29" t="s">
        <v>419</v>
      </c>
      <c r="G138" s="27"/>
      <c r="H138" s="27"/>
      <c r="I138" s="27">
        <v>1</v>
      </c>
      <c r="J138" s="30">
        <v>0</v>
      </c>
      <c r="K138" s="26" t="s">
        <v>20</v>
      </c>
      <c r="L138" s="26" t="s">
        <v>284</v>
      </c>
      <c r="M138" s="31" t="s">
        <v>5304</v>
      </c>
      <c r="N138" s="2"/>
      <c r="O138" s="2"/>
      <c r="P138" s="2"/>
      <c r="Q138" s="2"/>
      <c r="R138" s="2"/>
      <c r="S138" s="2"/>
      <c r="T138" s="2"/>
      <c r="U138" s="2"/>
      <c r="V138" s="2"/>
      <c r="W138" s="2"/>
      <c r="X138" s="2"/>
      <c r="Y138" s="2"/>
      <c r="Z138" s="2"/>
    </row>
    <row r="139" spans="1:26" ht="12.75" hidden="1" customHeight="1">
      <c r="A139" s="26" t="s">
        <v>420</v>
      </c>
      <c r="B139" s="27"/>
      <c r="C139" s="28"/>
      <c r="D139" s="27"/>
      <c r="E139" s="27" t="s">
        <v>421</v>
      </c>
      <c r="F139" s="29" t="s">
        <v>422</v>
      </c>
      <c r="G139" s="27"/>
      <c r="H139" s="27"/>
      <c r="I139" s="27">
        <v>1</v>
      </c>
      <c r="J139" s="30">
        <v>0</v>
      </c>
      <c r="K139" s="26" t="s">
        <v>20</v>
      </c>
      <c r="L139" s="26" t="s">
        <v>284</v>
      </c>
      <c r="M139" s="31" t="s">
        <v>5164</v>
      </c>
      <c r="N139" s="2"/>
      <c r="O139" s="2"/>
      <c r="P139" s="2"/>
      <c r="Q139" s="2"/>
      <c r="R139" s="2"/>
      <c r="S139" s="2"/>
      <c r="T139" s="2"/>
      <c r="U139" s="2"/>
      <c r="V139" s="2"/>
      <c r="W139" s="2"/>
      <c r="X139" s="2"/>
      <c r="Y139" s="2"/>
      <c r="Z139" s="2"/>
    </row>
    <row r="140" spans="1:26" ht="12.75" hidden="1" customHeight="1">
      <c r="A140" s="26">
        <v>61</v>
      </c>
      <c r="B140" s="27" t="s">
        <v>219</v>
      </c>
      <c r="C140" s="28">
        <v>41635</v>
      </c>
      <c r="D140" s="27"/>
      <c r="E140" s="27" t="s">
        <v>425</v>
      </c>
      <c r="F140" s="29" t="s">
        <v>426</v>
      </c>
      <c r="G140" s="27" t="s">
        <v>35</v>
      </c>
      <c r="H140" s="27" t="s">
        <v>19</v>
      </c>
      <c r="I140" s="27">
        <v>1</v>
      </c>
      <c r="J140" s="30">
        <v>254478352</v>
      </c>
      <c r="K140" s="26" t="s">
        <v>206</v>
      </c>
      <c r="L140" s="26" t="s">
        <v>207</v>
      </c>
      <c r="M140" s="31" t="s">
        <v>427</v>
      </c>
      <c r="N140" s="2"/>
      <c r="O140" s="2"/>
      <c r="P140" s="2"/>
      <c r="Q140" s="2"/>
      <c r="R140" s="2"/>
      <c r="S140" s="2"/>
      <c r="T140" s="2"/>
      <c r="U140" s="2"/>
      <c r="V140" s="2"/>
      <c r="W140" s="2"/>
      <c r="X140" s="2"/>
      <c r="Y140" s="2"/>
      <c r="Z140" s="2"/>
    </row>
    <row r="141" spans="1:26" ht="12.75" hidden="1" customHeight="1">
      <c r="A141" s="26" t="s">
        <v>428</v>
      </c>
      <c r="B141" s="27"/>
      <c r="C141" s="28"/>
      <c r="D141" s="27"/>
      <c r="E141" s="27" t="s">
        <v>429</v>
      </c>
      <c r="F141" s="29" t="s">
        <v>430</v>
      </c>
      <c r="G141" s="27"/>
      <c r="H141" s="27"/>
      <c r="I141" s="27">
        <v>1</v>
      </c>
      <c r="J141" s="30">
        <v>0</v>
      </c>
      <c r="K141" s="26" t="s">
        <v>206</v>
      </c>
      <c r="L141" s="26" t="s">
        <v>207</v>
      </c>
      <c r="M141" s="31"/>
      <c r="N141" s="2"/>
      <c r="O141" s="2"/>
      <c r="P141" s="2"/>
      <c r="Q141" s="2"/>
      <c r="R141" s="2"/>
      <c r="S141" s="2"/>
      <c r="T141" s="2"/>
      <c r="U141" s="2"/>
      <c r="V141" s="2"/>
      <c r="W141" s="2"/>
      <c r="X141" s="2"/>
      <c r="Y141" s="2"/>
      <c r="Z141" s="2"/>
    </row>
    <row r="142" spans="1:26" ht="12.75" hidden="1" customHeight="1">
      <c r="A142" s="26" t="s">
        <v>431</v>
      </c>
      <c r="B142" s="27"/>
      <c r="C142" s="28"/>
      <c r="D142" s="27"/>
      <c r="E142" s="27" t="s">
        <v>432</v>
      </c>
      <c r="F142" s="29" t="s">
        <v>433</v>
      </c>
      <c r="G142" s="27"/>
      <c r="H142" s="27"/>
      <c r="I142" s="27">
        <v>1</v>
      </c>
      <c r="J142" s="30">
        <v>0</v>
      </c>
      <c r="K142" s="26" t="s">
        <v>206</v>
      </c>
      <c r="L142" s="26" t="s">
        <v>207</v>
      </c>
      <c r="M142" s="31"/>
      <c r="N142" s="2"/>
      <c r="O142" s="2"/>
      <c r="P142" s="2"/>
      <c r="Q142" s="2"/>
      <c r="R142" s="2"/>
      <c r="S142" s="2"/>
      <c r="T142" s="2"/>
      <c r="U142" s="2"/>
      <c r="V142" s="2"/>
      <c r="W142" s="2"/>
      <c r="X142" s="2"/>
      <c r="Y142" s="2"/>
      <c r="Z142" s="2"/>
    </row>
    <row r="143" spans="1:26" ht="12.75" hidden="1" customHeight="1">
      <c r="A143" s="26" t="s">
        <v>434</v>
      </c>
      <c r="B143" s="27"/>
      <c r="C143" s="28"/>
      <c r="D143" s="27"/>
      <c r="E143" s="27" t="s">
        <v>435</v>
      </c>
      <c r="F143" s="29" t="s">
        <v>436</v>
      </c>
      <c r="G143" s="27"/>
      <c r="H143" s="27"/>
      <c r="I143" s="27">
        <v>1</v>
      </c>
      <c r="J143" s="30">
        <v>0</v>
      </c>
      <c r="K143" s="26" t="s">
        <v>206</v>
      </c>
      <c r="L143" s="26" t="s">
        <v>207</v>
      </c>
      <c r="M143" s="31"/>
      <c r="N143" s="2"/>
      <c r="O143" s="2"/>
      <c r="P143" s="2"/>
      <c r="Q143" s="2"/>
      <c r="R143" s="2"/>
      <c r="S143" s="2"/>
      <c r="T143" s="2"/>
      <c r="U143" s="2"/>
      <c r="V143" s="2"/>
      <c r="W143" s="2"/>
      <c r="X143" s="2"/>
      <c r="Y143" s="2"/>
      <c r="Z143" s="2"/>
    </row>
    <row r="144" spans="1:26" ht="12.75" hidden="1" customHeight="1">
      <c r="A144" s="26">
        <v>62</v>
      </c>
      <c r="B144" s="27" t="s">
        <v>219</v>
      </c>
      <c r="C144" s="28">
        <v>41635</v>
      </c>
      <c r="D144" s="27"/>
      <c r="E144" s="27" t="s">
        <v>437</v>
      </c>
      <c r="F144" s="29" t="s">
        <v>438</v>
      </c>
      <c r="G144" s="27" t="s">
        <v>35</v>
      </c>
      <c r="H144" s="27" t="s">
        <v>19</v>
      </c>
      <c r="I144" s="27">
        <v>1</v>
      </c>
      <c r="J144" s="30">
        <v>254478352</v>
      </c>
      <c r="K144" s="26" t="s">
        <v>206</v>
      </c>
      <c r="L144" s="26" t="s">
        <v>207</v>
      </c>
      <c r="M144" s="31" t="s">
        <v>439</v>
      </c>
      <c r="N144" s="2"/>
      <c r="O144" s="2"/>
      <c r="P144" s="2"/>
      <c r="Q144" s="2"/>
      <c r="R144" s="2"/>
      <c r="S144" s="2"/>
      <c r="T144" s="2"/>
      <c r="U144" s="2"/>
      <c r="V144" s="2"/>
      <c r="W144" s="2"/>
      <c r="X144" s="2"/>
      <c r="Y144" s="2"/>
      <c r="Z144" s="2"/>
    </row>
    <row r="145" spans="1:26" ht="12.75" hidden="1" customHeight="1">
      <c r="A145" s="26" t="s">
        <v>440</v>
      </c>
      <c r="B145" s="27"/>
      <c r="C145" s="28"/>
      <c r="D145" s="27"/>
      <c r="E145" s="27" t="s">
        <v>441</v>
      </c>
      <c r="F145" s="29" t="s">
        <v>442</v>
      </c>
      <c r="G145" s="27"/>
      <c r="H145" s="27"/>
      <c r="I145" s="27">
        <v>1</v>
      </c>
      <c r="J145" s="30">
        <v>0</v>
      </c>
      <c r="K145" s="26" t="s">
        <v>206</v>
      </c>
      <c r="L145" s="26" t="s">
        <v>207</v>
      </c>
      <c r="M145" s="31"/>
      <c r="N145" s="2"/>
      <c r="O145" s="2"/>
      <c r="P145" s="2"/>
      <c r="Q145" s="2"/>
      <c r="R145" s="2"/>
      <c r="S145" s="2"/>
      <c r="T145" s="2"/>
      <c r="U145" s="2"/>
      <c r="V145" s="2"/>
      <c r="W145" s="2"/>
      <c r="X145" s="2"/>
      <c r="Y145" s="2"/>
      <c r="Z145" s="2"/>
    </row>
    <row r="146" spans="1:26" ht="12.75" hidden="1" customHeight="1">
      <c r="A146" s="26" t="s">
        <v>443</v>
      </c>
      <c r="B146" s="27"/>
      <c r="C146" s="28"/>
      <c r="D146" s="27"/>
      <c r="E146" s="27" t="s">
        <v>444</v>
      </c>
      <c r="F146" s="29" t="s">
        <v>445</v>
      </c>
      <c r="G146" s="27"/>
      <c r="H146" s="27"/>
      <c r="I146" s="27">
        <v>1</v>
      </c>
      <c r="J146" s="30">
        <v>0</v>
      </c>
      <c r="K146" s="26" t="s">
        <v>206</v>
      </c>
      <c r="L146" s="26" t="s">
        <v>207</v>
      </c>
      <c r="M146" s="31"/>
      <c r="N146" s="2"/>
      <c r="O146" s="2"/>
      <c r="P146" s="2"/>
      <c r="Q146" s="2"/>
      <c r="R146" s="2"/>
      <c r="S146" s="2"/>
      <c r="T146" s="2"/>
      <c r="U146" s="2"/>
      <c r="V146" s="2"/>
      <c r="W146" s="2"/>
      <c r="X146" s="2"/>
      <c r="Y146" s="2"/>
      <c r="Z146" s="2"/>
    </row>
    <row r="147" spans="1:26" ht="12.75" hidden="1" customHeight="1">
      <c r="A147" s="26" t="s">
        <v>446</v>
      </c>
      <c r="B147" s="27"/>
      <c r="C147" s="28"/>
      <c r="D147" s="27"/>
      <c r="E147" s="27" t="s">
        <v>447</v>
      </c>
      <c r="F147" s="29" t="s">
        <v>448</v>
      </c>
      <c r="G147" s="27"/>
      <c r="H147" s="27"/>
      <c r="I147" s="27">
        <v>1</v>
      </c>
      <c r="J147" s="30">
        <v>0</v>
      </c>
      <c r="K147" s="26" t="s">
        <v>206</v>
      </c>
      <c r="L147" s="26" t="s">
        <v>207</v>
      </c>
      <c r="M147" s="31"/>
      <c r="N147" s="2"/>
      <c r="O147" s="2"/>
      <c r="P147" s="2"/>
      <c r="Q147" s="2"/>
      <c r="R147" s="2"/>
      <c r="S147" s="2"/>
      <c r="T147" s="2"/>
      <c r="U147" s="2"/>
      <c r="V147" s="2"/>
      <c r="W147" s="2"/>
      <c r="X147" s="2"/>
      <c r="Y147" s="2"/>
      <c r="Z147" s="2"/>
    </row>
    <row r="148" spans="1:26" ht="12.75" hidden="1" customHeight="1">
      <c r="A148" s="26">
        <v>63</v>
      </c>
      <c r="B148" s="27" t="s">
        <v>219</v>
      </c>
      <c r="C148" s="28">
        <v>41635</v>
      </c>
      <c r="D148" s="27"/>
      <c r="E148" s="27" t="s">
        <v>449</v>
      </c>
      <c r="F148" s="29" t="s">
        <v>450</v>
      </c>
      <c r="G148" s="27" t="s">
        <v>35</v>
      </c>
      <c r="H148" s="27" t="s">
        <v>19</v>
      </c>
      <c r="I148" s="27">
        <v>1</v>
      </c>
      <c r="J148" s="30">
        <v>254478352</v>
      </c>
      <c r="K148" s="26" t="s">
        <v>206</v>
      </c>
      <c r="L148" s="26" t="s">
        <v>207</v>
      </c>
      <c r="M148" s="31" t="s">
        <v>451</v>
      </c>
      <c r="N148" s="2"/>
      <c r="O148" s="2"/>
      <c r="P148" s="2"/>
      <c r="Q148" s="2"/>
      <c r="R148" s="2"/>
      <c r="S148" s="2"/>
      <c r="T148" s="2"/>
      <c r="U148" s="2"/>
      <c r="V148" s="2"/>
      <c r="W148" s="2"/>
      <c r="X148" s="2"/>
      <c r="Y148" s="2"/>
      <c r="Z148" s="2"/>
    </row>
    <row r="149" spans="1:26" ht="12.75" hidden="1" customHeight="1">
      <c r="A149" s="26" t="s">
        <v>452</v>
      </c>
      <c r="B149" s="27"/>
      <c r="C149" s="28"/>
      <c r="D149" s="27"/>
      <c r="E149" s="27" t="s">
        <v>453</v>
      </c>
      <c r="F149" s="29" t="s">
        <v>454</v>
      </c>
      <c r="G149" s="27"/>
      <c r="H149" s="27"/>
      <c r="I149" s="27">
        <v>1</v>
      </c>
      <c r="J149" s="30">
        <v>0</v>
      </c>
      <c r="K149" s="26" t="s">
        <v>206</v>
      </c>
      <c r="L149" s="26" t="s">
        <v>207</v>
      </c>
      <c r="M149" s="31"/>
      <c r="N149" s="2"/>
      <c r="O149" s="2"/>
      <c r="P149" s="2"/>
      <c r="Q149" s="2"/>
      <c r="R149" s="2"/>
      <c r="S149" s="2"/>
      <c r="T149" s="2"/>
      <c r="U149" s="2"/>
      <c r="V149" s="2"/>
      <c r="W149" s="2"/>
      <c r="X149" s="2"/>
      <c r="Y149" s="2"/>
      <c r="Z149" s="2"/>
    </row>
    <row r="150" spans="1:26" ht="12.75" hidden="1" customHeight="1">
      <c r="A150" s="26">
        <v>64</v>
      </c>
      <c r="B150" s="27" t="s">
        <v>219</v>
      </c>
      <c r="C150" s="28">
        <v>41635</v>
      </c>
      <c r="D150" s="27"/>
      <c r="E150" s="27" t="s">
        <v>455</v>
      </c>
      <c r="F150" s="29" t="s">
        <v>456</v>
      </c>
      <c r="G150" s="27" t="s">
        <v>35</v>
      </c>
      <c r="H150" s="27" t="s">
        <v>19</v>
      </c>
      <c r="I150" s="27">
        <v>1</v>
      </c>
      <c r="J150" s="30">
        <v>254478352</v>
      </c>
      <c r="K150" s="26" t="s">
        <v>206</v>
      </c>
      <c r="L150" s="26" t="s">
        <v>207</v>
      </c>
      <c r="M150" s="31" t="s">
        <v>457</v>
      </c>
      <c r="N150" s="2"/>
      <c r="O150" s="2"/>
      <c r="P150" s="2"/>
      <c r="Q150" s="2"/>
      <c r="R150" s="2"/>
      <c r="S150" s="2"/>
      <c r="T150" s="2"/>
      <c r="U150" s="2"/>
      <c r="V150" s="2"/>
      <c r="W150" s="2"/>
      <c r="X150" s="2"/>
      <c r="Y150" s="2"/>
      <c r="Z150" s="2"/>
    </row>
    <row r="151" spans="1:26" ht="12.75" hidden="1" customHeight="1">
      <c r="A151" s="26" t="s">
        <v>458</v>
      </c>
      <c r="B151" s="27"/>
      <c r="C151" s="28"/>
      <c r="D151" s="27"/>
      <c r="E151" s="27" t="s">
        <v>459</v>
      </c>
      <c r="F151" s="29" t="s">
        <v>460</v>
      </c>
      <c r="G151" s="27"/>
      <c r="H151" s="27"/>
      <c r="I151" s="27">
        <v>1</v>
      </c>
      <c r="J151" s="30">
        <v>0</v>
      </c>
      <c r="K151" s="26" t="s">
        <v>206</v>
      </c>
      <c r="L151" s="26" t="s">
        <v>207</v>
      </c>
      <c r="M151" s="31"/>
      <c r="N151" s="2"/>
      <c r="O151" s="2"/>
      <c r="P151" s="2"/>
      <c r="Q151" s="2"/>
      <c r="R151" s="2"/>
      <c r="S151" s="2"/>
      <c r="T151" s="2"/>
      <c r="U151" s="2"/>
      <c r="V151" s="2"/>
      <c r="W151" s="2"/>
      <c r="X151" s="2"/>
      <c r="Y151" s="2"/>
      <c r="Z151" s="2"/>
    </row>
    <row r="152" spans="1:26" ht="25.5" hidden="1" customHeight="1">
      <c r="A152" s="26">
        <v>65</v>
      </c>
      <c r="B152" s="27" t="s">
        <v>461</v>
      </c>
      <c r="C152" s="28">
        <v>41841</v>
      </c>
      <c r="D152" s="27" t="s">
        <v>462</v>
      </c>
      <c r="E152" s="27" t="s">
        <v>463</v>
      </c>
      <c r="F152" s="29" t="s">
        <v>464</v>
      </c>
      <c r="G152" s="27" t="s">
        <v>307</v>
      </c>
      <c r="H152" s="27" t="s">
        <v>19</v>
      </c>
      <c r="I152" s="27">
        <v>1</v>
      </c>
      <c r="J152" s="30">
        <v>424846675</v>
      </c>
      <c r="K152" s="26" t="s">
        <v>36</v>
      </c>
      <c r="L152" s="26" t="s">
        <v>141</v>
      </c>
      <c r="M152" s="31" t="s">
        <v>465</v>
      </c>
      <c r="N152" s="2"/>
      <c r="O152" s="2"/>
      <c r="P152" s="2"/>
      <c r="Q152" s="2"/>
      <c r="R152" s="2"/>
      <c r="S152" s="2"/>
      <c r="T152" s="2"/>
      <c r="U152" s="2"/>
      <c r="V152" s="2"/>
      <c r="W152" s="2"/>
      <c r="X152" s="2"/>
      <c r="Y152" s="2"/>
      <c r="Z152" s="2"/>
    </row>
    <row r="153" spans="1:26" ht="25.5" hidden="1" customHeight="1">
      <c r="A153" s="26">
        <v>66</v>
      </c>
      <c r="B153" s="27" t="s">
        <v>466</v>
      </c>
      <c r="C153" s="28">
        <v>42626</v>
      </c>
      <c r="D153" s="27"/>
      <c r="E153" s="27" t="s">
        <v>467</v>
      </c>
      <c r="F153" s="29" t="s">
        <v>468</v>
      </c>
      <c r="G153" s="27" t="s">
        <v>307</v>
      </c>
      <c r="H153" s="27" t="s">
        <v>19</v>
      </c>
      <c r="I153" s="27">
        <v>1</v>
      </c>
      <c r="J153" s="30">
        <v>214830723</v>
      </c>
      <c r="K153" s="26" t="s">
        <v>36</v>
      </c>
      <c r="L153" s="26" t="s">
        <v>141</v>
      </c>
      <c r="M153" s="31" t="s">
        <v>469</v>
      </c>
      <c r="N153" s="2"/>
      <c r="O153" s="2"/>
      <c r="P153" s="2"/>
      <c r="Q153" s="2"/>
      <c r="R153" s="2"/>
      <c r="S153" s="2"/>
      <c r="T153" s="2"/>
      <c r="U153" s="2"/>
      <c r="V153" s="2"/>
      <c r="W153" s="2"/>
      <c r="X153" s="2"/>
      <c r="Y153" s="2"/>
      <c r="Z153" s="2"/>
    </row>
    <row r="154" spans="1:26" ht="25.5" hidden="1" customHeight="1">
      <c r="A154" s="26">
        <v>67</v>
      </c>
      <c r="B154" s="27" t="s">
        <v>470</v>
      </c>
      <c r="C154" s="28">
        <v>41983</v>
      </c>
      <c r="D154" s="27"/>
      <c r="E154" s="27" t="s">
        <v>471</v>
      </c>
      <c r="F154" s="29" t="s">
        <v>472</v>
      </c>
      <c r="G154" s="27" t="s">
        <v>307</v>
      </c>
      <c r="H154" s="27" t="s">
        <v>19</v>
      </c>
      <c r="I154" s="27">
        <v>1</v>
      </c>
      <c r="J154" s="30">
        <v>30913163</v>
      </c>
      <c r="K154" s="26" t="s">
        <v>20</v>
      </c>
      <c r="L154" s="26" t="s">
        <v>295</v>
      </c>
      <c r="M154" s="31" t="s">
        <v>473</v>
      </c>
      <c r="N154" s="2"/>
      <c r="O154" s="2"/>
      <c r="P154" s="2"/>
      <c r="Q154" s="2"/>
      <c r="R154" s="2"/>
      <c r="S154" s="2"/>
      <c r="T154" s="2"/>
      <c r="U154" s="2"/>
      <c r="V154" s="2"/>
      <c r="W154" s="2"/>
      <c r="X154" s="2"/>
      <c r="Y154" s="2"/>
      <c r="Z154" s="2"/>
    </row>
    <row r="155" spans="1:26" ht="12.75" hidden="1" customHeight="1">
      <c r="A155" s="26" t="s">
        <v>474</v>
      </c>
      <c r="B155" s="27"/>
      <c r="C155" s="28"/>
      <c r="D155" s="27"/>
      <c r="E155" s="27" t="s">
        <v>475</v>
      </c>
      <c r="F155" s="29" t="s">
        <v>476</v>
      </c>
      <c r="G155" s="27" t="s">
        <v>248</v>
      </c>
      <c r="H155" s="27" t="s">
        <v>249</v>
      </c>
      <c r="I155" s="27">
        <v>1</v>
      </c>
      <c r="J155" s="30">
        <v>0</v>
      </c>
      <c r="K155" s="26" t="s">
        <v>20</v>
      </c>
      <c r="L155" s="26" t="s">
        <v>295</v>
      </c>
      <c r="M155" s="31" t="s">
        <v>5305</v>
      </c>
      <c r="N155" s="2"/>
      <c r="O155" s="2"/>
      <c r="P155" s="2"/>
      <c r="Q155" s="2"/>
      <c r="R155" s="2"/>
      <c r="S155" s="2"/>
      <c r="T155" s="2"/>
      <c r="U155" s="2"/>
      <c r="V155" s="2"/>
      <c r="W155" s="2"/>
      <c r="X155" s="2"/>
      <c r="Y155" s="2"/>
      <c r="Z155" s="2"/>
    </row>
    <row r="156" spans="1:26" ht="25.5" hidden="1" customHeight="1">
      <c r="A156" s="26">
        <v>68</v>
      </c>
      <c r="B156" s="27" t="s">
        <v>470</v>
      </c>
      <c r="C156" s="28">
        <v>41983</v>
      </c>
      <c r="D156" s="27"/>
      <c r="E156" s="27" t="s">
        <v>478</v>
      </c>
      <c r="F156" s="29" t="s">
        <v>479</v>
      </c>
      <c r="G156" s="27" t="s">
        <v>307</v>
      </c>
      <c r="H156" s="27" t="s">
        <v>19</v>
      </c>
      <c r="I156" s="27">
        <v>1</v>
      </c>
      <c r="J156" s="30">
        <v>30913163</v>
      </c>
      <c r="K156" s="26" t="s">
        <v>20</v>
      </c>
      <c r="L156" s="26" t="s">
        <v>423</v>
      </c>
      <c r="M156" s="31" t="s">
        <v>5306</v>
      </c>
      <c r="N156" s="2"/>
      <c r="O156" s="2"/>
      <c r="P156" s="2"/>
      <c r="Q156" s="2"/>
      <c r="R156" s="2"/>
      <c r="S156" s="2"/>
      <c r="T156" s="2"/>
      <c r="U156" s="2"/>
      <c r="V156" s="2"/>
      <c r="W156" s="2"/>
      <c r="X156" s="2"/>
      <c r="Y156" s="2"/>
      <c r="Z156" s="2"/>
    </row>
    <row r="157" spans="1:26" ht="12.75" hidden="1" customHeight="1">
      <c r="A157" s="26" t="s">
        <v>481</v>
      </c>
      <c r="B157" s="27"/>
      <c r="C157" s="28"/>
      <c r="D157" s="27"/>
      <c r="E157" s="27" t="s">
        <v>482</v>
      </c>
      <c r="F157" s="29" t="s">
        <v>483</v>
      </c>
      <c r="G157" s="27" t="s">
        <v>248</v>
      </c>
      <c r="H157" s="27" t="s">
        <v>249</v>
      </c>
      <c r="I157" s="27">
        <v>1</v>
      </c>
      <c r="J157" s="30">
        <v>0</v>
      </c>
      <c r="K157" s="26" t="s">
        <v>20</v>
      </c>
      <c r="L157" s="26" t="s">
        <v>423</v>
      </c>
      <c r="M157" s="31" t="s">
        <v>5305</v>
      </c>
      <c r="N157" s="2"/>
      <c r="O157" s="2"/>
      <c r="P157" s="2"/>
      <c r="Q157" s="2"/>
      <c r="R157" s="2"/>
      <c r="S157" s="2"/>
      <c r="T157" s="2"/>
      <c r="U157" s="2"/>
      <c r="V157" s="2"/>
      <c r="W157" s="2"/>
      <c r="X157" s="2"/>
      <c r="Y157" s="2"/>
      <c r="Z157" s="2"/>
    </row>
    <row r="158" spans="1:26" ht="25.5" hidden="1" customHeight="1">
      <c r="A158" s="26">
        <v>69</v>
      </c>
      <c r="B158" s="27" t="s">
        <v>470</v>
      </c>
      <c r="C158" s="28">
        <v>41983</v>
      </c>
      <c r="D158" s="27"/>
      <c r="E158" s="27" t="s">
        <v>485</v>
      </c>
      <c r="F158" s="29" t="s">
        <v>486</v>
      </c>
      <c r="G158" s="27" t="s">
        <v>307</v>
      </c>
      <c r="H158" s="27" t="s">
        <v>19</v>
      </c>
      <c r="I158" s="27">
        <v>1</v>
      </c>
      <c r="J158" s="30">
        <v>30913163</v>
      </c>
      <c r="K158" s="26" t="s">
        <v>20</v>
      </c>
      <c r="L158" s="26" t="s">
        <v>423</v>
      </c>
      <c r="M158" s="31" t="s">
        <v>5307</v>
      </c>
      <c r="N158" s="2"/>
      <c r="O158" s="2"/>
      <c r="P158" s="2"/>
      <c r="Q158" s="2"/>
      <c r="R158" s="2"/>
      <c r="S158" s="2"/>
      <c r="T158" s="2"/>
      <c r="U158" s="2"/>
      <c r="V158" s="2"/>
      <c r="W158" s="2"/>
      <c r="X158" s="2"/>
      <c r="Y158" s="2"/>
      <c r="Z158" s="2"/>
    </row>
    <row r="159" spans="1:26" ht="12.75" hidden="1" customHeight="1">
      <c r="A159" s="26" t="s">
        <v>488</v>
      </c>
      <c r="B159" s="27"/>
      <c r="C159" s="28"/>
      <c r="D159" s="27"/>
      <c r="E159" s="27" t="s">
        <v>489</v>
      </c>
      <c r="F159" s="29" t="s">
        <v>490</v>
      </c>
      <c r="G159" s="27" t="s">
        <v>248</v>
      </c>
      <c r="H159" s="27" t="s">
        <v>249</v>
      </c>
      <c r="I159" s="27">
        <v>1</v>
      </c>
      <c r="J159" s="30">
        <v>0</v>
      </c>
      <c r="K159" s="26" t="s">
        <v>20</v>
      </c>
      <c r="L159" s="26" t="s">
        <v>423</v>
      </c>
      <c r="M159" s="31" t="s">
        <v>5308</v>
      </c>
      <c r="N159" s="2"/>
      <c r="O159" s="2"/>
      <c r="P159" s="2"/>
      <c r="Q159" s="2"/>
      <c r="R159" s="2"/>
      <c r="S159" s="2"/>
      <c r="T159" s="2"/>
      <c r="U159" s="2"/>
      <c r="V159" s="2"/>
      <c r="W159" s="2"/>
      <c r="X159" s="2"/>
      <c r="Y159" s="2"/>
      <c r="Z159" s="2"/>
    </row>
    <row r="160" spans="1:26" ht="25.5" hidden="1" customHeight="1">
      <c r="A160" s="26">
        <v>70</v>
      </c>
      <c r="B160" s="27" t="s">
        <v>470</v>
      </c>
      <c r="C160" s="28">
        <v>41983</v>
      </c>
      <c r="D160" s="27"/>
      <c r="E160" s="27" t="s">
        <v>492</v>
      </c>
      <c r="F160" s="29" t="s">
        <v>493</v>
      </c>
      <c r="G160" s="27" t="s">
        <v>45</v>
      </c>
      <c r="H160" s="27" t="s">
        <v>19</v>
      </c>
      <c r="I160" s="27">
        <v>1</v>
      </c>
      <c r="J160" s="30">
        <v>1138634839</v>
      </c>
      <c r="K160" s="26" t="s">
        <v>20</v>
      </c>
      <c r="L160" s="26" t="s">
        <v>423</v>
      </c>
      <c r="M160" s="31" t="s">
        <v>5169</v>
      </c>
      <c r="N160" s="2"/>
      <c r="O160" s="2"/>
      <c r="P160" s="2"/>
      <c r="Q160" s="2"/>
      <c r="R160" s="2"/>
      <c r="S160" s="2"/>
      <c r="T160" s="2"/>
      <c r="U160" s="2"/>
      <c r="V160" s="2"/>
      <c r="W160" s="2"/>
      <c r="X160" s="2"/>
      <c r="Y160" s="2"/>
      <c r="Z160" s="2"/>
    </row>
    <row r="161" spans="1:26" ht="12.75" hidden="1" customHeight="1">
      <c r="A161" s="26" t="s">
        <v>495</v>
      </c>
      <c r="B161" s="27"/>
      <c r="C161" s="28"/>
      <c r="D161" s="27"/>
      <c r="E161" s="27" t="s">
        <v>496</v>
      </c>
      <c r="F161" s="29" t="s">
        <v>497</v>
      </c>
      <c r="G161" s="27" t="s">
        <v>45</v>
      </c>
      <c r="H161" s="27" t="s">
        <v>19</v>
      </c>
      <c r="I161" s="27">
        <v>1</v>
      </c>
      <c r="J161" s="30">
        <v>0</v>
      </c>
      <c r="K161" s="26" t="s">
        <v>20</v>
      </c>
      <c r="L161" s="26" t="s">
        <v>423</v>
      </c>
      <c r="M161" s="31"/>
      <c r="N161" s="2"/>
      <c r="O161" s="2"/>
      <c r="P161" s="2"/>
      <c r="Q161" s="2"/>
      <c r="R161" s="2"/>
      <c r="S161" s="2"/>
      <c r="T161" s="2"/>
      <c r="U161" s="2"/>
      <c r="V161" s="2"/>
      <c r="W161" s="2"/>
      <c r="X161" s="2"/>
      <c r="Y161" s="2"/>
      <c r="Z161" s="2"/>
    </row>
    <row r="162" spans="1:26" ht="25.5" hidden="1" customHeight="1">
      <c r="A162" s="26" t="s">
        <v>499</v>
      </c>
      <c r="B162" s="27"/>
      <c r="C162" s="28"/>
      <c r="D162" s="27"/>
      <c r="E162" s="27" t="s">
        <v>500</v>
      </c>
      <c r="F162" s="29" t="s">
        <v>501</v>
      </c>
      <c r="G162" s="27" t="s">
        <v>45</v>
      </c>
      <c r="H162" s="27" t="s">
        <v>19</v>
      </c>
      <c r="I162" s="27">
        <v>1</v>
      </c>
      <c r="J162" s="30">
        <v>0</v>
      </c>
      <c r="K162" s="26" t="s">
        <v>20</v>
      </c>
      <c r="L162" s="26" t="s">
        <v>423</v>
      </c>
      <c r="M162" s="31" t="s">
        <v>5309</v>
      </c>
      <c r="N162" s="2"/>
      <c r="O162" s="2"/>
      <c r="P162" s="2"/>
      <c r="Q162" s="2"/>
      <c r="R162" s="2"/>
      <c r="S162" s="2"/>
      <c r="T162" s="2"/>
      <c r="U162" s="2"/>
      <c r="V162" s="2"/>
      <c r="W162" s="2"/>
      <c r="X162" s="2"/>
      <c r="Y162" s="2"/>
      <c r="Z162" s="2"/>
    </row>
    <row r="163" spans="1:26" ht="25.5" hidden="1" customHeight="1">
      <c r="A163" s="26" t="s">
        <v>503</v>
      </c>
      <c r="B163" s="27"/>
      <c r="C163" s="28"/>
      <c r="D163" s="27"/>
      <c r="E163" s="27" t="s">
        <v>504</v>
      </c>
      <c r="F163" s="29" t="s">
        <v>505</v>
      </c>
      <c r="G163" s="27" t="s">
        <v>45</v>
      </c>
      <c r="H163" s="27" t="s">
        <v>19</v>
      </c>
      <c r="I163" s="27">
        <v>1</v>
      </c>
      <c r="J163" s="30">
        <v>0</v>
      </c>
      <c r="K163" s="26" t="s">
        <v>20</v>
      </c>
      <c r="L163" s="26" t="s">
        <v>423</v>
      </c>
      <c r="M163" s="31" t="s">
        <v>5309</v>
      </c>
      <c r="N163" s="2"/>
      <c r="O163" s="2"/>
      <c r="P163" s="2"/>
      <c r="Q163" s="2"/>
      <c r="R163" s="2"/>
      <c r="S163" s="2"/>
      <c r="T163" s="2"/>
      <c r="U163" s="2"/>
      <c r="V163" s="2"/>
      <c r="W163" s="2"/>
      <c r="X163" s="2"/>
      <c r="Y163" s="2"/>
      <c r="Z163" s="2"/>
    </row>
    <row r="164" spans="1:26" ht="25.5" hidden="1" customHeight="1">
      <c r="A164" s="26" t="s">
        <v>507</v>
      </c>
      <c r="B164" s="27"/>
      <c r="C164" s="28"/>
      <c r="D164" s="27"/>
      <c r="E164" s="27" t="s">
        <v>508</v>
      </c>
      <c r="F164" s="29" t="s">
        <v>509</v>
      </c>
      <c r="G164" s="27" t="s">
        <v>45</v>
      </c>
      <c r="H164" s="27" t="s">
        <v>19</v>
      </c>
      <c r="I164" s="27">
        <v>1</v>
      </c>
      <c r="J164" s="30">
        <v>0</v>
      </c>
      <c r="K164" s="26" t="s">
        <v>20</v>
      </c>
      <c r="L164" s="26" t="s">
        <v>423</v>
      </c>
      <c r="M164" s="31" t="s">
        <v>5309</v>
      </c>
      <c r="N164" s="2"/>
      <c r="O164" s="2"/>
      <c r="P164" s="2"/>
      <c r="Q164" s="2"/>
      <c r="R164" s="2"/>
      <c r="S164" s="2"/>
      <c r="T164" s="2"/>
      <c r="U164" s="2"/>
      <c r="V164" s="2"/>
      <c r="W164" s="2"/>
      <c r="X164" s="2"/>
      <c r="Y164" s="2"/>
      <c r="Z164" s="2"/>
    </row>
    <row r="165" spans="1:26" ht="25.5" hidden="1" customHeight="1">
      <c r="A165" s="26" t="s">
        <v>511</v>
      </c>
      <c r="B165" s="27"/>
      <c r="C165" s="28"/>
      <c r="D165" s="27"/>
      <c r="E165" s="27" t="s">
        <v>512</v>
      </c>
      <c r="F165" s="29" t="s">
        <v>513</v>
      </c>
      <c r="G165" s="27" t="s">
        <v>45</v>
      </c>
      <c r="H165" s="27" t="s">
        <v>19</v>
      </c>
      <c r="I165" s="27">
        <v>1</v>
      </c>
      <c r="J165" s="30">
        <v>0</v>
      </c>
      <c r="K165" s="26" t="s">
        <v>20</v>
      </c>
      <c r="L165" s="26" t="s">
        <v>423</v>
      </c>
      <c r="M165" s="31" t="s">
        <v>5309</v>
      </c>
      <c r="N165" s="2"/>
      <c r="O165" s="2"/>
      <c r="P165" s="2"/>
      <c r="Q165" s="2"/>
      <c r="R165" s="2"/>
      <c r="S165" s="2"/>
      <c r="T165" s="2"/>
      <c r="U165" s="2"/>
      <c r="V165" s="2"/>
      <c r="W165" s="2"/>
      <c r="X165" s="2"/>
      <c r="Y165" s="2"/>
      <c r="Z165" s="2"/>
    </row>
    <row r="166" spans="1:26" ht="38.25" hidden="1" customHeight="1">
      <c r="A166" s="26" t="s">
        <v>515</v>
      </c>
      <c r="B166" s="27"/>
      <c r="C166" s="28"/>
      <c r="D166" s="27"/>
      <c r="E166" s="27" t="s">
        <v>516</v>
      </c>
      <c r="F166" s="29" t="s">
        <v>517</v>
      </c>
      <c r="G166" s="27" t="s">
        <v>248</v>
      </c>
      <c r="H166" s="27" t="s">
        <v>19</v>
      </c>
      <c r="I166" s="27">
        <v>1</v>
      </c>
      <c r="J166" s="30">
        <v>0</v>
      </c>
      <c r="K166" s="26" t="s">
        <v>20</v>
      </c>
      <c r="L166" s="26" t="s">
        <v>423</v>
      </c>
      <c r="M166" s="31" t="s">
        <v>5310</v>
      </c>
      <c r="N166" s="2"/>
      <c r="O166" s="2"/>
      <c r="P166" s="2"/>
      <c r="Q166" s="2"/>
      <c r="R166" s="2"/>
      <c r="S166" s="2"/>
      <c r="T166" s="2"/>
      <c r="U166" s="2"/>
      <c r="V166" s="2"/>
      <c r="W166" s="2"/>
      <c r="X166" s="2"/>
      <c r="Y166" s="2"/>
      <c r="Z166" s="2"/>
    </row>
    <row r="167" spans="1:26" ht="12.75" hidden="1" customHeight="1">
      <c r="A167" s="26" t="s">
        <v>519</v>
      </c>
      <c r="B167" s="27"/>
      <c r="C167" s="28"/>
      <c r="D167" s="27"/>
      <c r="E167" s="27" t="s">
        <v>520</v>
      </c>
      <c r="F167" s="29" t="s">
        <v>521</v>
      </c>
      <c r="G167" s="27"/>
      <c r="H167" s="27" t="s">
        <v>522</v>
      </c>
      <c r="I167" s="27">
        <v>1</v>
      </c>
      <c r="J167" s="30">
        <v>0</v>
      </c>
      <c r="K167" s="26" t="s">
        <v>20</v>
      </c>
      <c r="L167" s="26" t="s">
        <v>423</v>
      </c>
      <c r="M167" s="31" t="s">
        <v>523</v>
      </c>
      <c r="N167" s="2"/>
      <c r="O167" s="2"/>
      <c r="P167" s="2"/>
      <c r="Q167" s="2"/>
      <c r="R167" s="2"/>
      <c r="S167" s="2"/>
      <c r="T167" s="2"/>
      <c r="U167" s="2"/>
      <c r="V167" s="2"/>
      <c r="W167" s="2"/>
      <c r="X167" s="2"/>
      <c r="Y167" s="2"/>
      <c r="Z167" s="2"/>
    </row>
    <row r="168" spans="1:26" ht="25.5" hidden="1" customHeight="1">
      <c r="A168" s="26">
        <v>71</v>
      </c>
      <c r="B168" s="27" t="s">
        <v>470</v>
      </c>
      <c r="C168" s="28">
        <v>41983</v>
      </c>
      <c r="D168" s="27"/>
      <c r="E168" s="27" t="s">
        <v>524</v>
      </c>
      <c r="F168" s="29" t="s">
        <v>525</v>
      </c>
      <c r="G168" s="27"/>
      <c r="H168" s="27"/>
      <c r="I168" s="27">
        <v>1</v>
      </c>
      <c r="J168" s="30">
        <v>849883068</v>
      </c>
      <c r="K168" s="26" t="s">
        <v>20</v>
      </c>
      <c r="L168" s="26" t="s">
        <v>284</v>
      </c>
      <c r="M168" s="31" t="s">
        <v>5176</v>
      </c>
      <c r="N168" s="2"/>
      <c r="O168" s="2"/>
      <c r="P168" s="2"/>
      <c r="Q168" s="2"/>
      <c r="R168" s="2"/>
      <c r="S168" s="2"/>
      <c r="T168" s="2"/>
      <c r="U168" s="2"/>
      <c r="V168" s="2"/>
      <c r="W168" s="2"/>
      <c r="X168" s="2"/>
      <c r="Y168" s="2"/>
      <c r="Z168" s="2"/>
    </row>
    <row r="169" spans="1:26" ht="63.75" hidden="1" customHeight="1">
      <c r="A169" s="26" t="s">
        <v>527</v>
      </c>
      <c r="B169" s="27"/>
      <c r="C169" s="28"/>
      <c r="D169" s="27"/>
      <c r="E169" s="27" t="s">
        <v>528</v>
      </c>
      <c r="F169" s="29" t="s">
        <v>529</v>
      </c>
      <c r="G169" s="27" t="s">
        <v>307</v>
      </c>
      <c r="H169" s="27" t="s">
        <v>249</v>
      </c>
      <c r="I169" s="27">
        <v>1</v>
      </c>
      <c r="J169" s="30">
        <v>0</v>
      </c>
      <c r="K169" s="26" t="s">
        <v>20</v>
      </c>
      <c r="L169" s="26" t="s">
        <v>284</v>
      </c>
      <c r="M169" s="31" t="s">
        <v>5177</v>
      </c>
      <c r="N169" s="2"/>
      <c r="O169" s="2"/>
      <c r="P169" s="2"/>
      <c r="Q169" s="2"/>
      <c r="R169" s="2"/>
      <c r="S169" s="2"/>
      <c r="T169" s="2"/>
      <c r="U169" s="2"/>
      <c r="V169" s="2"/>
      <c r="W169" s="2"/>
      <c r="X169" s="2"/>
      <c r="Y169" s="2"/>
      <c r="Z169" s="2"/>
    </row>
    <row r="170" spans="1:26" ht="12.75" hidden="1" customHeight="1">
      <c r="A170" s="26" t="s">
        <v>530</v>
      </c>
      <c r="B170" s="27"/>
      <c r="C170" s="28"/>
      <c r="D170" s="27"/>
      <c r="E170" s="27" t="s">
        <v>531</v>
      </c>
      <c r="F170" s="29" t="s">
        <v>532</v>
      </c>
      <c r="G170" s="27" t="s">
        <v>248</v>
      </c>
      <c r="H170" s="27" t="s">
        <v>249</v>
      </c>
      <c r="I170" s="27">
        <v>1</v>
      </c>
      <c r="J170" s="30">
        <v>0</v>
      </c>
      <c r="K170" s="26" t="s">
        <v>20</v>
      </c>
      <c r="L170" s="26" t="s">
        <v>284</v>
      </c>
      <c r="M170" s="31" t="s">
        <v>5178</v>
      </c>
      <c r="N170" s="2"/>
      <c r="O170" s="2"/>
      <c r="P170" s="2"/>
      <c r="Q170" s="2"/>
      <c r="R170" s="2"/>
      <c r="S170" s="2"/>
      <c r="T170" s="2"/>
      <c r="U170" s="2"/>
      <c r="V170" s="2"/>
      <c r="W170" s="2"/>
      <c r="X170" s="2"/>
      <c r="Y170" s="2"/>
      <c r="Z170" s="2"/>
    </row>
    <row r="171" spans="1:26" ht="51" hidden="1" customHeight="1">
      <c r="A171" s="26" t="s">
        <v>534</v>
      </c>
      <c r="B171" s="27"/>
      <c r="C171" s="28"/>
      <c r="D171" s="27"/>
      <c r="E171" s="27" t="s">
        <v>535</v>
      </c>
      <c r="F171" s="29" t="s">
        <v>536</v>
      </c>
      <c r="G171" s="27" t="s">
        <v>307</v>
      </c>
      <c r="H171" s="27" t="s">
        <v>249</v>
      </c>
      <c r="I171" s="27">
        <v>1</v>
      </c>
      <c r="J171" s="30">
        <v>0</v>
      </c>
      <c r="K171" s="26" t="s">
        <v>20</v>
      </c>
      <c r="L171" s="26" t="s">
        <v>284</v>
      </c>
      <c r="M171" s="31" t="s">
        <v>5179</v>
      </c>
      <c r="N171" s="2"/>
      <c r="O171" s="2"/>
      <c r="P171" s="2"/>
      <c r="Q171" s="2"/>
      <c r="R171" s="2"/>
      <c r="S171" s="2"/>
      <c r="T171" s="2"/>
      <c r="U171" s="2"/>
      <c r="V171" s="2"/>
      <c r="W171" s="2"/>
      <c r="X171" s="2"/>
      <c r="Y171" s="2"/>
      <c r="Z171" s="2"/>
    </row>
    <row r="172" spans="1:26" ht="12.75" hidden="1" customHeight="1">
      <c r="A172" s="26" t="s">
        <v>538</v>
      </c>
      <c r="B172" s="27"/>
      <c r="C172" s="28"/>
      <c r="D172" s="27"/>
      <c r="E172" s="27" t="s">
        <v>539</v>
      </c>
      <c r="F172" s="29" t="s">
        <v>540</v>
      </c>
      <c r="G172" s="27" t="s">
        <v>248</v>
      </c>
      <c r="H172" s="27" t="s">
        <v>249</v>
      </c>
      <c r="I172" s="27">
        <v>1</v>
      </c>
      <c r="J172" s="30">
        <v>0</v>
      </c>
      <c r="K172" s="26" t="s">
        <v>20</v>
      </c>
      <c r="L172" s="26" t="s">
        <v>284</v>
      </c>
      <c r="M172" s="31" t="s">
        <v>5311</v>
      </c>
      <c r="N172" s="2"/>
      <c r="O172" s="2"/>
      <c r="P172" s="2"/>
      <c r="Q172" s="2"/>
      <c r="R172" s="2"/>
      <c r="S172" s="2"/>
      <c r="T172" s="2"/>
      <c r="U172" s="2"/>
      <c r="V172" s="2"/>
      <c r="W172" s="2"/>
      <c r="X172" s="2"/>
      <c r="Y172" s="2"/>
      <c r="Z172" s="2"/>
    </row>
    <row r="173" spans="1:26" ht="25.5" hidden="1" customHeight="1">
      <c r="A173" s="26">
        <v>72</v>
      </c>
      <c r="B173" s="27" t="s">
        <v>470</v>
      </c>
      <c r="C173" s="28">
        <v>41983</v>
      </c>
      <c r="D173" s="27"/>
      <c r="E173" s="27" t="s">
        <v>541</v>
      </c>
      <c r="F173" s="29" t="s">
        <v>542</v>
      </c>
      <c r="G173" s="27" t="s">
        <v>35</v>
      </c>
      <c r="H173" s="27" t="s">
        <v>19</v>
      </c>
      <c r="I173" s="27">
        <v>1</v>
      </c>
      <c r="J173" s="30">
        <v>243687138</v>
      </c>
      <c r="K173" s="26" t="s">
        <v>20</v>
      </c>
      <c r="L173" s="26" t="s">
        <v>423</v>
      </c>
      <c r="M173" s="31" t="s">
        <v>5181</v>
      </c>
      <c r="N173" s="2"/>
      <c r="O173" s="2"/>
      <c r="P173" s="2"/>
      <c r="Q173" s="2"/>
      <c r="R173" s="2"/>
      <c r="S173" s="2"/>
      <c r="T173" s="2"/>
      <c r="U173" s="2"/>
      <c r="V173" s="2"/>
      <c r="W173" s="2"/>
      <c r="X173" s="2"/>
      <c r="Y173" s="2"/>
      <c r="Z173" s="2"/>
    </row>
    <row r="174" spans="1:26" ht="12.75" hidden="1" customHeight="1">
      <c r="A174" s="26" t="s">
        <v>544</v>
      </c>
      <c r="B174" s="27"/>
      <c r="C174" s="28"/>
      <c r="D174" s="27"/>
      <c r="E174" s="27" t="s">
        <v>545</v>
      </c>
      <c r="F174" s="29" t="s">
        <v>546</v>
      </c>
      <c r="G174" s="27" t="s">
        <v>35</v>
      </c>
      <c r="H174" s="27" t="s">
        <v>249</v>
      </c>
      <c r="I174" s="27">
        <v>1</v>
      </c>
      <c r="J174" s="30">
        <v>0</v>
      </c>
      <c r="K174" s="26" t="s">
        <v>20</v>
      </c>
      <c r="L174" s="26" t="s">
        <v>423</v>
      </c>
      <c r="M174" s="31" t="s">
        <v>5182</v>
      </c>
      <c r="N174" s="2"/>
      <c r="O174" s="2"/>
      <c r="P174" s="2"/>
      <c r="Q174" s="2"/>
      <c r="R174" s="2"/>
      <c r="S174" s="2"/>
      <c r="T174" s="2"/>
      <c r="U174" s="2"/>
      <c r="V174" s="2"/>
      <c r="W174" s="2"/>
      <c r="X174" s="2"/>
      <c r="Y174" s="2"/>
      <c r="Z174" s="2"/>
    </row>
    <row r="175" spans="1:26" ht="25.5" hidden="1" customHeight="1">
      <c r="A175" s="26">
        <v>73</v>
      </c>
      <c r="B175" s="27" t="s">
        <v>470</v>
      </c>
      <c r="C175" s="28">
        <v>41983</v>
      </c>
      <c r="D175" s="27"/>
      <c r="E175" s="27" t="s">
        <v>548</v>
      </c>
      <c r="F175" s="29" t="s">
        <v>549</v>
      </c>
      <c r="G175" s="27" t="s">
        <v>35</v>
      </c>
      <c r="H175" s="27" t="s">
        <v>19</v>
      </c>
      <c r="I175" s="27">
        <v>1</v>
      </c>
      <c r="J175" s="30">
        <v>243687138</v>
      </c>
      <c r="K175" s="26" t="s">
        <v>20</v>
      </c>
      <c r="L175" s="26" t="s">
        <v>423</v>
      </c>
      <c r="M175" s="31" t="s">
        <v>5183</v>
      </c>
      <c r="N175" s="2"/>
      <c r="O175" s="2"/>
      <c r="P175" s="2"/>
      <c r="Q175" s="2"/>
      <c r="R175" s="2"/>
      <c r="S175" s="2"/>
      <c r="T175" s="2"/>
      <c r="U175" s="2"/>
      <c r="V175" s="2"/>
      <c r="W175" s="2"/>
      <c r="X175" s="2"/>
      <c r="Y175" s="2"/>
      <c r="Z175" s="2"/>
    </row>
    <row r="176" spans="1:26" ht="12.75" hidden="1" customHeight="1">
      <c r="A176" s="26" t="s">
        <v>551</v>
      </c>
      <c r="B176" s="27"/>
      <c r="C176" s="28"/>
      <c r="D176" s="27"/>
      <c r="E176" s="27" t="s">
        <v>552</v>
      </c>
      <c r="F176" s="29" t="s">
        <v>553</v>
      </c>
      <c r="G176" s="27" t="s">
        <v>35</v>
      </c>
      <c r="H176" s="27" t="s">
        <v>249</v>
      </c>
      <c r="I176" s="27">
        <v>1</v>
      </c>
      <c r="J176" s="30">
        <v>0</v>
      </c>
      <c r="K176" s="26" t="s">
        <v>20</v>
      </c>
      <c r="L176" s="26" t="s">
        <v>423</v>
      </c>
      <c r="M176" s="31" t="s">
        <v>5184</v>
      </c>
      <c r="N176" s="2"/>
      <c r="O176" s="2"/>
      <c r="P176" s="2"/>
      <c r="Q176" s="2"/>
      <c r="R176" s="2"/>
      <c r="S176" s="2"/>
      <c r="T176" s="2"/>
      <c r="U176" s="2"/>
      <c r="V176" s="2"/>
      <c r="W176" s="2"/>
      <c r="X176" s="2"/>
      <c r="Y176" s="2"/>
      <c r="Z176" s="2"/>
    </row>
    <row r="177" spans="1:26" ht="25.5" hidden="1" customHeight="1">
      <c r="A177" s="26">
        <v>74</v>
      </c>
      <c r="B177" s="27" t="s">
        <v>470</v>
      </c>
      <c r="C177" s="28">
        <v>41983</v>
      </c>
      <c r="D177" s="27"/>
      <c r="E177" s="27" t="s">
        <v>555</v>
      </c>
      <c r="F177" s="29" t="s">
        <v>556</v>
      </c>
      <c r="G177" s="27" t="s">
        <v>35</v>
      </c>
      <c r="H177" s="27" t="s">
        <v>19</v>
      </c>
      <c r="I177" s="27">
        <v>1</v>
      </c>
      <c r="J177" s="30">
        <v>243687119</v>
      </c>
      <c r="K177" s="26" t="s">
        <v>20</v>
      </c>
      <c r="L177" s="26" t="s">
        <v>423</v>
      </c>
      <c r="M177" s="31" t="s">
        <v>5185</v>
      </c>
      <c r="N177" s="2"/>
      <c r="O177" s="2"/>
      <c r="P177" s="2"/>
      <c r="Q177" s="2"/>
      <c r="R177" s="2"/>
      <c r="S177" s="2"/>
      <c r="T177" s="2"/>
      <c r="U177" s="2"/>
      <c r="V177" s="2"/>
      <c r="W177" s="2"/>
      <c r="X177" s="2"/>
      <c r="Y177" s="2"/>
      <c r="Z177" s="2"/>
    </row>
    <row r="178" spans="1:26" ht="12.75" hidden="1" customHeight="1">
      <c r="A178" s="26" t="s">
        <v>558</v>
      </c>
      <c r="B178" s="27"/>
      <c r="C178" s="28"/>
      <c r="D178" s="27"/>
      <c r="E178" s="27" t="s">
        <v>559</v>
      </c>
      <c r="F178" s="29" t="s">
        <v>560</v>
      </c>
      <c r="G178" s="27" t="s">
        <v>35</v>
      </c>
      <c r="H178" s="27" t="s">
        <v>249</v>
      </c>
      <c r="I178" s="27">
        <v>1</v>
      </c>
      <c r="J178" s="30">
        <v>0</v>
      </c>
      <c r="K178" s="26" t="s">
        <v>20</v>
      </c>
      <c r="L178" s="26" t="s">
        <v>423</v>
      </c>
      <c r="M178" s="31" t="s">
        <v>5186</v>
      </c>
      <c r="N178" s="2"/>
      <c r="O178" s="2"/>
      <c r="P178" s="2"/>
      <c r="Q178" s="2"/>
      <c r="R178" s="2"/>
      <c r="S178" s="2"/>
      <c r="T178" s="2"/>
      <c r="U178" s="2"/>
      <c r="V178" s="2"/>
      <c r="W178" s="2"/>
      <c r="X178" s="2"/>
      <c r="Y178" s="2"/>
      <c r="Z178" s="2"/>
    </row>
    <row r="179" spans="1:26" ht="63.75" hidden="1" customHeight="1">
      <c r="A179" s="26">
        <v>75</v>
      </c>
      <c r="B179" s="27" t="s">
        <v>562</v>
      </c>
      <c r="C179" s="28">
        <v>42446</v>
      </c>
      <c r="D179" s="27"/>
      <c r="E179" s="27" t="s">
        <v>563</v>
      </c>
      <c r="F179" s="29" t="s">
        <v>564</v>
      </c>
      <c r="G179" s="27" t="s">
        <v>307</v>
      </c>
      <c r="H179" s="27" t="s">
        <v>19</v>
      </c>
      <c r="I179" s="27">
        <v>1</v>
      </c>
      <c r="J179" s="30">
        <v>693052012</v>
      </c>
      <c r="K179" s="26" t="s">
        <v>36</v>
      </c>
      <c r="L179" s="26" t="s">
        <v>141</v>
      </c>
      <c r="M179" s="31" t="s">
        <v>565</v>
      </c>
      <c r="N179" s="2"/>
      <c r="O179" s="2"/>
      <c r="P179" s="2"/>
      <c r="Q179" s="2"/>
      <c r="R179" s="2"/>
      <c r="S179" s="2"/>
      <c r="T179" s="2"/>
      <c r="U179" s="2"/>
      <c r="V179" s="2"/>
      <c r="W179" s="2"/>
      <c r="X179" s="2"/>
      <c r="Y179" s="2"/>
      <c r="Z179" s="2"/>
    </row>
    <row r="180" spans="1:26" ht="25.5" hidden="1" customHeight="1">
      <c r="A180" s="26" t="s">
        <v>566</v>
      </c>
      <c r="B180" s="27"/>
      <c r="C180" s="28"/>
      <c r="D180" s="27"/>
      <c r="E180" s="27" t="s">
        <v>567</v>
      </c>
      <c r="F180" s="29" t="s">
        <v>568</v>
      </c>
      <c r="G180" s="27" t="s">
        <v>338</v>
      </c>
      <c r="H180" s="27" t="s">
        <v>569</v>
      </c>
      <c r="I180" s="27">
        <v>1</v>
      </c>
      <c r="J180" s="30">
        <v>201217281</v>
      </c>
      <c r="K180" s="26" t="s">
        <v>36</v>
      </c>
      <c r="L180" s="26" t="s">
        <v>141</v>
      </c>
      <c r="M180" s="31"/>
      <c r="N180" s="2"/>
      <c r="O180" s="2"/>
      <c r="P180" s="2"/>
      <c r="Q180" s="2"/>
      <c r="R180" s="2"/>
      <c r="S180" s="2"/>
      <c r="T180" s="2"/>
      <c r="U180" s="2"/>
      <c r="V180" s="2"/>
      <c r="W180" s="2"/>
      <c r="X180" s="2"/>
      <c r="Y180" s="2"/>
      <c r="Z180" s="2"/>
    </row>
    <row r="181" spans="1:26" ht="12.75" hidden="1" customHeight="1">
      <c r="A181" s="26" t="s">
        <v>570</v>
      </c>
      <c r="B181" s="27"/>
      <c r="C181" s="28"/>
      <c r="D181" s="27"/>
      <c r="E181" s="27" t="s">
        <v>571</v>
      </c>
      <c r="F181" s="29" t="s">
        <v>572</v>
      </c>
      <c r="G181" s="27" t="s">
        <v>573</v>
      </c>
      <c r="H181" s="27" t="s">
        <v>522</v>
      </c>
      <c r="I181" s="27">
        <v>1</v>
      </c>
      <c r="J181" s="30">
        <v>113333333</v>
      </c>
      <c r="K181" s="26" t="s">
        <v>36</v>
      </c>
      <c r="L181" s="26" t="s">
        <v>141</v>
      </c>
      <c r="M181" s="31"/>
      <c r="N181" s="2"/>
      <c r="O181" s="2"/>
      <c r="P181" s="2"/>
      <c r="Q181" s="2"/>
      <c r="R181" s="2"/>
      <c r="S181" s="2"/>
      <c r="T181" s="2"/>
      <c r="U181" s="2"/>
      <c r="V181" s="2"/>
      <c r="W181" s="2"/>
      <c r="X181" s="2"/>
      <c r="Y181" s="2"/>
      <c r="Z181" s="2"/>
    </row>
    <row r="182" spans="1:26" ht="63.75" hidden="1" customHeight="1">
      <c r="A182" s="26">
        <v>76</v>
      </c>
      <c r="B182" s="27" t="s">
        <v>562</v>
      </c>
      <c r="C182" s="28">
        <v>42446</v>
      </c>
      <c r="D182" s="27"/>
      <c r="E182" s="27" t="s">
        <v>574</v>
      </c>
      <c r="F182" s="29" t="s">
        <v>575</v>
      </c>
      <c r="G182" s="27" t="s">
        <v>307</v>
      </c>
      <c r="H182" s="27" t="s">
        <v>19</v>
      </c>
      <c r="I182" s="27">
        <v>1</v>
      </c>
      <c r="J182" s="30">
        <v>648752012</v>
      </c>
      <c r="K182" s="26" t="s">
        <v>36</v>
      </c>
      <c r="L182" s="26" t="s">
        <v>141</v>
      </c>
      <c r="M182" s="31" t="s">
        <v>576</v>
      </c>
      <c r="N182" s="2"/>
      <c r="O182" s="2"/>
      <c r="P182" s="2"/>
      <c r="Q182" s="2"/>
      <c r="R182" s="2"/>
      <c r="S182" s="2"/>
      <c r="T182" s="2"/>
      <c r="U182" s="2"/>
      <c r="V182" s="2"/>
      <c r="W182" s="2"/>
      <c r="X182" s="2"/>
      <c r="Y182" s="2"/>
      <c r="Z182" s="2"/>
    </row>
    <row r="183" spans="1:26" ht="25.5" hidden="1" customHeight="1">
      <c r="A183" s="26" t="s">
        <v>577</v>
      </c>
      <c r="B183" s="27"/>
      <c r="C183" s="28"/>
      <c r="D183" s="27"/>
      <c r="E183" s="27" t="s">
        <v>578</v>
      </c>
      <c r="F183" s="29" t="s">
        <v>579</v>
      </c>
      <c r="G183" s="27" t="s">
        <v>338</v>
      </c>
      <c r="H183" s="27" t="s">
        <v>569</v>
      </c>
      <c r="I183" s="27">
        <v>1</v>
      </c>
      <c r="J183" s="30">
        <v>201217281</v>
      </c>
      <c r="K183" s="26" t="s">
        <v>36</v>
      </c>
      <c r="L183" s="26" t="s">
        <v>141</v>
      </c>
      <c r="M183" s="31"/>
      <c r="N183" s="2"/>
      <c r="O183" s="2"/>
      <c r="P183" s="2"/>
      <c r="Q183" s="2"/>
      <c r="R183" s="2"/>
      <c r="S183" s="2"/>
      <c r="T183" s="2"/>
      <c r="U183" s="2"/>
      <c r="V183" s="2"/>
      <c r="W183" s="2"/>
      <c r="X183" s="2"/>
      <c r="Y183" s="2"/>
      <c r="Z183" s="2"/>
    </row>
    <row r="184" spans="1:26" ht="12.75" hidden="1" customHeight="1">
      <c r="A184" s="26" t="s">
        <v>580</v>
      </c>
      <c r="B184" s="27"/>
      <c r="C184" s="28"/>
      <c r="D184" s="27"/>
      <c r="E184" s="27" t="s">
        <v>581</v>
      </c>
      <c r="F184" s="29" t="s">
        <v>572</v>
      </c>
      <c r="G184" s="27" t="s">
        <v>573</v>
      </c>
      <c r="H184" s="27" t="s">
        <v>522</v>
      </c>
      <c r="I184" s="27">
        <v>1</v>
      </c>
      <c r="J184" s="30">
        <v>113333333</v>
      </c>
      <c r="K184" s="26" t="s">
        <v>36</v>
      </c>
      <c r="L184" s="26" t="s">
        <v>141</v>
      </c>
      <c r="M184" s="31"/>
      <c r="N184" s="2"/>
      <c r="O184" s="2"/>
      <c r="P184" s="2"/>
      <c r="Q184" s="2"/>
      <c r="R184" s="2"/>
      <c r="S184" s="2"/>
      <c r="T184" s="2"/>
      <c r="U184" s="2"/>
      <c r="V184" s="2"/>
      <c r="W184" s="2"/>
      <c r="X184" s="2"/>
      <c r="Y184" s="2"/>
      <c r="Z184" s="2"/>
    </row>
    <row r="185" spans="1:26" ht="63.75" hidden="1" customHeight="1">
      <c r="A185" s="26">
        <v>77</v>
      </c>
      <c r="B185" s="27" t="s">
        <v>562</v>
      </c>
      <c r="C185" s="28">
        <v>42446</v>
      </c>
      <c r="D185" s="27"/>
      <c r="E185" s="27" t="s">
        <v>582</v>
      </c>
      <c r="F185" s="29" t="s">
        <v>583</v>
      </c>
      <c r="G185" s="27" t="s">
        <v>307</v>
      </c>
      <c r="H185" s="27" t="s">
        <v>19</v>
      </c>
      <c r="I185" s="27">
        <v>1</v>
      </c>
      <c r="J185" s="30">
        <v>635942013</v>
      </c>
      <c r="K185" s="26" t="s">
        <v>36</v>
      </c>
      <c r="L185" s="26" t="s">
        <v>141</v>
      </c>
      <c r="M185" s="31" t="s">
        <v>584</v>
      </c>
      <c r="N185" s="2"/>
      <c r="O185" s="2"/>
      <c r="P185" s="2"/>
      <c r="Q185" s="2"/>
      <c r="R185" s="2"/>
      <c r="S185" s="2"/>
      <c r="T185" s="2"/>
      <c r="U185" s="2"/>
      <c r="V185" s="2"/>
      <c r="W185" s="2"/>
      <c r="X185" s="2"/>
      <c r="Y185" s="2"/>
      <c r="Z185" s="2"/>
    </row>
    <row r="186" spans="1:26" ht="25.5" hidden="1" customHeight="1">
      <c r="A186" s="26" t="s">
        <v>585</v>
      </c>
      <c r="B186" s="27"/>
      <c r="C186" s="28"/>
      <c r="D186" s="27"/>
      <c r="E186" s="27" t="s">
        <v>586</v>
      </c>
      <c r="F186" s="29" t="s">
        <v>587</v>
      </c>
      <c r="G186" s="27" t="s">
        <v>338</v>
      </c>
      <c r="H186" s="27" t="s">
        <v>569</v>
      </c>
      <c r="I186" s="27">
        <v>1</v>
      </c>
      <c r="J186" s="30">
        <v>201217281</v>
      </c>
      <c r="K186" s="26" t="s">
        <v>36</v>
      </c>
      <c r="L186" s="26" t="s">
        <v>141</v>
      </c>
      <c r="M186" s="31"/>
      <c r="N186" s="2"/>
      <c r="O186" s="2"/>
      <c r="P186" s="2"/>
      <c r="Q186" s="2"/>
      <c r="R186" s="2"/>
      <c r="S186" s="2"/>
      <c r="T186" s="2"/>
      <c r="U186" s="2"/>
      <c r="V186" s="2"/>
      <c r="W186" s="2"/>
      <c r="X186" s="2"/>
      <c r="Y186" s="2"/>
      <c r="Z186" s="2"/>
    </row>
    <row r="187" spans="1:26" ht="12.75" hidden="1" customHeight="1">
      <c r="A187" s="26" t="s">
        <v>588</v>
      </c>
      <c r="B187" s="27"/>
      <c r="C187" s="28"/>
      <c r="D187" s="27"/>
      <c r="E187" s="27" t="s">
        <v>589</v>
      </c>
      <c r="F187" s="29" t="s">
        <v>572</v>
      </c>
      <c r="G187" s="27" t="s">
        <v>573</v>
      </c>
      <c r="H187" s="27" t="s">
        <v>522</v>
      </c>
      <c r="I187" s="27">
        <v>1</v>
      </c>
      <c r="J187" s="30">
        <v>113333334</v>
      </c>
      <c r="K187" s="26" t="s">
        <v>36</v>
      </c>
      <c r="L187" s="26" t="s">
        <v>141</v>
      </c>
      <c r="M187" s="31"/>
      <c r="N187" s="2"/>
      <c r="O187" s="2"/>
      <c r="P187" s="2"/>
      <c r="Q187" s="2"/>
      <c r="R187" s="2"/>
      <c r="S187" s="2"/>
      <c r="T187" s="2"/>
      <c r="U187" s="2"/>
      <c r="V187" s="2"/>
      <c r="W187" s="2"/>
      <c r="X187" s="2"/>
      <c r="Y187" s="2"/>
      <c r="Z187" s="2"/>
    </row>
    <row r="188" spans="1:26" ht="51" hidden="1" customHeight="1">
      <c r="A188" s="26">
        <v>78</v>
      </c>
      <c r="B188" s="27" t="s">
        <v>562</v>
      </c>
      <c r="C188" s="28">
        <v>42446</v>
      </c>
      <c r="D188" s="27"/>
      <c r="E188" s="27" t="s">
        <v>590</v>
      </c>
      <c r="F188" s="29" t="s">
        <v>591</v>
      </c>
      <c r="G188" s="27" t="s">
        <v>307</v>
      </c>
      <c r="H188" s="27" t="s">
        <v>19</v>
      </c>
      <c r="I188" s="27">
        <v>1</v>
      </c>
      <c r="J188" s="30">
        <v>185491376</v>
      </c>
      <c r="K188" s="26" t="s">
        <v>36</v>
      </c>
      <c r="L188" s="26" t="s">
        <v>141</v>
      </c>
      <c r="M188" s="31" t="s">
        <v>592</v>
      </c>
      <c r="N188" s="2"/>
      <c r="O188" s="2"/>
      <c r="P188" s="2"/>
      <c r="Q188" s="2"/>
      <c r="R188" s="2"/>
      <c r="S188" s="2"/>
      <c r="T188" s="2"/>
      <c r="U188" s="2"/>
      <c r="V188" s="2"/>
      <c r="W188" s="2"/>
      <c r="X188" s="2"/>
      <c r="Y188" s="2"/>
      <c r="Z188" s="2"/>
    </row>
    <row r="189" spans="1:26" ht="51" hidden="1" customHeight="1">
      <c r="A189" s="26">
        <v>79</v>
      </c>
      <c r="B189" s="27" t="s">
        <v>562</v>
      </c>
      <c r="C189" s="28">
        <v>42446</v>
      </c>
      <c r="D189" s="27"/>
      <c r="E189" s="27" t="s">
        <v>593</v>
      </c>
      <c r="F189" s="29" t="s">
        <v>594</v>
      </c>
      <c r="G189" s="27" t="s">
        <v>307</v>
      </c>
      <c r="H189" s="27" t="s">
        <v>19</v>
      </c>
      <c r="I189" s="27">
        <v>1</v>
      </c>
      <c r="J189" s="30">
        <v>185491377</v>
      </c>
      <c r="K189" s="26" t="s">
        <v>36</v>
      </c>
      <c r="L189" s="26" t="s">
        <v>141</v>
      </c>
      <c r="M189" s="31" t="s">
        <v>595</v>
      </c>
      <c r="N189" s="2"/>
      <c r="O189" s="2"/>
      <c r="P189" s="2"/>
      <c r="Q189" s="2"/>
      <c r="R189" s="2"/>
      <c r="S189" s="2"/>
      <c r="T189" s="2"/>
      <c r="U189" s="2"/>
      <c r="V189" s="2"/>
      <c r="W189" s="2"/>
      <c r="X189" s="2"/>
      <c r="Y189" s="2"/>
      <c r="Z189" s="2"/>
    </row>
    <row r="190" spans="1:26" ht="25.5" hidden="1" customHeight="1">
      <c r="A190" s="26">
        <v>80</v>
      </c>
      <c r="B190" s="27" t="s">
        <v>466</v>
      </c>
      <c r="C190" s="28">
        <v>42626</v>
      </c>
      <c r="D190" s="27"/>
      <c r="E190" s="27" t="s">
        <v>596</v>
      </c>
      <c r="F190" s="29" t="s">
        <v>597</v>
      </c>
      <c r="G190" s="27" t="s">
        <v>307</v>
      </c>
      <c r="H190" s="27" t="s">
        <v>19</v>
      </c>
      <c r="I190" s="27">
        <v>1</v>
      </c>
      <c r="J190" s="30">
        <v>756075014</v>
      </c>
      <c r="K190" s="26" t="s">
        <v>36</v>
      </c>
      <c r="L190" s="26" t="s">
        <v>141</v>
      </c>
      <c r="M190" s="31" t="s">
        <v>598</v>
      </c>
      <c r="N190" s="2"/>
      <c r="O190" s="2"/>
      <c r="P190" s="2"/>
      <c r="Q190" s="2"/>
      <c r="R190" s="2"/>
      <c r="S190" s="2"/>
      <c r="T190" s="2"/>
      <c r="U190" s="2"/>
      <c r="V190" s="2"/>
      <c r="W190" s="2"/>
      <c r="X190" s="2"/>
      <c r="Y190" s="2"/>
      <c r="Z190" s="2"/>
    </row>
    <row r="191" spans="1:26" ht="25.5" hidden="1" customHeight="1">
      <c r="A191" s="26">
        <v>81</v>
      </c>
      <c r="B191" s="27" t="s">
        <v>599</v>
      </c>
      <c r="C191" s="28">
        <v>42671</v>
      </c>
      <c r="D191" s="27"/>
      <c r="E191" s="27" t="s">
        <v>600</v>
      </c>
      <c r="F191" s="29" t="s">
        <v>601</v>
      </c>
      <c r="G191" s="27" t="s">
        <v>307</v>
      </c>
      <c r="H191" s="27" t="s">
        <v>19</v>
      </c>
      <c r="I191" s="27">
        <v>1</v>
      </c>
      <c r="J191" s="30">
        <v>167514034</v>
      </c>
      <c r="K191" s="26" t="s">
        <v>36</v>
      </c>
      <c r="L191" s="26" t="s">
        <v>141</v>
      </c>
      <c r="M191" s="31" t="s">
        <v>602</v>
      </c>
      <c r="N191" s="2"/>
      <c r="O191" s="2"/>
      <c r="P191" s="2"/>
      <c r="Q191" s="2"/>
      <c r="R191" s="2"/>
      <c r="S191" s="2"/>
      <c r="T191" s="2"/>
      <c r="U191" s="2"/>
      <c r="V191" s="2"/>
      <c r="W191" s="2"/>
      <c r="X191" s="2"/>
      <c r="Y191" s="2"/>
      <c r="Z191" s="2"/>
    </row>
    <row r="192" spans="1:26" ht="25.5" hidden="1" customHeight="1">
      <c r="A192" s="26">
        <v>82</v>
      </c>
      <c r="B192" s="27" t="s">
        <v>599</v>
      </c>
      <c r="C192" s="28">
        <v>42671</v>
      </c>
      <c r="D192" s="27"/>
      <c r="E192" s="27" t="s">
        <v>603</v>
      </c>
      <c r="F192" s="29" t="s">
        <v>604</v>
      </c>
      <c r="G192" s="27" t="s">
        <v>307</v>
      </c>
      <c r="H192" s="27" t="s">
        <v>19</v>
      </c>
      <c r="I192" s="27">
        <v>1</v>
      </c>
      <c r="J192" s="30">
        <v>167514034</v>
      </c>
      <c r="K192" s="26" t="s">
        <v>36</v>
      </c>
      <c r="L192" s="26" t="s">
        <v>141</v>
      </c>
      <c r="M192" s="31" t="s">
        <v>605</v>
      </c>
      <c r="N192" s="2"/>
      <c r="O192" s="2"/>
      <c r="P192" s="2"/>
      <c r="Q192" s="2"/>
      <c r="R192" s="2"/>
      <c r="S192" s="2"/>
      <c r="T192" s="2"/>
      <c r="U192" s="2"/>
      <c r="V192" s="2"/>
      <c r="W192" s="2"/>
      <c r="X192" s="2"/>
      <c r="Y192" s="2"/>
      <c r="Z192" s="2"/>
    </row>
    <row r="193" spans="1:26" ht="25.5" hidden="1" customHeight="1">
      <c r="A193" s="26">
        <v>83</v>
      </c>
      <c r="B193" s="27" t="s">
        <v>599</v>
      </c>
      <c r="C193" s="28">
        <v>42671</v>
      </c>
      <c r="D193" s="27"/>
      <c r="E193" s="27" t="s">
        <v>606</v>
      </c>
      <c r="F193" s="29" t="s">
        <v>607</v>
      </c>
      <c r="G193" s="27" t="s">
        <v>307</v>
      </c>
      <c r="H193" s="27" t="s">
        <v>19</v>
      </c>
      <c r="I193" s="27">
        <v>1</v>
      </c>
      <c r="J193" s="30">
        <v>167514034</v>
      </c>
      <c r="K193" s="26" t="s">
        <v>36</v>
      </c>
      <c r="L193" s="26" t="s">
        <v>141</v>
      </c>
      <c r="M193" s="31" t="s">
        <v>608</v>
      </c>
      <c r="N193" s="2"/>
      <c r="O193" s="2"/>
      <c r="P193" s="2"/>
      <c r="Q193" s="2"/>
      <c r="R193" s="2"/>
      <c r="S193" s="2"/>
      <c r="T193" s="2"/>
      <c r="U193" s="2"/>
      <c r="V193" s="2"/>
      <c r="W193" s="2"/>
      <c r="X193" s="2"/>
      <c r="Y193" s="2"/>
      <c r="Z193" s="2"/>
    </row>
    <row r="194" spans="1:26" ht="25.5" hidden="1" customHeight="1">
      <c r="A194" s="26">
        <v>84</v>
      </c>
      <c r="B194" s="27" t="s">
        <v>599</v>
      </c>
      <c r="C194" s="28">
        <v>42671</v>
      </c>
      <c r="D194" s="27"/>
      <c r="E194" s="27" t="s">
        <v>609</v>
      </c>
      <c r="F194" s="29" t="s">
        <v>610</v>
      </c>
      <c r="G194" s="27" t="s">
        <v>307</v>
      </c>
      <c r="H194" s="27" t="s">
        <v>19</v>
      </c>
      <c r="I194" s="27">
        <v>1</v>
      </c>
      <c r="J194" s="30">
        <v>406714034</v>
      </c>
      <c r="K194" s="26" t="s">
        <v>36</v>
      </c>
      <c r="L194" s="26" t="s">
        <v>141</v>
      </c>
      <c r="M194" s="31" t="s">
        <v>611</v>
      </c>
      <c r="N194" s="2"/>
      <c r="O194" s="2"/>
      <c r="P194" s="2"/>
      <c r="Q194" s="2"/>
      <c r="R194" s="2"/>
      <c r="S194" s="2"/>
      <c r="T194" s="2"/>
      <c r="U194" s="2"/>
      <c r="V194" s="2"/>
      <c r="W194" s="2"/>
      <c r="X194" s="2"/>
      <c r="Y194" s="2"/>
      <c r="Z194" s="2"/>
    </row>
    <row r="195" spans="1:26" ht="25.5" hidden="1" customHeight="1">
      <c r="A195" s="26">
        <v>85</v>
      </c>
      <c r="B195" s="27" t="s">
        <v>599</v>
      </c>
      <c r="C195" s="28">
        <v>42671</v>
      </c>
      <c r="D195" s="27"/>
      <c r="E195" s="27" t="s">
        <v>612</v>
      </c>
      <c r="F195" s="29" t="s">
        <v>613</v>
      </c>
      <c r="G195" s="27" t="s">
        <v>307</v>
      </c>
      <c r="H195" s="27" t="s">
        <v>19</v>
      </c>
      <c r="I195" s="27">
        <v>1</v>
      </c>
      <c r="J195" s="30">
        <v>204198541</v>
      </c>
      <c r="K195" s="26" t="s">
        <v>36</v>
      </c>
      <c r="L195" s="26" t="s">
        <v>141</v>
      </c>
      <c r="M195" s="31" t="s">
        <v>614</v>
      </c>
      <c r="N195" s="2"/>
      <c r="O195" s="2"/>
      <c r="P195" s="2"/>
      <c r="Q195" s="2"/>
      <c r="R195" s="2"/>
      <c r="S195" s="2"/>
      <c r="T195" s="2"/>
      <c r="U195" s="2"/>
      <c r="V195" s="2"/>
      <c r="W195" s="2"/>
      <c r="X195" s="2"/>
      <c r="Y195" s="2"/>
      <c r="Z195" s="2"/>
    </row>
    <row r="196" spans="1:26" ht="25.5" hidden="1" customHeight="1">
      <c r="A196" s="26">
        <v>86</v>
      </c>
      <c r="B196" s="27" t="s">
        <v>599</v>
      </c>
      <c r="C196" s="28">
        <v>42671</v>
      </c>
      <c r="D196" s="27"/>
      <c r="E196" s="27" t="s">
        <v>615</v>
      </c>
      <c r="F196" s="29" t="s">
        <v>616</v>
      </c>
      <c r="G196" s="27" t="s">
        <v>307</v>
      </c>
      <c r="H196" s="27" t="s">
        <v>19</v>
      </c>
      <c r="I196" s="27">
        <v>1</v>
      </c>
      <c r="J196" s="30">
        <v>204198541</v>
      </c>
      <c r="K196" s="26" t="s">
        <v>36</v>
      </c>
      <c r="L196" s="26" t="s">
        <v>141</v>
      </c>
      <c r="M196" s="31" t="s">
        <v>617</v>
      </c>
      <c r="N196" s="2"/>
      <c r="O196" s="2"/>
      <c r="P196" s="2"/>
      <c r="Q196" s="2"/>
      <c r="R196" s="2"/>
      <c r="S196" s="2"/>
      <c r="T196" s="2"/>
      <c r="U196" s="2"/>
      <c r="V196" s="2"/>
      <c r="W196" s="2"/>
      <c r="X196" s="2"/>
      <c r="Y196" s="2"/>
      <c r="Z196" s="2"/>
    </row>
    <row r="197" spans="1:26" ht="25.5" hidden="1" customHeight="1">
      <c r="A197" s="26">
        <v>87</v>
      </c>
      <c r="B197" s="27" t="s">
        <v>599</v>
      </c>
      <c r="C197" s="28">
        <v>42671</v>
      </c>
      <c r="D197" s="27"/>
      <c r="E197" s="27" t="s">
        <v>618</v>
      </c>
      <c r="F197" s="29" t="s">
        <v>619</v>
      </c>
      <c r="G197" s="27" t="s">
        <v>307</v>
      </c>
      <c r="H197" s="27" t="s">
        <v>19</v>
      </c>
      <c r="I197" s="27">
        <v>1</v>
      </c>
      <c r="J197" s="30">
        <v>48437792</v>
      </c>
      <c r="K197" s="26" t="s">
        <v>36</v>
      </c>
      <c r="L197" s="26" t="s">
        <v>56</v>
      </c>
      <c r="M197" s="31" t="s">
        <v>620</v>
      </c>
      <c r="N197" s="2"/>
      <c r="O197" s="2"/>
      <c r="P197" s="2"/>
      <c r="Q197" s="2"/>
      <c r="R197" s="2"/>
      <c r="S197" s="2"/>
      <c r="T197" s="2"/>
      <c r="U197" s="2"/>
      <c r="V197" s="2"/>
      <c r="W197" s="2"/>
      <c r="X197" s="2"/>
      <c r="Y197" s="2"/>
      <c r="Z197" s="2"/>
    </row>
    <row r="198" spans="1:26" ht="12.75" hidden="1" customHeight="1">
      <c r="A198" s="26" t="s">
        <v>621</v>
      </c>
      <c r="B198" s="27"/>
      <c r="C198" s="28"/>
      <c r="D198" s="27"/>
      <c r="E198" s="27" t="s">
        <v>622</v>
      </c>
      <c r="F198" s="29" t="s">
        <v>623</v>
      </c>
      <c r="G198" s="27" t="s">
        <v>248</v>
      </c>
      <c r="H198" s="27" t="s">
        <v>249</v>
      </c>
      <c r="I198" s="27">
        <v>1</v>
      </c>
      <c r="J198" s="30">
        <v>0</v>
      </c>
      <c r="K198" s="26" t="s">
        <v>36</v>
      </c>
      <c r="L198" s="26" t="s">
        <v>56</v>
      </c>
      <c r="M198" s="31"/>
      <c r="N198" s="2"/>
      <c r="O198" s="2"/>
      <c r="P198" s="2"/>
      <c r="Q198" s="2"/>
      <c r="R198" s="2"/>
      <c r="S198" s="2"/>
      <c r="T198" s="2"/>
      <c r="U198" s="2"/>
      <c r="V198" s="2"/>
      <c r="W198" s="2"/>
      <c r="X198" s="2"/>
      <c r="Y198" s="2"/>
      <c r="Z198" s="2"/>
    </row>
    <row r="199" spans="1:26" ht="25.5" hidden="1" customHeight="1">
      <c r="A199" s="26">
        <v>88</v>
      </c>
      <c r="B199" s="27" t="s">
        <v>599</v>
      </c>
      <c r="C199" s="28">
        <v>42671</v>
      </c>
      <c r="D199" s="27"/>
      <c r="E199" s="27" t="s">
        <v>624</v>
      </c>
      <c r="F199" s="29" t="s">
        <v>625</v>
      </c>
      <c r="G199" s="27" t="s">
        <v>307</v>
      </c>
      <c r="H199" s="27" t="s">
        <v>19</v>
      </c>
      <c r="I199" s="27">
        <v>1</v>
      </c>
      <c r="J199" s="30">
        <v>64437792</v>
      </c>
      <c r="K199" s="26" t="s">
        <v>36</v>
      </c>
      <c r="L199" s="26" t="s">
        <v>56</v>
      </c>
      <c r="M199" s="31" t="s">
        <v>626</v>
      </c>
      <c r="N199" s="2"/>
      <c r="O199" s="2"/>
      <c r="P199" s="2"/>
      <c r="Q199" s="2"/>
      <c r="R199" s="2"/>
      <c r="S199" s="2"/>
      <c r="T199" s="2"/>
      <c r="U199" s="2"/>
      <c r="V199" s="2"/>
      <c r="W199" s="2"/>
      <c r="X199" s="2"/>
      <c r="Y199" s="2"/>
      <c r="Z199" s="2"/>
    </row>
    <row r="200" spans="1:26" ht="12.75" hidden="1" customHeight="1">
      <c r="A200" s="26" t="s">
        <v>627</v>
      </c>
      <c r="B200" s="27"/>
      <c r="C200" s="28"/>
      <c r="D200" s="27"/>
      <c r="E200" s="27" t="s">
        <v>628</v>
      </c>
      <c r="F200" s="29" t="s">
        <v>629</v>
      </c>
      <c r="G200" s="27" t="s">
        <v>248</v>
      </c>
      <c r="H200" s="27" t="s">
        <v>249</v>
      </c>
      <c r="I200" s="27">
        <v>1</v>
      </c>
      <c r="J200" s="30">
        <v>0</v>
      </c>
      <c r="K200" s="26" t="s">
        <v>36</v>
      </c>
      <c r="L200" s="26" t="s">
        <v>56</v>
      </c>
      <c r="M200" s="31"/>
      <c r="N200" s="2"/>
      <c r="O200" s="2"/>
      <c r="P200" s="2"/>
      <c r="Q200" s="2"/>
      <c r="R200" s="2"/>
      <c r="S200" s="2"/>
      <c r="T200" s="2"/>
      <c r="U200" s="2"/>
      <c r="V200" s="2"/>
      <c r="W200" s="2"/>
      <c r="X200" s="2"/>
      <c r="Y200" s="2"/>
      <c r="Z200" s="2"/>
    </row>
    <row r="201" spans="1:26" ht="25.5" hidden="1" customHeight="1">
      <c r="A201" s="26">
        <v>89</v>
      </c>
      <c r="B201" s="27" t="s">
        <v>599</v>
      </c>
      <c r="C201" s="28">
        <v>42671</v>
      </c>
      <c r="D201" s="27"/>
      <c r="E201" s="27" t="s">
        <v>630</v>
      </c>
      <c r="F201" s="29" t="s">
        <v>631</v>
      </c>
      <c r="G201" s="27" t="s">
        <v>307</v>
      </c>
      <c r="H201" s="27" t="s">
        <v>19</v>
      </c>
      <c r="I201" s="27">
        <v>1</v>
      </c>
      <c r="J201" s="30">
        <v>48437792</v>
      </c>
      <c r="K201" s="26" t="s">
        <v>36</v>
      </c>
      <c r="L201" s="26" t="s">
        <v>56</v>
      </c>
      <c r="M201" s="31" t="s">
        <v>632</v>
      </c>
      <c r="N201" s="2"/>
      <c r="O201" s="2"/>
      <c r="P201" s="2"/>
      <c r="Q201" s="2"/>
      <c r="R201" s="2"/>
      <c r="S201" s="2"/>
      <c r="T201" s="2"/>
      <c r="U201" s="2"/>
      <c r="V201" s="2"/>
      <c r="W201" s="2"/>
      <c r="X201" s="2"/>
      <c r="Y201" s="2"/>
      <c r="Z201" s="2"/>
    </row>
    <row r="202" spans="1:26" ht="12.75" hidden="1" customHeight="1">
      <c r="A202" s="26" t="s">
        <v>633</v>
      </c>
      <c r="B202" s="27"/>
      <c r="C202" s="28"/>
      <c r="D202" s="27"/>
      <c r="E202" s="27" t="s">
        <v>634</v>
      </c>
      <c r="F202" s="29" t="s">
        <v>635</v>
      </c>
      <c r="G202" s="27" t="s">
        <v>248</v>
      </c>
      <c r="H202" s="27" t="s">
        <v>249</v>
      </c>
      <c r="I202" s="27">
        <v>1</v>
      </c>
      <c r="J202" s="30">
        <v>0</v>
      </c>
      <c r="K202" s="26" t="s">
        <v>36</v>
      </c>
      <c r="L202" s="26" t="s">
        <v>56</v>
      </c>
      <c r="M202" s="31"/>
      <c r="N202" s="2"/>
      <c r="O202" s="2"/>
      <c r="P202" s="2"/>
      <c r="Q202" s="2"/>
      <c r="R202" s="2"/>
      <c r="S202" s="2"/>
      <c r="T202" s="2"/>
      <c r="U202" s="2"/>
      <c r="V202" s="2"/>
      <c r="W202" s="2"/>
      <c r="X202" s="2"/>
      <c r="Y202" s="2"/>
      <c r="Z202" s="2"/>
    </row>
    <row r="203" spans="1:26" ht="25.5" hidden="1" customHeight="1">
      <c r="A203" s="26">
        <v>90</v>
      </c>
      <c r="B203" s="27" t="s">
        <v>599</v>
      </c>
      <c r="C203" s="28">
        <v>42671</v>
      </c>
      <c r="D203" s="27"/>
      <c r="E203" s="27" t="s">
        <v>636</v>
      </c>
      <c r="F203" s="29" t="s">
        <v>637</v>
      </c>
      <c r="G203" s="27" t="s">
        <v>307</v>
      </c>
      <c r="H203" s="27" t="s">
        <v>19</v>
      </c>
      <c r="I203" s="27">
        <v>1</v>
      </c>
      <c r="J203" s="30">
        <v>48437792</v>
      </c>
      <c r="K203" s="26" t="s">
        <v>36</v>
      </c>
      <c r="L203" s="26" t="s">
        <v>56</v>
      </c>
      <c r="M203" s="31" t="s">
        <v>638</v>
      </c>
      <c r="N203" s="2"/>
      <c r="O203" s="2"/>
      <c r="P203" s="2"/>
      <c r="Q203" s="2"/>
      <c r="R203" s="2"/>
      <c r="S203" s="2"/>
      <c r="T203" s="2"/>
      <c r="U203" s="2"/>
      <c r="V203" s="2"/>
      <c r="W203" s="2"/>
      <c r="X203" s="2"/>
      <c r="Y203" s="2"/>
      <c r="Z203" s="2"/>
    </row>
    <row r="204" spans="1:26" ht="12.75" hidden="1" customHeight="1">
      <c r="A204" s="26" t="s">
        <v>639</v>
      </c>
      <c r="B204" s="27"/>
      <c r="C204" s="28"/>
      <c r="D204" s="27"/>
      <c r="E204" s="27" t="s">
        <v>640</v>
      </c>
      <c r="F204" s="29" t="s">
        <v>641</v>
      </c>
      <c r="G204" s="27" t="s">
        <v>248</v>
      </c>
      <c r="H204" s="27" t="s">
        <v>249</v>
      </c>
      <c r="I204" s="27">
        <v>1</v>
      </c>
      <c r="J204" s="30">
        <v>0</v>
      </c>
      <c r="K204" s="26" t="s">
        <v>36</v>
      </c>
      <c r="L204" s="26" t="s">
        <v>56</v>
      </c>
      <c r="M204" s="31"/>
      <c r="N204" s="2"/>
      <c r="O204" s="2"/>
      <c r="P204" s="2"/>
      <c r="Q204" s="2"/>
      <c r="R204" s="2"/>
      <c r="S204" s="2"/>
      <c r="T204" s="2"/>
      <c r="U204" s="2"/>
      <c r="V204" s="2"/>
      <c r="W204" s="2"/>
      <c r="X204" s="2"/>
      <c r="Y204" s="2"/>
      <c r="Z204" s="2"/>
    </row>
    <row r="205" spans="1:26" ht="25.5" hidden="1" customHeight="1">
      <c r="A205" s="26">
        <v>91</v>
      </c>
      <c r="B205" s="27" t="s">
        <v>599</v>
      </c>
      <c r="C205" s="28">
        <v>42671</v>
      </c>
      <c r="D205" s="27"/>
      <c r="E205" s="27" t="s">
        <v>642</v>
      </c>
      <c r="F205" s="29" t="s">
        <v>643</v>
      </c>
      <c r="G205" s="27" t="s">
        <v>307</v>
      </c>
      <c r="H205" s="27" t="s">
        <v>19</v>
      </c>
      <c r="I205" s="27">
        <v>1</v>
      </c>
      <c r="J205" s="30">
        <v>48437794</v>
      </c>
      <c r="K205" s="26" t="s">
        <v>36</v>
      </c>
      <c r="L205" s="26" t="s">
        <v>56</v>
      </c>
      <c r="M205" s="31" t="s">
        <v>644</v>
      </c>
      <c r="N205" s="2"/>
      <c r="O205" s="2"/>
      <c r="P205" s="2"/>
      <c r="Q205" s="2"/>
      <c r="R205" s="2"/>
      <c r="S205" s="2"/>
      <c r="T205" s="2"/>
      <c r="U205" s="2"/>
      <c r="V205" s="2"/>
      <c r="W205" s="2"/>
      <c r="X205" s="2"/>
      <c r="Y205" s="2"/>
      <c r="Z205" s="2"/>
    </row>
    <row r="206" spans="1:26" ht="12.75" hidden="1" customHeight="1">
      <c r="A206" s="26" t="s">
        <v>645</v>
      </c>
      <c r="B206" s="27"/>
      <c r="C206" s="28"/>
      <c r="D206" s="27"/>
      <c r="E206" s="27" t="s">
        <v>646</v>
      </c>
      <c r="F206" s="29" t="s">
        <v>647</v>
      </c>
      <c r="G206" s="27" t="s">
        <v>248</v>
      </c>
      <c r="H206" s="27" t="s">
        <v>249</v>
      </c>
      <c r="I206" s="27">
        <v>1</v>
      </c>
      <c r="J206" s="30">
        <v>0</v>
      </c>
      <c r="K206" s="26" t="s">
        <v>36</v>
      </c>
      <c r="L206" s="26" t="s">
        <v>56</v>
      </c>
      <c r="M206" s="31"/>
      <c r="N206" s="2"/>
      <c r="O206" s="2"/>
      <c r="P206" s="2"/>
      <c r="Q206" s="2"/>
      <c r="R206" s="2"/>
      <c r="S206" s="2"/>
      <c r="T206" s="2"/>
      <c r="U206" s="2"/>
      <c r="V206" s="2"/>
      <c r="W206" s="2"/>
      <c r="X206" s="2"/>
      <c r="Y206" s="2"/>
      <c r="Z206" s="2"/>
    </row>
    <row r="207" spans="1:26" ht="25.5" hidden="1" customHeight="1">
      <c r="A207" s="26">
        <v>92</v>
      </c>
      <c r="B207" s="27" t="s">
        <v>599</v>
      </c>
      <c r="C207" s="28">
        <v>42671</v>
      </c>
      <c r="D207" s="27"/>
      <c r="E207" s="27" t="s">
        <v>648</v>
      </c>
      <c r="F207" s="29" t="s">
        <v>649</v>
      </c>
      <c r="G207" s="27" t="s">
        <v>307</v>
      </c>
      <c r="H207" s="27" t="s">
        <v>19</v>
      </c>
      <c r="I207" s="27">
        <v>1</v>
      </c>
      <c r="J207" s="30">
        <v>47131872</v>
      </c>
      <c r="K207" s="26" t="s">
        <v>36</v>
      </c>
      <c r="L207" s="45" t="s">
        <v>56</v>
      </c>
      <c r="M207" s="46" t="s">
        <v>650</v>
      </c>
      <c r="N207" s="2"/>
      <c r="O207" s="2"/>
      <c r="P207" s="2"/>
      <c r="Q207" s="2"/>
      <c r="R207" s="2"/>
      <c r="S207" s="2"/>
      <c r="T207" s="2"/>
      <c r="U207" s="2"/>
      <c r="V207" s="2"/>
      <c r="W207" s="2"/>
      <c r="X207" s="2"/>
      <c r="Y207" s="2"/>
      <c r="Z207" s="2"/>
    </row>
    <row r="208" spans="1:26" ht="12.75" hidden="1" customHeight="1">
      <c r="A208" s="26" t="s">
        <v>651</v>
      </c>
      <c r="B208" s="27"/>
      <c r="C208" s="28"/>
      <c r="D208" s="27"/>
      <c r="E208" s="27" t="s">
        <v>652</v>
      </c>
      <c r="F208" s="29" t="s">
        <v>653</v>
      </c>
      <c r="G208" s="27" t="s">
        <v>248</v>
      </c>
      <c r="H208" s="27" t="s">
        <v>249</v>
      </c>
      <c r="I208" s="27">
        <v>1</v>
      </c>
      <c r="J208" s="30">
        <v>0</v>
      </c>
      <c r="K208" s="26" t="s">
        <v>36</v>
      </c>
      <c r="L208" s="26" t="s">
        <v>56</v>
      </c>
      <c r="M208" s="31"/>
      <c r="N208" s="2"/>
      <c r="O208" s="2"/>
      <c r="P208" s="2"/>
      <c r="Q208" s="2"/>
      <c r="R208" s="2"/>
      <c r="S208" s="2"/>
      <c r="T208" s="2"/>
      <c r="U208" s="2"/>
      <c r="V208" s="2"/>
      <c r="W208" s="2"/>
      <c r="X208" s="2"/>
      <c r="Y208" s="2"/>
      <c r="Z208" s="2"/>
    </row>
    <row r="209" spans="1:26" ht="25.5" hidden="1" customHeight="1">
      <c r="A209" s="26">
        <v>93</v>
      </c>
      <c r="B209" s="27" t="s">
        <v>599</v>
      </c>
      <c r="C209" s="28">
        <v>42671</v>
      </c>
      <c r="D209" s="27"/>
      <c r="E209" s="27" t="s">
        <v>654</v>
      </c>
      <c r="F209" s="29" t="s">
        <v>655</v>
      </c>
      <c r="G209" s="27" t="s">
        <v>307</v>
      </c>
      <c r="H209" s="27" t="s">
        <v>19</v>
      </c>
      <c r="I209" s="27">
        <v>1</v>
      </c>
      <c r="J209" s="30">
        <v>47131872</v>
      </c>
      <c r="K209" s="26" t="s">
        <v>36</v>
      </c>
      <c r="L209" s="26" t="s">
        <v>56</v>
      </c>
      <c r="M209" s="31" t="s">
        <v>656</v>
      </c>
      <c r="N209" s="2"/>
      <c r="O209" s="2"/>
      <c r="P209" s="2"/>
      <c r="Q209" s="2"/>
      <c r="R209" s="2"/>
      <c r="S209" s="2"/>
      <c r="T209" s="2"/>
      <c r="U209" s="2"/>
      <c r="V209" s="2"/>
      <c r="W209" s="2"/>
      <c r="X209" s="2"/>
      <c r="Y209" s="2"/>
      <c r="Z209" s="2"/>
    </row>
    <row r="210" spans="1:26" ht="12.75" hidden="1" customHeight="1">
      <c r="A210" s="26" t="s">
        <v>657</v>
      </c>
      <c r="B210" s="27"/>
      <c r="C210" s="28"/>
      <c r="D210" s="27"/>
      <c r="E210" s="27" t="s">
        <v>658</v>
      </c>
      <c r="F210" s="29" t="s">
        <v>659</v>
      </c>
      <c r="G210" s="27" t="s">
        <v>248</v>
      </c>
      <c r="H210" s="27" t="s">
        <v>249</v>
      </c>
      <c r="I210" s="27">
        <v>1</v>
      </c>
      <c r="J210" s="30">
        <v>0</v>
      </c>
      <c r="K210" s="26" t="s">
        <v>36</v>
      </c>
      <c r="L210" s="26" t="s">
        <v>56</v>
      </c>
      <c r="M210" s="31"/>
      <c r="N210" s="2"/>
      <c r="O210" s="2"/>
      <c r="P210" s="2"/>
      <c r="Q210" s="2"/>
      <c r="R210" s="2"/>
      <c r="S210" s="2"/>
      <c r="T210" s="2"/>
      <c r="U210" s="2"/>
      <c r="V210" s="2"/>
      <c r="W210" s="2"/>
      <c r="X210" s="2"/>
      <c r="Y210" s="2"/>
      <c r="Z210" s="2"/>
    </row>
    <row r="211" spans="1:26" ht="25.5" hidden="1" customHeight="1">
      <c r="A211" s="26">
        <v>94</v>
      </c>
      <c r="B211" s="27" t="s">
        <v>599</v>
      </c>
      <c r="C211" s="28">
        <v>42671</v>
      </c>
      <c r="D211" s="27"/>
      <c r="E211" s="27" t="s">
        <v>660</v>
      </c>
      <c r="F211" s="29" t="s">
        <v>661</v>
      </c>
      <c r="G211" s="27" t="s">
        <v>307</v>
      </c>
      <c r="H211" s="27" t="s">
        <v>19</v>
      </c>
      <c r="I211" s="27">
        <v>1</v>
      </c>
      <c r="J211" s="30">
        <v>47131872</v>
      </c>
      <c r="K211" s="26" t="s">
        <v>36</v>
      </c>
      <c r="L211" s="26" t="s">
        <v>56</v>
      </c>
      <c r="M211" s="31" t="s">
        <v>662</v>
      </c>
      <c r="N211" s="2"/>
      <c r="O211" s="2"/>
      <c r="P211" s="2"/>
      <c r="Q211" s="2"/>
      <c r="R211" s="2"/>
      <c r="S211" s="2"/>
      <c r="T211" s="2"/>
      <c r="U211" s="2"/>
      <c r="V211" s="2"/>
      <c r="W211" s="2"/>
      <c r="X211" s="2"/>
      <c r="Y211" s="2"/>
      <c r="Z211" s="2"/>
    </row>
    <row r="212" spans="1:26" ht="12.75" hidden="1" customHeight="1">
      <c r="A212" s="26" t="s">
        <v>663</v>
      </c>
      <c r="B212" s="27"/>
      <c r="C212" s="28"/>
      <c r="D212" s="27"/>
      <c r="E212" s="27" t="s">
        <v>664</v>
      </c>
      <c r="F212" s="29" t="s">
        <v>665</v>
      </c>
      <c r="G212" s="27" t="s">
        <v>248</v>
      </c>
      <c r="H212" s="27" t="s">
        <v>249</v>
      </c>
      <c r="I212" s="27">
        <v>1</v>
      </c>
      <c r="J212" s="30">
        <v>0</v>
      </c>
      <c r="K212" s="26" t="s">
        <v>36</v>
      </c>
      <c r="L212" s="26" t="s">
        <v>56</v>
      </c>
      <c r="M212" s="31"/>
      <c r="N212" s="2"/>
      <c r="O212" s="2"/>
      <c r="P212" s="2"/>
      <c r="Q212" s="2"/>
      <c r="R212" s="2"/>
      <c r="S212" s="2"/>
      <c r="T212" s="2"/>
      <c r="U212" s="2"/>
      <c r="V212" s="2"/>
      <c r="W212" s="2"/>
      <c r="X212" s="2"/>
      <c r="Y212" s="2"/>
      <c r="Z212" s="2"/>
    </row>
    <row r="213" spans="1:26" ht="25.5" hidden="1" customHeight="1">
      <c r="A213" s="26">
        <v>95</v>
      </c>
      <c r="B213" s="27" t="s">
        <v>599</v>
      </c>
      <c r="C213" s="28">
        <v>42671</v>
      </c>
      <c r="D213" s="27"/>
      <c r="E213" s="27" t="s">
        <v>666</v>
      </c>
      <c r="F213" s="29" t="s">
        <v>667</v>
      </c>
      <c r="G213" s="27" t="s">
        <v>307</v>
      </c>
      <c r="H213" s="27" t="s">
        <v>19</v>
      </c>
      <c r="I213" s="27">
        <v>1</v>
      </c>
      <c r="J213" s="30">
        <v>47131872</v>
      </c>
      <c r="K213" s="26" t="s">
        <v>36</v>
      </c>
      <c r="L213" s="26" t="s">
        <v>56</v>
      </c>
      <c r="M213" s="31" t="s">
        <v>668</v>
      </c>
      <c r="N213" s="2"/>
      <c r="O213" s="2"/>
      <c r="P213" s="2"/>
      <c r="Q213" s="2"/>
      <c r="R213" s="2"/>
      <c r="S213" s="2"/>
      <c r="T213" s="2"/>
      <c r="U213" s="2"/>
      <c r="V213" s="2"/>
      <c r="W213" s="2"/>
      <c r="X213" s="2"/>
      <c r="Y213" s="2"/>
      <c r="Z213" s="2"/>
    </row>
    <row r="214" spans="1:26" ht="12.75" hidden="1" customHeight="1">
      <c r="A214" s="26" t="s">
        <v>669</v>
      </c>
      <c r="B214" s="27"/>
      <c r="C214" s="28"/>
      <c r="D214" s="27"/>
      <c r="E214" s="27" t="s">
        <v>670</v>
      </c>
      <c r="F214" s="29" t="s">
        <v>671</v>
      </c>
      <c r="G214" s="27" t="s">
        <v>248</v>
      </c>
      <c r="H214" s="27" t="s">
        <v>249</v>
      </c>
      <c r="I214" s="27">
        <v>1</v>
      </c>
      <c r="J214" s="30">
        <v>0</v>
      </c>
      <c r="K214" s="26" t="s">
        <v>36</v>
      </c>
      <c r="L214" s="26" t="s">
        <v>56</v>
      </c>
      <c r="M214" s="31"/>
      <c r="N214" s="2"/>
      <c r="O214" s="2"/>
      <c r="P214" s="2"/>
      <c r="Q214" s="2"/>
      <c r="R214" s="2"/>
      <c r="S214" s="2"/>
      <c r="T214" s="2"/>
      <c r="U214" s="2"/>
      <c r="V214" s="2"/>
      <c r="W214" s="2"/>
      <c r="X214" s="2"/>
      <c r="Y214" s="2"/>
      <c r="Z214" s="2"/>
    </row>
    <row r="215" spans="1:26" ht="25.5" hidden="1" customHeight="1">
      <c r="A215" s="26">
        <v>96</v>
      </c>
      <c r="B215" s="27" t="s">
        <v>599</v>
      </c>
      <c r="C215" s="28">
        <v>42671</v>
      </c>
      <c r="D215" s="27"/>
      <c r="E215" s="27" t="s">
        <v>672</v>
      </c>
      <c r="F215" s="29" t="s">
        <v>673</v>
      </c>
      <c r="G215" s="27" t="s">
        <v>307</v>
      </c>
      <c r="H215" s="27" t="s">
        <v>19</v>
      </c>
      <c r="I215" s="27">
        <v>1</v>
      </c>
      <c r="J215" s="30">
        <v>47131872</v>
      </c>
      <c r="K215" s="26" t="s">
        <v>36</v>
      </c>
      <c r="L215" s="26" t="s">
        <v>56</v>
      </c>
      <c r="M215" s="31" t="s">
        <v>675</v>
      </c>
      <c r="N215" s="2"/>
      <c r="O215" s="2"/>
      <c r="P215" s="2"/>
      <c r="Q215" s="2"/>
      <c r="R215" s="2"/>
      <c r="S215" s="2"/>
      <c r="T215" s="2"/>
      <c r="U215" s="2"/>
      <c r="V215" s="2"/>
      <c r="W215" s="2"/>
      <c r="X215" s="2"/>
      <c r="Y215" s="2"/>
      <c r="Z215" s="2"/>
    </row>
    <row r="216" spans="1:26" ht="12.75" hidden="1" customHeight="1">
      <c r="A216" s="26" t="s">
        <v>676</v>
      </c>
      <c r="B216" s="27"/>
      <c r="C216" s="28"/>
      <c r="D216" s="27"/>
      <c r="E216" s="27" t="s">
        <v>677</v>
      </c>
      <c r="F216" s="29" t="s">
        <v>678</v>
      </c>
      <c r="G216" s="27" t="s">
        <v>248</v>
      </c>
      <c r="H216" s="27" t="s">
        <v>249</v>
      </c>
      <c r="I216" s="27">
        <v>1</v>
      </c>
      <c r="J216" s="30">
        <v>0</v>
      </c>
      <c r="K216" s="26" t="s">
        <v>36</v>
      </c>
      <c r="L216" s="26" t="s">
        <v>56</v>
      </c>
      <c r="M216" s="31"/>
      <c r="N216" s="2"/>
      <c r="O216" s="2"/>
      <c r="P216" s="2"/>
      <c r="Q216" s="2"/>
      <c r="R216" s="2"/>
      <c r="S216" s="2"/>
      <c r="T216" s="2"/>
      <c r="U216" s="2"/>
      <c r="V216" s="2"/>
      <c r="W216" s="2"/>
      <c r="X216" s="2"/>
      <c r="Y216" s="2"/>
      <c r="Z216" s="2"/>
    </row>
    <row r="217" spans="1:26" ht="25.5" hidden="1" customHeight="1">
      <c r="A217" s="26">
        <v>97</v>
      </c>
      <c r="B217" s="27" t="s">
        <v>599</v>
      </c>
      <c r="C217" s="28">
        <v>42671</v>
      </c>
      <c r="D217" s="27"/>
      <c r="E217" s="27" t="s">
        <v>679</v>
      </c>
      <c r="F217" s="29" t="s">
        <v>680</v>
      </c>
      <c r="G217" s="27" t="s">
        <v>307</v>
      </c>
      <c r="H217" s="27" t="s">
        <v>19</v>
      </c>
      <c r="I217" s="27">
        <v>1</v>
      </c>
      <c r="J217" s="30">
        <v>47131872</v>
      </c>
      <c r="K217" s="26" t="s">
        <v>36</v>
      </c>
      <c r="L217" s="26" t="s">
        <v>56</v>
      </c>
      <c r="M217" s="31" t="s">
        <v>681</v>
      </c>
      <c r="N217" s="2"/>
      <c r="O217" s="2"/>
      <c r="P217" s="2"/>
      <c r="Q217" s="2"/>
      <c r="R217" s="2"/>
      <c r="S217" s="2"/>
      <c r="T217" s="2"/>
      <c r="U217" s="2"/>
      <c r="V217" s="2"/>
      <c r="W217" s="2"/>
      <c r="X217" s="2"/>
      <c r="Y217" s="2"/>
      <c r="Z217" s="2"/>
    </row>
    <row r="218" spans="1:26" ht="12.75" hidden="1" customHeight="1">
      <c r="A218" s="26" t="s">
        <v>682</v>
      </c>
      <c r="B218" s="27"/>
      <c r="C218" s="28"/>
      <c r="D218" s="27"/>
      <c r="E218" s="27" t="s">
        <v>683</v>
      </c>
      <c r="F218" s="29" t="s">
        <v>684</v>
      </c>
      <c r="G218" s="27" t="s">
        <v>248</v>
      </c>
      <c r="H218" s="27" t="s">
        <v>249</v>
      </c>
      <c r="I218" s="27">
        <v>1</v>
      </c>
      <c r="J218" s="30">
        <v>0</v>
      </c>
      <c r="K218" s="26" t="s">
        <v>36</v>
      </c>
      <c r="L218" s="26" t="s">
        <v>56</v>
      </c>
      <c r="M218" s="31"/>
      <c r="N218" s="2"/>
      <c r="O218" s="2"/>
      <c r="P218" s="2"/>
      <c r="Q218" s="2"/>
      <c r="R218" s="2"/>
      <c r="S218" s="2"/>
      <c r="T218" s="2"/>
      <c r="U218" s="2"/>
      <c r="V218" s="2"/>
      <c r="W218" s="2"/>
      <c r="X218" s="2"/>
      <c r="Y218" s="2"/>
      <c r="Z218" s="2"/>
    </row>
    <row r="219" spans="1:26" ht="25.5" hidden="1" customHeight="1">
      <c r="A219" s="26">
        <v>98</v>
      </c>
      <c r="B219" s="27" t="s">
        <v>599</v>
      </c>
      <c r="C219" s="28">
        <v>42671</v>
      </c>
      <c r="D219" s="27"/>
      <c r="E219" s="27" t="s">
        <v>685</v>
      </c>
      <c r="F219" s="29" t="s">
        <v>686</v>
      </c>
      <c r="G219" s="27" t="s">
        <v>307</v>
      </c>
      <c r="H219" s="27" t="s">
        <v>19</v>
      </c>
      <c r="I219" s="27">
        <v>1</v>
      </c>
      <c r="J219" s="30">
        <v>47131872</v>
      </c>
      <c r="K219" s="26" t="s">
        <v>36</v>
      </c>
      <c r="L219" s="26" t="s">
        <v>56</v>
      </c>
      <c r="M219" s="31" t="s">
        <v>687</v>
      </c>
      <c r="N219" s="2"/>
      <c r="O219" s="2"/>
      <c r="P219" s="2"/>
      <c r="Q219" s="2"/>
      <c r="R219" s="2"/>
      <c r="S219" s="2"/>
      <c r="T219" s="2"/>
      <c r="U219" s="2"/>
      <c r="V219" s="2"/>
      <c r="W219" s="2"/>
      <c r="X219" s="2"/>
      <c r="Y219" s="2"/>
      <c r="Z219" s="2"/>
    </row>
    <row r="220" spans="1:26" ht="12.75" hidden="1" customHeight="1">
      <c r="A220" s="26" t="s">
        <v>688</v>
      </c>
      <c r="B220" s="27"/>
      <c r="C220" s="28"/>
      <c r="D220" s="27"/>
      <c r="E220" s="27" t="s">
        <v>689</v>
      </c>
      <c r="F220" s="29" t="s">
        <v>690</v>
      </c>
      <c r="G220" s="27" t="s">
        <v>248</v>
      </c>
      <c r="H220" s="27" t="s">
        <v>249</v>
      </c>
      <c r="I220" s="27">
        <v>1</v>
      </c>
      <c r="J220" s="30">
        <v>0</v>
      </c>
      <c r="K220" s="26" t="s">
        <v>36</v>
      </c>
      <c r="L220" s="26" t="s">
        <v>56</v>
      </c>
      <c r="M220" s="31"/>
      <c r="N220" s="2"/>
      <c r="O220" s="2"/>
      <c r="P220" s="2"/>
      <c r="Q220" s="2"/>
      <c r="R220" s="2"/>
      <c r="S220" s="2"/>
      <c r="T220" s="2"/>
      <c r="U220" s="2"/>
      <c r="V220" s="2"/>
      <c r="W220" s="2"/>
      <c r="X220" s="2"/>
      <c r="Y220" s="2"/>
      <c r="Z220" s="2"/>
    </row>
    <row r="221" spans="1:26" ht="25.5" hidden="1" customHeight="1">
      <c r="A221" s="26">
        <v>99</v>
      </c>
      <c r="B221" s="27" t="s">
        <v>599</v>
      </c>
      <c r="C221" s="28">
        <v>42671</v>
      </c>
      <c r="D221" s="27"/>
      <c r="E221" s="27" t="s">
        <v>691</v>
      </c>
      <c r="F221" s="29" t="s">
        <v>692</v>
      </c>
      <c r="G221" s="27" t="s">
        <v>307</v>
      </c>
      <c r="H221" s="27" t="s">
        <v>19</v>
      </c>
      <c r="I221" s="27">
        <v>1</v>
      </c>
      <c r="J221" s="30">
        <v>47131872</v>
      </c>
      <c r="K221" s="26" t="s">
        <v>36</v>
      </c>
      <c r="L221" s="26" t="s">
        <v>56</v>
      </c>
      <c r="M221" s="31" t="s">
        <v>693</v>
      </c>
      <c r="N221" s="2"/>
      <c r="O221" s="2"/>
      <c r="P221" s="2"/>
      <c r="Q221" s="2"/>
      <c r="R221" s="2"/>
      <c r="S221" s="2"/>
      <c r="T221" s="2"/>
      <c r="U221" s="2"/>
      <c r="V221" s="2"/>
      <c r="W221" s="2"/>
      <c r="X221" s="2"/>
      <c r="Y221" s="2"/>
      <c r="Z221" s="2"/>
    </row>
    <row r="222" spans="1:26" ht="12.75" hidden="1" customHeight="1">
      <c r="A222" s="26" t="s">
        <v>694</v>
      </c>
      <c r="B222" s="27"/>
      <c r="C222" s="28"/>
      <c r="D222" s="27"/>
      <c r="E222" s="27" t="s">
        <v>695</v>
      </c>
      <c r="F222" s="29" t="s">
        <v>696</v>
      </c>
      <c r="G222" s="27" t="s">
        <v>248</v>
      </c>
      <c r="H222" s="27" t="s">
        <v>249</v>
      </c>
      <c r="I222" s="27">
        <v>1</v>
      </c>
      <c r="J222" s="30">
        <v>0</v>
      </c>
      <c r="K222" s="26" t="s">
        <v>36</v>
      </c>
      <c r="L222" s="26" t="s">
        <v>56</v>
      </c>
      <c r="M222" s="31"/>
      <c r="N222" s="2"/>
      <c r="O222" s="2"/>
      <c r="P222" s="2"/>
      <c r="Q222" s="2"/>
      <c r="R222" s="2"/>
      <c r="S222" s="2"/>
      <c r="T222" s="2"/>
      <c r="U222" s="2"/>
      <c r="V222" s="2"/>
      <c r="W222" s="2"/>
      <c r="X222" s="2"/>
      <c r="Y222" s="2"/>
      <c r="Z222" s="2"/>
    </row>
    <row r="223" spans="1:26" ht="25.5" hidden="1" customHeight="1">
      <c r="A223" s="26">
        <v>100</v>
      </c>
      <c r="B223" s="27" t="s">
        <v>599</v>
      </c>
      <c r="C223" s="28">
        <v>42671</v>
      </c>
      <c r="D223" s="27"/>
      <c r="E223" s="27" t="s">
        <v>697</v>
      </c>
      <c r="F223" s="29" t="s">
        <v>698</v>
      </c>
      <c r="G223" s="27" t="s">
        <v>307</v>
      </c>
      <c r="H223" s="27" t="s">
        <v>19</v>
      </c>
      <c r="I223" s="27">
        <v>1</v>
      </c>
      <c r="J223" s="30">
        <v>47131872</v>
      </c>
      <c r="K223" s="26" t="s">
        <v>36</v>
      </c>
      <c r="L223" s="26" t="s">
        <v>56</v>
      </c>
      <c r="M223" s="31" t="s">
        <v>699</v>
      </c>
      <c r="N223" s="2"/>
      <c r="O223" s="2"/>
      <c r="P223" s="2"/>
      <c r="Q223" s="2"/>
      <c r="R223" s="2"/>
      <c r="S223" s="2"/>
      <c r="T223" s="2"/>
      <c r="U223" s="2"/>
      <c r="V223" s="2"/>
      <c r="W223" s="2"/>
      <c r="X223" s="2"/>
      <c r="Y223" s="2"/>
      <c r="Z223" s="2"/>
    </row>
    <row r="224" spans="1:26" ht="12.75" hidden="1" customHeight="1">
      <c r="A224" s="26" t="s">
        <v>700</v>
      </c>
      <c r="B224" s="27"/>
      <c r="C224" s="28"/>
      <c r="D224" s="27"/>
      <c r="E224" s="27" t="s">
        <v>701</v>
      </c>
      <c r="F224" s="29" t="s">
        <v>702</v>
      </c>
      <c r="G224" s="27" t="s">
        <v>248</v>
      </c>
      <c r="H224" s="27" t="s">
        <v>249</v>
      </c>
      <c r="I224" s="27">
        <v>1</v>
      </c>
      <c r="J224" s="30">
        <v>0</v>
      </c>
      <c r="K224" s="26" t="s">
        <v>36</v>
      </c>
      <c r="L224" s="26" t="s">
        <v>56</v>
      </c>
      <c r="M224" s="31"/>
      <c r="N224" s="2"/>
      <c r="O224" s="2"/>
      <c r="P224" s="2"/>
      <c r="Q224" s="2"/>
      <c r="R224" s="2"/>
      <c r="S224" s="2"/>
      <c r="T224" s="2"/>
      <c r="U224" s="2"/>
      <c r="V224" s="2"/>
      <c r="W224" s="2"/>
      <c r="X224" s="2"/>
      <c r="Y224" s="2"/>
      <c r="Z224" s="2"/>
    </row>
    <row r="225" spans="1:26" ht="25.5" hidden="1" customHeight="1">
      <c r="A225" s="26">
        <v>101</v>
      </c>
      <c r="B225" s="27" t="s">
        <v>599</v>
      </c>
      <c r="C225" s="28">
        <v>42671</v>
      </c>
      <c r="D225" s="27"/>
      <c r="E225" s="27" t="s">
        <v>703</v>
      </c>
      <c r="F225" s="29" t="s">
        <v>704</v>
      </c>
      <c r="G225" s="27" t="s">
        <v>307</v>
      </c>
      <c r="H225" s="27" t="s">
        <v>19</v>
      </c>
      <c r="I225" s="27">
        <v>1</v>
      </c>
      <c r="J225" s="30">
        <v>47131872</v>
      </c>
      <c r="K225" s="26" t="s">
        <v>36</v>
      </c>
      <c r="L225" s="26" t="s">
        <v>37</v>
      </c>
      <c r="M225" s="31" t="s">
        <v>705</v>
      </c>
      <c r="N225" s="2"/>
      <c r="O225" s="2"/>
      <c r="P225" s="2"/>
      <c r="Q225" s="2"/>
      <c r="R225" s="2"/>
      <c r="S225" s="2"/>
      <c r="T225" s="2"/>
      <c r="U225" s="2"/>
      <c r="V225" s="2"/>
      <c r="W225" s="2"/>
      <c r="X225" s="2"/>
      <c r="Y225" s="2"/>
      <c r="Z225" s="2"/>
    </row>
    <row r="226" spans="1:26" ht="12.75" hidden="1" customHeight="1">
      <c r="A226" s="26" t="s">
        <v>706</v>
      </c>
      <c r="B226" s="27"/>
      <c r="C226" s="28"/>
      <c r="D226" s="27"/>
      <c r="E226" s="27" t="s">
        <v>707</v>
      </c>
      <c r="F226" s="29" t="s">
        <v>708</v>
      </c>
      <c r="G226" s="27" t="s">
        <v>248</v>
      </c>
      <c r="H226" s="27" t="s">
        <v>249</v>
      </c>
      <c r="I226" s="27">
        <v>1</v>
      </c>
      <c r="J226" s="30">
        <v>0</v>
      </c>
      <c r="K226" s="26" t="s">
        <v>36</v>
      </c>
      <c r="L226" s="26" t="s">
        <v>37</v>
      </c>
      <c r="M226" s="31"/>
      <c r="N226" s="2"/>
      <c r="O226" s="2"/>
      <c r="P226" s="2"/>
      <c r="Q226" s="2"/>
      <c r="R226" s="2"/>
      <c r="S226" s="2"/>
      <c r="T226" s="2"/>
      <c r="U226" s="2"/>
      <c r="V226" s="2"/>
      <c r="W226" s="2"/>
      <c r="X226" s="2"/>
      <c r="Y226" s="2"/>
      <c r="Z226" s="2"/>
    </row>
    <row r="227" spans="1:26" ht="25.5" hidden="1" customHeight="1">
      <c r="A227" s="26">
        <v>102</v>
      </c>
      <c r="B227" s="27" t="s">
        <v>599</v>
      </c>
      <c r="C227" s="28">
        <v>42671</v>
      </c>
      <c r="D227" s="27"/>
      <c r="E227" s="27" t="s">
        <v>709</v>
      </c>
      <c r="F227" s="29" t="s">
        <v>710</v>
      </c>
      <c r="G227" s="27" t="s">
        <v>307</v>
      </c>
      <c r="H227" s="27" t="s">
        <v>19</v>
      </c>
      <c r="I227" s="27">
        <v>1</v>
      </c>
      <c r="J227" s="30">
        <v>47131872</v>
      </c>
      <c r="K227" s="26" t="s">
        <v>36</v>
      </c>
      <c r="L227" s="26" t="s">
        <v>37</v>
      </c>
      <c r="M227" s="31" t="s">
        <v>711</v>
      </c>
      <c r="N227" s="2"/>
      <c r="O227" s="2"/>
      <c r="P227" s="2"/>
      <c r="Q227" s="2"/>
      <c r="R227" s="2"/>
      <c r="S227" s="2"/>
      <c r="T227" s="2"/>
      <c r="U227" s="2"/>
      <c r="V227" s="2"/>
      <c r="W227" s="2"/>
      <c r="X227" s="2"/>
      <c r="Y227" s="2"/>
      <c r="Z227" s="2"/>
    </row>
    <row r="228" spans="1:26" ht="12.75" hidden="1" customHeight="1">
      <c r="A228" s="26" t="s">
        <v>712</v>
      </c>
      <c r="B228" s="27"/>
      <c r="C228" s="28"/>
      <c r="D228" s="27"/>
      <c r="E228" s="27" t="s">
        <v>713</v>
      </c>
      <c r="F228" s="29" t="s">
        <v>714</v>
      </c>
      <c r="G228" s="27" t="s">
        <v>248</v>
      </c>
      <c r="H228" s="27" t="s">
        <v>249</v>
      </c>
      <c r="I228" s="27">
        <v>1</v>
      </c>
      <c r="J228" s="30">
        <v>0</v>
      </c>
      <c r="K228" s="26" t="s">
        <v>36</v>
      </c>
      <c r="L228" s="26" t="s">
        <v>37</v>
      </c>
      <c r="M228" s="31"/>
      <c r="N228" s="2"/>
      <c r="O228" s="2"/>
      <c r="P228" s="2"/>
      <c r="Q228" s="2"/>
      <c r="R228" s="2"/>
      <c r="S228" s="2"/>
      <c r="T228" s="2"/>
      <c r="U228" s="2"/>
      <c r="V228" s="2"/>
      <c r="W228" s="2"/>
      <c r="X228" s="2"/>
      <c r="Y228" s="2"/>
      <c r="Z228" s="2"/>
    </row>
    <row r="229" spans="1:26" ht="25.5" hidden="1" customHeight="1">
      <c r="A229" s="26">
        <v>103</v>
      </c>
      <c r="B229" s="27" t="s">
        <v>599</v>
      </c>
      <c r="C229" s="28">
        <v>42671</v>
      </c>
      <c r="D229" s="27"/>
      <c r="E229" s="27" t="s">
        <v>715</v>
      </c>
      <c r="F229" s="29" t="s">
        <v>716</v>
      </c>
      <c r="G229" s="27" t="s">
        <v>307</v>
      </c>
      <c r="H229" s="27" t="s">
        <v>19</v>
      </c>
      <c r="I229" s="27">
        <v>1</v>
      </c>
      <c r="J229" s="30">
        <v>47131872</v>
      </c>
      <c r="K229" s="26" t="s">
        <v>36</v>
      </c>
      <c r="L229" s="26" t="s">
        <v>37</v>
      </c>
      <c r="M229" s="31" t="s">
        <v>717</v>
      </c>
      <c r="N229" s="2"/>
      <c r="O229" s="2"/>
      <c r="P229" s="2"/>
      <c r="Q229" s="2"/>
      <c r="R229" s="2"/>
      <c r="S229" s="2"/>
      <c r="T229" s="2"/>
      <c r="U229" s="2"/>
      <c r="V229" s="2"/>
      <c r="W229" s="2"/>
      <c r="X229" s="2"/>
      <c r="Y229" s="2"/>
      <c r="Z229" s="2"/>
    </row>
    <row r="230" spans="1:26" ht="12.75" hidden="1" customHeight="1">
      <c r="A230" s="26" t="s">
        <v>718</v>
      </c>
      <c r="B230" s="27"/>
      <c r="C230" s="28"/>
      <c r="D230" s="27"/>
      <c r="E230" s="27" t="s">
        <v>719</v>
      </c>
      <c r="F230" s="29" t="s">
        <v>720</v>
      </c>
      <c r="G230" s="27" t="s">
        <v>248</v>
      </c>
      <c r="H230" s="27" t="s">
        <v>249</v>
      </c>
      <c r="I230" s="27">
        <v>1</v>
      </c>
      <c r="J230" s="30">
        <v>0</v>
      </c>
      <c r="K230" s="26" t="s">
        <v>36</v>
      </c>
      <c r="L230" s="26" t="s">
        <v>37</v>
      </c>
      <c r="M230" s="31"/>
      <c r="N230" s="2"/>
      <c r="O230" s="2"/>
      <c r="P230" s="2"/>
      <c r="Q230" s="2"/>
      <c r="R230" s="2"/>
      <c r="S230" s="2"/>
      <c r="T230" s="2"/>
      <c r="U230" s="2"/>
      <c r="V230" s="2"/>
      <c r="W230" s="2"/>
      <c r="X230" s="2"/>
      <c r="Y230" s="2"/>
      <c r="Z230" s="2"/>
    </row>
    <row r="231" spans="1:26" ht="25.5" hidden="1" customHeight="1">
      <c r="A231" s="26">
        <v>104</v>
      </c>
      <c r="B231" s="27" t="s">
        <v>599</v>
      </c>
      <c r="C231" s="28">
        <v>42671</v>
      </c>
      <c r="D231" s="27"/>
      <c r="E231" s="27" t="s">
        <v>721</v>
      </c>
      <c r="F231" s="29" t="s">
        <v>722</v>
      </c>
      <c r="G231" s="27" t="s">
        <v>307</v>
      </c>
      <c r="H231" s="27" t="s">
        <v>19</v>
      </c>
      <c r="I231" s="27">
        <v>1</v>
      </c>
      <c r="J231" s="30">
        <v>47131872</v>
      </c>
      <c r="K231" s="26" t="s">
        <v>36</v>
      </c>
      <c r="L231" s="26" t="s">
        <v>37</v>
      </c>
      <c r="M231" s="31" t="s">
        <v>705</v>
      </c>
      <c r="N231" s="2"/>
      <c r="O231" s="2"/>
      <c r="P231" s="2"/>
      <c r="Q231" s="2"/>
      <c r="R231" s="2"/>
      <c r="S231" s="2"/>
      <c r="T231" s="2"/>
      <c r="U231" s="2"/>
      <c r="V231" s="2"/>
      <c r="W231" s="2"/>
      <c r="X231" s="2"/>
      <c r="Y231" s="2"/>
      <c r="Z231" s="2"/>
    </row>
    <row r="232" spans="1:26" ht="12.75" hidden="1" customHeight="1">
      <c r="A232" s="26" t="s">
        <v>723</v>
      </c>
      <c r="B232" s="27"/>
      <c r="C232" s="28"/>
      <c r="D232" s="27"/>
      <c r="E232" s="27" t="s">
        <v>724</v>
      </c>
      <c r="F232" s="29" t="s">
        <v>725</v>
      </c>
      <c r="G232" s="27" t="s">
        <v>248</v>
      </c>
      <c r="H232" s="27" t="s">
        <v>249</v>
      </c>
      <c r="I232" s="27">
        <v>1</v>
      </c>
      <c r="J232" s="30">
        <v>0</v>
      </c>
      <c r="K232" s="26" t="s">
        <v>36</v>
      </c>
      <c r="L232" s="26" t="s">
        <v>37</v>
      </c>
      <c r="M232" s="31"/>
      <c r="N232" s="2"/>
      <c r="O232" s="2"/>
      <c r="P232" s="2"/>
      <c r="Q232" s="2"/>
      <c r="R232" s="2"/>
      <c r="S232" s="2"/>
      <c r="T232" s="2"/>
      <c r="U232" s="2"/>
      <c r="V232" s="2"/>
      <c r="W232" s="2"/>
      <c r="X232" s="2"/>
      <c r="Y232" s="2"/>
      <c r="Z232" s="2"/>
    </row>
    <row r="233" spans="1:26" ht="25.5" hidden="1" customHeight="1">
      <c r="A233" s="26">
        <v>105</v>
      </c>
      <c r="B233" s="27" t="s">
        <v>599</v>
      </c>
      <c r="C233" s="28">
        <v>42671</v>
      </c>
      <c r="D233" s="27"/>
      <c r="E233" s="27" t="s">
        <v>726</v>
      </c>
      <c r="F233" s="29" t="s">
        <v>727</v>
      </c>
      <c r="G233" s="27" t="s">
        <v>307</v>
      </c>
      <c r="H233" s="27" t="s">
        <v>19</v>
      </c>
      <c r="I233" s="27">
        <v>1</v>
      </c>
      <c r="J233" s="30">
        <v>47131872</v>
      </c>
      <c r="K233" s="26" t="s">
        <v>36</v>
      </c>
      <c r="L233" s="26" t="s">
        <v>37</v>
      </c>
      <c r="M233" s="31" t="s">
        <v>705</v>
      </c>
      <c r="N233" s="2"/>
      <c r="O233" s="2"/>
      <c r="P233" s="2"/>
      <c r="Q233" s="2"/>
      <c r="R233" s="2"/>
      <c r="S233" s="2"/>
      <c r="T233" s="2"/>
      <c r="U233" s="2"/>
      <c r="V233" s="2"/>
      <c r="W233" s="2"/>
      <c r="X233" s="2"/>
      <c r="Y233" s="2"/>
      <c r="Z233" s="2"/>
    </row>
    <row r="234" spans="1:26" ht="12.75" hidden="1" customHeight="1">
      <c r="A234" s="26" t="s">
        <v>728</v>
      </c>
      <c r="B234" s="27"/>
      <c r="C234" s="28"/>
      <c r="D234" s="27"/>
      <c r="E234" s="27" t="s">
        <v>729</v>
      </c>
      <c r="F234" s="29" t="s">
        <v>730</v>
      </c>
      <c r="G234" s="27" t="s">
        <v>248</v>
      </c>
      <c r="H234" s="27" t="s">
        <v>249</v>
      </c>
      <c r="I234" s="27">
        <v>1</v>
      </c>
      <c r="J234" s="30">
        <v>0</v>
      </c>
      <c r="K234" s="26" t="s">
        <v>36</v>
      </c>
      <c r="L234" s="26" t="s">
        <v>37</v>
      </c>
      <c r="M234" s="31"/>
      <c r="N234" s="2"/>
      <c r="O234" s="2"/>
      <c r="P234" s="2"/>
      <c r="Q234" s="2"/>
      <c r="R234" s="2"/>
      <c r="S234" s="2"/>
      <c r="T234" s="2"/>
      <c r="U234" s="2"/>
      <c r="V234" s="2"/>
      <c r="W234" s="2"/>
      <c r="X234" s="2"/>
      <c r="Y234" s="2"/>
      <c r="Z234" s="2"/>
    </row>
    <row r="235" spans="1:26" ht="25.5" hidden="1" customHeight="1">
      <c r="A235" s="26">
        <v>106</v>
      </c>
      <c r="B235" s="27" t="s">
        <v>599</v>
      </c>
      <c r="C235" s="28">
        <v>42671</v>
      </c>
      <c r="D235" s="27"/>
      <c r="E235" s="27" t="s">
        <v>731</v>
      </c>
      <c r="F235" s="29" t="s">
        <v>732</v>
      </c>
      <c r="G235" s="27" t="s">
        <v>307</v>
      </c>
      <c r="H235" s="27" t="s">
        <v>19</v>
      </c>
      <c r="I235" s="27">
        <v>1</v>
      </c>
      <c r="J235" s="30">
        <v>47131872</v>
      </c>
      <c r="K235" s="26" t="s">
        <v>36</v>
      </c>
      <c r="L235" s="26" t="s">
        <v>37</v>
      </c>
      <c r="M235" s="31" t="s">
        <v>733</v>
      </c>
      <c r="N235" s="2"/>
      <c r="O235" s="2"/>
      <c r="P235" s="2"/>
      <c r="Q235" s="2"/>
      <c r="R235" s="2"/>
      <c r="S235" s="2"/>
      <c r="T235" s="2"/>
      <c r="U235" s="2"/>
      <c r="V235" s="2"/>
      <c r="W235" s="2"/>
      <c r="X235" s="2"/>
      <c r="Y235" s="2"/>
      <c r="Z235" s="2"/>
    </row>
    <row r="236" spans="1:26" ht="12.75" hidden="1" customHeight="1">
      <c r="A236" s="26" t="s">
        <v>734</v>
      </c>
      <c r="B236" s="27"/>
      <c r="C236" s="28"/>
      <c r="D236" s="27"/>
      <c r="E236" s="27" t="s">
        <v>735</v>
      </c>
      <c r="F236" s="29" t="s">
        <v>736</v>
      </c>
      <c r="G236" s="27" t="s">
        <v>248</v>
      </c>
      <c r="H236" s="27" t="s">
        <v>249</v>
      </c>
      <c r="I236" s="27">
        <v>1</v>
      </c>
      <c r="J236" s="30">
        <v>0</v>
      </c>
      <c r="K236" s="26" t="s">
        <v>36</v>
      </c>
      <c r="L236" s="26" t="s">
        <v>37</v>
      </c>
      <c r="M236" s="31"/>
      <c r="N236" s="2"/>
      <c r="O236" s="2"/>
      <c r="P236" s="2"/>
      <c r="Q236" s="2"/>
      <c r="R236" s="2"/>
      <c r="S236" s="2"/>
      <c r="T236" s="2"/>
      <c r="U236" s="2"/>
      <c r="V236" s="2"/>
      <c r="W236" s="2"/>
      <c r="X236" s="2"/>
      <c r="Y236" s="2"/>
      <c r="Z236" s="2"/>
    </row>
    <row r="237" spans="1:26" ht="25.5" hidden="1" customHeight="1">
      <c r="A237" s="26">
        <v>107</v>
      </c>
      <c r="B237" s="27" t="s">
        <v>599</v>
      </c>
      <c r="C237" s="28">
        <v>42671</v>
      </c>
      <c r="D237" s="27"/>
      <c r="E237" s="27" t="s">
        <v>737</v>
      </c>
      <c r="F237" s="29" t="s">
        <v>738</v>
      </c>
      <c r="G237" s="27" t="s">
        <v>307</v>
      </c>
      <c r="H237" s="27" t="s">
        <v>19</v>
      </c>
      <c r="I237" s="27">
        <v>1</v>
      </c>
      <c r="J237" s="30">
        <v>47131872</v>
      </c>
      <c r="K237" s="26" t="s">
        <v>36</v>
      </c>
      <c r="L237" s="26" t="s">
        <v>37</v>
      </c>
      <c r="M237" s="31" t="s">
        <v>739</v>
      </c>
      <c r="N237" s="2"/>
      <c r="O237" s="2"/>
      <c r="P237" s="2"/>
      <c r="Q237" s="2"/>
      <c r="R237" s="2"/>
      <c r="S237" s="2"/>
      <c r="T237" s="2"/>
      <c r="U237" s="2"/>
      <c r="V237" s="2"/>
      <c r="W237" s="2"/>
      <c r="X237" s="2"/>
      <c r="Y237" s="2"/>
      <c r="Z237" s="2"/>
    </row>
    <row r="238" spans="1:26" ht="12.75" hidden="1" customHeight="1">
      <c r="A238" s="26" t="s">
        <v>740</v>
      </c>
      <c r="B238" s="27"/>
      <c r="C238" s="28"/>
      <c r="D238" s="27"/>
      <c r="E238" s="27" t="s">
        <v>741</v>
      </c>
      <c r="F238" s="29" t="s">
        <v>742</v>
      </c>
      <c r="G238" s="27" t="s">
        <v>248</v>
      </c>
      <c r="H238" s="27" t="s">
        <v>249</v>
      </c>
      <c r="I238" s="27">
        <v>1</v>
      </c>
      <c r="J238" s="30">
        <v>0</v>
      </c>
      <c r="K238" s="26" t="s">
        <v>36</v>
      </c>
      <c r="L238" s="26" t="s">
        <v>37</v>
      </c>
      <c r="M238" s="31"/>
      <c r="N238" s="2"/>
      <c r="O238" s="2"/>
      <c r="P238" s="2"/>
      <c r="Q238" s="2"/>
      <c r="R238" s="2"/>
      <c r="S238" s="2"/>
      <c r="T238" s="2"/>
      <c r="U238" s="2"/>
      <c r="V238" s="2"/>
      <c r="W238" s="2"/>
      <c r="X238" s="2"/>
      <c r="Y238" s="2"/>
      <c r="Z238" s="2"/>
    </row>
    <row r="239" spans="1:26" ht="25.5" hidden="1" customHeight="1">
      <c r="A239" s="26">
        <v>108</v>
      </c>
      <c r="B239" s="27" t="s">
        <v>599</v>
      </c>
      <c r="C239" s="28">
        <v>42671</v>
      </c>
      <c r="D239" s="27"/>
      <c r="E239" s="27" t="s">
        <v>743</v>
      </c>
      <c r="F239" s="29" t="s">
        <v>744</v>
      </c>
      <c r="G239" s="27" t="s">
        <v>307</v>
      </c>
      <c r="H239" s="27" t="s">
        <v>19</v>
      </c>
      <c r="I239" s="27">
        <v>1</v>
      </c>
      <c r="J239" s="30">
        <v>47131872</v>
      </c>
      <c r="K239" s="26" t="s">
        <v>36</v>
      </c>
      <c r="L239" s="26" t="s">
        <v>37</v>
      </c>
      <c r="M239" s="31" t="s">
        <v>745</v>
      </c>
      <c r="N239" s="2"/>
      <c r="O239" s="2"/>
      <c r="P239" s="2"/>
      <c r="Q239" s="2"/>
      <c r="R239" s="2"/>
      <c r="S239" s="2"/>
      <c r="T239" s="2"/>
      <c r="U239" s="2"/>
      <c r="V239" s="2"/>
      <c r="W239" s="2"/>
      <c r="X239" s="2"/>
      <c r="Y239" s="2"/>
      <c r="Z239" s="2"/>
    </row>
    <row r="240" spans="1:26" ht="12.75" hidden="1" customHeight="1">
      <c r="A240" s="26" t="s">
        <v>746</v>
      </c>
      <c r="B240" s="27"/>
      <c r="C240" s="28"/>
      <c r="D240" s="27"/>
      <c r="E240" s="27" t="s">
        <v>747</v>
      </c>
      <c r="F240" s="29" t="s">
        <v>748</v>
      </c>
      <c r="G240" s="27" t="s">
        <v>248</v>
      </c>
      <c r="H240" s="27" t="s">
        <v>249</v>
      </c>
      <c r="I240" s="27">
        <v>1</v>
      </c>
      <c r="J240" s="30">
        <v>0</v>
      </c>
      <c r="K240" s="26" t="s">
        <v>36</v>
      </c>
      <c r="L240" s="26" t="s">
        <v>37</v>
      </c>
      <c r="M240" s="31"/>
      <c r="N240" s="2"/>
      <c r="O240" s="2"/>
      <c r="P240" s="2"/>
      <c r="Q240" s="2"/>
      <c r="R240" s="2"/>
      <c r="S240" s="2"/>
      <c r="T240" s="2"/>
      <c r="U240" s="2"/>
      <c r="V240" s="2"/>
      <c r="W240" s="2"/>
      <c r="X240" s="2"/>
      <c r="Y240" s="2"/>
      <c r="Z240" s="2"/>
    </row>
    <row r="241" spans="1:26" ht="25.5" hidden="1" customHeight="1">
      <c r="A241" s="26">
        <v>109</v>
      </c>
      <c r="B241" s="27" t="s">
        <v>599</v>
      </c>
      <c r="C241" s="28">
        <v>42671</v>
      </c>
      <c r="D241" s="27"/>
      <c r="E241" s="27" t="s">
        <v>749</v>
      </c>
      <c r="F241" s="29" t="s">
        <v>750</v>
      </c>
      <c r="G241" s="27" t="s">
        <v>307</v>
      </c>
      <c r="H241" s="27" t="s">
        <v>19</v>
      </c>
      <c r="I241" s="27">
        <v>1</v>
      </c>
      <c r="J241" s="30">
        <v>47131872</v>
      </c>
      <c r="K241" s="26" t="s">
        <v>36</v>
      </c>
      <c r="L241" s="26" t="s">
        <v>37</v>
      </c>
      <c r="M241" s="31" t="s">
        <v>751</v>
      </c>
      <c r="N241" s="2"/>
      <c r="O241" s="2"/>
      <c r="P241" s="2"/>
      <c r="Q241" s="2"/>
      <c r="R241" s="2"/>
      <c r="S241" s="2"/>
      <c r="T241" s="2"/>
      <c r="U241" s="2"/>
      <c r="V241" s="2"/>
      <c r="W241" s="2"/>
      <c r="X241" s="2"/>
      <c r="Y241" s="2"/>
      <c r="Z241" s="2"/>
    </row>
    <row r="242" spans="1:26" ht="12.75" hidden="1" customHeight="1">
      <c r="A242" s="26" t="s">
        <v>752</v>
      </c>
      <c r="B242" s="27"/>
      <c r="C242" s="28"/>
      <c r="D242" s="27"/>
      <c r="E242" s="27" t="s">
        <v>753</v>
      </c>
      <c r="F242" s="29" t="s">
        <v>754</v>
      </c>
      <c r="G242" s="27" t="s">
        <v>248</v>
      </c>
      <c r="H242" s="27" t="s">
        <v>249</v>
      </c>
      <c r="I242" s="27">
        <v>1</v>
      </c>
      <c r="J242" s="30">
        <v>0</v>
      </c>
      <c r="K242" s="26" t="s">
        <v>36</v>
      </c>
      <c r="L242" s="26" t="s">
        <v>37</v>
      </c>
      <c r="M242" s="31"/>
      <c r="N242" s="2"/>
      <c r="O242" s="2"/>
      <c r="P242" s="2"/>
      <c r="Q242" s="2"/>
      <c r="R242" s="2"/>
      <c r="S242" s="2"/>
      <c r="T242" s="2"/>
      <c r="U242" s="2"/>
      <c r="V242" s="2"/>
      <c r="W242" s="2"/>
      <c r="X242" s="2"/>
      <c r="Y242" s="2"/>
      <c r="Z242" s="2"/>
    </row>
    <row r="243" spans="1:26" ht="25.5" hidden="1" customHeight="1">
      <c r="A243" s="26">
        <v>110</v>
      </c>
      <c r="B243" s="27" t="s">
        <v>599</v>
      </c>
      <c r="C243" s="28">
        <v>42671</v>
      </c>
      <c r="D243" s="27"/>
      <c r="E243" s="27" t="s">
        <v>755</v>
      </c>
      <c r="F243" s="29" t="s">
        <v>756</v>
      </c>
      <c r="G243" s="27" t="s">
        <v>307</v>
      </c>
      <c r="H243" s="27" t="s">
        <v>19</v>
      </c>
      <c r="I243" s="27">
        <v>1</v>
      </c>
      <c r="J243" s="30">
        <v>47131872</v>
      </c>
      <c r="K243" s="26" t="s">
        <v>36</v>
      </c>
      <c r="L243" s="26" t="s">
        <v>37</v>
      </c>
      <c r="M243" s="31" t="s">
        <v>757</v>
      </c>
      <c r="N243" s="2"/>
      <c r="O243" s="2"/>
      <c r="P243" s="2"/>
      <c r="Q243" s="2"/>
      <c r="R243" s="2"/>
      <c r="S243" s="2"/>
      <c r="T243" s="2"/>
      <c r="U243" s="2"/>
      <c r="V243" s="2"/>
      <c r="W243" s="2"/>
      <c r="X243" s="2"/>
      <c r="Y243" s="2"/>
      <c r="Z243" s="2"/>
    </row>
    <row r="244" spans="1:26" ht="12.75" hidden="1" customHeight="1">
      <c r="A244" s="26" t="s">
        <v>758</v>
      </c>
      <c r="B244" s="27"/>
      <c r="C244" s="28"/>
      <c r="D244" s="27"/>
      <c r="E244" s="27" t="s">
        <v>759</v>
      </c>
      <c r="F244" s="29" t="s">
        <v>760</v>
      </c>
      <c r="G244" s="27" t="s">
        <v>248</v>
      </c>
      <c r="H244" s="27" t="s">
        <v>249</v>
      </c>
      <c r="I244" s="27">
        <v>1</v>
      </c>
      <c r="J244" s="30">
        <v>0</v>
      </c>
      <c r="K244" s="26" t="s">
        <v>36</v>
      </c>
      <c r="L244" s="26" t="s">
        <v>37</v>
      </c>
      <c r="M244" s="31"/>
      <c r="N244" s="2"/>
      <c r="O244" s="2"/>
      <c r="P244" s="2"/>
      <c r="Q244" s="2"/>
      <c r="R244" s="2"/>
      <c r="S244" s="2"/>
      <c r="T244" s="2"/>
      <c r="U244" s="2"/>
      <c r="V244" s="2"/>
      <c r="W244" s="2"/>
      <c r="X244" s="2"/>
      <c r="Y244" s="2"/>
      <c r="Z244" s="2"/>
    </row>
    <row r="245" spans="1:26" ht="25.5" hidden="1" customHeight="1">
      <c r="A245" s="26">
        <v>111</v>
      </c>
      <c r="B245" s="27" t="s">
        <v>599</v>
      </c>
      <c r="C245" s="28">
        <v>42671</v>
      </c>
      <c r="D245" s="27"/>
      <c r="E245" s="27" t="s">
        <v>761</v>
      </c>
      <c r="F245" s="29" t="s">
        <v>762</v>
      </c>
      <c r="G245" s="27" t="s">
        <v>307</v>
      </c>
      <c r="H245" s="27" t="s">
        <v>19</v>
      </c>
      <c r="I245" s="27">
        <v>1</v>
      </c>
      <c r="J245" s="30">
        <v>47131872</v>
      </c>
      <c r="K245" s="26" t="s">
        <v>36</v>
      </c>
      <c r="L245" s="26" t="s">
        <v>37</v>
      </c>
      <c r="M245" s="31" t="s">
        <v>763</v>
      </c>
      <c r="N245" s="2"/>
      <c r="O245" s="2"/>
      <c r="P245" s="2"/>
      <c r="Q245" s="2"/>
      <c r="R245" s="2"/>
      <c r="S245" s="2"/>
      <c r="T245" s="2"/>
      <c r="U245" s="2"/>
      <c r="V245" s="2"/>
      <c r="W245" s="2"/>
      <c r="X245" s="2"/>
      <c r="Y245" s="2"/>
      <c r="Z245" s="2"/>
    </row>
    <row r="246" spans="1:26" ht="12.75" hidden="1" customHeight="1">
      <c r="A246" s="26" t="s">
        <v>764</v>
      </c>
      <c r="B246" s="27"/>
      <c r="C246" s="28"/>
      <c r="D246" s="27"/>
      <c r="E246" s="27" t="s">
        <v>765</v>
      </c>
      <c r="F246" s="29" t="s">
        <v>766</v>
      </c>
      <c r="G246" s="27" t="s">
        <v>248</v>
      </c>
      <c r="H246" s="27" t="s">
        <v>249</v>
      </c>
      <c r="I246" s="27">
        <v>1</v>
      </c>
      <c r="J246" s="30">
        <v>0</v>
      </c>
      <c r="K246" s="26" t="s">
        <v>36</v>
      </c>
      <c r="L246" s="26" t="s">
        <v>37</v>
      </c>
      <c r="M246" s="31"/>
      <c r="N246" s="2"/>
      <c r="O246" s="2"/>
      <c r="P246" s="2"/>
      <c r="Q246" s="2"/>
      <c r="R246" s="2"/>
      <c r="S246" s="2"/>
      <c r="T246" s="2"/>
      <c r="U246" s="2"/>
      <c r="V246" s="2"/>
      <c r="W246" s="2"/>
      <c r="X246" s="2"/>
      <c r="Y246" s="2"/>
      <c r="Z246" s="2"/>
    </row>
    <row r="247" spans="1:26" ht="25.5" hidden="1" customHeight="1">
      <c r="A247" s="26">
        <v>112</v>
      </c>
      <c r="B247" s="27" t="s">
        <v>599</v>
      </c>
      <c r="C247" s="28">
        <v>42671</v>
      </c>
      <c r="D247" s="27"/>
      <c r="E247" s="27" t="s">
        <v>767</v>
      </c>
      <c r="F247" s="29" t="s">
        <v>768</v>
      </c>
      <c r="G247" s="27" t="s">
        <v>307</v>
      </c>
      <c r="H247" s="27" t="s">
        <v>19</v>
      </c>
      <c r="I247" s="27">
        <v>1</v>
      </c>
      <c r="J247" s="30">
        <v>37278105</v>
      </c>
      <c r="K247" s="26" t="s">
        <v>36</v>
      </c>
      <c r="L247" s="26" t="s">
        <v>37</v>
      </c>
      <c r="M247" s="31" t="s">
        <v>769</v>
      </c>
      <c r="N247" s="2"/>
      <c r="O247" s="2"/>
      <c r="P247" s="2"/>
      <c r="Q247" s="2"/>
      <c r="R247" s="2"/>
      <c r="S247" s="2"/>
      <c r="T247" s="2"/>
      <c r="U247" s="2"/>
      <c r="V247" s="2"/>
      <c r="W247" s="2"/>
      <c r="X247" s="2"/>
      <c r="Y247" s="2"/>
      <c r="Z247" s="2"/>
    </row>
    <row r="248" spans="1:26" ht="12.75" hidden="1" customHeight="1">
      <c r="A248" s="26" t="s">
        <v>770</v>
      </c>
      <c r="B248" s="27"/>
      <c r="C248" s="28"/>
      <c r="D248" s="27"/>
      <c r="E248" s="27" t="s">
        <v>771</v>
      </c>
      <c r="F248" s="29" t="s">
        <v>772</v>
      </c>
      <c r="G248" s="27" t="s">
        <v>248</v>
      </c>
      <c r="H248" s="27" t="s">
        <v>249</v>
      </c>
      <c r="I248" s="27">
        <v>1</v>
      </c>
      <c r="J248" s="30">
        <v>0</v>
      </c>
      <c r="K248" s="26" t="s">
        <v>36</v>
      </c>
      <c r="L248" s="26" t="s">
        <v>37</v>
      </c>
      <c r="M248" s="31"/>
      <c r="N248" s="2"/>
      <c r="O248" s="2"/>
      <c r="P248" s="2"/>
      <c r="Q248" s="2"/>
      <c r="R248" s="2"/>
      <c r="S248" s="2"/>
      <c r="T248" s="2"/>
      <c r="U248" s="2"/>
      <c r="V248" s="2"/>
      <c r="W248" s="2"/>
      <c r="X248" s="2"/>
      <c r="Y248" s="2"/>
      <c r="Z248" s="2"/>
    </row>
    <row r="249" spans="1:26" ht="25.5" hidden="1" customHeight="1">
      <c r="A249" s="26">
        <v>113</v>
      </c>
      <c r="B249" s="27" t="s">
        <v>599</v>
      </c>
      <c r="C249" s="28">
        <v>42671</v>
      </c>
      <c r="D249" s="27"/>
      <c r="E249" s="27" t="s">
        <v>773</v>
      </c>
      <c r="F249" s="29" t="s">
        <v>774</v>
      </c>
      <c r="G249" s="27" t="s">
        <v>307</v>
      </c>
      <c r="H249" s="27" t="s">
        <v>19</v>
      </c>
      <c r="I249" s="27">
        <v>1</v>
      </c>
      <c r="J249" s="30">
        <v>37278105</v>
      </c>
      <c r="K249" s="26" t="s">
        <v>36</v>
      </c>
      <c r="L249" s="26" t="s">
        <v>37</v>
      </c>
      <c r="M249" s="31" t="s">
        <v>775</v>
      </c>
      <c r="N249" s="2"/>
      <c r="O249" s="2"/>
      <c r="P249" s="2"/>
      <c r="Q249" s="2"/>
      <c r="R249" s="2"/>
      <c r="S249" s="2"/>
      <c r="T249" s="2"/>
      <c r="U249" s="2"/>
      <c r="V249" s="2"/>
      <c r="W249" s="2"/>
      <c r="X249" s="2"/>
      <c r="Y249" s="2"/>
      <c r="Z249" s="2"/>
    </row>
    <row r="250" spans="1:26" ht="12.75" hidden="1" customHeight="1">
      <c r="A250" s="26" t="s">
        <v>776</v>
      </c>
      <c r="B250" s="27"/>
      <c r="C250" s="28"/>
      <c r="D250" s="27"/>
      <c r="E250" s="27" t="s">
        <v>777</v>
      </c>
      <c r="F250" s="29" t="s">
        <v>778</v>
      </c>
      <c r="G250" s="27" t="s">
        <v>248</v>
      </c>
      <c r="H250" s="27" t="s">
        <v>249</v>
      </c>
      <c r="I250" s="27">
        <v>1</v>
      </c>
      <c r="J250" s="30">
        <v>0</v>
      </c>
      <c r="K250" s="26" t="s">
        <v>36</v>
      </c>
      <c r="L250" s="26" t="s">
        <v>37</v>
      </c>
      <c r="M250" s="31"/>
      <c r="N250" s="2"/>
      <c r="O250" s="2"/>
      <c r="P250" s="2"/>
      <c r="Q250" s="2"/>
      <c r="R250" s="2"/>
      <c r="S250" s="2"/>
      <c r="T250" s="2"/>
      <c r="U250" s="2"/>
      <c r="V250" s="2"/>
      <c r="W250" s="2"/>
      <c r="X250" s="2"/>
      <c r="Y250" s="2"/>
      <c r="Z250" s="2"/>
    </row>
    <row r="251" spans="1:26" ht="25.5" hidden="1" customHeight="1">
      <c r="A251" s="26">
        <v>114</v>
      </c>
      <c r="B251" s="27" t="s">
        <v>599</v>
      </c>
      <c r="C251" s="28">
        <v>42671</v>
      </c>
      <c r="D251" s="27"/>
      <c r="E251" s="27" t="s">
        <v>779</v>
      </c>
      <c r="F251" s="29" t="s">
        <v>780</v>
      </c>
      <c r="G251" s="27" t="s">
        <v>307</v>
      </c>
      <c r="H251" s="27" t="s">
        <v>19</v>
      </c>
      <c r="I251" s="27">
        <v>1</v>
      </c>
      <c r="J251" s="30">
        <v>37278105</v>
      </c>
      <c r="K251" s="26" t="s">
        <v>36</v>
      </c>
      <c r="L251" s="26" t="s">
        <v>37</v>
      </c>
      <c r="M251" s="31" t="s">
        <v>781</v>
      </c>
      <c r="N251" s="2"/>
      <c r="O251" s="2"/>
      <c r="P251" s="2"/>
      <c r="Q251" s="2"/>
      <c r="R251" s="2"/>
      <c r="S251" s="2"/>
      <c r="T251" s="2"/>
      <c r="U251" s="2"/>
      <c r="V251" s="2"/>
      <c r="W251" s="2"/>
      <c r="X251" s="2"/>
      <c r="Y251" s="2"/>
      <c r="Z251" s="2"/>
    </row>
    <row r="252" spans="1:26" ht="12.75" hidden="1" customHeight="1">
      <c r="A252" s="26" t="s">
        <v>782</v>
      </c>
      <c r="B252" s="27"/>
      <c r="C252" s="28"/>
      <c r="D252" s="27"/>
      <c r="E252" s="27" t="s">
        <v>783</v>
      </c>
      <c r="F252" s="29" t="s">
        <v>784</v>
      </c>
      <c r="G252" s="27" t="s">
        <v>248</v>
      </c>
      <c r="H252" s="27" t="s">
        <v>249</v>
      </c>
      <c r="I252" s="27">
        <v>1</v>
      </c>
      <c r="J252" s="30">
        <v>0</v>
      </c>
      <c r="K252" s="26" t="s">
        <v>36</v>
      </c>
      <c r="L252" s="26" t="s">
        <v>37</v>
      </c>
      <c r="M252" s="31"/>
      <c r="N252" s="2"/>
      <c r="O252" s="2"/>
      <c r="P252" s="2"/>
      <c r="Q252" s="2"/>
      <c r="R252" s="2"/>
      <c r="S252" s="2"/>
      <c r="T252" s="2"/>
      <c r="U252" s="2"/>
      <c r="V252" s="2"/>
      <c r="W252" s="2"/>
      <c r="X252" s="2"/>
      <c r="Y252" s="2"/>
      <c r="Z252" s="2"/>
    </row>
    <row r="253" spans="1:26" ht="25.5" hidden="1" customHeight="1">
      <c r="A253" s="26">
        <v>115</v>
      </c>
      <c r="B253" s="27" t="s">
        <v>599</v>
      </c>
      <c r="C253" s="28">
        <v>42671</v>
      </c>
      <c r="D253" s="27"/>
      <c r="E253" s="27" t="s">
        <v>785</v>
      </c>
      <c r="F253" s="29" t="s">
        <v>786</v>
      </c>
      <c r="G253" s="27" t="s">
        <v>307</v>
      </c>
      <c r="H253" s="27" t="s">
        <v>19</v>
      </c>
      <c r="I253" s="27">
        <v>1</v>
      </c>
      <c r="J253" s="30">
        <v>37278108</v>
      </c>
      <c r="K253" s="26" t="s">
        <v>36</v>
      </c>
      <c r="L253" s="26" t="s">
        <v>37</v>
      </c>
      <c r="M253" s="31" t="s">
        <v>787</v>
      </c>
      <c r="N253" s="2"/>
      <c r="O253" s="2"/>
      <c r="P253" s="2"/>
      <c r="Q253" s="2"/>
      <c r="R253" s="2"/>
      <c r="S253" s="2"/>
      <c r="T253" s="2"/>
      <c r="U253" s="2"/>
      <c r="V253" s="2"/>
      <c r="W253" s="2"/>
      <c r="X253" s="2"/>
      <c r="Y253" s="2"/>
      <c r="Z253" s="2"/>
    </row>
    <row r="254" spans="1:26" ht="12.75" hidden="1" customHeight="1">
      <c r="A254" s="26" t="s">
        <v>788</v>
      </c>
      <c r="B254" s="27"/>
      <c r="C254" s="28"/>
      <c r="D254" s="27"/>
      <c r="E254" s="27" t="s">
        <v>789</v>
      </c>
      <c r="F254" s="29" t="s">
        <v>790</v>
      </c>
      <c r="G254" s="27" t="s">
        <v>248</v>
      </c>
      <c r="H254" s="27" t="s">
        <v>249</v>
      </c>
      <c r="I254" s="27">
        <v>1</v>
      </c>
      <c r="J254" s="30">
        <v>0</v>
      </c>
      <c r="K254" s="26" t="s">
        <v>36</v>
      </c>
      <c r="L254" s="26" t="s">
        <v>37</v>
      </c>
      <c r="M254" s="31"/>
      <c r="N254" s="2"/>
      <c r="O254" s="2"/>
      <c r="P254" s="2"/>
      <c r="Q254" s="2"/>
      <c r="R254" s="2"/>
      <c r="S254" s="2"/>
      <c r="T254" s="2"/>
      <c r="U254" s="2"/>
      <c r="V254" s="2"/>
      <c r="W254" s="2"/>
      <c r="X254" s="2"/>
      <c r="Y254" s="2"/>
      <c r="Z254" s="2"/>
    </row>
    <row r="255" spans="1:26" ht="25.5" hidden="1" customHeight="1">
      <c r="A255" s="26">
        <v>116</v>
      </c>
      <c r="B255" s="27" t="s">
        <v>599</v>
      </c>
      <c r="C255" s="28">
        <v>42671</v>
      </c>
      <c r="D255" s="27"/>
      <c r="E255" s="27" t="s">
        <v>791</v>
      </c>
      <c r="F255" s="29" t="s">
        <v>792</v>
      </c>
      <c r="G255" s="27" t="s">
        <v>307</v>
      </c>
      <c r="H255" s="27" t="s">
        <v>19</v>
      </c>
      <c r="I255" s="27">
        <v>1</v>
      </c>
      <c r="J255" s="30">
        <v>37278108</v>
      </c>
      <c r="K255" s="26" t="s">
        <v>36</v>
      </c>
      <c r="L255" s="26" t="s">
        <v>37</v>
      </c>
      <c r="M255" s="31" t="s">
        <v>793</v>
      </c>
      <c r="N255" s="2"/>
      <c r="O255" s="2"/>
      <c r="P255" s="2"/>
      <c r="Q255" s="2"/>
      <c r="R255" s="2"/>
      <c r="S255" s="2"/>
      <c r="T255" s="2"/>
      <c r="U255" s="2"/>
      <c r="V255" s="2"/>
      <c r="W255" s="2"/>
      <c r="X255" s="2"/>
      <c r="Y255" s="2"/>
      <c r="Z255" s="2"/>
    </row>
    <row r="256" spans="1:26" ht="12.75" hidden="1" customHeight="1">
      <c r="A256" s="26" t="s">
        <v>794</v>
      </c>
      <c r="B256" s="27"/>
      <c r="C256" s="28"/>
      <c r="D256" s="27"/>
      <c r="E256" s="27" t="s">
        <v>795</v>
      </c>
      <c r="F256" s="29" t="s">
        <v>796</v>
      </c>
      <c r="G256" s="27" t="s">
        <v>248</v>
      </c>
      <c r="H256" s="27" t="s">
        <v>249</v>
      </c>
      <c r="I256" s="27">
        <v>1</v>
      </c>
      <c r="J256" s="30">
        <v>0</v>
      </c>
      <c r="K256" s="26" t="s">
        <v>36</v>
      </c>
      <c r="L256" s="26" t="s">
        <v>37</v>
      </c>
      <c r="M256" s="31"/>
      <c r="N256" s="2"/>
      <c r="O256" s="2"/>
      <c r="P256" s="2"/>
      <c r="Q256" s="2"/>
      <c r="R256" s="2"/>
      <c r="S256" s="2"/>
      <c r="T256" s="2"/>
      <c r="U256" s="2"/>
      <c r="V256" s="2"/>
      <c r="W256" s="2"/>
      <c r="X256" s="2"/>
      <c r="Y256" s="2"/>
      <c r="Z256" s="2"/>
    </row>
    <row r="257" spans="1:26" ht="25.5" hidden="1" customHeight="1">
      <c r="A257" s="26">
        <v>117</v>
      </c>
      <c r="B257" s="27" t="s">
        <v>797</v>
      </c>
      <c r="C257" s="28">
        <v>42671</v>
      </c>
      <c r="D257" s="27"/>
      <c r="E257" s="27" t="s">
        <v>798</v>
      </c>
      <c r="F257" s="29" t="s">
        <v>799</v>
      </c>
      <c r="G257" s="27" t="s">
        <v>307</v>
      </c>
      <c r="H257" s="27" t="s">
        <v>19</v>
      </c>
      <c r="I257" s="27">
        <v>1</v>
      </c>
      <c r="J257" s="30">
        <v>121401381</v>
      </c>
      <c r="K257" s="26" t="s">
        <v>206</v>
      </c>
      <c r="L257" s="26" t="s">
        <v>207</v>
      </c>
      <c r="M257" s="31" t="s">
        <v>800</v>
      </c>
      <c r="N257" s="2"/>
      <c r="O257" s="2"/>
      <c r="P257" s="2"/>
      <c r="Q257" s="2"/>
      <c r="R257" s="2"/>
      <c r="S257" s="2"/>
      <c r="T257" s="2"/>
      <c r="U257" s="2"/>
      <c r="V257" s="2"/>
      <c r="W257" s="2"/>
      <c r="X257" s="2"/>
      <c r="Y257" s="2"/>
      <c r="Z257" s="2"/>
    </row>
    <row r="258" spans="1:26" ht="12.75" hidden="1" customHeight="1">
      <c r="A258" s="26" t="s">
        <v>801</v>
      </c>
      <c r="B258" s="27"/>
      <c r="C258" s="28"/>
      <c r="D258" s="27"/>
      <c r="E258" s="27" t="s">
        <v>802</v>
      </c>
      <c r="F258" s="29" t="s">
        <v>803</v>
      </c>
      <c r="G258" s="27" t="s">
        <v>248</v>
      </c>
      <c r="H258" s="27" t="s">
        <v>249</v>
      </c>
      <c r="I258" s="27">
        <v>1</v>
      </c>
      <c r="J258" s="30">
        <v>0</v>
      </c>
      <c r="K258" s="26" t="s">
        <v>206</v>
      </c>
      <c r="L258" s="26" t="s">
        <v>207</v>
      </c>
      <c r="M258" s="31"/>
      <c r="N258" s="2"/>
      <c r="O258" s="2"/>
      <c r="P258" s="2"/>
      <c r="Q258" s="2"/>
      <c r="R258" s="2"/>
      <c r="S258" s="2"/>
      <c r="T258" s="2"/>
      <c r="U258" s="2"/>
      <c r="V258" s="2"/>
      <c r="W258" s="2"/>
      <c r="X258" s="2"/>
      <c r="Y258" s="2"/>
      <c r="Z258" s="2"/>
    </row>
    <row r="259" spans="1:26" ht="25.5" hidden="1" customHeight="1">
      <c r="A259" s="26">
        <v>118</v>
      </c>
      <c r="B259" s="27" t="s">
        <v>797</v>
      </c>
      <c r="C259" s="28">
        <v>42671</v>
      </c>
      <c r="D259" s="27"/>
      <c r="E259" s="27" t="s">
        <v>804</v>
      </c>
      <c r="F259" s="29" t="s">
        <v>805</v>
      </c>
      <c r="G259" s="27" t="s">
        <v>307</v>
      </c>
      <c r="H259" s="27" t="s">
        <v>19</v>
      </c>
      <c r="I259" s="27">
        <v>1</v>
      </c>
      <c r="J259" s="30">
        <v>121401381</v>
      </c>
      <c r="K259" s="26" t="s">
        <v>206</v>
      </c>
      <c r="L259" s="45" t="s">
        <v>207</v>
      </c>
      <c r="M259" s="46" t="s">
        <v>806</v>
      </c>
      <c r="N259" s="2"/>
      <c r="O259" s="2"/>
      <c r="P259" s="2"/>
      <c r="Q259" s="2"/>
      <c r="R259" s="2"/>
      <c r="S259" s="2"/>
      <c r="T259" s="2"/>
      <c r="U259" s="2"/>
      <c r="V259" s="2"/>
      <c r="W259" s="2"/>
      <c r="X259" s="2"/>
      <c r="Y259" s="2"/>
      <c r="Z259" s="2"/>
    </row>
    <row r="260" spans="1:26" ht="12.75" hidden="1" customHeight="1">
      <c r="A260" s="26" t="s">
        <v>807</v>
      </c>
      <c r="B260" s="27"/>
      <c r="C260" s="28"/>
      <c r="D260" s="27"/>
      <c r="E260" s="27" t="s">
        <v>808</v>
      </c>
      <c r="F260" s="29" t="s">
        <v>809</v>
      </c>
      <c r="G260" s="27" t="s">
        <v>248</v>
      </c>
      <c r="H260" s="27" t="s">
        <v>249</v>
      </c>
      <c r="I260" s="27">
        <v>1</v>
      </c>
      <c r="J260" s="30">
        <v>0</v>
      </c>
      <c r="K260" s="26" t="s">
        <v>206</v>
      </c>
      <c r="L260" s="26" t="s">
        <v>207</v>
      </c>
      <c r="M260" s="31"/>
      <c r="N260" s="2"/>
      <c r="O260" s="2"/>
      <c r="P260" s="2"/>
      <c r="Q260" s="2"/>
      <c r="R260" s="2"/>
      <c r="S260" s="2"/>
      <c r="T260" s="2"/>
      <c r="U260" s="2"/>
      <c r="V260" s="2"/>
      <c r="W260" s="2"/>
      <c r="X260" s="2"/>
      <c r="Y260" s="2"/>
      <c r="Z260" s="2"/>
    </row>
    <row r="261" spans="1:26" ht="25.5" hidden="1" customHeight="1">
      <c r="A261" s="26">
        <v>119</v>
      </c>
      <c r="B261" s="27" t="s">
        <v>810</v>
      </c>
      <c r="C261" s="28">
        <v>43644</v>
      </c>
      <c r="D261" s="27"/>
      <c r="E261" s="27" t="s">
        <v>811</v>
      </c>
      <c r="F261" s="29" t="s">
        <v>812</v>
      </c>
      <c r="G261" s="27" t="s">
        <v>35</v>
      </c>
      <c r="H261" s="27" t="s">
        <v>19</v>
      </c>
      <c r="I261" s="27">
        <v>1</v>
      </c>
      <c r="J261" s="30">
        <v>215000000</v>
      </c>
      <c r="K261" s="59" t="s">
        <v>206</v>
      </c>
      <c r="L261" s="59" t="s">
        <v>207</v>
      </c>
      <c r="M261" s="31" t="s">
        <v>206</v>
      </c>
      <c r="N261" s="2"/>
      <c r="O261" s="2"/>
      <c r="P261" s="2"/>
      <c r="Q261" s="2"/>
      <c r="R261" s="2"/>
      <c r="S261" s="2"/>
      <c r="T261" s="2"/>
      <c r="U261" s="2"/>
      <c r="V261" s="2"/>
      <c r="W261" s="2"/>
      <c r="X261" s="2"/>
      <c r="Y261" s="2"/>
      <c r="Z261" s="2"/>
    </row>
    <row r="262" spans="1:26" ht="25.5" hidden="1" customHeight="1">
      <c r="A262" s="26">
        <v>120</v>
      </c>
      <c r="B262" s="27" t="s">
        <v>810</v>
      </c>
      <c r="C262" s="28">
        <v>43644</v>
      </c>
      <c r="D262" s="27"/>
      <c r="E262" s="27" t="s">
        <v>813</v>
      </c>
      <c r="F262" s="29" t="s">
        <v>814</v>
      </c>
      <c r="G262" s="27" t="s">
        <v>35</v>
      </c>
      <c r="H262" s="27" t="s">
        <v>19</v>
      </c>
      <c r="I262" s="27">
        <v>1</v>
      </c>
      <c r="J262" s="30">
        <v>215000000</v>
      </c>
      <c r="K262" s="59" t="s">
        <v>206</v>
      </c>
      <c r="L262" s="59" t="s">
        <v>207</v>
      </c>
      <c r="M262" s="31" t="s">
        <v>206</v>
      </c>
      <c r="N262" s="2"/>
      <c r="O262" s="2"/>
      <c r="P262" s="2"/>
      <c r="Q262" s="2"/>
      <c r="R262" s="2"/>
      <c r="S262" s="2"/>
      <c r="T262" s="2"/>
      <c r="U262" s="2"/>
      <c r="V262" s="2"/>
      <c r="W262" s="2"/>
      <c r="X262" s="2"/>
      <c r="Y262" s="2"/>
      <c r="Z262" s="2"/>
    </row>
    <row r="263" spans="1:26" ht="12.75" hidden="1" customHeight="1">
      <c r="A263" s="26">
        <v>121</v>
      </c>
      <c r="B263" s="27" t="s">
        <v>815</v>
      </c>
      <c r="C263" s="28">
        <v>39813</v>
      </c>
      <c r="D263" s="27"/>
      <c r="E263" s="27" t="s">
        <v>816</v>
      </c>
      <c r="F263" s="29" t="s">
        <v>817</v>
      </c>
      <c r="G263" s="27"/>
      <c r="H263" s="27" t="s">
        <v>19</v>
      </c>
      <c r="I263" s="27">
        <v>1</v>
      </c>
      <c r="J263" s="30">
        <v>169655834</v>
      </c>
      <c r="K263" s="26" t="s">
        <v>206</v>
      </c>
      <c r="L263" s="26" t="s">
        <v>207</v>
      </c>
      <c r="M263" s="31" t="s">
        <v>818</v>
      </c>
      <c r="N263" s="2"/>
      <c r="O263" s="2"/>
      <c r="P263" s="2"/>
      <c r="Q263" s="2"/>
      <c r="R263" s="2"/>
      <c r="S263" s="2"/>
      <c r="T263" s="2"/>
      <c r="U263" s="2"/>
      <c r="V263" s="2"/>
      <c r="W263" s="2"/>
      <c r="X263" s="2"/>
      <c r="Y263" s="2"/>
      <c r="Z263" s="2"/>
    </row>
    <row r="264" spans="1:26" ht="25.5" hidden="1" customHeight="1">
      <c r="A264" s="26" t="s">
        <v>819</v>
      </c>
      <c r="B264" s="27"/>
      <c r="C264" s="28"/>
      <c r="D264" s="27"/>
      <c r="E264" s="27" t="s">
        <v>820</v>
      </c>
      <c r="F264" s="29" t="s">
        <v>821</v>
      </c>
      <c r="G264" s="27"/>
      <c r="H264" s="27"/>
      <c r="I264" s="27">
        <v>1</v>
      </c>
      <c r="J264" s="30">
        <v>0</v>
      </c>
      <c r="K264" s="26" t="s">
        <v>206</v>
      </c>
      <c r="L264" s="26" t="s">
        <v>207</v>
      </c>
      <c r="M264" s="31"/>
      <c r="N264" s="2"/>
      <c r="O264" s="2"/>
      <c r="P264" s="2"/>
      <c r="Q264" s="2"/>
      <c r="R264" s="2"/>
      <c r="S264" s="2"/>
      <c r="T264" s="2"/>
      <c r="U264" s="2"/>
      <c r="V264" s="2"/>
      <c r="W264" s="2"/>
      <c r="X264" s="2"/>
      <c r="Y264" s="2"/>
      <c r="Z264" s="2"/>
    </row>
    <row r="265" spans="1:26" ht="12.75" hidden="1" customHeight="1">
      <c r="A265" s="26" t="s">
        <v>822</v>
      </c>
      <c r="B265" s="27"/>
      <c r="C265" s="28"/>
      <c r="D265" s="27"/>
      <c r="E265" s="27" t="s">
        <v>823</v>
      </c>
      <c r="F265" s="29" t="s">
        <v>824</v>
      </c>
      <c r="G265" s="27"/>
      <c r="H265" s="27"/>
      <c r="I265" s="27">
        <v>1</v>
      </c>
      <c r="J265" s="30">
        <v>0</v>
      </c>
      <c r="K265" s="26" t="s">
        <v>206</v>
      </c>
      <c r="L265" s="26" t="s">
        <v>207</v>
      </c>
      <c r="M265" s="31"/>
      <c r="N265" s="2"/>
      <c r="O265" s="2"/>
      <c r="P265" s="2"/>
      <c r="Q265" s="2"/>
      <c r="R265" s="2"/>
      <c r="S265" s="2"/>
      <c r="T265" s="2"/>
      <c r="U265" s="2"/>
      <c r="V265" s="2"/>
      <c r="W265" s="2"/>
      <c r="X265" s="2"/>
      <c r="Y265" s="2"/>
      <c r="Z265" s="2"/>
    </row>
    <row r="266" spans="1:26" ht="12.75" hidden="1" customHeight="1">
      <c r="A266" s="38">
        <v>122</v>
      </c>
      <c r="B266" s="27" t="s">
        <v>815</v>
      </c>
      <c r="C266" s="40">
        <v>39813</v>
      </c>
      <c r="D266" s="27"/>
      <c r="E266" s="39" t="s">
        <v>825</v>
      </c>
      <c r="F266" s="41" t="s">
        <v>817</v>
      </c>
      <c r="G266" s="27"/>
      <c r="H266" s="27" t="s">
        <v>19</v>
      </c>
      <c r="I266" s="27">
        <v>1</v>
      </c>
      <c r="J266" s="42">
        <v>169655834</v>
      </c>
      <c r="K266" s="38" t="s">
        <v>206</v>
      </c>
      <c r="L266" s="38" t="s">
        <v>207</v>
      </c>
      <c r="M266" s="43" t="s">
        <v>826</v>
      </c>
      <c r="N266" s="2"/>
      <c r="O266" s="2"/>
      <c r="P266" s="2"/>
      <c r="Q266" s="2"/>
      <c r="R266" s="2"/>
      <c r="S266" s="2"/>
      <c r="T266" s="2"/>
      <c r="U266" s="2"/>
      <c r="V266" s="2"/>
      <c r="W266" s="2"/>
      <c r="X266" s="2"/>
      <c r="Y266" s="2"/>
      <c r="Z266" s="2"/>
    </row>
    <row r="267" spans="1:26" ht="25.5" hidden="1" customHeight="1">
      <c r="A267" s="38" t="s">
        <v>827</v>
      </c>
      <c r="B267" s="39"/>
      <c r="C267" s="40"/>
      <c r="D267" s="39"/>
      <c r="E267" s="39" t="s">
        <v>828</v>
      </c>
      <c r="F267" s="41" t="s">
        <v>829</v>
      </c>
      <c r="G267" s="39"/>
      <c r="H267" s="39"/>
      <c r="I267" s="39">
        <v>1</v>
      </c>
      <c r="J267" s="42">
        <v>0</v>
      </c>
      <c r="K267" s="38" t="s">
        <v>206</v>
      </c>
      <c r="L267" s="38" t="s">
        <v>207</v>
      </c>
      <c r="M267" s="43"/>
      <c r="N267" s="2"/>
      <c r="O267" s="2"/>
      <c r="P267" s="2"/>
      <c r="Q267" s="2"/>
      <c r="R267" s="2"/>
      <c r="S267" s="2"/>
      <c r="T267" s="2"/>
      <c r="U267" s="2"/>
      <c r="V267" s="2"/>
      <c r="W267" s="2"/>
      <c r="X267" s="2"/>
      <c r="Y267" s="2"/>
      <c r="Z267" s="2"/>
    </row>
    <row r="268" spans="1:26" ht="12.75" hidden="1" customHeight="1">
      <c r="A268" s="38" t="s">
        <v>830</v>
      </c>
      <c r="B268" s="39"/>
      <c r="C268" s="40"/>
      <c r="D268" s="39"/>
      <c r="E268" s="39" t="s">
        <v>831</v>
      </c>
      <c r="F268" s="41" t="s">
        <v>832</v>
      </c>
      <c r="G268" s="39"/>
      <c r="H268" s="39"/>
      <c r="I268" s="39">
        <v>1</v>
      </c>
      <c r="J268" s="42">
        <v>0</v>
      </c>
      <c r="K268" s="38" t="s">
        <v>206</v>
      </c>
      <c r="L268" s="38" t="s">
        <v>207</v>
      </c>
      <c r="M268" s="43"/>
      <c r="N268" s="2"/>
      <c r="O268" s="2"/>
      <c r="P268" s="2"/>
      <c r="Q268" s="2"/>
      <c r="R268" s="2"/>
      <c r="S268" s="2"/>
      <c r="T268" s="2"/>
      <c r="U268" s="2"/>
      <c r="V268" s="2"/>
      <c r="W268" s="2"/>
      <c r="X268" s="2"/>
      <c r="Y268" s="2"/>
      <c r="Z268" s="2"/>
    </row>
    <row r="269" spans="1:26" ht="25.5" hidden="1" customHeight="1">
      <c r="A269" s="26">
        <v>123</v>
      </c>
      <c r="B269" s="27" t="s">
        <v>815</v>
      </c>
      <c r="C269" s="28">
        <v>39813</v>
      </c>
      <c r="D269" s="27"/>
      <c r="E269" s="27" t="s">
        <v>5312</v>
      </c>
      <c r="F269" s="29" t="s">
        <v>5313</v>
      </c>
      <c r="G269" s="27" t="s">
        <v>35</v>
      </c>
      <c r="H269" s="27" t="s">
        <v>249</v>
      </c>
      <c r="I269" s="27">
        <v>1</v>
      </c>
      <c r="J269" s="30">
        <v>222056404</v>
      </c>
      <c r="K269" s="26" t="s">
        <v>36</v>
      </c>
      <c r="L269" s="26" t="s">
        <v>37</v>
      </c>
      <c r="M269" s="57" t="s">
        <v>5314</v>
      </c>
      <c r="N269" s="2"/>
      <c r="O269" s="2"/>
      <c r="P269" s="2"/>
      <c r="Q269" s="2"/>
      <c r="R269" s="2"/>
      <c r="S269" s="2"/>
      <c r="T269" s="2"/>
      <c r="U269" s="2"/>
      <c r="V269" s="2"/>
      <c r="W269" s="2"/>
      <c r="X269" s="2"/>
      <c r="Y269" s="2"/>
      <c r="Z269" s="2"/>
    </row>
    <row r="270" spans="1:26" ht="12.75" hidden="1" customHeight="1">
      <c r="A270" s="26" t="s">
        <v>5315</v>
      </c>
      <c r="B270" s="27"/>
      <c r="C270" s="28"/>
      <c r="D270" s="27"/>
      <c r="E270" s="27" t="s">
        <v>5316</v>
      </c>
      <c r="F270" s="29" t="s">
        <v>5317</v>
      </c>
      <c r="G270" s="27"/>
      <c r="H270" s="27"/>
      <c r="I270" s="27">
        <v>1</v>
      </c>
      <c r="J270" s="30">
        <v>0</v>
      </c>
      <c r="K270" s="26" t="s">
        <v>36</v>
      </c>
      <c r="L270" s="26" t="s">
        <v>37</v>
      </c>
      <c r="M270" s="31"/>
      <c r="N270" s="2"/>
      <c r="O270" s="2"/>
      <c r="P270" s="2"/>
      <c r="Q270" s="2"/>
      <c r="R270" s="2"/>
      <c r="S270" s="2"/>
      <c r="T270" s="2"/>
      <c r="U270" s="2"/>
      <c r="V270" s="2"/>
      <c r="W270" s="2"/>
      <c r="X270" s="2"/>
      <c r="Y270" s="2"/>
      <c r="Z270" s="2"/>
    </row>
    <row r="271" spans="1:26" ht="12.75" hidden="1" customHeight="1">
      <c r="A271" s="38">
        <v>124</v>
      </c>
      <c r="B271" s="27" t="s">
        <v>815</v>
      </c>
      <c r="C271" s="40">
        <v>39813</v>
      </c>
      <c r="D271" s="27"/>
      <c r="E271" s="39" t="s">
        <v>833</v>
      </c>
      <c r="F271" s="41" t="s">
        <v>834</v>
      </c>
      <c r="G271" s="27" t="s">
        <v>35</v>
      </c>
      <c r="H271" s="27" t="s">
        <v>249</v>
      </c>
      <c r="I271" s="27">
        <v>1</v>
      </c>
      <c r="J271" s="42">
        <v>222056404</v>
      </c>
      <c r="K271" s="38" t="s">
        <v>206</v>
      </c>
      <c r="L271" s="38" t="s">
        <v>207</v>
      </c>
      <c r="M271" s="43" t="s">
        <v>835</v>
      </c>
      <c r="N271" s="2"/>
      <c r="O271" s="2"/>
      <c r="P271" s="2"/>
      <c r="Q271" s="2"/>
      <c r="R271" s="2"/>
      <c r="S271" s="2"/>
      <c r="T271" s="2"/>
      <c r="U271" s="2"/>
      <c r="V271" s="2"/>
      <c r="W271" s="2"/>
      <c r="X271" s="2"/>
      <c r="Y271" s="2"/>
      <c r="Z271" s="2"/>
    </row>
    <row r="272" spans="1:26" ht="12.75" hidden="1" customHeight="1">
      <c r="A272" s="38" t="s">
        <v>836</v>
      </c>
      <c r="B272" s="27"/>
      <c r="C272" s="40"/>
      <c r="D272" s="27"/>
      <c r="E272" s="39" t="s">
        <v>837</v>
      </c>
      <c r="F272" s="41" t="s">
        <v>838</v>
      </c>
      <c r="G272" s="27"/>
      <c r="H272" s="27"/>
      <c r="I272" s="27">
        <v>1</v>
      </c>
      <c r="J272" s="42">
        <v>0</v>
      </c>
      <c r="K272" s="38" t="s">
        <v>206</v>
      </c>
      <c r="L272" s="38" t="s">
        <v>207</v>
      </c>
      <c r="M272" s="43"/>
      <c r="N272" s="2"/>
      <c r="O272" s="2"/>
      <c r="P272" s="2"/>
      <c r="Q272" s="2"/>
      <c r="R272" s="2"/>
      <c r="S272" s="2"/>
      <c r="T272" s="2"/>
      <c r="U272" s="2"/>
      <c r="V272" s="2"/>
      <c r="W272" s="2"/>
      <c r="X272" s="2"/>
      <c r="Y272" s="2"/>
      <c r="Z272" s="2"/>
    </row>
    <row r="273" spans="1:26" ht="12.75" hidden="1" customHeight="1">
      <c r="A273" s="38">
        <v>125</v>
      </c>
      <c r="B273" s="27" t="s">
        <v>815</v>
      </c>
      <c r="C273" s="40">
        <v>39813</v>
      </c>
      <c r="D273" s="27"/>
      <c r="E273" s="39" t="s">
        <v>839</v>
      </c>
      <c r="F273" s="41" t="s">
        <v>840</v>
      </c>
      <c r="G273" s="27" t="s">
        <v>35</v>
      </c>
      <c r="H273" s="27" t="s">
        <v>249</v>
      </c>
      <c r="I273" s="27">
        <v>1</v>
      </c>
      <c r="J273" s="42">
        <v>222056404</v>
      </c>
      <c r="K273" s="38" t="s">
        <v>206</v>
      </c>
      <c r="L273" s="38" t="s">
        <v>841</v>
      </c>
      <c r="M273" s="43" t="s">
        <v>842</v>
      </c>
      <c r="N273" s="2"/>
      <c r="O273" s="2"/>
      <c r="P273" s="2"/>
      <c r="Q273" s="2"/>
      <c r="R273" s="2"/>
      <c r="S273" s="2"/>
      <c r="T273" s="2"/>
      <c r="U273" s="2"/>
      <c r="V273" s="2"/>
      <c r="W273" s="2"/>
      <c r="X273" s="2"/>
      <c r="Y273" s="2"/>
      <c r="Z273" s="2"/>
    </row>
    <row r="274" spans="1:26" ht="12.75" hidden="1" customHeight="1">
      <c r="A274" s="38" t="s">
        <v>843</v>
      </c>
      <c r="B274" s="27"/>
      <c r="C274" s="40"/>
      <c r="D274" s="27"/>
      <c r="E274" s="39" t="s">
        <v>844</v>
      </c>
      <c r="F274" s="41" t="s">
        <v>845</v>
      </c>
      <c r="G274" s="27"/>
      <c r="H274" s="27"/>
      <c r="I274" s="27">
        <v>1</v>
      </c>
      <c r="J274" s="42">
        <v>0</v>
      </c>
      <c r="K274" s="38" t="s">
        <v>206</v>
      </c>
      <c r="L274" s="38" t="s">
        <v>841</v>
      </c>
      <c r="M274" s="43"/>
      <c r="N274" s="2"/>
      <c r="O274" s="2"/>
      <c r="P274" s="2"/>
      <c r="Q274" s="2"/>
      <c r="R274" s="2"/>
      <c r="S274" s="2"/>
      <c r="T274" s="2"/>
      <c r="U274" s="2"/>
      <c r="V274" s="2"/>
      <c r="W274" s="2"/>
      <c r="X274" s="2"/>
      <c r="Y274" s="2"/>
      <c r="Z274" s="2"/>
    </row>
    <row r="275" spans="1:26" ht="12.75" hidden="1" customHeight="1">
      <c r="A275" s="26">
        <v>126</v>
      </c>
      <c r="B275" s="27" t="s">
        <v>846</v>
      </c>
      <c r="C275" s="28">
        <v>40743</v>
      </c>
      <c r="D275" s="27"/>
      <c r="E275" s="27" t="s">
        <v>847</v>
      </c>
      <c r="F275" s="29" t="s">
        <v>848</v>
      </c>
      <c r="G275" s="27" t="s">
        <v>35</v>
      </c>
      <c r="H275" s="27" t="s">
        <v>19</v>
      </c>
      <c r="I275" s="27">
        <v>1</v>
      </c>
      <c r="J275" s="30">
        <v>127345777</v>
      </c>
      <c r="K275" s="26" t="s">
        <v>20</v>
      </c>
      <c r="L275" s="36" t="s">
        <v>229</v>
      </c>
      <c r="M275" s="31" t="s">
        <v>5318</v>
      </c>
      <c r="N275" s="2"/>
      <c r="O275" s="2"/>
      <c r="P275" s="2"/>
      <c r="Q275" s="2"/>
      <c r="R275" s="2"/>
      <c r="S275" s="2"/>
      <c r="T275" s="2"/>
      <c r="U275" s="2"/>
      <c r="V275" s="2"/>
      <c r="W275" s="2"/>
      <c r="X275" s="2"/>
      <c r="Y275" s="2"/>
      <c r="Z275" s="2"/>
    </row>
    <row r="276" spans="1:26" ht="51" hidden="1" customHeight="1">
      <c r="A276" s="26" t="s">
        <v>849</v>
      </c>
      <c r="B276" s="27"/>
      <c r="C276" s="28"/>
      <c r="D276" s="27"/>
      <c r="E276" s="27" t="s">
        <v>850</v>
      </c>
      <c r="F276" s="29" t="s">
        <v>851</v>
      </c>
      <c r="G276" s="27"/>
      <c r="H276" s="27"/>
      <c r="I276" s="27">
        <v>1</v>
      </c>
      <c r="J276" s="30">
        <v>0</v>
      </c>
      <c r="K276" s="26" t="s">
        <v>20</v>
      </c>
      <c r="L276" s="36" t="s">
        <v>229</v>
      </c>
      <c r="M276" s="57" t="s">
        <v>5319</v>
      </c>
      <c r="N276" s="2"/>
      <c r="O276" s="2"/>
      <c r="P276" s="2"/>
      <c r="Q276" s="2"/>
      <c r="R276" s="2"/>
      <c r="S276" s="2"/>
      <c r="T276" s="2"/>
      <c r="U276" s="2"/>
      <c r="V276" s="2"/>
      <c r="W276" s="2"/>
      <c r="X276" s="2"/>
      <c r="Y276" s="2"/>
      <c r="Z276" s="2"/>
    </row>
    <row r="277" spans="1:26" ht="12.75" hidden="1" customHeight="1">
      <c r="A277" s="38">
        <v>127</v>
      </c>
      <c r="B277" s="27" t="s">
        <v>852</v>
      </c>
      <c r="C277" s="40">
        <v>40403</v>
      </c>
      <c r="D277" s="27"/>
      <c r="E277" s="39" t="s">
        <v>853</v>
      </c>
      <c r="F277" s="41" t="s">
        <v>854</v>
      </c>
      <c r="G277" s="27" t="s">
        <v>35</v>
      </c>
      <c r="H277" s="27" t="s">
        <v>19</v>
      </c>
      <c r="I277" s="27">
        <v>1</v>
      </c>
      <c r="J277" s="42">
        <v>141885251</v>
      </c>
      <c r="K277" s="38" t="s">
        <v>206</v>
      </c>
      <c r="L277" s="38" t="s">
        <v>841</v>
      </c>
      <c r="M277" s="43" t="s">
        <v>855</v>
      </c>
      <c r="N277" s="2"/>
      <c r="O277" s="2"/>
      <c r="P277" s="2"/>
      <c r="Q277" s="2"/>
      <c r="R277" s="2"/>
      <c r="S277" s="2"/>
      <c r="T277" s="2"/>
      <c r="U277" s="2"/>
      <c r="V277" s="2"/>
      <c r="W277" s="2"/>
      <c r="X277" s="2"/>
      <c r="Y277" s="2"/>
      <c r="Z277" s="2"/>
    </row>
    <row r="278" spans="1:26" ht="12.75" hidden="1" customHeight="1">
      <c r="A278" s="38" t="s">
        <v>856</v>
      </c>
      <c r="B278" s="27"/>
      <c r="C278" s="40"/>
      <c r="D278" s="27"/>
      <c r="E278" s="39" t="s">
        <v>857</v>
      </c>
      <c r="F278" s="41" t="s">
        <v>858</v>
      </c>
      <c r="G278" s="27"/>
      <c r="H278" s="27"/>
      <c r="I278" s="27">
        <v>1</v>
      </c>
      <c r="J278" s="42">
        <v>0</v>
      </c>
      <c r="K278" s="38" t="s">
        <v>206</v>
      </c>
      <c r="L278" s="38" t="s">
        <v>841</v>
      </c>
      <c r="M278" s="43"/>
      <c r="N278" s="2"/>
      <c r="O278" s="2"/>
      <c r="P278" s="2"/>
      <c r="Q278" s="2"/>
      <c r="R278" s="2"/>
      <c r="S278" s="2"/>
      <c r="T278" s="2"/>
      <c r="U278" s="2"/>
      <c r="V278" s="2"/>
      <c r="W278" s="2"/>
      <c r="X278" s="2"/>
      <c r="Y278" s="2"/>
      <c r="Z278" s="2"/>
    </row>
    <row r="279" spans="1:26" ht="12.75" hidden="1" customHeight="1">
      <c r="A279" s="26">
        <v>128</v>
      </c>
      <c r="B279" s="27" t="s">
        <v>852</v>
      </c>
      <c r="C279" s="28">
        <v>40403</v>
      </c>
      <c r="D279" s="27"/>
      <c r="E279" s="27" t="s">
        <v>859</v>
      </c>
      <c r="F279" s="29" t="s">
        <v>860</v>
      </c>
      <c r="G279" s="27" t="s">
        <v>35</v>
      </c>
      <c r="H279" s="27" t="s">
        <v>19</v>
      </c>
      <c r="I279" s="27">
        <v>1</v>
      </c>
      <c r="J279" s="30">
        <v>141885250</v>
      </c>
      <c r="K279" s="26" t="s">
        <v>206</v>
      </c>
      <c r="L279" s="26" t="s">
        <v>841</v>
      </c>
      <c r="M279" s="31" t="s">
        <v>861</v>
      </c>
      <c r="N279" s="2"/>
      <c r="O279" s="2"/>
      <c r="P279" s="2"/>
      <c r="Q279" s="2"/>
      <c r="R279" s="2"/>
      <c r="S279" s="2"/>
      <c r="T279" s="2"/>
      <c r="U279" s="2"/>
      <c r="V279" s="2"/>
      <c r="W279" s="2"/>
      <c r="X279" s="2"/>
      <c r="Y279" s="2"/>
      <c r="Z279" s="2"/>
    </row>
    <row r="280" spans="1:26" ht="12.75" hidden="1" customHeight="1">
      <c r="A280" s="26" t="s">
        <v>862</v>
      </c>
      <c r="B280" s="27"/>
      <c r="C280" s="28"/>
      <c r="D280" s="27"/>
      <c r="E280" s="27" t="s">
        <v>863</v>
      </c>
      <c r="F280" s="29" t="s">
        <v>864</v>
      </c>
      <c r="G280" s="27"/>
      <c r="H280" s="27"/>
      <c r="I280" s="27">
        <v>1</v>
      </c>
      <c r="J280" s="30">
        <v>0</v>
      </c>
      <c r="K280" s="26" t="s">
        <v>206</v>
      </c>
      <c r="L280" s="26" t="s">
        <v>841</v>
      </c>
      <c r="M280" s="31"/>
      <c r="N280" s="2"/>
      <c r="O280" s="2"/>
      <c r="P280" s="2"/>
      <c r="Q280" s="2"/>
      <c r="R280" s="2"/>
      <c r="S280" s="2"/>
      <c r="T280" s="2"/>
      <c r="U280" s="2"/>
      <c r="V280" s="2"/>
      <c r="W280" s="2"/>
      <c r="X280" s="2"/>
      <c r="Y280" s="2"/>
      <c r="Z280" s="2"/>
    </row>
    <row r="281" spans="1:26" ht="25.5" hidden="1" customHeight="1">
      <c r="A281" s="26">
        <v>129</v>
      </c>
      <c r="B281" s="27" t="s">
        <v>852</v>
      </c>
      <c r="C281" s="28">
        <v>40403</v>
      </c>
      <c r="D281" s="27"/>
      <c r="E281" s="27" t="s">
        <v>865</v>
      </c>
      <c r="F281" s="29" t="s">
        <v>866</v>
      </c>
      <c r="G281" s="27" t="s">
        <v>35</v>
      </c>
      <c r="H281" s="27" t="s">
        <v>19</v>
      </c>
      <c r="I281" s="27">
        <v>1</v>
      </c>
      <c r="J281" s="30">
        <v>46565025</v>
      </c>
      <c r="K281" s="26" t="s">
        <v>206</v>
      </c>
      <c r="L281" s="26" t="s">
        <v>841</v>
      </c>
      <c r="M281" s="31" t="s">
        <v>867</v>
      </c>
      <c r="N281" s="2"/>
      <c r="O281" s="2"/>
      <c r="P281" s="2"/>
      <c r="Q281" s="2"/>
      <c r="R281" s="2"/>
      <c r="S281" s="2"/>
      <c r="T281" s="2"/>
      <c r="U281" s="2"/>
      <c r="V281" s="2"/>
      <c r="W281" s="2"/>
      <c r="X281" s="2"/>
      <c r="Y281" s="2"/>
      <c r="Z281" s="2"/>
    </row>
    <row r="282" spans="1:26" ht="12.75" hidden="1" customHeight="1">
      <c r="A282" s="26" t="s">
        <v>868</v>
      </c>
      <c r="B282" s="27"/>
      <c r="C282" s="28"/>
      <c r="D282" s="27"/>
      <c r="E282" s="27" t="s">
        <v>869</v>
      </c>
      <c r="F282" s="29" t="s">
        <v>870</v>
      </c>
      <c r="G282" s="27"/>
      <c r="H282" s="27"/>
      <c r="I282" s="27">
        <v>1</v>
      </c>
      <c r="J282" s="30">
        <v>0</v>
      </c>
      <c r="K282" s="26" t="s">
        <v>206</v>
      </c>
      <c r="L282" s="26" t="s">
        <v>841</v>
      </c>
      <c r="M282" s="31"/>
      <c r="N282" s="2"/>
      <c r="O282" s="2"/>
      <c r="P282" s="2"/>
      <c r="Q282" s="2"/>
      <c r="R282" s="2"/>
      <c r="S282" s="2"/>
      <c r="T282" s="2"/>
      <c r="U282" s="2"/>
      <c r="V282" s="2"/>
      <c r="W282" s="2"/>
      <c r="X282" s="2"/>
      <c r="Y282" s="2"/>
      <c r="Z282" s="2"/>
    </row>
    <row r="283" spans="1:26" ht="25.5" hidden="1" customHeight="1">
      <c r="A283" s="26">
        <v>130</v>
      </c>
      <c r="B283" s="27" t="s">
        <v>852</v>
      </c>
      <c r="C283" s="28">
        <v>40403</v>
      </c>
      <c r="D283" s="27"/>
      <c r="E283" s="27" t="s">
        <v>871</v>
      </c>
      <c r="F283" s="29" t="s">
        <v>872</v>
      </c>
      <c r="G283" s="27" t="s">
        <v>35</v>
      </c>
      <c r="H283" s="27" t="s">
        <v>19</v>
      </c>
      <c r="I283" s="27">
        <v>1</v>
      </c>
      <c r="J283" s="30">
        <v>46565025</v>
      </c>
      <c r="K283" s="26" t="s">
        <v>206</v>
      </c>
      <c r="L283" s="26" t="s">
        <v>841</v>
      </c>
      <c r="M283" s="31" t="s">
        <v>873</v>
      </c>
      <c r="N283" s="2"/>
      <c r="O283" s="2"/>
      <c r="P283" s="2"/>
      <c r="Q283" s="2"/>
      <c r="R283" s="2"/>
      <c r="S283" s="2"/>
      <c r="T283" s="2"/>
      <c r="U283" s="2"/>
      <c r="V283" s="2"/>
      <c r="W283" s="2"/>
      <c r="X283" s="2"/>
      <c r="Y283" s="2"/>
      <c r="Z283" s="2"/>
    </row>
    <row r="284" spans="1:26" ht="12.75" hidden="1" customHeight="1">
      <c r="A284" s="26" t="s">
        <v>874</v>
      </c>
      <c r="B284" s="27"/>
      <c r="C284" s="28"/>
      <c r="D284" s="27"/>
      <c r="E284" s="27" t="s">
        <v>875</v>
      </c>
      <c r="F284" s="29" t="s">
        <v>876</v>
      </c>
      <c r="G284" s="27"/>
      <c r="H284" s="27"/>
      <c r="I284" s="27">
        <v>1</v>
      </c>
      <c r="J284" s="30">
        <v>0</v>
      </c>
      <c r="K284" s="26" t="s">
        <v>206</v>
      </c>
      <c r="L284" s="26" t="s">
        <v>841</v>
      </c>
      <c r="M284" s="31"/>
      <c r="N284" s="2"/>
      <c r="O284" s="2"/>
      <c r="P284" s="2"/>
      <c r="Q284" s="2"/>
      <c r="R284" s="2"/>
      <c r="S284" s="2"/>
      <c r="T284" s="2"/>
      <c r="U284" s="2"/>
      <c r="V284" s="2"/>
      <c r="W284" s="2"/>
      <c r="X284" s="2"/>
      <c r="Y284" s="2"/>
      <c r="Z284" s="2"/>
    </row>
    <row r="285" spans="1:26" ht="25.5" hidden="1" customHeight="1">
      <c r="A285" s="26">
        <v>131</v>
      </c>
      <c r="B285" s="27" t="s">
        <v>877</v>
      </c>
      <c r="C285" s="28">
        <v>41981</v>
      </c>
      <c r="D285" s="27"/>
      <c r="E285" s="27" t="s">
        <v>878</v>
      </c>
      <c r="F285" s="29" t="s">
        <v>879</v>
      </c>
      <c r="G285" s="27" t="s">
        <v>35</v>
      </c>
      <c r="H285" s="27" t="s">
        <v>19</v>
      </c>
      <c r="I285" s="27">
        <v>1</v>
      </c>
      <c r="J285" s="30">
        <v>170000000</v>
      </c>
      <c r="K285" s="59" t="s">
        <v>206</v>
      </c>
      <c r="L285" s="59" t="s">
        <v>5320</v>
      </c>
      <c r="M285" s="31" t="s">
        <v>880</v>
      </c>
      <c r="N285" s="2"/>
      <c r="O285" s="2"/>
      <c r="P285" s="2"/>
      <c r="Q285" s="2"/>
      <c r="R285" s="2"/>
      <c r="S285" s="2"/>
      <c r="T285" s="2"/>
      <c r="U285" s="2"/>
      <c r="V285" s="2"/>
      <c r="W285" s="2"/>
      <c r="X285" s="2"/>
      <c r="Y285" s="2"/>
      <c r="Z285" s="2"/>
    </row>
    <row r="286" spans="1:26" ht="12.75" hidden="1" customHeight="1">
      <c r="A286" s="26" t="s">
        <v>881</v>
      </c>
      <c r="B286" s="27"/>
      <c r="C286" s="28"/>
      <c r="D286" s="27"/>
      <c r="E286" s="27" t="s">
        <v>882</v>
      </c>
      <c r="F286" s="29" t="s">
        <v>883</v>
      </c>
      <c r="G286" s="27" t="s">
        <v>248</v>
      </c>
      <c r="H286" s="27" t="s">
        <v>249</v>
      </c>
      <c r="I286" s="27">
        <v>1</v>
      </c>
      <c r="J286" s="30">
        <v>0</v>
      </c>
      <c r="K286" s="59" t="s">
        <v>206</v>
      </c>
      <c r="L286" s="59" t="s">
        <v>5320</v>
      </c>
      <c r="M286" s="31"/>
      <c r="N286" s="2"/>
      <c r="O286" s="2"/>
      <c r="P286" s="2"/>
      <c r="Q286" s="2"/>
      <c r="R286" s="2"/>
      <c r="S286" s="2"/>
      <c r="T286" s="2"/>
      <c r="U286" s="2"/>
      <c r="V286" s="2"/>
      <c r="W286" s="2"/>
      <c r="X286" s="2"/>
      <c r="Y286" s="2"/>
      <c r="Z286" s="2"/>
    </row>
    <row r="287" spans="1:26" ht="25.5" hidden="1" customHeight="1">
      <c r="A287" s="26">
        <v>132</v>
      </c>
      <c r="B287" s="27" t="s">
        <v>884</v>
      </c>
      <c r="C287" s="28">
        <v>40639</v>
      </c>
      <c r="D287" s="27"/>
      <c r="E287" s="27" t="s">
        <v>885</v>
      </c>
      <c r="F287" s="29" t="s">
        <v>886</v>
      </c>
      <c r="G287" s="27" t="s">
        <v>248</v>
      </c>
      <c r="H287" s="27" t="s">
        <v>19</v>
      </c>
      <c r="I287" s="27">
        <v>1</v>
      </c>
      <c r="J287" s="30">
        <v>72605134</v>
      </c>
      <c r="K287" s="26"/>
      <c r="L287" s="26" t="s">
        <v>888</v>
      </c>
      <c r="M287" s="31">
        <v>0</v>
      </c>
      <c r="N287" s="2"/>
      <c r="O287" s="2"/>
      <c r="P287" s="2"/>
      <c r="Q287" s="2"/>
      <c r="R287" s="2"/>
      <c r="S287" s="2"/>
      <c r="T287" s="2"/>
      <c r="U287" s="2"/>
      <c r="V287" s="2"/>
      <c r="W287" s="2"/>
      <c r="X287" s="2"/>
      <c r="Y287" s="2"/>
      <c r="Z287" s="2"/>
    </row>
    <row r="288" spans="1:26" ht="12.75" hidden="1" customHeight="1">
      <c r="A288" s="26" t="s">
        <v>890</v>
      </c>
      <c r="B288" s="27"/>
      <c r="C288" s="28"/>
      <c r="D288" s="27"/>
      <c r="E288" s="27" t="s">
        <v>891</v>
      </c>
      <c r="F288" s="29" t="s">
        <v>892</v>
      </c>
      <c r="G288" s="27"/>
      <c r="H288" s="27"/>
      <c r="I288" s="27">
        <v>1</v>
      </c>
      <c r="J288" s="30">
        <v>0</v>
      </c>
      <c r="K288" s="26"/>
      <c r="L288" s="26" t="s">
        <v>888</v>
      </c>
      <c r="M288" s="31"/>
      <c r="N288" s="2"/>
      <c r="O288" s="2"/>
      <c r="P288" s="2"/>
      <c r="Q288" s="2"/>
      <c r="R288" s="2"/>
      <c r="S288" s="2"/>
      <c r="T288" s="2"/>
      <c r="U288" s="2"/>
      <c r="V288" s="2"/>
      <c r="W288" s="2"/>
      <c r="X288" s="2"/>
      <c r="Y288" s="2"/>
      <c r="Z288" s="2"/>
    </row>
    <row r="289" spans="1:26" ht="12.75" hidden="1" customHeight="1">
      <c r="A289" s="38">
        <v>133</v>
      </c>
      <c r="B289" s="27" t="s">
        <v>893</v>
      </c>
      <c r="C289" s="40">
        <v>40715</v>
      </c>
      <c r="D289" s="27"/>
      <c r="E289" s="39" t="s">
        <v>894</v>
      </c>
      <c r="F289" s="41" t="s">
        <v>895</v>
      </c>
      <c r="G289" s="27" t="s">
        <v>35</v>
      </c>
      <c r="H289" s="27" t="s">
        <v>19</v>
      </c>
      <c r="I289" s="27">
        <v>1</v>
      </c>
      <c r="J289" s="42">
        <v>69080000</v>
      </c>
      <c r="K289" s="38" t="s">
        <v>206</v>
      </c>
      <c r="L289" s="38" t="s">
        <v>841</v>
      </c>
      <c r="M289" s="43" t="s">
        <v>896</v>
      </c>
      <c r="N289" s="2"/>
      <c r="O289" s="2"/>
      <c r="P289" s="2"/>
      <c r="Q289" s="2"/>
      <c r="R289" s="2"/>
      <c r="S289" s="2"/>
      <c r="T289" s="2"/>
      <c r="U289" s="2"/>
      <c r="V289" s="2"/>
      <c r="W289" s="2"/>
      <c r="X289" s="2"/>
      <c r="Y289" s="2"/>
      <c r="Z289" s="2"/>
    </row>
    <row r="290" spans="1:26" ht="25.5" hidden="1" customHeight="1">
      <c r="A290" s="38" t="s">
        <v>897</v>
      </c>
      <c r="B290" s="27"/>
      <c r="C290" s="40"/>
      <c r="D290" s="27"/>
      <c r="E290" s="39" t="s">
        <v>898</v>
      </c>
      <c r="F290" s="41" t="s">
        <v>899</v>
      </c>
      <c r="G290" s="27"/>
      <c r="H290" s="27"/>
      <c r="I290" s="27">
        <v>1</v>
      </c>
      <c r="J290" s="42">
        <v>0</v>
      </c>
      <c r="K290" s="38" t="s">
        <v>206</v>
      </c>
      <c r="L290" s="38" t="s">
        <v>841</v>
      </c>
      <c r="M290" s="43"/>
      <c r="N290" s="2"/>
      <c r="O290" s="2"/>
      <c r="P290" s="2"/>
      <c r="Q290" s="2"/>
      <c r="R290" s="2"/>
      <c r="S290" s="2"/>
      <c r="T290" s="2"/>
      <c r="U290" s="2"/>
      <c r="V290" s="2"/>
      <c r="W290" s="2"/>
      <c r="X290" s="2"/>
      <c r="Y290" s="2"/>
      <c r="Z290" s="2"/>
    </row>
    <row r="291" spans="1:26" ht="25.5" hidden="1" customHeight="1">
      <c r="A291" s="26">
        <v>134</v>
      </c>
      <c r="B291" s="27" t="s">
        <v>846</v>
      </c>
      <c r="C291" s="28">
        <v>40743</v>
      </c>
      <c r="D291" s="27"/>
      <c r="E291" s="27" t="s">
        <v>900</v>
      </c>
      <c r="F291" s="29" t="s">
        <v>901</v>
      </c>
      <c r="G291" s="27" t="s">
        <v>35</v>
      </c>
      <c r="H291" s="27" t="s">
        <v>19</v>
      </c>
      <c r="I291" s="27">
        <v>1</v>
      </c>
      <c r="J291" s="30">
        <v>185230680</v>
      </c>
      <c r="K291" s="26" t="s">
        <v>206</v>
      </c>
      <c r="L291" s="26" t="s">
        <v>841</v>
      </c>
      <c r="M291" s="31" t="s">
        <v>902</v>
      </c>
      <c r="N291" s="2"/>
      <c r="O291" s="2"/>
      <c r="P291" s="2"/>
      <c r="Q291" s="2"/>
      <c r="R291" s="2"/>
      <c r="S291" s="2"/>
      <c r="T291" s="2"/>
      <c r="U291" s="2"/>
      <c r="V291" s="2"/>
      <c r="W291" s="2"/>
      <c r="X291" s="2"/>
      <c r="Y291" s="2"/>
      <c r="Z291" s="2"/>
    </row>
    <row r="292" spans="1:26" ht="12.75" hidden="1" customHeight="1">
      <c r="A292" s="26" t="s">
        <v>903</v>
      </c>
      <c r="B292" s="27"/>
      <c r="C292" s="28"/>
      <c r="D292" s="27"/>
      <c r="E292" s="27" t="s">
        <v>904</v>
      </c>
      <c r="F292" s="29" t="s">
        <v>905</v>
      </c>
      <c r="G292" s="27"/>
      <c r="H292" s="27"/>
      <c r="I292" s="27">
        <v>1</v>
      </c>
      <c r="J292" s="30">
        <v>0</v>
      </c>
      <c r="K292" s="26" t="s">
        <v>206</v>
      </c>
      <c r="L292" s="26" t="s">
        <v>841</v>
      </c>
      <c r="M292" s="31"/>
      <c r="N292" s="2"/>
      <c r="O292" s="2"/>
      <c r="P292" s="2"/>
      <c r="Q292" s="2"/>
      <c r="R292" s="2"/>
      <c r="S292" s="2"/>
      <c r="T292" s="2"/>
      <c r="U292" s="2"/>
      <c r="V292" s="2"/>
      <c r="W292" s="2"/>
      <c r="X292" s="2"/>
      <c r="Y292" s="2"/>
      <c r="Z292" s="2"/>
    </row>
    <row r="293" spans="1:26" ht="76.5" hidden="1" customHeight="1">
      <c r="A293" s="26">
        <v>135</v>
      </c>
      <c r="B293" s="27" t="s">
        <v>52</v>
      </c>
      <c r="C293" s="28">
        <v>40875</v>
      </c>
      <c r="D293" s="27"/>
      <c r="E293" s="27" t="s">
        <v>906</v>
      </c>
      <c r="F293" s="29" t="s">
        <v>907</v>
      </c>
      <c r="G293" s="27"/>
      <c r="H293" s="27" t="s">
        <v>19</v>
      </c>
      <c r="I293" s="27">
        <v>1</v>
      </c>
      <c r="J293" s="30">
        <v>1115847648</v>
      </c>
      <c r="K293" s="26" t="s">
        <v>36</v>
      </c>
      <c r="L293" s="26" t="s">
        <v>56</v>
      </c>
      <c r="M293" s="31" t="s">
        <v>908</v>
      </c>
      <c r="N293" s="2"/>
      <c r="O293" s="2"/>
      <c r="P293" s="2"/>
      <c r="Q293" s="2"/>
      <c r="R293" s="2"/>
      <c r="S293" s="2"/>
      <c r="T293" s="2"/>
      <c r="U293" s="2"/>
      <c r="V293" s="2"/>
      <c r="W293" s="2"/>
      <c r="X293" s="2"/>
      <c r="Y293" s="2"/>
      <c r="Z293" s="2"/>
    </row>
    <row r="294" spans="1:26" ht="12.75" hidden="1" customHeight="1">
      <c r="A294" s="26">
        <v>136</v>
      </c>
      <c r="B294" s="27" t="s">
        <v>909</v>
      </c>
      <c r="C294" s="28">
        <v>41999</v>
      </c>
      <c r="D294" s="27"/>
      <c r="E294" s="27" t="s">
        <v>910</v>
      </c>
      <c r="F294" s="29" t="s">
        <v>911</v>
      </c>
      <c r="G294" s="27" t="s">
        <v>35</v>
      </c>
      <c r="H294" s="27" t="s">
        <v>19</v>
      </c>
      <c r="I294" s="27">
        <v>1</v>
      </c>
      <c r="J294" s="30">
        <v>257780511</v>
      </c>
      <c r="K294" s="26" t="s">
        <v>20</v>
      </c>
      <c r="L294" s="26" t="s">
        <v>233</v>
      </c>
      <c r="M294" s="31" t="s">
        <v>1537</v>
      </c>
      <c r="N294" s="2"/>
      <c r="O294" s="2"/>
      <c r="P294" s="2"/>
      <c r="Q294" s="2"/>
      <c r="R294" s="2"/>
      <c r="S294" s="2"/>
      <c r="T294" s="2"/>
      <c r="U294" s="2"/>
      <c r="V294" s="2"/>
      <c r="W294" s="2"/>
      <c r="X294" s="2"/>
      <c r="Y294" s="2"/>
      <c r="Z294" s="2"/>
    </row>
    <row r="295" spans="1:26" ht="12.75" hidden="1" customHeight="1">
      <c r="A295" s="26" t="s">
        <v>912</v>
      </c>
      <c r="B295" s="27"/>
      <c r="C295" s="28"/>
      <c r="D295" s="27"/>
      <c r="E295" s="27" t="s">
        <v>913</v>
      </c>
      <c r="F295" s="29" t="s">
        <v>914</v>
      </c>
      <c r="G295" s="27" t="s">
        <v>248</v>
      </c>
      <c r="H295" s="27" t="s">
        <v>249</v>
      </c>
      <c r="I295" s="27">
        <v>1</v>
      </c>
      <c r="J295" s="30">
        <v>0</v>
      </c>
      <c r="K295" s="26" t="s">
        <v>20</v>
      </c>
      <c r="L295" s="26" t="s">
        <v>233</v>
      </c>
      <c r="M295" s="31" t="s">
        <v>915</v>
      </c>
      <c r="N295" s="2"/>
      <c r="O295" s="2"/>
      <c r="P295" s="2"/>
      <c r="Q295" s="2"/>
      <c r="R295" s="2"/>
      <c r="S295" s="2"/>
      <c r="T295" s="2"/>
      <c r="U295" s="2"/>
      <c r="V295" s="2"/>
      <c r="W295" s="2"/>
      <c r="X295" s="2"/>
      <c r="Y295" s="2"/>
      <c r="Z295" s="2"/>
    </row>
    <row r="296" spans="1:26" ht="12.75" hidden="1" customHeight="1">
      <c r="A296" s="26">
        <v>137</v>
      </c>
      <c r="B296" s="27" t="s">
        <v>909</v>
      </c>
      <c r="C296" s="28">
        <v>41999</v>
      </c>
      <c r="D296" s="27"/>
      <c r="E296" s="27" t="s">
        <v>916</v>
      </c>
      <c r="F296" s="29" t="s">
        <v>917</v>
      </c>
      <c r="G296" s="27" t="s">
        <v>35</v>
      </c>
      <c r="H296" s="27" t="s">
        <v>19</v>
      </c>
      <c r="I296" s="27">
        <v>1</v>
      </c>
      <c r="J296" s="30">
        <v>221261606</v>
      </c>
      <c r="K296" s="26" t="s">
        <v>20</v>
      </c>
      <c r="L296" s="26" t="s">
        <v>233</v>
      </c>
      <c r="M296" s="31" t="s">
        <v>1537</v>
      </c>
      <c r="N296" s="2"/>
      <c r="O296" s="2"/>
      <c r="P296" s="2"/>
      <c r="Q296" s="2"/>
      <c r="R296" s="2"/>
      <c r="S296" s="2"/>
      <c r="T296" s="2"/>
      <c r="U296" s="2"/>
      <c r="V296" s="2"/>
      <c r="W296" s="2"/>
      <c r="X296" s="2"/>
      <c r="Y296" s="2"/>
      <c r="Z296" s="2"/>
    </row>
    <row r="297" spans="1:26" ht="25.5" hidden="1" customHeight="1">
      <c r="A297" s="26" t="s">
        <v>919</v>
      </c>
      <c r="B297" s="27"/>
      <c r="C297" s="28"/>
      <c r="D297" s="27"/>
      <c r="E297" s="27" t="s">
        <v>920</v>
      </c>
      <c r="F297" s="29" t="s">
        <v>921</v>
      </c>
      <c r="G297" s="27" t="s">
        <v>248</v>
      </c>
      <c r="H297" s="27" t="s">
        <v>249</v>
      </c>
      <c r="I297" s="27">
        <v>1</v>
      </c>
      <c r="J297" s="30">
        <v>0</v>
      </c>
      <c r="K297" s="26" t="s">
        <v>20</v>
      </c>
      <c r="L297" s="26" t="s">
        <v>233</v>
      </c>
      <c r="M297" s="31" t="s">
        <v>5321</v>
      </c>
      <c r="N297" s="2"/>
      <c r="O297" s="2"/>
      <c r="P297" s="2"/>
      <c r="Q297" s="2"/>
      <c r="R297" s="2"/>
      <c r="S297" s="2"/>
      <c r="T297" s="2"/>
      <c r="U297" s="2"/>
      <c r="V297" s="2"/>
      <c r="W297" s="2"/>
      <c r="X297" s="2"/>
      <c r="Y297" s="2"/>
      <c r="Z297" s="2"/>
    </row>
    <row r="298" spans="1:26" ht="25.5" hidden="1" customHeight="1">
      <c r="A298" s="26">
        <v>138</v>
      </c>
      <c r="B298" s="27" t="s">
        <v>924</v>
      </c>
      <c r="C298" s="28">
        <v>42209</v>
      </c>
      <c r="D298" s="27"/>
      <c r="E298" s="27" t="s">
        <v>925</v>
      </c>
      <c r="F298" s="29" t="s">
        <v>926</v>
      </c>
      <c r="G298" s="27" t="s">
        <v>35</v>
      </c>
      <c r="H298" s="27" t="s">
        <v>19</v>
      </c>
      <c r="I298" s="27">
        <v>1</v>
      </c>
      <c r="J298" s="30">
        <v>275540455</v>
      </c>
      <c r="K298" s="26" t="s">
        <v>36</v>
      </c>
      <c r="L298" s="26" t="s">
        <v>56</v>
      </c>
      <c r="M298" s="31" t="s">
        <v>927</v>
      </c>
      <c r="N298" s="2"/>
      <c r="O298" s="2"/>
      <c r="P298" s="2"/>
      <c r="Q298" s="2"/>
      <c r="R298" s="2"/>
      <c r="S298" s="2"/>
      <c r="T298" s="2"/>
      <c r="U298" s="2"/>
      <c r="V298" s="2"/>
      <c r="W298" s="2"/>
      <c r="X298" s="2"/>
      <c r="Y298" s="2"/>
      <c r="Z298" s="2"/>
    </row>
    <row r="299" spans="1:26" ht="12.75" hidden="1" customHeight="1">
      <c r="A299" s="26" t="s">
        <v>928</v>
      </c>
      <c r="B299" s="27"/>
      <c r="C299" s="28"/>
      <c r="D299" s="27"/>
      <c r="E299" s="27" t="s">
        <v>929</v>
      </c>
      <c r="F299" s="29" t="s">
        <v>930</v>
      </c>
      <c r="G299" s="27" t="s">
        <v>248</v>
      </c>
      <c r="H299" s="27" t="s">
        <v>249</v>
      </c>
      <c r="I299" s="27">
        <v>1</v>
      </c>
      <c r="J299" s="30">
        <v>0</v>
      </c>
      <c r="K299" s="26" t="s">
        <v>36</v>
      </c>
      <c r="L299" s="26" t="s">
        <v>56</v>
      </c>
      <c r="M299" s="31" t="s">
        <v>931</v>
      </c>
      <c r="N299" s="2"/>
      <c r="O299" s="2"/>
      <c r="P299" s="2"/>
      <c r="Q299" s="2"/>
      <c r="R299" s="2"/>
      <c r="S299" s="2"/>
      <c r="T299" s="2"/>
      <c r="U299" s="2"/>
      <c r="V299" s="2"/>
      <c r="W299" s="2"/>
      <c r="X299" s="2"/>
      <c r="Y299" s="2"/>
      <c r="Z299" s="2"/>
    </row>
    <row r="300" spans="1:26" ht="25.5" hidden="1" customHeight="1">
      <c r="A300" s="26">
        <v>139</v>
      </c>
      <c r="B300" s="27" t="s">
        <v>924</v>
      </c>
      <c r="C300" s="28">
        <v>42209</v>
      </c>
      <c r="D300" s="27"/>
      <c r="E300" s="27" t="s">
        <v>932</v>
      </c>
      <c r="F300" s="29" t="s">
        <v>933</v>
      </c>
      <c r="G300" s="27" t="s">
        <v>35</v>
      </c>
      <c r="H300" s="27" t="s">
        <v>19</v>
      </c>
      <c r="I300" s="27">
        <v>1</v>
      </c>
      <c r="J300" s="30">
        <v>269670455</v>
      </c>
      <c r="K300" s="26" t="s">
        <v>206</v>
      </c>
      <c r="L300" s="26" t="s">
        <v>841</v>
      </c>
      <c r="M300" s="31" t="s">
        <v>934</v>
      </c>
      <c r="N300" s="2"/>
      <c r="O300" s="2"/>
      <c r="P300" s="2"/>
      <c r="Q300" s="2"/>
      <c r="R300" s="2"/>
      <c r="S300" s="2"/>
      <c r="T300" s="2"/>
      <c r="U300" s="2"/>
      <c r="V300" s="2"/>
      <c r="W300" s="2"/>
      <c r="X300" s="2"/>
      <c r="Y300" s="2"/>
      <c r="Z300" s="2"/>
    </row>
    <row r="301" spans="1:26" ht="12.75" hidden="1" customHeight="1">
      <c r="A301" s="26" t="s">
        <v>935</v>
      </c>
      <c r="B301" s="27"/>
      <c r="C301" s="28"/>
      <c r="D301" s="27"/>
      <c r="E301" s="27" t="s">
        <v>936</v>
      </c>
      <c r="F301" s="29" t="s">
        <v>937</v>
      </c>
      <c r="G301" s="27" t="s">
        <v>248</v>
      </c>
      <c r="H301" s="27" t="s">
        <v>249</v>
      </c>
      <c r="I301" s="27">
        <v>1</v>
      </c>
      <c r="J301" s="30">
        <v>0</v>
      </c>
      <c r="K301" s="26" t="s">
        <v>206</v>
      </c>
      <c r="L301" s="26" t="s">
        <v>841</v>
      </c>
      <c r="M301" s="31"/>
      <c r="N301" s="2"/>
      <c r="O301" s="2"/>
      <c r="P301" s="2"/>
      <c r="Q301" s="2"/>
      <c r="R301" s="2"/>
      <c r="S301" s="2"/>
      <c r="T301" s="2"/>
      <c r="U301" s="2"/>
      <c r="V301" s="2"/>
      <c r="W301" s="2"/>
      <c r="X301" s="2"/>
      <c r="Y301" s="2"/>
      <c r="Z301" s="2"/>
    </row>
    <row r="302" spans="1:26" ht="25.5" hidden="1" customHeight="1">
      <c r="A302" s="26">
        <v>140</v>
      </c>
      <c r="B302" s="27" t="s">
        <v>938</v>
      </c>
      <c r="C302" s="28">
        <v>42368</v>
      </c>
      <c r="D302" s="27"/>
      <c r="E302" s="27" t="s">
        <v>939</v>
      </c>
      <c r="F302" s="29" t="s">
        <v>940</v>
      </c>
      <c r="G302" s="27" t="s">
        <v>307</v>
      </c>
      <c r="H302" s="27" t="s">
        <v>19</v>
      </c>
      <c r="I302" s="27">
        <v>1</v>
      </c>
      <c r="J302" s="30">
        <v>1027688696</v>
      </c>
      <c r="K302" s="26" t="s">
        <v>20</v>
      </c>
      <c r="L302" s="26" t="s">
        <v>284</v>
      </c>
      <c r="M302" s="31" t="s">
        <v>5322</v>
      </c>
      <c r="N302" s="2"/>
      <c r="O302" s="2"/>
      <c r="P302" s="2"/>
      <c r="Q302" s="2"/>
      <c r="R302" s="2"/>
      <c r="S302" s="2"/>
      <c r="T302" s="2"/>
      <c r="U302" s="2"/>
      <c r="V302" s="2"/>
      <c r="W302" s="2"/>
      <c r="X302" s="2"/>
      <c r="Y302" s="2"/>
      <c r="Z302" s="2"/>
    </row>
    <row r="303" spans="1:26" ht="25.5" hidden="1" customHeight="1">
      <c r="A303" s="26" t="s">
        <v>942</v>
      </c>
      <c r="B303" s="27"/>
      <c r="C303" s="28"/>
      <c r="D303" s="27"/>
      <c r="E303" s="27" t="s">
        <v>943</v>
      </c>
      <c r="F303" s="29" t="s">
        <v>944</v>
      </c>
      <c r="G303" s="27" t="s">
        <v>248</v>
      </c>
      <c r="H303" s="27" t="s">
        <v>249</v>
      </c>
      <c r="I303" s="27">
        <v>1</v>
      </c>
      <c r="J303" s="30">
        <v>0</v>
      </c>
      <c r="K303" s="26" t="s">
        <v>20</v>
      </c>
      <c r="L303" s="26" t="s">
        <v>284</v>
      </c>
      <c r="M303" s="31" t="s">
        <v>945</v>
      </c>
      <c r="N303" s="2"/>
      <c r="O303" s="2"/>
      <c r="P303" s="2"/>
      <c r="Q303" s="2"/>
      <c r="R303" s="2"/>
      <c r="S303" s="2"/>
      <c r="T303" s="2"/>
      <c r="U303" s="2"/>
      <c r="V303" s="2"/>
      <c r="W303" s="2"/>
      <c r="X303" s="2"/>
      <c r="Y303" s="2"/>
      <c r="Z303" s="2"/>
    </row>
    <row r="304" spans="1:26" ht="25.5" hidden="1" customHeight="1">
      <c r="A304" s="26">
        <v>141</v>
      </c>
      <c r="B304" s="27" t="s">
        <v>938</v>
      </c>
      <c r="C304" s="28">
        <v>42368</v>
      </c>
      <c r="D304" s="27"/>
      <c r="E304" s="27" t="s">
        <v>946</v>
      </c>
      <c r="F304" s="29" t="s">
        <v>947</v>
      </c>
      <c r="G304" s="27" t="s">
        <v>307</v>
      </c>
      <c r="H304" s="27" t="s">
        <v>19</v>
      </c>
      <c r="I304" s="27">
        <v>1</v>
      </c>
      <c r="J304" s="30">
        <v>95403547</v>
      </c>
      <c r="K304" s="26" t="s">
        <v>20</v>
      </c>
      <c r="L304" s="26" t="s">
        <v>284</v>
      </c>
      <c r="M304" s="31" t="s">
        <v>5323</v>
      </c>
      <c r="N304" s="2"/>
      <c r="O304" s="2"/>
      <c r="P304" s="2"/>
      <c r="Q304" s="2"/>
      <c r="R304" s="2"/>
      <c r="S304" s="2"/>
      <c r="T304" s="2"/>
      <c r="U304" s="2"/>
      <c r="V304" s="2"/>
      <c r="W304" s="2"/>
      <c r="X304" s="2"/>
      <c r="Y304" s="2"/>
      <c r="Z304" s="2"/>
    </row>
    <row r="305" spans="1:26" ht="25.5" hidden="1" customHeight="1">
      <c r="A305" s="26" t="s">
        <v>949</v>
      </c>
      <c r="B305" s="27"/>
      <c r="C305" s="28"/>
      <c r="D305" s="27"/>
      <c r="E305" s="27" t="s">
        <v>950</v>
      </c>
      <c r="F305" s="29" t="s">
        <v>951</v>
      </c>
      <c r="G305" s="27" t="s">
        <v>248</v>
      </c>
      <c r="H305" s="27" t="s">
        <v>249</v>
      </c>
      <c r="I305" s="27">
        <v>1</v>
      </c>
      <c r="J305" s="30">
        <v>0</v>
      </c>
      <c r="K305" s="26" t="s">
        <v>20</v>
      </c>
      <c r="L305" s="26" t="s">
        <v>284</v>
      </c>
      <c r="M305" s="31" t="s">
        <v>5191</v>
      </c>
      <c r="N305" s="2"/>
      <c r="O305" s="2"/>
      <c r="P305" s="2"/>
      <c r="Q305" s="2"/>
      <c r="R305" s="2"/>
      <c r="S305" s="2"/>
      <c r="T305" s="2"/>
      <c r="U305" s="2"/>
      <c r="V305" s="2"/>
      <c r="W305" s="2"/>
      <c r="X305" s="2"/>
      <c r="Y305" s="2"/>
      <c r="Z305" s="2"/>
    </row>
    <row r="306" spans="1:26" ht="25.5" hidden="1" customHeight="1">
      <c r="A306" s="26">
        <v>142</v>
      </c>
      <c r="B306" s="27" t="s">
        <v>953</v>
      </c>
      <c r="C306" s="28">
        <v>43256</v>
      </c>
      <c r="D306" s="27"/>
      <c r="E306" s="27" t="s">
        <v>954</v>
      </c>
      <c r="F306" s="29" t="s">
        <v>955</v>
      </c>
      <c r="G306" s="27" t="s">
        <v>307</v>
      </c>
      <c r="H306" s="27" t="s">
        <v>19</v>
      </c>
      <c r="I306" s="27">
        <v>1</v>
      </c>
      <c r="J306" s="30">
        <v>389452666</v>
      </c>
      <c r="K306" s="26" t="s">
        <v>20</v>
      </c>
      <c r="L306" s="26" t="s">
        <v>284</v>
      </c>
      <c r="M306" s="31" t="s">
        <v>5324</v>
      </c>
      <c r="N306" s="2"/>
      <c r="O306" s="2"/>
      <c r="P306" s="2"/>
      <c r="Q306" s="2"/>
      <c r="R306" s="2"/>
      <c r="S306" s="2"/>
      <c r="T306" s="2"/>
      <c r="U306" s="2"/>
      <c r="V306" s="2"/>
      <c r="W306" s="2"/>
      <c r="X306" s="2"/>
      <c r="Y306" s="2"/>
      <c r="Z306" s="2"/>
    </row>
    <row r="307" spans="1:26" ht="25.5" hidden="1" customHeight="1">
      <c r="A307" s="26" t="s">
        <v>957</v>
      </c>
      <c r="B307" s="27"/>
      <c r="C307" s="28"/>
      <c r="D307" s="27"/>
      <c r="E307" s="27" t="s">
        <v>958</v>
      </c>
      <c r="F307" s="29" t="s">
        <v>959</v>
      </c>
      <c r="G307" s="27" t="s">
        <v>248</v>
      </c>
      <c r="H307" s="27" t="s">
        <v>249</v>
      </c>
      <c r="I307" s="27">
        <v>1</v>
      </c>
      <c r="J307" s="30">
        <v>14892045</v>
      </c>
      <c r="K307" s="26" t="s">
        <v>20</v>
      </c>
      <c r="L307" s="26" t="s">
        <v>284</v>
      </c>
      <c r="M307" s="31" t="s">
        <v>5325</v>
      </c>
      <c r="N307" s="2"/>
      <c r="O307" s="2"/>
      <c r="P307" s="2"/>
      <c r="Q307" s="2"/>
      <c r="R307" s="2"/>
      <c r="S307" s="2"/>
      <c r="T307" s="2"/>
      <c r="U307" s="2"/>
      <c r="V307" s="2"/>
      <c r="W307" s="2"/>
      <c r="X307" s="2"/>
      <c r="Y307" s="2"/>
      <c r="Z307" s="2"/>
    </row>
    <row r="308" spans="1:26" ht="12.75" hidden="1" customHeight="1">
      <c r="A308" s="26" t="s">
        <v>961</v>
      </c>
      <c r="B308" s="27"/>
      <c r="C308" s="28"/>
      <c r="D308" s="27"/>
      <c r="E308" s="27" t="s">
        <v>962</v>
      </c>
      <c r="F308" s="29" t="s">
        <v>963</v>
      </c>
      <c r="G308" s="27" t="s">
        <v>55</v>
      </c>
      <c r="H308" s="27" t="s">
        <v>249</v>
      </c>
      <c r="I308" s="27">
        <v>1</v>
      </c>
      <c r="J308" s="30">
        <v>102395650</v>
      </c>
      <c r="K308" s="26" t="s">
        <v>20</v>
      </c>
      <c r="L308" s="26" t="s">
        <v>284</v>
      </c>
      <c r="M308" s="31" t="s">
        <v>5177</v>
      </c>
      <c r="N308" s="2"/>
      <c r="O308" s="2"/>
      <c r="P308" s="2"/>
      <c r="Q308" s="2"/>
      <c r="R308" s="2"/>
      <c r="S308" s="2"/>
      <c r="T308" s="2"/>
      <c r="U308" s="2"/>
      <c r="V308" s="2"/>
      <c r="W308" s="2"/>
      <c r="X308" s="2"/>
      <c r="Y308" s="2"/>
      <c r="Z308" s="2"/>
    </row>
    <row r="309" spans="1:26" ht="25.5" hidden="1" customHeight="1">
      <c r="A309" s="26">
        <v>143</v>
      </c>
      <c r="B309" s="27" t="s">
        <v>953</v>
      </c>
      <c r="C309" s="28">
        <v>43256</v>
      </c>
      <c r="D309" s="27"/>
      <c r="E309" s="27" t="s">
        <v>965</v>
      </c>
      <c r="F309" s="29" t="s">
        <v>966</v>
      </c>
      <c r="G309" s="27" t="s">
        <v>307</v>
      </c>
      <c r="H309" s="27" t="s">
        <v>19</v>
      </c>
      <c r="I309" s="27">
        <v>1</v>
      </c>
      <c r="J309" s="30">
        <v>389452666</v>
      </c>
      <c r="K309" s="26" t="s">
        <v>20</v>
      </c>
      <c r="L309" s="26" t="s">
        <v>284</v>
      </c>
      <c r="M309" s="31" t="s">
        <v>5326</v>
      </c>
      <c r="N309" s="2"/>
      <c r="O309" s="2"/>
      <c r="P309" s="2"/>
      <c r="Q309" s="2"/>
      <c r="R309" s="2"/>
      <c r="S309" s="2"/>
      <c r="T309" s="2"/>
      <c r="U309" s="2"/>
      <c r="V309" s="2"/>
      <c r="W309" s="2"/>
      <c r="X309" s="2"/>
      <c r="Y309" s="2"/>
      <c r="Z309" s="2"/>
    </row>
    <row r="310" spans="1:26" ht="12.75" hidden="1" customHeight="1">
      <c r="A310" s="26" t="s">
        <v>967</v>
      </c>
      <c r="B310" s="27"/>
      <c r="C310" s="28"/>
      <c r="D310" s="27"/>
      <c r="E310" s="27" t="s">
        <v>968</v>
      </c>
      <c r="F310" s="29" t="s">
        <v>969</v>
      </c>
      <c r="G310" s="27" t="s">
        <v>248</v>
      </c>
      <c r="H310" s="27" t="s">
        <v>249</v>
      </c>
      <c r="I310" s="27">
        <v>1</v>
      </c>
      <c r="J310" s="30">
        <v>14892045</v>
      </c>
      <c r="K310" s="26" t="s">
        <v>20</v>
      </c>
      <c r="L310" s="26" t="s">
        <v>284</v>
      </c>
      <c r="M310" s="31" t="s">
        <v>5327</v>
      </c>
      <c r="N310" s="2"/>
      <c r="O310" s="2"/>
      <c r="P310" s="2"/>
      <c r="Q310" s="2"/>
      <c r="R310" s="2"/>
      <c r="S310" s="2"/>
      <c r="T310" s="2"/>
      <c r="U310" s="2"/>
      <c r="V310" s="2"/>
      <c r="W310" s="2"/>
      <c r="X310" s="2"/>
      <c r="Y310" s="2"/>
      <c r="Z310" s="2"/>
    </row>
    <row r="311" spans="1:26" ht="12.75" hidden="1" customHeight="1">
      <c r="A311" s="26" t="s">
        <v>970</v>
      </c>
      <c r="B311" s="27"/>
      <c r="C311" s="28"/>
      <c r="D311" s="27"/>
      <c r="E311" s="27" t="s">
        <v>971</v>
      </c>
      <c r="F311" s="29" t="s">
        <v>972</v>
      </c>
      <c r="G311" s="27" t="s">
        <v>55</v>
      </c>
      <c r="H311" s="27" t="s">
        <v>249</v>
      </c>
      <c r="I311" s="27">
        <v>1</v>
      </c>
      <c r="J311" s="30">
        <v>102395650</v>
      </c>
      <c r="K311" s="26" t="s">
        <v>20</v>
      </c>
      <c r="L311" s="26" t="s">
        <v>284</v>
      </c>
      <c r="M311" s="31" t="s">
        <v>5328</v>
      </c>
      <c r="N311" s="2"/>
      <c r="O311" s="2"/>
      <c r="P311" s="2"/>
      <c r="Q311" s="2"/>
      <c r="R311" s="2"/>
      <c r="S311" s="2"/>
      <c r="T311" s="2"/>
      <c r="U311" s="2"/>
      <c r="V311" s="2"/>
      <c r="W311" s="2"/>
      <c r="X311" s="2"/>
      <c r="Y311" s="2"/>
      <c r="Z311" s="2"/>
    </row>
    <row r="312" spans="1:26" ht="76.5" hidden="1" customHeight="1">
      <c r="A312" s="26">
        <v>144</v>
      </c>
      <c r="B312" s="27" t="s">
        <v>973</v>
      </c>
      <c r="C312" s="28">
        <v>43799</v>
      </c>
      <c r="D312" s="27"/>
      <c r="E312" s="27" t="s">
        <v>974</v>
      </c>
      <c r="F312" s="29" t="s">
        <v>975</v>
      </c>
      <c r="G312" s="27" t="s">
        <v>976</v>
      </c>
      <c r="H312" s="27" t="s">
        <v>19</v>
      </c>
      <c r="I312" s="27">
        <v>1</v>
      </c>
      <c r="J312" s="30">
        <v>124760666</v>
      </c>
      <c r="K312" s="26" t="s">
        <v>20</v>
      </c>
      <c r="L312" s="26" t="s">
        <v>295</v>
      </c>
      <c r="M312" s="31" t="s">
        <v>977</v>
      </c>
      <c r="N312" s="2"/>
      <c r="O312" s="2"/>
      <c r="P312" s="2"/>
      <c r="Q312" s="2"/>
      <c r="R312" s="2"/>
      <c r="S312" s="2"/>
      <c r="T312" s="2"/>
      <c r="U312" s="2"/>
      <c r="V312" s="2"/>
      <c r="W312" s="2"/>
      <c r="X312" s="2"/>
      <c r="Y312" s="2"/>
      <c r="Z312" s="2"/>
    </row>
    <row r="313" spans="1:26" ht="25.5" hidden="1" customHeight="1">
      <c r="A313" s="26" t="s">
        <v>978</v>
      </c>
      <c r="B313" s="27"/>
      <c r="C313" s="28"/>
      <c r="D313" s="27"/>
      <c r="E313" s="27" t="s">
        <v>979</v>
      </c>
      <c r="F313" s="29" t="s">
        <v>980</v>
      </c>
      <c r="G313" s="27" t="s">
        <v>248</v>
      </c>
      <c r="H313" s="27" t="s">
        <v>249</v>
      </c>
      <c r="I313" s="27">
        <v>1</v>
      </c>
      <c r="J313" s="30">
        <v>9950237</v>
      </c>
      <c r="K313" s="26" t="s">
        <v>20</v>
      </c>
      <c r="L313" s="26" t="s">
        <v>295</v>
      </c>
      <c r="M313" s="31" t="s">
        <v>5329</v>
      </c>
      <c r="N313" s="2"/>
      <c r="O313" s="2"/>
      <c r="P313" s="2"/>
      <c r="Q313" s="2"/>
      <c r="R313" s="2"/>
      <c r="S313" s="2"/>
      <c r="T313" s="2"/>
      <c r="U313" s="2"/>
      <c r="V313" s="2"/>
      <c r="W313" s="2"/>
      <c r="X313" s="2"/>
      <c r="Y313" s="2"/>
      <c r="Z313" s="2"/>
    </row>
    <row r="314" spans="1:26" ht="25.5" hidden="1" customHeight="1">
      <c r="A314" s="26">
        <v>145</v>
      </c>
      <c r="B314" s="27" t="s">
        <v>973</v>
      </c>
      <c r="C314" s="28">
        <v>43799</v>
      </c>
      <c r="D314" s="27"/>
      <c r="E314" s="27" t="s">
        <v>982</v>
      </c>
      <c r="F314" s="29" t="s">
        <v>983</v>
      </c>
      <c r="G314" s="27" t="s">
        <v>976</v>
      </c>
      <c r="H314" s="27" t="s">
        <v>19</v>
      </c>
      <c r="I314" s="27">
        <v>1</v>
      </c>
      <c r="J314" s="30">
        <v>124377965</v>
      </c>
      <c r="K314" s="26" t="s">
        <v>20</v>
      </c>
      <c r="L314" s="26" t="s">
        <v>295</v>
      </c>
      <c r="M314" s="31" t="s">
        <v>984</v>
      </c>
      <c r="N314" s="2"/>
      <c r="O314" s="2"/>
      <c r="P314" s="2"/>
      <c r="Q314" s="2"/>
      <c r="R314" s="2"/>
      <c r="S314" s="2"/>
      <c r="T314" s="2"/>
      <c r="U314" s="2"/>
      <c r="V314" s="2"/>
      <c r="W314" s="2"/>
      <c r="X314" s="2"/>
      <c r="Y314" s="2"/>
      <c r="Z314" s="2"/>
    </row>
    <row r="315" spans="1:26" ht="25.5" hidden="1" customHeight="1">
      <c r="A315" s="26" t="s">
        <v>985</v>
      </c>
      <c r="B315" s="27"/>
      <c r="C315" s="28"/>
      <c r="D315" s="27"/>
      <c r="E315" s="27" t="s">
        <v>986</v>
      </c>
      <c r="F315" s="29" t="s">
        <v>987</v>
      </c>
      <c r="G315" s="27" t="s">
        <v>248</v>
      </c>
      <c r="H315" s="27" t="s">
        <v>249</v>
      </c>
      <c r="I315" s="27">
        <v>1</v>
      </c>
      <c r="J315" s="30">
        <v>9950237</v>
      </c>
      <c r="K315" s="26" t="s">
        <v>20</v>
      </c>
      <c r="L315" s="26" t="s">
        <v>295</v>
      </c>
      <c r="M315" s="31" t="s">
        <v>988</v>
      </c>
      <c r="N315" s="2"/>
      <c r="O315" s="2"/>
      <c r="P315" s="2"/>
      <c r="Q315" s="2"/>
      <c r="R315" s="2"/>
      <c r="S315" s="2"/>
      <c r="T315" s="2"/>
      <c r="U315" s="2"/>
      <c r="V315" s="2"/>
      <c r="W315" s="2"/>
      <c r="X315" s="2"/>
      <c r="Y315" s="2"/>
      <c r="Z315" s="2"/>
    </row>
    <row r="316" spans="1:26" ht="25.5" hidden="1" customHeight="1">
      <c r="A316" s="26" t="s">
        <v>989</v>
      </c>
      <c r="B316" s="27" t="s">
        <v>973</v>
      </c>
      <c r="C316" s="28">
        <v>43799</v>
      </c>
      <c r="D316" s="27"/>
      <c r="E316" s="27" t="s">
        <v>990</v>
      </c>
      <c r="F316" s="29" t="s">
        <v>991</v>
      </c>
      <c r="G316" s="27" t="s">
        <v>976</v>
      </c>
      <c r="H316" s="27" t="s">
        <v>19</v>
      </c>
      <c r="I316" s="27">
        <v>1</v>
      </c>
      <c r="J316" s="30">
        <v>831737785</v>
      </c>
      <c r="K316" s="26" t="s">
        <v>20</v>
      </c>
      <c r="L316" s="26" t="s">
        <v>295</v>
      </c>
      <c r="M316" s="31" t="s">
        <v>992</v>
      </c>
      <c r="N316" s="2"/>
      <c r="O316" s="2"/>
      <c r="P316" s="2"/>
      <c r="Q316" s="2"/>
      <c r="R316" s="2"/>
      <c r="S316" s="2"/>
      <c r="T316" s="2"/>
      <c r="U316" s="2"/>
      <c r="V316" s="2"/>
      <c r="W316" s="2"/>
      <c r="X316" s="2"/>
      <c r="Y316" s="2"/>
      <c r="Z316" s="2"/>
    </row>
    <row r="317" spans="1:26" ht="12.75" hidden="1" customHeight="1">
      <c r="A317" s="26" t="s">
        <v>993</v>
      </c>
      <c r="B317" s="27"/>
      <c r="C317" s="28"/>
      <c r="D317" s="27"/>
      <c r="E317" s="27" t="s">
        <v>994</v>
      </c>
      <c r="F317" s="29" t="s">
        <v>995</v>
      </c>
      <c r="G317" s="27" t="s">
        <v>248</v>
      </c>
      <c r="H317" s="27" t="s">
        <v>249</v>
      </c>
      <c r="I317" s="27">
        <v>1</v>
      </c>
      <c r="J317" s="30">
        <v>9950237</v>
      </c>
      <c r="K317" s="26" t="s">
        <v>20</v>
      </c>
      <c r="L317" s="26" t="s">
        <v>295</v>
      </c>
      <c r="M317" s="31" t="s">
        <v>5330</v>
      </c>
      <c r="N317" s="2"/>
      <c r="O317" s="2"/>
      <c r="P317" s="2"/>
      <c r="Q317" s="2"/>
      <c r="R317" s="2"/>
      <c r="S317" s="2"/>
      <c r="T317" s="2"/>
      <c r="U317" s="2"/>
      <c r="V317" s="2"/>
      <c r="W317" s="2"/>
      <c r="X317" s="2"/>
      <c r="Y317" s="2"/>
      <c r="Z317" s="2"/>
    </row>
    <row r="318" spans="1:26" ht="12.75" hidden="1" customHeight="1">
      <c r="A318" s="26" t="s">
        <v>997</v>
      </c>
      <c r="B318" s="27"/>
      <c r="C318" s="28"/>
      <c r="D318" s="27"/>
      <c r="E318" s="27" t="s">
        <v>998</v>
      </c>
      <c r="F318" s="29" t="s">
        <v>999</v>
      </c>
      <c r="G318" s="27" t="s">
        <v>248</v>
      </c>
      <c r="H318" s="27" t="s">
        <v>249</v>
      </c>
      <c r="I318" s="27">
        <v>1</v>
      </c>
      <c r="J318" s="30">
        <v>9950237</v>
      </c>
      <c r="K318" s="26" t="s">
        <v>20</v>
      </c>
      <c r="L318" s="26" t="s">
        <v>295</v>
      </c>
      <c r="M318" s="31" t="s">
        <v>1000</v>
      </c>
      <c r="N318" s="2"/>
      <c r="O318" s="2"/>
      <c r="P318" s="2"/>
      <c r="Q318" s="2"/>
      <c r="R318" s="2"/>
      <c r="S318" s="2"/>
      <c r="T318" s="2"/>
      <c r="U318" s="2"/>
      <c r="V318" s="2"/>
      <c r="W318" s="2"/>
      <c r="X318" s="2"/>
      <c r="Y318" s="2"/>
      <c r="Z318" s="2"/>
    </row>
    <row r="319" spans="1:26" ht="12.75" hidden="1" customHeight="1">
      <c r="A319" s="26">
        <v>147</v>
      </c>
      <c r="B319" s="27" t="s">
        <v>893</v>
      </c>
      <c r="C319" s="28">
        <v>40715</v>
      </c>
      <c r="D319" s="27"/>
      <c r="E319" s="27" t="s">
        <v>1001</v>
      </c>
      <c r="F319" s="29" t="s">
        <v>1002</v>
      </c>
      <c r="G319" s="27" t="s">
        <v>248</v>
      </c>
      <c r="H319" s="27" t="s">
        <v>19</v>
      </c>
      <c r="I319" s="27">
        <v>1</v>
      </c>
      <c r="J319" s="30">
        <v>30650000</v>
      </c>
      <c r="K319" s="26"/>
      <c r="L319" s="26" t="s">
        <v>1003</v>
      </c>
      <c r="M319" s="31" t="s">
        <v>1004</v>
      </c>
      <c r="N319" s="2"/>
      <c r="O319" s="2"/>
      <c r="P319" s="2"/>
      <c r="Q319" s="2"/>
      <c r="R319" s="2"/>
      <c r="S319" s="2"/>
      <c r="T319" s="2"/>
      <c r="U319" s="2"/>
      <c r="V319" s="2"/>
      <c r="W319" s="2"/>
      <c r="X319" s="2"/>
      <c r="Y319" s="2"/>
      <c r="Z319" s="2"/>
    </row>
    <row r="320" spans="1:26" ht="25.5" hidden="1" customHeight="1">
      <c r="A320" s="26">
        <v>148</v>
      </c>
      <c r="B320" s="27" t="s">
        <v>1005</v>
      </c>
      <c r="C320" s="28">
        <v>39994</v>
      </c>
      <c r="D320" s="27"/>
      <c r="E320" s="27" t="s">
        <v>1006</v>
      </c>
      <c r="F320" s="29" t="s">
        <v>1007</v>
      </c>
      <c r="G320" s="27" t="s">
        <v>1008</v>
      </c>
      <c r="H320" s="27" t="s">
        <v>569</v>
      </c>
      <c r="I320" s="27">
        <v>1</v>
      </c>
      <c r="J320" s="30">
        <v>103874900</v>
      </c>
      <c r="K320" s="26" t="s">
        <v>206</v>
      </c>
      <c r="L320" s="26" t="s">
        <v>841</v>
      </c>
      <c r="M320" s="31" t="s">
        <v>1009</v>
      </c>
      <c r="N320" s="2"/>
      <c r="O320" s="2"/>
      <c r="P320" s="2"/>
      <c r="Q320" s="2"/>
      <c r="R320" s="2"/>
      <c r="S320" s="2"/>
      <c r="T320" s="2"/>
      <c r="U320" s="2"/>
      <c r="V320" s="2"/>
      <c r="W320" s="2"/>
      <c r="X320" s="2"/>
      <c r="Y320" s="2"/>
      <c r="Z320" s="2"/>
    </row>
    <row r="321" spans="1:26" ht="25.5" hidden="1" customHeight="1">
      <c r="A321" s="26">
        <v>149</v>
      </c>
      <c r="B321" s="27" t="s">
        <v>1005</v>
      </c>
      <c r="C321" s="28">
        <v>39994</v>
      </c>
      <c r="D321" s="27"/>
      <c r="E321" s="27" t="s">
        <v>1010</v>
      </c>
      <c r="F321" s="29" t="s">
        <v>1011</v>
      </c>
      <c r="G321" s="27" t="s">
        <v>1008</v>
      </c>
      <c r="H321" s="27" t="s">
        <v>569</v>
      </c>
      <c r="I321" s="27">
        <v>1</v>
      </c>
      <c r="J321" s="30">
        <v>103874900</v>
      </c>
      <c r="K321" s="26" t="s">
        <v>206</v>
      </c>
      <c r="L321" s="26" t="s">
        <v>841</v>
      </c>
      <c r="M321" s="31" t="s">
        <v>1009</v>
      </c>
      <c r="N321" s="2"/>
      <c r="O321" s="2"/>
      <c r="P321" s="2"/>
      <c r="Q321" s="2"/>
      <c r="R321" s="2"/>
      <c r="S321" s="2"/>
      <c r="T321" s="2"/>
      <c r="U321" s="2"/>
      <c r="V321" s="2"/>
      <c r="W321" s="2"/>
      <c r="X321" s="2"/>
      <c r="Y321" s="2"/>
      <c r="Z321" s="2"/>
    </row>
    <row r="322" spans="1:26" ht="25.5" hidden="1" customHeight="1">
      <c r="A322" s="26">
        <v>150</v>
      </c>
      <c r="B322" s="27" t="s">
        <v>212</v>
      </c>
      <c r="C322" s="28">
        <v>41512</v>
      </c>
      <c r="D322" s="27"/>
      <c r="E322" s="27" t="s">
        <v>1012</v>
      </c>
      <c r="F322" s="29" t="s">
        <v>1013</v>
      </c>
      <c r="G322" s="27" t="s">
        <v>338</v>
      </c>
      <c r="H322" s="27" t="s">
        <v>249</v>
      </c>
      <c r="I322" s="27">
        <v>1</v>
      </c>
      <c r="J322" s="30">
        <v>59321536</v>
      </c>
      <c r="K322" s="26" t="s">
        <v>36</v>
      </c>
      <c r="L322" s="26" t="s">
        <v>56</v>
      </c>
      <c r="M322" s="31" t="s">
        <v>161</v>
      </c>
      <c r="N322" s="2"/>
      <c r="O322" s="2"/>
      <c r="P322" s="2"/>
      <c r="Q322" s="2"/>
      <c r="R322" s="2"/>
      <c r="S322" s="2"/>
      <c r="T322" s="2"/>
      <c r="U322" s="2"/>
      <c r="V322" s="2"/>
      <c r="W322" s="2"/>
      <c r="X322" s="2"/>
      <c r="Y322" s="2"/>
      <c r="Z322" s="2"/>
    </row>
    <row r="323" spans="1:26" ht="25.5" hidden="1" customHeight="1">
      <c r="A323" s="26">
        <v>151</v>
      </c>
      <c r="B323" s="27" t="s">
        <v>212</v>
      </c>
      <c r="C323" s="28">
        <v>41512</v>
      </c>
      <c r="D323" s="27"/>
      <c r="E323" s="27" t="s">
        <v>1014</v>
      </c>
      <c r="F323" s="29" t="s">
        <v>1015</v>
      </c>
      <c r="G323" s="27" t="s">
        <v>338</v>
      </c>
      <c r="H323" s="27" t="s">
        <v>249</v>
      </c>
      <c r="I323" s="27">
        <v>1</v>
      </c>
      <c r="J323" s="30">
        <v>59321536</v>
      </c>
      <c r="K323" s="26" t="s">
        <v>36</v>
      </c>
      <c r="L323" s="26" t="s">
        <v>56</v>
      </c>
      <c r="M323" s="31" t="s">
        <v>161</v>
      </c>
      <c r="N323" s="2"/>
      <c r="O323" s="2"/>
      <c r="P323" s="2"/>
      <c r="Q323" s="2"/>
      <c r="R323" s="2"/>
      <c r="S323" s="2"/>
      <c r="T323" s="2"/>
      <c r="U323" s="2"/>
      <c r="V323" s="2"/>
      <c r="W323" s="2"/>
      <c r="X323" s="2"/>
      <c r="Y323" s="2"/>
      <c r="Z323" s="2"/>
    </row>
    <row r="324" spans="1:26" ht="12.75" hidden="1" customHeight="1">
      <c r="A324" s="26">
        <v>152</v>
      </c>
      <c r="B324" s="27" t="s">
        <v>599</v>
      </c>
      <c r="C324" s="28">
        <v>42671</v>
      </c>
      <c r="D324" s="27"/>
      <c r="E324" s="27" t="s">
        <v>1016</v>
      </c>
      <c r="F324" s="29" t="s">
        <v>1017</v>
      </c>
      <c r="G324" s="27" t="s">
        <v>307</v>
      </c>
      <c r="H324" s="27" t="s">
        <v>19</v>
      </c>
      <c r="I324" s="27">
        <v>1</v>
      </c>
      <c r="J324" s="30">
        <v>217139027</v>
      </c>
      <c r="K324" s="26" t="s">
        <v>36</v>
      </c>
      <c r="L324" s="26" t="s">
        <v>141</v>
      </c>
      <c r="M324" s="31" t="s">
        <v>1018</v>
      </c>
      <c r="N324" s="2"/>
      <c r="O324" s="2"/>
      <c r="P324" s="2"/>
      <c r="Q324" s="2"/>
      <c r="R324" s="2"/>
      <c r="S324" s="2"/>
      <c r="T324" s="2"/>
      <c r="U324" s="2"/>
      <c r="V324" s="2"/>
      <c r="W324" s="2"/>
      <c r="X324" s="2"/>
      <c r="Y324" s="2"/>
      <c r="Z324" s="2"/>
    </row>
    <row r="325" spans="1:26" ht="12.75" hidden="1" customHeight="1">
      <c r="A325" s="26">
        <v>153</v>
      </c>
      <c r="B325" s="27" t="s">
        <v>599</v>
      </c>
      <c r="C325" s="28">
        <v>42671</v>
      </c>
      <c r="D325" s="27"/>
      <c r="E325" s="27" t="s">
        <v>1019</v>
      </c>
      <c r="F325" s="29" t="s">
        <v>1020</v>
      </c>
      <c r="G325" s="27" t="s">
        <v>307</v>
      </c>
      <c r="H325" s="27" t="s">
        <v>19</v>
      </c>
      <c r="I325" s="27">
        <v>1</v>
      </c>
      <c r="J325" s="30">
        <v>217139027</v>
      </c>
      <c r="K325" s="26" t="s">
        <v>36</v>
      </c>
      <c r="L325" s="26" t="s">
        <v>141</v>
      </c>
      <c r="M325" s="31" t="s">
        <v>1021</v>
      </c>
      <c r="N325" s="2"/>
      <c r="O325" s="2"/>
      <c r="P325" s="2"/>
      <c r="Q325" s="2"/>
      <c r="R325" s="2"/>
      <c r="S325" s="2"/>
      <c r="T325" s="2"/>
      <c r="U325" s="2"/>
      <c r="V325" s="2"/>
      <c r="W325" s="2"/>
      <c r="X325" s="2"/>
      <c r="Y325" s="2"/>
      <c r="Z325" s="2"/>
    </row>
    <row r="326" spans="1:26" ht="12.75" hidden="1" customHeight="1">
      <c r="A326" s="26">
        <v>154</v>
      </c>
      <c r="B326" s="27" t="s">
        <v>599</v>
      </c>
      <c r="C326" s="28">
        <v>42671</v>
      </c>
      <c r="D326" s="27"/>
      <c r="E326" s="27" t="s">
        <v>1022</v>
      </c>
      <c r="F326" s="29" t="s">
        <v>1023</v>
      </c>
      <c r="G326" s="27" t="s">
        <v>307</v>
      </c>
      <c r="H326" s="27" t="s">
        <v>19</v>
      </c>
      <c r="I326" s="27">
        <v>1</v>
      </c>
      <c r="J326" s="30">
        <v>253823533</v>
      </c>
      <c r="K326" s="26" t="s">
        <v>36</v>
      </c>
      <c r="L326" s="26" t="s">
        <v>141</v>
      </c>
      <c r="M326" s="31" t="s">
        <v>1024</v>
      </c>
      <c r="N326" s="2"/>
      <c r="O326" s="2"/>
      <c r="P326" s="2"/>
      <c r="Q326" s="2"/>
      <c r="R326" s="2"/>
      <c r="S326" s="2"/>
      <c r="T326" s="2"/>
      <c r="U326" s="2"/>
      <c r="V326" s="2"/>
      <c r="W326" s="2"/>
      <c r="X326" s="2"/>
      <c r="Y326" s="2"/>
      <c r="Z326" s="2"/>
    </row>
    <row r="327" spans="1:26" ht="12.75" hidden="1" customHeight="1">
      <c r="A327" s="26">
        <v>155</v>
      </c>
      <c r="B327" s="27" t="s">
        <v>599</v>
      </c>
      <c r="C327" s="28">
        <v>42671</v>
      </c>
      <c r="D327" s="27"/>
      <c r="E327" s="27" t="s">
        <v>1025</v>
      </c>
      <c r="F327" s="29" t="s">
        <v>1026</v>
      </c>
      <c r="G327" s="27" t="s">
        <v>307</v>
      </c>
      <c r="H327" s="27" t="s">
        <v>19</v>
      </c>
      <c r="I327" s="27">
        <v>1</v>
      </c>
      <c r="J327" s="30">
        <v>253823533</v>
      </c>
      <c r="K327" s="26" t="s">
        <v>36</v>
      </c>
      <c r="L327" s="26" t="s">
        <v>141</v>
      </c>
      <c r="M327" s="31" t="s">
        <v>1027</v>
      </c>
      <c r="N327" s="2"/>
      <c r="O327" s="2"/>
      <c r="P327" s="2"/>
      <c r="Q327" s="2"/>
      <c r="R327" s="2"/>
      <c r="S327" s="2"/>
      <c r="T327" s="2"/>
      <c r="U327" s="2"/>
      <c r="V327" s="2"/>
      <c r="W327" s="2"/>
      <c r="X327" s="2"/>
      <c r="Y327" s="2"/>
      <c r="Z327" s="2"/>
    </row>
    <row r="328" spans="1:26" ht="12.75" hidden="1" customHeight="1">
      <c r="A328" s="26">
        <v>156</v>
      </c>
      <c r="B328" s="27" t="s">
        <v>599</v>
      </c>
      <c r="C328" s="28">
        <v>42671</v>
      </c>
      <c r="D328" s="27"/>
      <c r="E328" s="27" t="s">
        <v>1028</v>
      </c>
      <c r="F328" s="29" t="s">
        <v>1029</v>
      </c>
      <c r="G328" s="27" t="s">
        <v>307</v>
      </c>
      <c r="H328" s="27" t="s">
        <v>19</v>
      </c>
      <c r="I328" s="27">
        <v>1</v>
      </c>
      <c r="J328" s="30">
        <v>194819653</v>
      </c>
      <c r="K328" s="26" t="s">
        <v>36</v>
      </c>
      <c r="L328" s="26" t="s">
        <v>141</v>
      </c>
      <c r="M328" s="31" t="s">
        <v>1030</v>
      </c>
      <c r="N328" s="2"/>
      <c r="O328" s="2"/>
      <c r="P328" s="2"/>
      <c r="Q328" s="2"/>
      <c r="R328" s="2"/>
      <c r="S328" s="2"/>
      <c r="T328" s="2"/>
      <c r="U328" s="2"/>
      <c r="V328" s="2"/>
      <c r="W328" s="2"/>
      <c r="X328" s="2"/>
      <c r="Y328" s="2"/>
      <c r="Z328" s="2"/>
    </row>
    <row r="329" spans="1:26" ht="12.75" hidden="1" customHeight="1">
      <c r="A329" s="26">
        <v>157</v>
      </c>
      <c r="B329" s="27" t="s">
        <v>599</v>
      </c>
      <c r="C329" s="28">
        <v>42671</v>
      </c>
      <c r="D329" s="27"/>
      <c r="E329" s="27" t="s">
        <v>1031</v>
      </c>
      <c r="F329" s="29" t="s">
        <v>1032</v>
      </c>
      <c r="G329" s="27" t="s">
        <v>307</v>
      </c>
      <c r="H329" s="27" t="s">
        <v>19</v>
      </c>
      <c r="I329" s="27">
        <v>1</v>
      </c>
      <c r="J329" s="30">
        <v>194819653</v>
      </c>
      <c r="K329" s="26" t="s">
        <v>36</v>
      </c>
      <c r="L329" s="26" t="s">
        <v>141</v>
      </c>
      <c r="M329" s="31" t="s">
        <v>1033</v>
      </c>
      <c r="N329" s="2"/>
      <c r="O329" s="2"/>
      <c r="P329" s="2"/>
      <c r="Q329" s="2"/>
      <c r="R329" s="2"/>
      <c r="S329" s="2"/>
      <c r="T329" s="2"/>
      <c r="U329" s="2"/>
      <c r="V329" s="2"/>
      <c r="W329" s="2"/>
      <c r="X329" s="2"/>
      <c r="Y329" s="2"/>
      <c r="Z329" s="2"/>
    </row>
    <row r="330" spans="1:26" ht="12.75" hidden="1" customHeight="1">
      <c r="A330" s="26">
        <v>158</v>
      </c>
      <c r="B330" s="27" t="s">
        <v>599</v>
      </c>
      <c r="C330" s="28">
        <v>42671</v>
      </c>
      <c r="D330" s="27"/>
      <c r="E330" s="27" t="s">
        <v>1034</v>
      </c>
      <c r="F330" s="29" t="s">
        <v>1035</v>
      </c>
      <c r="G330" s="27" t="s">
        <v>307</v>
      </c>
      <c r="H330" s="27" t="s">
        <v>19</v>
      </c>
      <c r="I330" s="27">
        <v>1</v>
      </c>
      <c r="J330" s="30">
        <v>194819653</v>
      </c>
      <c r="K330" s="26" t="s">
        <v>36</v>
      </c>
      <c r="L330" s="26" t="s">
        <v>141</v>
      </c>
      <c r="M330" s="31" t="s">
        <v>1036</v>
      </c>
      <c r="N330" s="2"/>
      <c r="O330" s="2"/>
      <c r="P330" s="2"/>
      <c r="Q330" s="2"/>
      <c r="R330" s="2"/>
      <c r="S330" s="2"/>
      <c r="T330" s="2"/>
      <c r="U330" s="2"/>
      <c r="V330" s="2"/>
      <c r="W330" s="2"/>
      <c r="X330" s="2"/>
      <c r="Y330" s="2"/>
      <c r="Z330" s="2"/>
    </row>
    <row r="331" spans="1:26" ht="38.25" hidden="1" customHeight="1">
      <c r="A331" s="26">
        <v>159</v>
      </c>
      <c r="B331" s="27" t="s">
        <v>1037</v>
      </c>
      <c r="C331" s="28">
        <v>43799</v>
      </c>
      <c r="D331" s="27"/>
      <c r="E331" s="27" t="s">
        <v>1038</v>
      </c>
      <c r="F331" s="29" t="s">
        <v>1039</v>
      </c>
      <c r="G331" s="27" t="s">
        <v>55</v>
      </c>
      <c r="H331" s="27" t="s">
        <v>249</v>
      </c>
      <c r="I331" s="27">
        <v>1</v>
      </c>
      <c r="J331" s="30">
        <v>2095302472</v>
      </c>
      <c r="K331" s="59" t="s">
        <v>206</v>
      </c>
      <c r="L331" s="59" t="s">
        <v>1040</v>
      </c>
      <c r="M331" s="31" t="s">
        <v>1041</v>
      </c>
      <c r="N331" s="2"/>
      <c r="O331" s="2"/>
      <c r="P331" s="2"/>
      <c r="Q331" s="2"/>
      <c r="R331" s="2"/>
      <c r="S331" s="2"/>
      <c r="T331" s="2"/>
      <c r="U331" s="2"/>
      <c r="V331" s="2"/>
      <c r="W331" s="2"/>
      <c r="X331" s="2"/>
      <c r="Y331" s="2"/>
      <c r="Z331" s="2"/>
    </row>
    <row r="332" spans="1:26" ht="38.25" hidden="1" customHeight="1">
      <c r="A332" s="26">
        <v>160</v>
      </c>
      <c r="B332" s="27" t="s">
        <v>1037</v>
      </c>
      <c r="C332" s="28">
        <v>43799</v>
      </c>
      <c r="D332" s="27"/>
      <c r="E332" s="27" t="s">
        <v>1042</v>
      </c>
      <c r="F332" s="29" t="s">
        <v>1043</v>
      </c>
      <c r="G332" s="27" t="s">
        <v>55</v>
      </c>
      <c r="H332" s="27" t="s">
        <v>249</v>
      </c>
      <c r="I332" s="27">
        <v>1</v>
      </c>
      <c r="J332" s="30">
        <v>2095302472</v>
      </c>
      <c r="K332" s="59" t="s">
        <v>206</v>
      </c>
      <c r="L332" s="59" t="s">
        <v>1040</v>
      </c>
      <c r="M332" s="31" t="s">
        <v>1041</v>
      </c>
      <c r="N332" s="2"/>
      <c r="O332" s="2"/>
      <c r="P332" s="2"/>
      <c r="Q332" s="2"/>
      <c r="R332" s="2"/>
      <c r="S332" s="2"/>
      <c r="T332" s="2"/>
      <c r="U332" s="2"/>
      <c r="V332" s="2"/>
      <c r="W332" s="2"/>
      <c r="X332" s="2"/>
      <c r="Y332" s="2"/>
      <c r="Z332" s="2"/>
    </row>
    <row r="333" spans="1:26" ht="51" hidden="1" customHeight="1">
      <c r="A333" s="26">
        <v>161</v>
      </c>
      <c r="B333" s="27" t="s">
        <v>1037</v>
      </c>
      <c r="C333" s="28">
        <v>43799</v>
      </c>
      <c r="D333" s="27"/>
      <c r="E333" s="27" t="s">
        <v>1044</v>
      </c>
      <c r="F333" s="29" t="s">
        <v>1045</v>
      </c>
      <c r="G333" s="27"/>
      <c r="H333" s="27"/>
      <c r="I333" s="27">
        <v>1</v>
      </c>
      <c r="J333" s="30">
        <v>1113818683</v>
      </c>
      <c r="K333" s="59" t="s">
        <v>206</v>
      </c>
      <c r="L333" s="59" t="s">
        <v>1040</v>
      </c>
      <c r="M333" s="31" t="s">
        <v>1041</v>
      </c>
      <c r="N333" s="2"/>
      <c r="O333" s="2"/>
      <c r="P333" s="2"/>
      <c r="Q333" s="2"/>
      <c r="R333" s="2"/>
      <c r="S333" s="2"/>
      <c r="T333" s="2"/>
      <c r="U333" s="2"/>
      <c r="V333" s="2"/>
      <c r="W333" s="2"/>
      <c r="X333" s="2"/>
      <c r="Y333" s="2"/>
      <c r="Z333" s="2"/>
    </row>
    <row r="334" spans="1:26" ht="25.5" hidden="1" customHeight="1">
      <c r="A334" s="26">
        <v>162</v>
      </c>
      <c r="B334" s="27" t="s">
        <v>1037</v>
      </c>
      <c r="C334" s="28">
        <v>43799</v>
      </c>
      <c r="D334" s="27"/>
      <c r="E334" s="27" t="s">
        <v>1046</v>
      </c>
      <c r="F334" s="29" t="s">
        <v>1047</v>
      </c>
      <c r="G334" s="27"/>
      <c r="H334" s="27" t="s">
        <v>19</v>
      </c>
      <c r="I334" s="27">
        <v>1</v>
      </c>
      <c r="J334" s="30">
        <v>524928409</v>
      </c>
      <c r="K334" s="26" t="s">
        <v>20</v>
      </c>
      <c r="L334" s="26" t="s">
        <v>295</v>
      </c>
      <c r="M334" s="31" t="s">
        <v>1048</v>
      </c>
      <c r="N334" s="2"/>
      <c r="O334" s="2"/>
      <c r="P334" s="2"/>
      <c r="Q334" s="2"/>
      <c r="R334" s="2"/>
      <c r="S334" s="2"/>
      <c r="T334" s="2"/>
      <c r="U334" s="2"/>
      <c r="V334" s="2"/>
      <c r="W334" s="2"/>
      <c r="X334" s="2"/>
      <c r="Y334" s="2"/>
      <c r="Z334" s="2"/>
    </row>
    <row r="335" spans="1:26" ht="63.75" hidden="1" customHeight="1">
      <c r="A335" s="26">
        <v>163</v>
      </c>
      <c r="B335" s="27" t="s">
        <v>973</v>
      </c>
      <c r="C335" s="28">
        <v>43799</v>
      </c>
      <c r="D335" s="27"/>
      <c r="E335" s="27" t="s">
        <v>1049</v>
      </c>
      <c r="F335" s="29" t="s">
        <v>1050</v>
      </c>
      <c r="G335" s="27" t="s">
        <v>976</v>
      </c>
      <c r="H335" s="27" t="s">
        <v>19</v>
      </c>
      <c r="I335" s="27">
        <v>1</v>
      </c>
      <c r="J335" s="30">
        <v>265339662</v>
      </c>
      <c r="K335" s="26" t="s">
        <v>20</v>
      </c>
      <c r="L335" s="26" t="s">
        <v>295</v>
      </c>
      <c r="M335" s="31" t="s">
        <v>1051</v>
      </c>
      <c r="N335" s="2"/>
      <c r="O335" s="2"/>
      <c r="P335" s="2"/>
      <c r="Q335" s="2"/>
      <c r="R335" s="2"/>
      <c r="S335" s="2"/>
      <c r="T335" s="2"/>
      <c r="U335" s="2"/>
      <c r="V335" s="2"/>
      <c r="W335" s="2"/>
      <c r="X335" s="2"/>
      <c r="Y335" s="2"/>
      <c r="Z335" s="2"/>
    </row>
    <row r="336" spans="1:26" ht="63.75" hidden="1" customHeight="1">
      <c r="A336" s="26">
        <v>164</v>
      </c>
      <c r="B336" s="27" t="s">
        <v>973</v>
      </c>
      <c r="C336" s="28">
        <v>43799</v>
      </c>
      <c r="D336" s="27"/>
      <c r="E336" s="27" t="s">
        <v>1052</v>
      </c>
      <c r="F336" s="29" t="s">
        <v>1053</v>
      </c>
      <c r="G336" s="27" t="s">
        <v>976</v>
      </c>
      <c r="H336" s="27" t="s">
        <v>19</v>
      </c>
      <c r="I336" s="27">
        <v>1</v>
      </c>
      <c r="J336" s="30">
        <v>261512647</v>
      </c>
      <c r="K336" s="26" t="s">
        <v>20</v>
      </c>
      <c r="L336" s="26" t="s">
        <v>295</v>
      </c>
      <c r="M336" s="31" t="s">
        <v>1054</v>
      </c>
      <c r="N336" s="2"/>
      <c r="O336" s="2"/>
      <c r="P336" s="2"/>
      <c r="Q336" s="2"/>
      <c r="R336" s="2"/>
      <c r="S336" s="2"/>
      <c r="T336" s="2"/>
      <c r="U336" s="2"/>
      <c r="V336" s="2"/>
      <c r="W336" s="2"/>
      <c r="X336" s="2"/>
      <c r="Y336" s="2"/>
      <c r="Z336" s="2"/>
    </row>
    <row r="337" spans="1:26" ht="25.5" hidden="1" customHeight="1">
      <c r="A337" s="26">
        <v>165</v>
      </c>
      <c r="B337" s="27" t="s">
        <v>973</v>
      </c>
      <c r="C337" s="28">
        <v>43799</v>
      </c>
      <c r="D337" s="27"/>
      <c r="E337" s="27" t="s">
        <v>1055</v>
      </c>
      <c r="F337" s="29" t="s">
        <v>1056</v>
      </c>
      <c r="G337" s="27" t="s">
        <v>976</v>
      </c>
      <c r="H337" s="27" t="s">
        <v>19</v>
      </c>
      <c r="I337" s="27">
        <v>1</v>
      </c>
      <c r="J337" s="30">
        <v>437938009</v>
      </c>
      <c r="K337" s="26" t="s">
        <v>20</v>
      </c>
      <c r="L337" s="26" t="s">
        <v>295</v>
      </c>
      <c r="M337" s="31" t="s">
        <v>1057</v>
      </c>
      <c r="N337" s="2"/>
      <c r="O337" s="2"/>
      <c r="P337" s="2"/>
      <c r="Q337" s="2"/>
      <c r="R337" s="2"/>
      <c r="S337" s="2"/>
      <c r="T337" s="2"/>
      <c r="U337" s="2"/>
      <c r="V337" s="2"/>
      <c r="W337" s="2"/>
      <c r="X337" s="2"/>
      <c r="Y337" s="2"/>
      <c r="Z337" s="2"/>
    </row>
    <row r="338" spans="1:26" ht="25.5" hidden="1" customHeight="1">
      <c r="A338" s="26">
        <v>166</v>
      </c>
      <c r="B338" s="27" t="s">
        <v>973</v>
      </c>
      <c r="C338" s="28">
        <v>43799</v>
      </c>
      <c r="D338" s="27"/>
      <c r="E338" s="27" t="s">
        <v>1058</v>
      </c>
      <c r="F338" s="29" t="s">
        <v>1059</v>
      </c>
      <c r="G338" s="27" t="s">
        <v>976</v>
      </c>
      <c r="H338" s="27" t="s">
        <v>19</v>
      </c>
      <c r="I338" s="27">
        <v>1</v>
      </c>
      <c r="J338" s="30">
        <v>437938009</v>
      </c>
      <c r="K338" s="26" t="s">
        <v>20</v>
      </c>
      <c r="L338" s="26" t="s">
        <v>295</v>
      </c>
      <c r="M338" s="31" t="s">
        <v>1060</v>
      </c>
      <c r="N338" s="2"/>
      <c r="O338" s="2"/>
      <c r="P338" s="2"/>
      <c r="Q338" s="2"/>
      <c r="R338" s="2"/>
      <c r="S338" s="2"/>
      <c r="T338" s="2"/>
      <c r="U338" s="2"/>
      <c r="V338" s="2"/>
      <c r="W338" s="2"/>
      <c r="X338" s="2"/>
      <c r="Y338" s="2"/>
      <c r="Z338" s="2"/>
    </row>
    <row r="339" spans="1:26" ht="25.5" hidden="1" customHeight="1">
      <c r="A339" s="26">
        <v>167</v>
      </c>
      <c r="B339" s="27" t="s">
        <v>973</v>
      </c>
      <c r="C339" s="28">
        <v>43799</v>
      </c>
      <c r="D339" s="27"/>
      <c r="E339" s="27" t="s">
        <v>1061</v>
      </c>
      <c r="F339" s="29" t="s">
        <v>1062</v>
      </c>
      <c r="G339" s="27" t="s">
        <v>976</v>
      </c>
      <c r="H339" s="27" t="s">
        <v>249</v>
      </c>
      <c r="I339" s="27">
        <v>1</v>
      </c>
      <c r="J339" s="30">
        <v>106773700</v>
      </c>
      <c r="K339" s="26" t="s">
        <v>20</v>
      </c>
      <c r="L339" s="26" t="s">
        <v>295</v>
      </c>
      <c r="M339" s="31" t="s">
        <v>1063</v>
      </c>
      <c r="N339" s="2"/>
      <c r="O339" s="2"/>
      <c r="P339" s="2"/>
      <c r="Q339" s="2"/>
      <c r="R339" s="2"/>
      <c r="S339" s="2"/>
      <c r="T339" s="2"/>
      <c r="U339" s="2"/>
      <c r="V339" s="2"/>
      <c r="W339" s="2"/>
      <c r="X339" s="2"/>
      <c r="Y339" s="2"/>
      <c r="Z339" s="2"/>
    </row>
    <row r="340" spans="1:26" ht="12.75" hidden="1" customHeight="1">
      <c r="A340" s="26">
        <v>168</v>
      </c>
      <c r="B340" s="27" t="s">
        <v>1064</v>
      </c>
      <c r="C340" s="28">
        <v>39963</v>
      </c>
      <c r="D340" s="27"/>
      <c r="E340" s="27" t="s">
        <v>1065</v>
      </c>
      <c r="F340" s="29" t="s">
        <v>1066</v>
      </c>
      <c r="G340" s="27"/>
      <c r="H340" s="27" t="s">
        <v>249</v>
      </c>
      <c r="I340" s="27">
        <v>1</v>
      </c>
      <c r="J340" s="30">
        <v>34033610</v>
      </c>
      <c r="K340" s="26" t="s">
        <v>20</v>
      </c>
      <c r="L340" s="26" t="s">
        <v>295</v>
      </c>
      <c r="M340" s="31" t="s">
        <v>1067</v>
      </c>
      <c r="N340" s="2"/>
      <c r="O340" s="2"/>
      <c r="P340" s="2"/>
      <c r="Q340" s="2"/>
      <c r="R340" s="2"/>
      <c r="S340" s="2"/>
      <c r="T340" s="2"/>
      <c r="U340" s="2"/>
      <c r="V340" s="2"/>
      <c r="W340" s="2"/>
      <c r="X340" s="2"/>
      <c r="Y340" s="2"/>
      <c r="Z340" s="2"/>
    </row>
    <row r="341" spans="1:26" ht="12.75" hidden="1" customHeight="1">
      <c r="A341" s="26">
        <v>169</v>
      </c>
      <c r="B341" s="27" t="s">
        <v>52</v>
      </c>
      <c r="C341" s="28">
        <v>40875</v>
      </c>
      <c r="D341" s="27"/>
      <c r="E341" s="27" t="s">
        <v>1068</v>
      </c>
      <c r="F341" s="29" t="s">
        <v>1069</v>
      </c>
      <c r="G341" s="27"/>
      <c r="H341" s="27" t="s">
        <v>19</v>
      </c>
      <c r="I341" s="27">
        <v>1</v>
      </c>
      <c r="J341" s="30">
        <v>99099364</v>
      </c>
      <c r="K341" s="26" t="s">
        <v>36</v>
      </c>
      <c r="L341" s="26" t="s">
        <v>37</v>
      </c>
      <c r="M341" s="31" t="s">
        <v>1070</v>
      </c>
      <c r="N341" s="2"/>
      <c r="O341" s="2"/>
      <c r="P341" s="2"/>
      <c r="Q341" s="2"/>
      <c r="R341" s="2"/>
      <c r="S341" s="2"/>
      <c r="T341" s="2"/>
      <c r="U341" s="2"/>
      <c r="V341" s="2"/>
      <c r="W341" s="2"/>
      <c r="X341" s="2"/>
      <c r="Y341" s="2"/>
      <c r="Z341" s="2"/>
    </row>
    <row r="342" spans="1:26" ht="12.75" hidden="1" customHeight="1">
      <c r="A342" s="26">
        <v>170</v>
      </c>
      <c r="B342" s="27" t="s">
        <v>52</v>
      </c>
      <c r="C342" s="28">
        <v>40875</v>
      </c>
      <c r="D342" s="27"/>
      <c r="E342" s="27" t="s">
        <v>1071</v>
      </c>
      <c r="F342" s="29" t="s">
        <v>1072</v>
      </c>
      <c r="G342" s="27"/>
      <c r="H342" s="27" t="s">
        <v>569</v>
      </c>
      <c r="I342" s="27">
        <v>1</v>
      </c>
      <c r="J342" s="30">
        <v>36994107</v>
      </c>
      <c r="K342" s="26" t="s">
        <v>36</v>
      </c>
      <c r="L342" s="26" t="s">
        <v>37</v>
      </c>
      <c r="M342" s="31" t="s">
        <v>1073</v>
      </c>
      <c r="N342" s="2"/>
      <c r="O342" s="2"/>
      <c r="P342" s="2"/>
      <c r="Q342" s="2"/>
      <c r="R342" s="2"/>
      <c r="S342" s="2"/>
      <c r="T342" s="2"/>
      <c r="U342" s="2"/>
      <c r="V342" s="2"/>
      <c r="W342" s="2"/>
      <c r="X342" s="2"/>
      <c r="Y342" s="2"/>
      <c r="Z342" s="2"/>
    </row>
    <row r="343" spans="1:26" ht="25.5" hidden="1" customHeight="1">
      <c r="A343" s="26">
        <v>171</v>
      </c>
      <c r="B343" s="27" t="s">
        <v>599</v>
      </c>
      <c r="C343" s="28">
        <v>42671</v>
      </c>
      <c r="D343" s="27"/>
      <c r="E343" s="27" t="s">
        <v>1074</v>
      </c>
      <c r="F343" s="29" t="s">
        <v>1075</v>
      </c>
      <c r="G343" s="27" t="s">
        <v>1076</v>
      </c>
      <c r="H343" s="27" t="s">
        <v>249</v>
      </c>
      <c r="I343" s="27">
        <v>1</v>
      </c>
      <c r="J343" s="30">
        <v>68046802</v>
      </c>
      <c r="K343" s="26" t="s">
        <v>36</v>
      </c>
      <c r="L343" s="26" t="s">
        <v>169</v>
      </c>
      <c r="M343" s="31" t="s">
        <v>1077</v>
      </c>
      <c r="N343" s="2"/>
      <c r="O343" s="2"/>
      <c r="P343" s="2"/>
      <c r="Q343" s="2"/>
      <c r="R343" s="2"/>
      <c r="S343" s="2"/>
      <c r="T343" s="2"/>
      <c r="U343" s="2"/>
      <c r="V343" s="2"/>
      <c r="W343" s="2"/>
      <c r="X343" s="2"/>
      <c r="Y343" s="2"/>
      <c r="Z343" s="2"/>
    </row>
    <row r="344" spans="1:26" ht="25.5" hidden="1" customHeight="1">
      <c r="A344" s="26">
        <v>172</v>
      </c>
      <c r="B344" s="27" t="s">
        <v>599</v>
      </c>
      <c r="C344" s="28">
        <v>42671</v>
      </c>
      <c r="D344" s="27"/>
      <c r="E344" s="27" t="s">
        <v>1078</v>
      </c>
      <c r="F344" s="29" t="s">
        <v>1079</v>
      </c>
      <c r="G344" s="27" t="s">
        <v>1076</v>
      </c>
      <c r="H344" s="27" t="s">
        <v>249</v>
      </c>
      <c r="I344" s="27">
        <v>1</v>
      </c>
      <c r="J344" s="30">
        <v>68046803</v>
      </c>
      <c r="K344" s="26" t="s">
        <v>36</v>
      </c>
      <c r="L344" s="26" t="s">
        <v>169</v>
      </c>
      <c r="M344" s="31" t="s">
        <v>1077</v>
      </c>
      <c r="N344" s="2"/>
      <c r="O344" s="2"/>
      <c r="P344" s="2"/>
      <c r="Q344" s="2"/>
      <c r="R344" s="2"/>
      <c r="S344" s="2"/>
      <c r="T344" s="2"/>
      <c r="U344" s="2"/>
      <c r="V344" s="2"/>
      <c r="W344" s="2"/>
      <c r="X344" s="2"/>
      <c r="Y344" s="2"/>
      <c r="Z344" s="2"/>
    </row>
    <row r="345" spans="1:26" ht="25.5" hidden="1" customHeight="1">
      <c r="A345" s="26">
        <v>173</v>
      </c>
      <c r="B345" s="27" t="s">
        <v>953</v>
      </c>
      <c r="C345" s="28">
        <v>43256</v>
      </c>
      <c r="D345" s="27"/>
      <c r="E345" s="27" t="s">
        <v>1080</v>
      </c>
      <c r="F345" s="29" t="s">
        <v>1081</v>
      </c>
      <c r="G345" s="27" t="s">
        <v>248</v>
      </c>
      <c r="H345" s="27" t="s">
        <v>249</v>
      </c>
      <c r="I345" s="27">
        <v>1</v>
      </c>
      <c r="J345" s="30">
        <v>34611169</v>
      </c>
      <c r="K345" s="26" t="s">
        <v>20</v>
      </c>
      <c r="L345" s="36" t="s">
        <v>229</v>
      </c>
      <c r="M345" s="57" t="s">
        <v>5331</v>
      </c>
      <c r="N345" s="2"/>
      <c r="O345" s="2"/>
      <c r="P345" s="2"/>
      <c r="Q345" s="2"/>
      <c r="R345" s="2"/>
      <c r="S345" s="2"/>
      <c r="T345" s="2"/>
      <c r="U345" s="2"/>
      <c r="V345" s="2"/>
      <c r="W345" s="2"/>
      <c r="X345" s="2"/>
      <c r="Y345" s="2"/>
      <c r="Z345" s="2"/>
    </row>
    <row r="346" spans="1:26" ht="25.5" hidden="1" customHeight="1">
      <c r="A346" s="26">
        <v>174</v>
      </c>
      <c r="B346" s="27" t="s">
        <v>1037</v>
      </c>
      <c r="C346" s="28">
        <v>43799</v>
      </c>
      <c r="D346" s="27"/>
      <c r="E346" s="27" t="s">
        <v>1082</v>
      </c>
      <c r="F346" s="29" t="s">
        <v>1083</v>
      </c>
      <c r="G346" s="27" t="s">
        <v>248</v>
      </c>
      <c r="H346" s="27" t="s">
        <v>19</v>
      </c>
      <c r="I346" s="27">
        <v>1</v>
      </c>
      <c r="J346" s="30">
        <v>299959091</v>
      </c>
      <c r="K346" s="59" t="s">
        <v>206</v>
      </c>
      <c r="L346" s="59" t="s">
        <v>1040</v>
      </c>
      <c r="M346" s="31" t="s">
        <v>1041</v>
      </c>
      <c r="N346" s="2"/>
      <c r="O346" s="2"/>
      <c r="P346" s="2"/>
      <c r="Q346" s="2"/>
      <c r="R346" s="2"/>
      <c r="S346" s="2"/>
      <c r="T346" s="2"/>
      <c r="U346" s="2"/>
      <c r="V346" s="2"/>
      <c r="W346" s="2"/>
      <c r="X346" s="2"/>
      <c r="Y346" s="2"/>
      <c r="Z346" s="2"/>
    </row>
    <row r="347" spans="1:26" ht="25.5" hidden="1" customHeight="1">
      <c r="A347" s="26">
        <v>175</v>
      </c>
      <c r="B347" s="27" t="s">
        <v>1037</v>
      </c>
      <c r="C347" s="28">
        <v>43799</v>
      </c>
      <c r="D347" s="27"/>
      <c r="E347" s="27" t="s">
        <v>1084</v>
      </c>
      <c r="F347" s="29" t="s">
        <v>1085</v>
      </c>
      <c r="G347" s="27" t="s">
        <v>248</v>
      </c>
      <c r="H347" s="27" t="s">
        <v>19</v>
      </c>
      <c r="I347" s="27">
        <v>1</v>
      </c>
      <c r="J347" s="30">
        <v>299959091</v>
      </c>
      <c r="K347" s="59" t="s">
        <v>206</v>
      </c>
      <c r="L347" s="59" t="s">
        <v>1040</v>
      </c>
      <c r="M347" s="31" t="s">
        <v>1041</v>
      </c>
      <c r="N347" s="2"/>
      <c r="O347" s="2"/>
      <c r="P347" s="2"/>
      <c r="Q347" s="2"/>
      <c r="R347" s="2"/>
      <c r="S347" s="2"/>
      <c r="T347" s="2"/>
      <c r="U347" s="2"/>
      <c r="V347" s="2"/>
      <c r="W347" s="2"/>
      <c r="X347" s="2"/>
      <c r="Y347" s="2"/>
      <c r="Z347" s="2"/>
    </row>
    <row r="348" spans="1:26" ht="12.75" hidden="1" customHeight="1">
      <c r="A348" s="26">
        <v>176</v>
      </c>
      <c r="B348" s="27" t="s">
        <v>212</v>
      </c>
      <c r="C348" s="28">
        <v>41512</v>
      </c>
      <c r="D348" s="27"/>
      <c r="E348" s="27" t="s">
        <v>1086</v>
      </c>
      <c r="F348" s="29" t="s">
        <v>1087</v>
      </c>
      <c r="G348" s="27" t="s">
        <v>1088</v>
      </c>
      <c r="H348" s="27" t="s">
        <v>19</v>
      </c>
      <c r="I348" s="27">
        <v>1</v>
      </c>
      <c r="J348" s="30">
        <v>108902777</v>
      </c>
      <c r="K348" s="26" t="s">
        <v>36</v>
      </c>
      <c r="L348" s="26" t="s">
        <v>37</v>
      </c>
      <c r="M348" s="31" t="s">
        <v>1089</v>
      </c>
      <c r="N348" s="2"/>
      <c r="O348" s="2"/>
      <c r="P348" s="2"/>
      <c r="Q348" s="2"/>
      <c r="R348" s="2"/>
      <c r="S348" s="2"/>
      <c r="T348" s="2"/>
      <c r="U348" s="2"/>
      <c r="V348" s="2"/>
      <c r="W348" s="2"/>
      <c r="X348" s="2"/>
      <c r="Y348" s="2"/>
      <c r="Z348" s="2"/>
    </row>
    <row r="349" spans="1:26" ht="12.75" hidden="1" customHeight="1">
      <c r="A349" s="26" t="s">
        <v>1090</v>
      </c>
      <c r="B349" s="27"/>
      <c r="C349" s="28"/>
      <c r="D349" s="27"/>
      <c r="E349" s="27" t="s">
        <v>1091</v>
      </c>
      <c r="F349" s="29" t="s">
        <v>1092</v>
      </c>
      <c r="G349" s="27"/>
      <c r="H349" s="27"/>
      <c r="I349" s="27">
        <v>1</v>
      </c>
      <c r="J349" s="30">
        <v>37285429</v>
      </c>
      <c r="K349" s="26" t="s">
        <v>36</v>
      </c>
      <c r="L349" s="26" t="s">
        <v>37</v>
      </c>
      <c r="M349" s="31"/>
      <c r="N349" s="2"/>
      <c r="O349" s="2"/>
      <c r="P349" s="2"/>
      <c r="Q349" s="2"/>
      <c r="R349" s="2"/>
      <c r="S349" s="2"/>
      <c r="T349" s="2"/>
      <c r="U349" s="2"/>
      <c r="V349" s="2"/>
      <c r="W349" s="2"/>
      <c r="X349" s="2"/>
      <c r="Y349" s="2"/>
      <c r="Z349" s="2"/>
    </row>
    <row r="350" spans="1:26" ht="25.5" hidden="1" customHeight="1">
      <c r="A350" s="26">
        <v>177</v>
      </c>
      <c r="B350" s="27" t="s">
        <v>212</v>
      </c>
      <c r="C350" s="28">
        <v>41512</v>
      </c>
      <c r="D350" s="27"/>
      <c r="E350" s="27" t="s">
        <v>1093</v>
      </c>
      <c r="F350" s="29" t="s">
        <v>1094</v>
      </c>
      <c r="G350" s="27" t="s">
        <v>1088</v>
      </c>
      <c r="H350" s="27" t="s">
        <v>19</v>
      </c>
      <c r="I350" s="27">
        <v>1</v>
      </c>
      <c r="J350" s="30">
        <v>108902777</v>
      </c>
      <c r="K350" s="26" t="s">
        <v>36</v>
      </c>
      <c r="L350" s="26" t="s">
        <v>37</v>
      </c>
      <c r="M350" s="31" t="s">
        <v>1095</v>
      </c>
      <c r="N350" s="2"/>
      <c r="O350" s="2"/>
      <c r="P350" s="2"/>
      <c r="Q350" s="2"/>
      <c r="R350" s="2"/>
      <c r="S350" s="2"/>
      <c r="T350" s="2"/>
      <c r="U350" s="2"/>
      <c r="V350" s="2"/>
      <c r="W350" s="2"/>
      <c r="X350" s="2"/>
      <c r="Y350" s="2"/>
      <c r="Z350" s="2"/>
    </row>
    <row r="351" spans="1:26" ht="12.75" hidden="1" customHeight="1">
      <c r="A351" s="26" t="s">
        <v>1096</v>
      </c>
      <c r="B351" s="27"/>
      <c r="C351" s="28"/>
      <c r="D351" s="27"/>
      <c r="E351" s="27" t="s">
        <v>1097</v>
      </c>
      <c r="F351" s="29" t="s">
        <v>1098</v>
      </c>
      <c r="G351" s="27"/>
      <c r="H351" s="27"/>
      <c r="I351" s="27">
        <v>1</v>
      </c>
      <c r="J351" s="30">
        <v>37285429</v>
      </c>
      <c r="K351" s="26" t="s">
        <v>36</v>
      </c>
      <c r="L351" s="26" t="s">
        <v>37</v>
      </c>
      <c r="M351" s="31"/>
      <c r="N351" s="2"/>
      <c r="O351" s="2"/>
      <c r="P351" s="2"/>
      <c r="Q351" s="2"/>
      <c r="R351" s="2"/>
      <c r="S351" s="2"/>
      <c r="T351" s="2"/>
      <c r="U351" s="2"/>
      <c r="V351" s="2"/>
      <c r="W351" s="2"/>
      <c r="X351" s="2"/>
      <c r="Y351" s="2"/>
      <c r="Z351" s="2"/>
    </row>
    <row r="352" spans="1:26" ht="12.75" hidden="1" customHeight="1">
      <c r="A352" s="26">
        <v>178</v>
      </c>
      <c r="B352" s="27" t="s">
        <v>274</v>
      </c>
      <c r="C352" s="28">
        <v>41542</v>
      </c>
      <c r="D352" s="27"/>
      <c r="E352" s="27" t="s">
        <v>1099</v>
      </c>
      <c r="F352" s="29" t="s">
        <v>1100</v>
      </c>
      <c r="G352" s="27" t="s">
        <v>1088</v>
      </c>
      <c r="H352" s="27" t="s">
        <v>19</v>
      </c>
      <c r="I352" s="27">
        <v>1</v>
      </c>
      <c r="J352" s="30">
        <v>195293140</v>
      </c>
      <c r="K352" s="26" t="s">
        <v>36</v>
      </c>
      <c r="L352" s="26" t="s">
        <v>37</v>
      </c>
      <c r="M352" s="31" t="s">
        <v>1101</v>
      </c>
      <c r="N352" s="2"/>
      <c r="O352" s="2"/>
      <c r="P352" s="2"/>
      <c r="Q352" s="2"/>
      <c r="R352" s="2"/>
      <c r="S352" s="2"/>
      <c r="T352" s="2"/>
      <c r="U352" s="2"/>
      <c r="V352" s="2"/>
      <c r="W352" s="2"/>
      <c r="X352" s="2"/>
      <c r="Y352" s="2"/>
      <c r="Z352" s="2"/>
    </row>
    <row r="353" spans="1:26" ht="12.75" hidden="1" customHeight="1">
      <c r="A353" s="26" t="s">
        <v>1102</v>
      </c>
      <c r="B353" s="27"/>
      <c r="C353" s="28"/>
      <c r="D353" s="27"/>
      <c r="E353" s="27" t="s">
        <v>1103</v>
      </c>
      <c r="F353" s="29" t="s">
        <v>1104</v>
      </c>
      <c r="G353" s="27"/>
      <c r="H353" s="27"/>
      <c r="I353" s="27">
        <v>1</v>
      </c>
      <c r="J353" s="30">
        <v>0</v>
      </c>
      <c r="K353" s="26" t="s">
        <v>36</v>
      </c>
      <c r="L353" s="26" t="s">
        <v>37</v>
      </c>
      <c r="M353" s="31"/>
      <c r="N353" s="2"/>
      <c r="O353" s="2"/>
      <c r="P353" s="2"/>
      <c r="Q353" s="2"/>
      <c r="R353" s="2"/>
      <c r="S353" s="2"/>
      <c r="T353" s="2"/>
      <c r="U353" s="2"/>
      <c r="V353" s="2"/>
      <c r="W353" s="2"/>
      <c r="X353" s="2"/>
      <c r="Y353" s="2"/>
      <c r="Z353" s="2"/>
    </row>
    <row r="354" spans="1:26" ht="12.75" hidden="1" customHeight="1">
      <c r="A354" s="26" t="s">
        <v>1105</v>
      </c>
      <c r="B354" s="27"/>
      <c r="C354" s="28"/>
      <c r="D354" s="27"/>
      <c r="E354" s="27" t="s">
        <v>1106</v>
      </c>
      <c r="F354" s="29" t="s">
        <v>1107</v>
      </c>
      <c r="G354" s="27"/>
      <c r="H354" s="27"/>
      <c r="I354" s="27">
        <v>1</v>
      </c>
      <c r="J354" s="30">
        <v>0</v>
      </c>
      <c r="K354" s="26" t="s">
        <v>36</v>
      </c>
      <c r="L354" s="26" t="s">
        <v>37</v>
      </c>
      <c r="M354" s="31"/>
      <c r="N354" s="2"/>
      <c r="O354" s="2"/>
      <c r="P354" s="2"/>
      <c r="Q354" s="2"/>
      <c r="R354" s="2"/>
      <c r="S354" s="2"/>
      <c r="T354" s="2"/>
      <c r="U354" s="2"/>
      <c r="V354" s="2"/>
      <c r="W354" s="2"/>
      <c r="X354" s="2"/>
      <c r="Y354" s="2"/>
      <c r="Z354" s="2"/>
    </row>
    <row r="355" spans="1:26" ht="25.5" hidden="1" customHeight="1">
      <c r="A355" s="26">
        <v>179</v>
      </c>
      <c r="B355" s="27" t="s">
        <v>411</v>
      </c>
      <c r="C355" s="28">
        <v>41599</v>
      </c>
      <c r="D355" s="27"/>
      <c r="E355" s="27" t="s">
        <v>1108</v>
      </c>
      <c r="F355" s="29" t="s">
        <v>1109</v>
      </c>
      <c r="G355" s="27"/>
      <c r="H355" s="27" t="s">
        <v>19</v>
      </c>
      <c r="I355" s="27">
        <v>1</v>
      </c>
      <c r="J355" s="30">
        <v>115524543</v>
      </c>
      <c r="K355" s="26" t="s">
        <v>20</v>
      </c>
      <c r="L355" s="26" t="s">
        <v>284</v>
      </c>
      <c r="M355" s="31" t="s">
        <v>5332</v>
      </c>
      <c r="N355" s="2"/>
      <c r="O355" s="2"/>
      <c r="P355" s="2"/>
      <c r="Q355" s="2"/>
      <c r="R355" s="2"/>
      <c r="S355" s="2"/>
      <c r="T355" s="2"/>
      <c r="U355" s="2"/>
      <c r="V355" s="2"/>
      <c r="W355" s="2"/>
      <c r="X355" s="2"/>
      <c r="Y355" s="2"/>
      <c r="Z355" s="2"/>
    </row>
    <row r="356" spans="1:26" ht="12.75" hidden="1" customHeight="1">
      <c r="A356" s="26" t="s">
        <v>1110</v>
      </c>
      <c r="B356" s="27"/>
      <c r="C356" s="28"/>
      <c r="D356" s="27"/>
      <c r="E356" s="27" t="s">
        <v>1111</v>
      </c>
      <c r="F356" s="29" t="s">
        <v>1112</v>
      </c>
      <c r="G356" s="27"/>
      <c r="H356" s="27"/>
      <c r="I356" s="27">
        <v>1</v>
      </c>
      <c r="J356" s="30">
        <v>0</v>
      </c>
      <c r="K356" s="26" t="s">
        <v>20</v>
      </c>
      <c r="L356" s="26" t="s">
        <v>284</v>
      </c>
      <c r="M356" s="31" t="s">
        <v>5303</v>
      </c>
      <c r="N356" s="2"/>
      <c r="O356" s="2"/>
      <c r="P356" s="2"/>
      <c r="Q356" s="2"/>
      <c r="R356" s="2"/>
      <c r="S356" s="2"/>
      <c r="T356" s="2"/>
      <c r="U356" s="2"/>
      <c r="V356" s="2"/>
      <c r="W356" s="2"/>
      <c r="X356" s="2"/>
      <c r="Y356" s="2"/>
      <c r="Z356" s="2"/>
    </row>
    <row r="357" spans="1:26" ht="12.75" hidden="1" customHeight="1">
      <c r="A357" s="26" t="s">
        <v>1113</v>
      </c>
      <c r="B357" s="27"/>
      <c r="C357" s="28"/>
      <c r="D357" s="27"/>
      <c r="E357" s="27" t="s">
        <v>1114</v>
      </c>
      <c r="F357" s="29" t="s">
        <v>1115</v>
      </c>
      <c r="G357" s="27"/>
      <c r="H357" s="27"/>
      <c r="I357" s="27">
        <v>1</v>
      </c>
      <c r="J357" s="30">
        <v>0</v>
      </c>
      <c r="K357" s="26" t="s">
        <v>20</v>
      </c>
      <c r="L357" s="26" t="s">
        <v>284</v>
      </c>
      <c r="M357" s="31" t="s">
        <v>5303</v>
      </c>
      <c r="N357" s="2"/>
      <c r="O357" s="2"/>
      <c r="P357" s="2"/>
      <c r="Q357" s="2"/>
      <c r="R357" s="2"/>
      <c r="S357" s="2"/>
      <c r="T357" s="2"/>
      <c r="U357" s="2"/>
      <c r="V357" s="2"/>
      <c r="W357" s="2"/>
      <c r="X357" s="2"/>
      <c r="Y357" s="2"/>
      <c r="Z357" s="2"/>
    </row>
    <row r="358" spans="1:26" ht="12.75" hidden="1" customHeight="1">
      <c r="A358" s="26" t="s">
        <v>1116</v>
      </c>
      <c r="B358" s="27"/>
      <c r="C358" s="28"/>
      <c r="D358" s="27"/>
      <c r="E358" s="27" t="s">
        <v>1117</v>
      </c>
      <c r="F358" s="29" t="s">
        <v>1118</v>
      </c>
      <c r="G358" s="27"/>
      <c r="H358" s="27"/>
      <c r="I358" s="27">
        <v>1</v>
      </c>
      <c r="J358" s="30">
        <v>0</v>
      </c>
      <c r="K358" s="26" t="s">
        <v>20</v>
      </c>
      <c r="L358" s="26" t="s">
        <v>284</v>
      </c>
      <c r="M358" s="31" t="s">
        <v>5303</v>
      </c>
      <c r="N358" s="2"/>
      <c r="O358" s="2"/>
      <c r="P358" s="2"/>
      <c r="Q358" s="2"/>
      <c r="R358" s="2"/>
      <c r="S358" s="2"/>
      <c r="T358" s="2"/>
      <c r="U358" s="2"/>
      <c r="V358" s="2"/>
      <c r="W358" s="2"/>
      <c r="X358" s="2"/>
      <c r="Y358" s="2"/>
      <c r="Z358" s="2"/>
    </row>
    <row r="359" spans="1:26" ht="12.75" hidden="1" customHeight="1">
      <c r="A359" s="26">
        <v>180</v>
      </c>
      <c r="B359" s="27" t="s">
        <v>219</v>
      </c>
      <c r="C359" s="28">
        <v>41635</v>
      </c>
      <c r="D359" s="27"/>
      <c r="E359" s="27" t="s">
        <v>1119</v>
      </c>
      <c r="F359" s="29" t="s">
        <v>1120</v>
      </c>
      <c r="G359" s="27" t="s">
        <v>338</v>
      </c>
      <c r="H359" s="27" t="s">
        <v>19</v>
      </c>
      <c r="I359" s="27">
        <v>1</v>
      </c>
      <c r="J359" s="30">
        <v>706421311</v>
      </c>
      <c r="K359" s="26" t="s">
        <v>206</v>
      </c>
      <c r="L359" s="26" t="s">
        <v>841</v>
      </c>
      <c r="M359" s="31" t="s">
        <v>1121</v>
      </c>
      <c r="N359" s="2"/>
      <c r="O359" s="2"/>
      <c r="P359" s="2"/>
      <c r="Q359" s="2"/>
      <c r="R359" s="2"/>
      <c r="S359" s="2"/>
      <c r="T359" s="2"/>
      <c r="U359" s="2"/>
      <c r="V359" s="2"/>
      <c r="W359" s="2"/>
      <c r="X359" s="2"/>
      <c r="Y359" s="2"/>
      <c r="Z359" s="2"/>
    </row>
    <row r="360" spans="1:26" ht="12.75" hidden="1" customHeight="1">
      <c r="A360" s="26">
        <v>181</v>
      </c>
      <c r="B360" s="27" t="s">
        <v>52</v>
      </c>
      <c r="C360" s="28">
        <v>40875</v>
      </c>
      <c r="D360" s="27"/>
      <c r="E360" s="27" t="s">
        <v>1122</v>
      </c>
      <c r="F360" s="29" t="s">
        <v>1123</v>
      </c>
      <c r="G360" s="27"/>
      <c r="H360" s="27" t="s">
        <v>19</v>
      </c>
      <c r="I360" s="27">
        <v>1</v>
      </c>
      <c r="J360" s="30">
        <v>36321486</v>
      </c>
      <c r="K360" s="26" t="s">
        <v>36</v>
      </c>
      <c r="L360" s="26" t="s">
        <v>37</v>
      </c>
      <c r="M360" s="31" t="s">
        <v>1124</v>
      </c>
      <c r="N360" s="2"/>
      <c r="O360" s="2"/>
      <c r="P360" s="2"/>
      <c r="Q360" s="2"/>
      <c r="R360" s="2"/>
      <c r="S360" s="2"/>
      <c r="T360" s="2"/>
      <c r="U360" s="2"/>
      <c r="V360" s="2"/>
      <c r="W360" s="2"/>
      <c r="X360" s="2"/>
      <c r="Y360" s="2"/>
      <c r="Z360" s="2"/>
    </row>
    <row r="361" spans="1:26" ht="12.75" hidden="1" customHeight="1">
      <c r="A361" s="26">
        <v>182</v>
      </c>
      <c r="B361" s="27" t="s">
        <v>52</v>
      </c>
      <c r="C361" s="28">
        <v>40875</v>
      </c>
      <c r="D361" s="27"/>
      <c r="E361" s="27" t="s">
        <v>1125</v>
      </c>
      <c r="F361" s="29" t="s">
        <v>1126</v>
      </c>
      <c r="G361" s="27"/>
      <c r="H361" s="27" t="s">
        <v>19</v>
      </c>
      <c r="I361" s="27">
        <v>1</v>
      </c>
      <c r="J361" s="30">
        <v>36321486</v>
      </c>
      <c r="K361" s="26" t="s">
        <v>36</v>
      </c>
      <c r="L361" s="26" t="s">
        <v>37</v>
      </c>
      <c r="M361" s="31" t="s">
        <v>1127</v>
      </c>
      <c r="N361" s="2"/>
      <c r="O361" s="2"/>
      <c r="P361" s="2"/>
      <c r="Q361" s="2"/>
      <c r="R361" s="2"/>
      <c r="S361" s="2"/>
      <c r="T361" s="2"/>
      <c r="U361" s="2"/>
      <c r="V361" s="2"/>
      <c r="W361" s="2"/>
      <c r="X361" s="2"/>
      <c r="Y361" s="2"/>
      <c r="Z361" s="2"/>
    </row>
    <row r="362" spans="1:26" ht="12.75" hidden="1" customHeight="1">
      <c r="A362" s="26">
        <v>183</v>
      </c>
      <c r="B362" s="27" t="s">
        <v>52</v>
      </c>
      <c r="C362" s="28">
        <v>40875</v>
      </c>
      <c r="D362" s="27"/>
      <c r="E362" s="27" t="s">
        <v>1128</v>
      </c>
      <c r="F362" s="29" t="s">
        <v>1129</v>
      </c>
      <c r="G362" s="27"/>
      <c r="H362" s="27" t="s">
        <v>19</v>
      </c>
      <c r="I362" s="27">
        <v>1</v>
      </c>
      <c r="J362" s="30">
        <v>36321486</v>
      </c>
      <c r="K362" s="26" t="s">
        <v>36</v>
      </c>
      <c r="L362" s="26" t="s">
        <v>37</v>
      </c>
      <c r="M362" s="31" t="s">
        <v>1130</v>
      </c>
      <c r="N362" s="2"/>
      <c r="O362" s="2"/>
      <c r="P362" s="2"/>
      <c r="Q362" s="2"/>
      <c r="R362" s="2"/>
      <c r="S362" s="2"/>
      <c r="T362" s="2"/>
      <c r="U362" s="2"/>
      <c r="V362" s="2"/>
      <c r="W362" s="2"/>
      <c r="X362" s="2"/>
      <c r="Y362" s="2"/>
      <c r="Z362" s="2"/>
    </row>
    <row r="363" spans="1:26" ht="12.75" hidden="1" customHeight="1">
      <c r="A363" s="26">
        <v>184</v>
      </c>
      <c r="B363" s="27" t="s">
        <v>52</v>
      </c>
      <c r="C363" s="28">
        <v>40875</v>
      </c>
      <c r="D363" s="27"/>
      <c r="E363" s="27" t="s">
        <v>1131</v>
      </c>
      <c r="F363" s="29" t="s">
        <v>1132</v>
      </c>
      <c r="G363" s="27"/>
      <c r="H363" s="27" t="s">
        <v>19</v>
      </c>
      <c r="I363" s="27">
        <v>1</v>
      </c>
      <c r="J363" s="30">
        <v>36321487</v>
      </c>
      <c r="K363" s="26" t="s">
        <v>36</v>
      </c>
      <c r="L363" s="26" t="s">
        <v>37</v>
      </c>
      <c r="M363" s="31" t="s">
        <v>1133</v>
      </c>
      <c r="N363" s="2"/>
      <c r="O363" s="2"/>
      <c r="P363" s="2"/>
      <c r="Q363" s="2"/>
      <c r="R363" s="2"/>
      <c r="S363" s="2"/>
      <c r="T363" s="2"/>
      <c r="U363" s="2"/>
      <c r="V363" s="2"/>
      <c r="W363" s="2"/>
      <c r="X363" s="2"/>
      <c r="Y363" s="2"/>
      <c r="Z363" s="2"/>
    </row>
    <row r="364" spans="1:26" ht="12.75" hidden="1" customHeight="1">
      <c r="A364" s="26">
        <v>185</v>
      </c>
      <c r="B364" s="27" t="s">
        <v>815</v>
      </c>
      <c r="C364" s="28">
        <v>39813</v>
      </c>
      <c r="D364" s="27"/>
      <c r="E364" s="27" t="s">
        <v>1134</v>
      </c>
      <c r="F364" s="29" t="s">
        <v>1135</v>
      </c>
      <c r="G364" s="27" t="s">
        <v>338</v>
      </c>
      <c r="H364" s="27" t="s">
        <v>249</v>
      </c>
      <c r="I364" s="27">
        <v>1</v>
      </c>
      <c r="J364" s="30">
        <v>154746685</v>
      </c>
      <c r="K364" s="26" t="s">
        <v>206</v>
      </c>
      <c r="L364" s="26" t="s">
        <v>841</v>
      </c>
      <c r="M364" s="31" t="s">
        <v>1136</v>
      </c>
      <c r="N364" s="2"/>
      <c r="O364" s="2"/>
      <c r="P364" s="2"/>
      <c r="Q364" s="2"/>
      <c r="R364" s="2"/>
      <c r="S364" s="2"/>
      <c r="T364" s="2"/>
      <c r="U364" s="2"/>
      <c r="V364" s="2"/>
      <c r="W364" s="2"/>
      <c r="X364" s="2"/>
      <c r="Y364" s="2"/>
      <c r="Z364" s="2"/>
    </row>
    <row r="365" spans="1:26" ht="25.5" hidden="1" customHeight="1">
      <c r="A365" s="26">
        <v>186</v>
      </c>
      <c r="B365" s="27" t="s">
        <v>1137</v>
      </c>
      <c r="C365" s="28">
        <v>40441</v>
      </c>
      <c r="D365" s="27"/>
      <c r="E365" s="27" t="s">
        <v>1138</v>
      </c>
      <c r="F365" s="29" t="s">
        <v>1139</v>
      </c>
      <c r="G365" s="27" t="s">
        <v>1076</v>
      </c>
      <c r="H365" s="27" t="s">
        <v>19</v>
      </c>
      <c r="I365" s="27">
        <v>1</v>
      </c>
      <c r="J365" s="30">
        <v>64839320</v>
      </c>
      <c r="K365" s="26" t="s">
        <v>20</v>
      </c>
      <c r="L365" s="26" t="s">
        <v>295</v>
      </c>
      <c r="M365" s="31" t="s">
        <v>2563</v>
      </c>
      <c r="N365" s="2"/>
      <c r="O365" s="2"/>
      <c r="P365" s="2"/>
      <c r="Q365" s="2"/>
      <c r="R365" s="2"/>
      <c r="S365" s="2"/>
      <c r="T365" s="2"/>
      <c r="U365" s="2"/>
      <c r="V365" s="2"/>
      <c r="W365" s="2"/>
      <c r="X365" s="2"/>
      <c r="Y365" s="2"/>
      <c r="Z365" s="2"/>
    </row>
    <row r="366" spans="1:26" ht="38.25" hidden="1" customHeight="1">
      <c r="A366" s="26">
        <v>187</v>
      </c>
      <c r="B366" s="27" t="s">
        <v>52</v>
      </c>
      <c r="C366" s="28">
        <v>40875</v>
      </c>
      <c r="D366" s="27"/>
      <c r="E366" s="27" t="s">
        <v>1140</v>
      </c>
      <c r="F366" s="29" t="s">
        <v>1141</v>
      </c>
      <c r="G366" s="27"/>
      <c r="H366" s="27" t="s">
        <v>19</v>
      </c>
      <c r="I366" s="27">
        <v>1</v>
      </c>
      <c r="J366" s="30">
        <v>34976245</v>
      </c>
      <c r="K366" s="26" t="s">
        <v>36</v>
      </c>
      <c r="L366" s="26" t="s">
        <v>37</v>
      </c>
      <c r="M366" s="31" t="s">
        <v>1142</v>
      </c>
      <c r="N366" s="2"/>
      <c r="O366" s="2"/>
      <c r="P366" s="2"/>
      <c r="Q366" s="2"/>
      <c r="R366" s="2"/>
      <c r="S366" s="2"/>
      <c r="T366" s="2"/>
      <c r="U366" s="2"/>
      <c r="V366" s="2"/>
      <c r="W366" s="2"/>
      <c r="X366" s="2"/>
      <c r="Y366" s="2"/>
      <c r="Z366" s="2"/>
    </row>
    <row r="367" spans="1:26" ht="25.5" hidden="1" customHeight="1">
      <c r="A367" s="26">
        <v>188</v>
      </c>
      <c r="B367" s="27" t="s">
        <v>1143</v>
      </c>
      <c r="C367" s="28">
        <v>43343</v>
      </c>
      <c r="D367" s="27"/>
      <c r="E367" s="27" t="s">
        <v>1144</v>
      </c>
      <c r="F367" s="29" t="s">
        <v>1145</v>
      </c>
      <c r="G367" s="27" t="s">
        <v>35</v>
      </c>
      <c r="H367" s="27" t="s">
        <v>19</v>
      </c>
      <c r="I367" s="27">
        <v>1</v>
      </c>
      <c r="J367" s="30">
        <v>220000000</v>
      </c>
      <c r="K367" s="26" t="s">
        <v>36</v>
      </c>
      <c r="L367" s="26" t="s">
        <v>141</v>
      </c>
      <c r="M367" s="31" t="s">
        <v>1147</v>
      </c>
      <c r="N367" s="2"/>
      <c r="O367" s="2"/>
      <c r="P367" s="2"/>
      <c r="Q367" s="2"/>
      <c r="R367" s="2"/>
      <c r="S367" s="2"/>
      <c r="T367" s="2"/>
      <c r="U367" s="2"/>
      <c r="V367" s="2"/>
      <c r="W367" s="2"/>
      <c r="X367" s="2"/>
      <c r="Y367" s="2"/>
      <c r="Z367" s="2"/>
    </row>
    <row r="368" spans="1:26" ht="12.75" hidden="1" customHeight="1">
      <c r="A368" s="26">
        <v>189</v>
      </c>
      <c r="B368" s="27" t="s">
        <v>1143</v>
      </c>
      <c r="C368" s="28">
        <v>43343</v>
      </c>
      <c r="D368" s="27"/>
      <c r="E368" s="27" t="s">
        <v>1148</v>
      </c>
      <c r="F368" s="29" t="s">
        <v>1149</v>
      </c>
      <c r="G368" s="27" t="s">
        <v>35</v>
      </c>
      <c r="H368" s="27" t="s">
        <v>19</v>
      </c>
      <c r="I368" s="27">
        <v>1</v>
      </c>
      <c r="J368" s="30">
        <v>220000000</v>
      </c>
      <c r="K368" s="26" t="s">
        <v>36</v>
      </c>
      <c r="L368" s="26" t="s">
        <v>141</v>
      </c>
      <c r="M368" s="31" t="s">
        <v>1150</v>
      </c>
      <c r="N368" s="2"/>
      <c r="O368" s="2"/>
      <c r="P368" s="2"/>
      <c r="Q368" s="2"/>
      <c r="R368" s="2"/>
      <c r="S368" s="2"/>
      <c r="T368" s="2"/>
      <c r="U368" s="2"/>
      <c r="V368" s="2"/>
      <c r="W368" s="2"/>
      <c r="X368" s="2"/>
      <c r="Y368" s="2"/>
      <c r="Z368" s="2"/>
    </row>
    <row r="369" spans="1:26" ht="12.75" hidden="1" customHeight="1">
      <c r="A369" s="26">
        <v>190</v>
      </c>
      <c r="B369" s="27" t="s">
        <v>1151</v>
      </c>
      <c r="C369" s="28">
        <v>39813</v>
      </c>
      <c r="D369" s="27"/>
      <c r="E369" s="27" t="s">
        <v>1152</v>
      </c>
      <c r="F369" s="29" t="s">
        <v>1153</v>
      </c>
      <c r="G369" s="27" t="s">
        <v>55</v>
      </c>
      <c r="H369" s="27" t="s">
        <v>249</v>
      </c>
      <c r="I369" s="27">
        <v>1</v>
      </c>
      <c r="J369" s="30">
        <v>381109057</v>
      </c>
      <c r="K369" s="26" t="s">
        <v>36</v>
      </c>
      <c r="L369" s="26" t="s">
        <v>37</v>
      </c>
      <c r="M369" s="31" t="s">
        <v>1154</v>
      </c>
      <c r="N369" s="2"/>
      <c r="O369" s="2"/>
      <c r="P369" s="2"/>
      <c r="Q369" s="2"/>
      <c r="R369" s="2"/>
      <c r="S369" s="2"/>
      <c r="T369" s="2"/>
      <c r="U369" s="2"/>
      <c r="V369" s="2"/>
      <c r="W369" s="2"/>
      <c r="X369" s="2"/>
      <c r="Y369" s="2"/>
      <c r="Z369" s="2"/>
    </row>
    <row r="370" spans="1:26" ht="12.75" hidden="1" customHeight="1">
      <c r="A370" s="26">
        <v>191</v>
      </c>
      <c r="B370" s="27" t="s">
        <v>52</v>
      </c>
      <c r="C370" s="28">
        <v>40875</v>
      </c>
      <c r="D370" s="27"/>
      <c r="E370" s="27" t="s">
        <v>1155</v>
      </c>
      <c r="F370" s="29" t="s">
        <v>1156</v>
      </c>
      <c r="G370" s="27"/>
      <c r="H370" s="27" t="s">
        <v>1157</v>
      </c>
      <c r="I370" s="27">
        <v>1</v>
      </c>
      <c r="J370" s="30">
        <v>3259898226</v>
      </c>
      <c r="K370" s="26" t="s">
        <v>36</v>
      </c>
      <c r="L370" s="26" t="s">
        <v>37</v>
      </c>
      <c r="M370" s="31" t="s">
        <v>1158</v>
      </c>
      <c r="N370" s="2"/>
      <c r="O370" s="2"/>
      <c r="P370" s="2"/>
      <c r="Q370" s="2"/>
      <c r="R370" s="2"/>
      <c r="S370" s="2"/>
      <c r="T370" s="2"/>
      <c r="U370" s="2"/>
      <c r="V370" s="2"/>
      <c r="W370" s="2"/>
      <c r="X370" s="2"/>
      <c r="Y370" s="2"/>
      <c r="Z370" s="2"/>
    </row>
    <row r="371" spans="1:26" ht="38.25" hidden="1" customHeight="1">
      <c r="A371" s="26" t="s">
        <v>1159</v>
      </c>
      <c r="B371" s="27"/>
      <c r="C371" s="28"/>
      <c r="D371" s="27"/>
      <c r="E371" s="27" t="s">
        <v>1160</v>
      </c>
      <c r="F371" s="29" t="s">
        <v>1161</v>
      </c>
      <c r="G371" s="27"/>
      <c r="H371" s="27"/>
      <c r="I371" s="27">
        <v>1</v>
      </c>
      <c r="J371" s="30">
        <v>2381075205</v>
      </c>
      <c r="K371" s="26" t="s">
        <v>36</v>
      </c>
      <c r="L371" s="26" t="s">
        <v>37</v>
      </c>
      <c r="M371" s="31"/>
      <c r="N371" s="2"/>
      <c r="O371" s="2"/>
      <c r="P371" s="2"/>
      <c r="Q371" s="2"/>
      <c r="R371" s="2"/>
      <c r="S371" s="2"/>
      <c r="T371" s="2"/>
      <c r="U371" s="2"/>
      <c r="V371" s="2"/>
      <c r="W371" s="2"/>
      <c r="X371" s="2"/>
      <c r="Y371" s="2"/>
      <c r="Z371" s="2"/>
    </row>
    <row r="372" spans="1:26" ht="25.5" hidden="1" customHeight="1">
      <c r="A372" s="26" t="s">
        <v>1162</v>
      </c>
      <c r="B372" s="27"/>
      <c r="C372" s="28"/>
      <c r="D372" s="27"/>
      <c r="E372" s="27" t="s">
        <v>1163</v>
      </c>
      <c r="F372" s="29" t="s">
        <v>1164</v>
      </c>
      <c r="G372" s="27"/>
      <c r="H372" s="27"/>
      <c r="I372" s="27">
        <v>1</v>
      </c>
      <c r="J372" s="30">
        <v>50894922</v>
      </c>
      <c r="K372" s="26" t="s">
        <v>36</v>
      </c>
      <c r="L372" s="26" t="s">
        <v>37</v>
      </c>
      <c r="M372" s="31"/>
      <c r="N372" s="2"/>
      <c r="O372" s="2"/>
      <c r="P372" s="2"/>
      <c r="Q372" s="2"/>
      <c r="R372" s="2"/>
      <c r="S372" s="2"/>
      <c r="T372" s="2"/>
      <c r="U372" s="2"/>
      <c r="V372" s="2"/>
      <c r="W372" s="2"/>
      <c r="X372" s="2"/>
      <c r="Y372" s="2"/>
      <c r="Z372" s="2"/>
    </row>
    <row r="373" spans="1:26" ht="25.5" hidden="1" customHeight="1">
      <c r="A373" s="26" t="s">
        <v>1165</v>
      </c>
      <c r="B373" s="27"/>
      <c r="C373" s="28"/>
      <c r="D373" s="27"/>
      <c r="E373" s="27" t="s">
        <v>1166</v>
      </c>
      <c r="F373" s="29" t="s">
        <v>1167</v>
      </c>
      <c r="G373" s="27"/>
      <c r="H373" s="27"/>
      <c r="I373" s="27">
        <v>1</v>
      </c>
      <c r="J373" s="30">
        <v>50894922</v>
      </c>
      <c r="K373" s="26" t="s">
        <v>36</v>
      </c>
      <c r="L373" s="26" t="s">
        <v>37</v>
      </c>
      <c r="M373" s="31"/>
      <c r="N373" s="2"/>
      <c r="O373" s="2"/>
      <c r="P373" s="2"/>
      <c r="Q373" s="2"/>
      <c r="R373" s="2"/>
      <c r="S373" s="2"/>
      <c r="T373" s="2"/>
      <c r="U373" s="2"/>
      <c r="V373" s="2"/>
      <c r="W373" s="2"/>
      <c r="X373" s="2"/>
      <c r="Y373" s="2"/>
      <c r="Z373" s="2"/>
    </row>
    <row r="374" spans="1:26" ht="25.5" hidden="1" customHeight="1">
      <c r="A374" s="26" t="s">
        <v>1168</v>
      </c>
      <c r="B374" s="27"/>
      <c r="C374" s="28"/>
      <c r="D374" s="27"/>
      <c r="E374" s="27" t="s">
        <v>1169</v>
      </c>
      <c r="F374" s="29" t="s">
        <v>1170</v>
      </c>
      <c r="G374" s="27"/>
      <c r="H374" s="27"/>
      <c r="I374" s="27">
        <v>1</v>
      </c>
      <c r="J374" s="30">
        <v>50894922</v>
      </c>
      <c r="K374" s="26" t="s">
        <v>36</v>
      </c>
      <c r="L374" s="26" t="s">
        <v>37</v>
      </c>
      <c r="M374" s="31"/>
      <c r="N374" s="2"/>
      <c r="O374" s="2"/>
      <c r="P374" s="2"/>
      <c r="Q374" s="2"/>
      <c r="R374" s="2"/>
      <c r="S374" s="2"/>
      <c r="T374" s="2"/>
      <c r="U374" s="2"/>
      <c r="V374" s="2"/>
      <c r="W374" s="2"/>
      <c r="X374" s="2"/>
      <c r="Y374" s="2"/>
      <c r="Z374" s="2"/>
    </row>
    <row r="375" spans="1:26" ht="12.75" hidden="1" customHeight="1">
      <c r="A375" s="26" t="s">
        <v>1171</v>
      </c>
      <c r="B375" s="27"/>
      <c r="C375" s="28"/>
      <c r="D375" s="27"/>
      <c r="E375" s="27" t="s">
        <v>1172</v>
      </c>
      <c r="F375" s="29" t="s">
        <v>1173</v>
      </c>
      <c r="G375" s="27"/>
      <c r="H375" s="27"/>
      <c r="I375" s="27">
        <v>1</v>
      </c>
      <c r="J375" s="30">
        <v>53293934</v>
      </c>
      <c r="K375" s="26" t="s">
        <v>36</v>
      </c>
      <c r="L375" s="26" t="s">
        <v>37</v>
      </c>
      <c r="M375" s="31"/>
      <c r="N375" s="2"/>
      <c r="O375" s="2"/>
      <c r="P375" s="2"/>
      <c r="Q375" s="2"/>
      <c r="R375" s="2"/>
      <c r="S375" s="2"/>
      <c r="T375" s="2"/>
      <c r="U375" s="2"/>
      <c r="V375" s="2"/>
      <c r="W375" s="2"/>
      <c r="X375" s="2"/>
      <c r="Y375" s="2"/>
      <c r="Z375" s="2"/>
    </row>
    <row r="376" spans="1:26" ht="12.75" hidden="1" customHeight="1">
      <c r="A376" s="26" t="s">
        <v>1174</v>
      </c>
      <c r="B376" s="27"/>
      <c r="C376" s="28"/>
      <c r="D376" s="27"/>
      <c r="E376" s="27" t="s">
        <v>1175</v>
      </c>
      <c r="F376" s="29" t="s">
        <v>1176</v>
      </c>
      <c r="G376" s="27"/>
      <c r="H376" s="27"/>
      <c r="I376" s="27">
        <v>1</v>
      </c>
      <c r="J376" s="30">
        <v>46859201</v>
      </c>
      <c r="K376" s="26" t="s">
        <v>36</v>
      </c>
      <c r="L376" s="26" t="s">
        <v>37</v>
      </c>
      <c r="M376" s="31"/>
      <c r="N376" s="2"/>
      <c r="O376" s="2"/>
      <c r="P376" s="2"/>
      <c r="Q376" s="2"/>
      <c r="R376" s="2"/>
      <c r="S376" s="2"/>
      <c r="T376" s="2"/>
      <c r="U376" s="2"/>
      <c r="V376" s="2"/>
      <c r="W376" s="2"/>
      <c r="X376" s="2"/>
      <c r="Y376" s="2"/>
      <c r="Z376" s="2"/>
    </row>
    <row r="377" spans="1:26" ht="12.75" hidden="1" customHeight="1">
      <c r="A377" s="26" t="s">
        <v>1177</v>
      </c>
      <c r="B377" s="27"/>
      <c r="C377" s="28"/>
      <c r="D377" s="27"/>
      <c r="E377" s="27" t="s">
        <v>1178</v>
      </c>
      <c r="F377" s="29" t="s">
        <v>1179</v>
      </c>
      <c r="G377" s="27"/>
      <c r="H377" s="27"/>
      <c r="I377" s="27">
        <v>1</v>
      </c>
      <c r="J377" s="30">
        <v>54258023</v>
      </c>
      <c r="K377" s="26" t="s">
        <v>36</v>
      </c>
      <c r="L377" s="26" t="s">
        <v>37</v>
      </c>
      <c r="M377" s="31"/>
      <c r="N377" s="2"/>
      <c r="O377" s="2"/>
      <c r="P377" s="2"/>
      <c r="Q377" s="2"/>
      <c r="R377" s="2"/>
      <c r="S377" s="2"/>
      <c r="T377" s="2"/>
      <c r="U377" s="2"/>
      <c r="V377" s="2"/>
      <c r="W377" s="2"/>
      <c r="X377" s="2"/>
      <c r="Y377" s="2"/>
      <c r="Z377" s="2"/>
    </row>
    <row r="378" spans="1:26" ht="25.5" hidden="1" customHeight="1">
      <c r="A378" s="26">
        <v>192</v>
      </c>
      <c r="B378" s="27" t="s">
        <v>599</v>
      </c>
      <c r="C378" s="28">
        <v>42671</v>
      </c>
      <c r="D378" s="27"/>
      <c r="E378" s="27" t="s">
        <v>1180</v>
      </c>
      <c r="F378" s="29" t="s">
        <v>1181</v>
      </c>
      <c r="G378" s="27" t="s">
        <v>55</v>
      </c>
      <c r="H378" s="27" t="s">
        <v>157</v>
      </c>
      <c r="I378" s="27">
        <v>1</v>
      </c>
      <c r="J378" s="30">
        <v>6994081260</v>
      </c>
      <c r="K378" s="26" t="s">
        <v>36</v>
      </c>
      <c r="L378" s="26" t="s">
        <v>37</v>
      </c>
      <c r="M378" s="31" t="s">
        <v>1182</v>
      </c>
      <c r="N378" s="2"/>
      <c r="O378" s="2"/>
      <c r="P378" s="2"/>
      <c r="Q378" s="2"/>
      <c r="R378" s="2"/>
      <c r="S378" s="2"/>
      <c r="T378" s="2"/>
      <c r="U378" s="2"/>
      <c r="V378" s="2"/>
      <c r="W378" s="2"/>
      <c r="X378" s="2"/>
      <c r="Y378" s="2"/>
      <c r="Z378" s="2"/>
    </row>
    <row r="379" spans="1:26" ht="25.5" hidden="1" customHeight="1">
      <c r="A379" s="26" t="s">
        <v>1183</v>
      </c>
      <c r="B379" s="27"/>
      <c r="C379" s="28"/>
      <c r="D379" s="27"/>
      <c r="E379" s="27" t="s">
        <v>1184</v>
      </c>
      <c r="F379" s="29" t="s">
        <v>1185</v>
      </c>
      <c r="G379" s="27"/>
      <c r="H379" s="27" t="s">
        <v>19</v>
      </c>
      <c r="I379" s="27">
        <v>1</v>
      </c>
      <c r="J379" s="30">
        <v>0</v>
      </c>
      <c r="K379" s="26" t="s">
        <v>36</v>
      </c>
      <c r="L379" s="26" t="s">
        <v>37</v>
      </c>
      <c r="M379" s="31"/>
      <c r="N379" s="2"/>
      <c r="O379" s="2"/>
      <c r="P379" s="2"/>
      <c r="Q379" s="2"/>
      <c r="R379" s="2"/>
      <c r="S379" s="2"/>
      <c r="T379" s="2"/>
      <c r="U379" s="2"/>
      <c r="V379" s="2"/>
      <c r="W379" s="2"/>
      <c r="X379" s="2"/>
      <c r="Y379" s="2"/>
      <c r="Z379" s="2"/>
    </row>
    <row r="380" spans="1:26" ht="25.5" hidden="1" customHeight="1">
      <c r="A380" s="26" t="s">
        <v>1186</v>
      </c>
      <c r="B380" s="27"/>
      <c r="C380" s="28"/>
      <c r="D380" s="27"/>
      <c r="E380" s="27" t="s">
        <v>1187</v>
      </c>
      <c r="F380" s="29" t="s">
        <v>1188</v>
      </c>
      <c r="G380" s="27"/>
      <c r="H380" s="27" t="s">
        <v>19</v>
      </c>
      <c r="I380" s="27">
        <v>1</v>
      </c>
      <c r="J380" s="30">
        <v>0</v>
      </c>
      <c r="K380" s="26" t="s">
        <v>36</v>
      </c>
      <c r="L380" s="26" t="s">
        <v>37</v>
      </c>
      <c r="M380" s="31"/>
      <c r="N380" s="2"/>
      <c r="O380" s="2"/>
      <c r="P380" s="2"/>
      <c r="Q380" s="2"/>
      <c r="R380" s="2"/>
      <c r="S380" s="2"/>
      <c r="T380" s="2"/>
      <c r="U380" s="2"/>
      <c r="V380" s="2"/>
      <c r="W380" s="2"/>
      <c r="X380" s="2"/>
      <c r="Y380" s="2"/>
      <c r="Z380" s="2"/>
    </row>
    <row r="381" spans="1:26" ht="25.5" hidden="1" customHeight="1">
      <c r="A381" s="26" t="s">
        <v>1189</v>
      </c>
      <c r="B381" s="27"/>
      <c r="C381" s="28"/>
      <c r="D381" s="27"/>
      <c r="E381" s="27" t="s">
        <v>1190</v>
      </c>
      <c r="F381" s="29" t="s">
        <v>1191</v>
      </c>
      <c r="G381" s="27"/>
      <c r="H381" s="27" t="s">
        <v>19</v>
      </c>
      <c r="I381" s="27">
        <v>1</v>
      </c>
      <c r="J381" s="30">
        <v>0</v>
      </c>
      <c r="K381" s="26" t="s">
        <v>36</v>
      </c>
      <c r="L381" s="26" t="s">
        <v>37</v>
      </c>
      <c r="M381" s="31"/>
      <c r="N381" s="2"/>
      <c r="O381" s="2"/>
      <c r="P381" s="2"/>
      <c r="Q381" s="2"/>
      <c r="R381" s="2"/>
      <c r="S381" s="2"/>
      <c r="T381" s="2"/>
      <c r="U381" s="2"/>
      <c r="V381" s="2"/>
      <c r="W381" s="2"/>
      <c r="X381" s="2"/>
      <c r="Y381" s="2"/>
      <c r="Z381" s="2"/>
    </row>
    <row r="382" spans="1:26" ht="12.75" hidden="1" customHeight="1">
      <c r="A382" s="26">
        <v>193</v>
      </c>
      <c r="B382" s="27" t="s">
        <v>1192</v>
      </c>
      <c r="C382" s="28">
        <v>41918</v>
      </c>
      <c r="D382" s="27"/>
      <c r="E382" s="27" t="s">
        <v>1193</v>
      </c>
      <c r="F382" s="29" t="s">
        <v>1194</v>
      </c>
      <c r="G382" s="27" t="s">
        <v>248</v>
      </c>
      <c r="H382" s="27" t="s">
        <v>249</v>
      </c>
      <c r="I382" s="27">
        <v>1</v>
      </c>
      <c r="J382" s="30">
        <v>34350000</v>
      </c>
      <c r="K382" s="26"/>
      <c r="L382" s="26" t="s">
        <v>1196</v>
      </c>
      <c r="M382" s="31" t="s">
        <v>1197</v>
      </c>
      <c r="N382" s="2"/>
      <c r="O382" s="2"/>
      <c r="P382" s="2"/>
      <c r="Q382" s="2"/>
      <c r="R382" s="2"/>
      <c r="S382" s="2"/>
      <c r="T382" s="2"/>
      <c r="U382" s="2"/>
      <c r="V382" s="2"/>
      <c r="W382" s="2"/>
      <c r="X382" s="2"/>
      <c r="Y382" s="2"/>
      <c r="Z382" s="2"/>
    </row>
    <row r="383" spans="1:26" ht="12.75" hidden="1" customHeight="1">
      <c r="A383" s="26">
        <v>194</v>
      </c>
      <c r="B383" s="27" t="s">
        <v>1198</v>
      </c>
      <c r="C383" s="28">
        <v>36160</v>
      </c>
      <c r="D383" s="27" t="s">
        <v>1199</v>
      </c>
      <c r="E383" s="27" t="s">
        <v>1200</v>
      </c>
      <c r="F383" s="29" t="s">
        <v>1201</v>
      </c>
      <c r="G383" s="27"/>
      <c r="H383" s="27" t="s">
        <v>249</v>
      </c>
      <c r="I383" s="27">
        <v>1</v>
      </c>
      <c r="J383" s="30">
        <v>44585475</v>
      </c>
      <c r="K383" s="26" t="s">
        <v>20</v>
      </c>
      <c r="L383" s="36" t="s">
        <v>229</v>
      </c>
      <c r="M383" s="31" t="s">
        <v>5333</v>
      </c>
      <c r="N383" s="2"/>
      <c r="O383" s="2"/>
      <c r="P383" s="2"/>
      <c r="Q383" s="2"/>
      <c r="R383" s="2"/>
      <c r="S383" s="2"/>
      <c r="T383" s="2"/>
      <c r="U383" s="2"/>
      <c r="V383" s="2"/>
      <c r="W383" s="2"/>
      <c r="X383" s="2"/>
      <c r="Y383" s="2"/>
      <c r="Z383" s="2"/>
    </row>
    <row r="384" spans="1:26" ht="12.75" hidden="1" customHeight="1">
      <c r="A384" s="26" t="s">
        <v>1202</v>
      </c>
      <c r="B384" s="27"/>
      <c r="C384" s="28"/>
      <c r="D384" s="27"/>
      <c r="E384" s="27" t="s">
        <v>1203</v>
      </c>
      <c r="F384" s="29" t="s">
        <v>1204</v>
      </c>
      <c r="G384" s="27"/>
      <c r="H384" s="27"/>
      <c r="I384" s="27">
        <v>1</v>
      </c>
      <c r="J384" s="30"/>
      <c r="K384" s="26" t="s">
        <v>20</v>
      </c>
      <c r="L384" s="36" t="s">
        <v>229</v>
      </c>
      <c r="M384" s="31"/>
      <c r="N384" s="2"/>
      <c r="O384" s="2"/>
      <c r="P384" s="2"/>
      <c r="Q384" s="2"/>
      <c r="R384" s="2"/>
      <c r="S384" s="2"/>
      <c r="T384" s="2"/>
      <c r="U384" s="2"/>
      <c r="V384" s="2"/>
      <c r="W384" s="2"/>
      <c r="X384" s="2"/>
      <c r="Y384" s="2"/>
      <c r="Z384" s="2"/>
    </row>
    <row r="385" spans="1:26" ht="25.5" hidden="1" customHeight="1">
      <c r="A385" s="26">
        <v>195</v>
      </c>
      <c r="B385" s="27" t="s">
        <v>304</v>
      </c>
      <c r="C385" s="28">
        <v>41073</v>
      </c>
      <c r="D385" s="27"/>
      <c r="E385" s="27" t="s">
        <v>1205</v>
      </c>
      <c r="F385" s="29" t="s">
        <v>1206</v>
      </c>
      <c r="G385" s="27" t="s">
        <v>1008</v>
      </c>
      <c r="H385" s="27" t="s">
        <v>1157</v>
      </c>
      <c r="I385" s="27">
        <v>1</v>
      </c>
      <c r="J385" s="30">
        <v>802635356</v>
      </c>
      <c r="K385" s="26" t="s">
        <v>36</v>
      </c>
      <c r="L385" s="26" t="s">
        <v>37</v>
      </c>
      <c r="M385" s="31" t="s">
        <v>1207</v>
      </c>
      <c r="N385" s="2"/>
      <c r="O385" s="2"/>
      <c r="P385" s="2"/>
      <c r="Q385" s="2"/>
      <c r="R385" s="2"/>
      <c r="S385" s="2"/>
      <c r="T385" s="2"/>
      <c r="U385" s="2"/>
      <c r="V385" s="2"/>
      <c r="W385" s="2"/>
      <c r="X385" s="2"/>
      <c r="Y385" s="2"/>
      <c r="Z385" s="2"/>
    </row>
    <row r="386" spans="1:26" ht="25.5" hidden="1" customHeight="1">
      <c r="A386" s="26">
        <v>196</v>
      </c>
      <c r="B386" s="27" t="s">
        <v>1208</v>
      </c>
      <c r="C386" s="28">
        <v>41193</v>
      </c>
      <c r="D386" s="27"/>
      <c r="E386" s="27" t="s">
        <v>1209</v>
      </c>
      <c r="F386" s="29" t="s">
        <v>1210</v>
      </c>
      <c r="G386" s="27" t="s">
        <v>248</v>
      </c>
      <c r="H386" s="27" t="s">
        <v>19</v>
      </c>
      <c r="I386" s="27">
        <v>1</v>
      </c>
      <c r="J386" s="30">
        <v>59593500</v>
      </c>
      <c r="K386" s="26" t="s">
        <v>20</v>
      </c>
      <c r="L386" s="26" t="s">
        <v>3375</v>
      </c>
      <c r="M386" s="31" t="s">
        <v>5334</v>
      </c>
      <c r="N386" s="2"/>
      <c r="O386" s="2"/>
      <c r="P386" s="2"/>
      <c r="Q386" s="2"/>
      <c r="R386" s="2"/>
      <c r="S386" s="2"/>
      <c r="T386" s="2"/>
      <c r="U386" s="2"/>
      <c r="V386" s="2"/>
      <c r="W386" s="2"/>
      <c r="X386" s="2"/>
      <c r="Y386" s="2"/>
      <c r="Z386" s="2"/>
    </row>
    <row r="387" spans="1:26" ht="25.5" hidden="1" customHeight="1">
      <c r="A387" s="26">
        <v>197</v>
      </c>
      <c r="B387" s="27" t="s">
        <v>1208</v>
      </c>
      <c r="C387" s="28">
        <v>41193</v>
      </c>
      <c r="D387" s="27"/>
      <c r="E387" s="27" t="s">
        <v>1214</v>
      </c>
      <c r="F387" s="29" t="s">
        <v>1215</v>
      </c>
      <c r="G387" s="27" t="s">
        <v>248</v>
      </c>
      <c r="H387" s="27" t="s">
        <v>19</v>
      </c>
      <c r="I387" s="27">
        <v>1</v>
      </c>
      <c r="J387" s="30">
        <v>59593500</v>
      </c>
      <c r="K387" s="26" t="s">
        <v>20</v>
      </c>
      <c r="L387" s="26" t="s">
        <v>3375</v>
      </c>
      <c r="M387" s="31" t="s">
        <v>5335</v>
      </c>
      <c r="N387" s="2"/>
      <c r="O387" s="2"/>
      <c r="P387" s="2"/>
      <c r="Q387" s="2"/>
      <c r="R387" s="2"/>
      <c r="S387" s="2"/>
      <c r="T387" s="2"/>
      <c r="U387" s="2"/>
      <c r="V387" s="2"/>
      <c r="W387" s="2"/>
      <c r="X387" s="2"/>
      <c r="Y387" s="2"/>
      <c r="Z387" s="2"/>
    </row>
    <row r="388" spans="1:26" ht="25.5" hidden="1" customHeight="1">
      <c r="A388" s="26">
        <v>198</v>
      </c>
      <c r="B388" s="27" t="s">
        <v>1217</v>
      </c>
      <c r="C388" s="28">
        <v>38189</v>
      </c>
      <c r="D388" s="27" t="s">
        <v>1218</v>
      </c>
      <c r="E388" s="27" t="s">
        <v>1219</v>
      </c>
      <c r="F388" s="29" t="s">
        <v>1220</v>
      </c>
      <c r="G388" s="27"/>
      <c r="H388" s="27"/>
      <c r="I388" s="27">
        <v>1</v>
      </c>
      <c r="J388" s="30">
        <v>109060790</v>
      </c>
      <c r="K388" s="26" t="s">
        <v>36</v>
      </c>
      <c r="L388" s="26" t="s">
        <v>37</v>
      </c>
      <c r="M388" s="31" t="s">
        <v>1221</v>
      </c>
      <c r="N388" s="2"/>
      <c r="O388" s="2"/>
      <c r="P388" s="2"/>
      <c r="Q388" s="2"/>
      <c r="R388" s="2"/>
      <c r="S388" s="2"/>
      <c r="T388" s="2"/>
      <c r="U388" s="2"/>
      <c r="V388" s="2"/>
      <c r="W388" s="2"/>
      <c r="X388" s="2"/>
      <c r="Y388" s="2"/>
      <c r="Z388" s="2"/>
    </row>
    <row r="389" spans="1:26" ht="12.75" hidden="1" customHeight="1">
      <c r="A389" s="26">
        <v>199</v>
      </c>
      <c r="B389" s="27" t="s">
        <v>884</v>
      </c>
      <c r="C389" s="28">
        <v>40639</v>
      </c>
      <c r="D389" s="27"/>
      <c r="E389" s="27" t="s">
        <v>1222</v>
      </c>
      <c r="F389" s="29" t="s">
        <v>1223</v>
      </c>
      <c r="G389" s="27"/>
      <c r="H389" s="27" t="s">
        <v>157</v>
      </c>
      <c r="I389" s="27">
        <v>1</v>
      </c>
      <c r="J389" s="30">
        <v>153553733</v>
      </c>
      <c r="K389" s="26" t="s">
        <v>20</v>
      </c>
      <c r="L389" s="36" t="s">
        <v>229</v>
      </c>
      <c r="M389" s="31" t="s">
        <v>5336</v>
      </c>
      <c r="N389" s="2"/>
      <c r="O389" s="2"/>
      <c r="P389" s="2"/>
      <c r="Q389" s="2"/>
      <c r="R389" s="2"/>
      <c r="S389" s="2"/>
      <c r="T389" s="2"/>
      <c r="U389" s="2"/>
      <c r="V389" s="2"/>
      <c r="W389" s="2"/>
      <c r="X389" s="2"/>
      <c r="Y389" s="2"/>
      <c r="Z389" s="2"/>
    </row>
    <row r="390" spans="1:26" ht="25.5" hidden="1" customHeight="1">
      <c r="A390" s="26" t="s">
        <v>1225</v>
      </c>
      <c r="B390" s="27"/>
      <c r="C390" s="28"/>
      <c r="D390" s="27"/>
      <c r="E390" s="27" t="s">
        <v>1226</v>
      </c>
      <c r="F390" s="29" t="s">
        <v>1227</v>
      </c>
      <c r="G390" s="27"/>
      <c r="H390" s="27"/>
      <c r="I390" s="27">
        <v>1</v>
      </c>
      <c r="J390" s="30">
        <v>12862200</v>
      </c>
      <c r="K390" s="26" t="s">
        <v>20</v>
      </c>
      <c r="L390" s="36" t="s">
        <v>229</v>
      </c>
      <c r="M390" s="31"/>
      <c r="N390" s="2"/>
      <c r="O390" s="2"/>
      <c r="P390" s="2"/>
      <c r="Q390" s="2"/>
      <c r="R390" s="2"/>
      <c r="S390" s="2"/>
      <c r="T390" s="2"/>
      <c r="U390" s="2"/>
      <c r="V390" s="2"/>
      <c r="W390" s="2"/>
      <c r="X390" s="2"/>
      <c r="Y390" s="2"/>
      <c r="Z390" s="2"/>
    </row>
    <row r="391" spans="1:26" ht="25.5" hidden="1" customHeight="1">
      <c r="A391" s="26" t="s">
        <v>1228</v>
      </c>
      <c r="B391" s="27"/>
      <c r="C391" s="28"/>
      <c r="D391" s="27"/>
      <c r="E391" s="27" t="s">
        <v>1229</v>
      </c>
      <c r="F391" s="29" t="s">
        <v>1230</v>
      </c>
      <c r="G391" s="27"/>
      <c r="H391" s="27"/>
      <c r="I391" s="27">
        <v>1</v>
      </c>
      <c r="J391" s="30">
        <v>12862200</v>
      </c>
      <c r="K391" s="26" t="s">
        <v>20</v>
      </c>
      <c r="L391" s="36" t="s">
        <v>229</v>
      </c>
      <c r="M391" s="31"/>
      <c r="N391" s="2"/>
      <c r="O391" s="2"/>
      <c r="P391" s="2"/>
      <c r="Q391" s="2"/>
      <c r="R391" s="2"/>
      <c r="S391" s="2"/>
      <c r="T391" s="2"/>
      <c r="U391" s="2"/>
      <c r="V391" s="2"/>
      <c r="W391" s="2"/>
      <c r="X391" s="2"/>
      <c r="Y391" s="2"/>
      <c r="Z391" s="2"/>
    </row>
    <row r="392" spans="1:26" ht="25.5" hidden="1" customHeight="1">
      <c r="A392" s="26" t="s">
        <v>1231</v>
      </c>
      <c r="B392" s="27"/>
      <c r="C392" s="28"/>
      <c r="D392" s="27"/>
      <c r="E392" s="27" t="s">
        <v>1232</v>
      </c>
      <c r="F392" s="29" t="s">
        <v>1233</v>
      </c>
      <c r="G392" s="27"/>
      <c r="H392" s="27"/>
      <c r="I392" s="27">
        <v>1</v>
      </c>
      <c r="J392" s="30">
        <v>12862200</v>
      </c>
      <c r="K392" s="26" t="s">
        <v>20</v>
      </c>
      <c r="L392" s="36" t="s">
        <v>229</v>
      </c>
      <c r="M392" s="31"/>
      <c r="N392" s="2"/>
      <c r="O392" s="2"/>
      <c r="P392" s="2"/>
      <c r="Q392" s="2"/>
      <c r="R392" s="2"/>
      <c r="S392" s="2"/>
      <c r="T392" s="2"/>
      <c r="U392" s="2"/>
      <c r="V392" s="2"/>
      <c r="W392" s="2"/>
      <c r="X392" s="2"/>
      <c r="Y392" s="2"/>
      <c r="Z392" s="2"/>
    </row>
    <row r="393" spans="1:26" ht="25.5" hidden="1" customHeight="1">
      <c r="A393" s="26" t="s">
        <v>1235</v>
      </c>
      <c r="B393" s="27"/>
      <c r="C393" s="28"/>
      <c r="D393" s="27"/>
      <c r="E393" s="27" t="s">
        <v>1236</v>
      </c>
      <c r="F393" s="29" t="s">
        <v>1237</v>
      </c>
      <c r="G393" s="27"/>
      <c r="H393" s="27"/>
      <c r="I393" s="27">
        <v>1</v>
      </c>
      <c r="J393" s="30">
        <v>12862200</v>
      </c>
      <c r="K393" s="26" t="s">
        <v>20</v>
      </c>
      <c r="L393" s="36" t="s">
        <v>229</v>
      </c>
      <c r="M393" s="31"/>
      <c r="N393" s="2"/>
      <c r="O393" s="2"/>
      <c r="P393" s="2"/>
      <c r="Q393" s="2"/>
      <c r="R393" s="2"/>
      <c r="S393" s="2"/>
      <c r="T393" s="2"/>
      <c r="U393" s="2"/>
      <c r="V393" s="2"/>
      <c r="W393" s="2"/>
      <c r="X393" s="2"/>
      <c r="Y393" s="2"/>
      <c r="Z393" s="2"/>
    </row>
    <row r="394" spans="1:26" ht="25.5" hidden="1" customHeight="1">
      <c r="A394" s="26" t="s">
        <v>1238</v>
      </c>
      <c r="B394" s="27"/>
      <c r="C394" s="28"/>
      <c r="D394" s="27"/>
      <c r="E394" s="27" t="s">
        <v>1239</v>
      </c>
      <c r="F394" s="29" t="s">
        <v>1240</v>
      </c>
      <c r="G394" s="27"/>
      <c r="H394" s="27"/>
      <c r="I394" s="27">
        <v>1</v>
      </c>
      <c r="J394" s="30">
        <v>12862200</v>
      </c>
      <c r="K394" s="26" t="s">
        <v>20</v>
      </c>
      <c r="L394" s="36" t="s">
        <v>229</v>
      </c>
      <c r="M394" s="31"/>
      <c r="N394" s="2"/>
      <c r="O394" s="2"/>
      <c r="P394" s="2"/>
      <c r="Q394" s="2"/>
      <c r="R394" s="2"/>
      <c r="S394" s="2"/>
      <c r="T394" s="2"/>
      <c r="U394" s="2"/>
      <c r="V394" s="2"/>
      <c r="W394" s="2"/>
      <c r="X394" s="2"/>
      <c r="Y394" s="2"/>
      <c r="Z394" s="2"/>
    </row>
    <row r="395" spans="1:26" ht="25.5" hidden="1" customHeight="1">
      <c r="A395" s="26" t="s">
        <v>1241</v>
      </c>
      <c r="B395" s="27"/>
      <c r="C395" s="28"/>
      <c r="D395" s="27"/>
      <c r="E395" s="27" t="s">
        <v>1242</v>
      </c>
      <c r="F395" s="29" t="s">
        <v>1243</v>
      </c>
      <c r="G395" s="27"/>
      <c r="H395" s="27"/>
      <c r="I395" s="27">
        <v>1</v>
      </c>
      <c r="J395" s="30">
        <v>12862200</v>
      </c>
      <c r="K395" s="26" t="s">
        <v>20</v>
      </c>
      <c r="L395" s="36" t="s">
        <v>229</v>
      </c>
      <c r="M395" s="31"/>
      <c r="N395" s="2"/>
      <c r="O395" s="2"/>
      <c r="P395" s="2"/>
      <c r="Q395" s="2"/>
      <c r="R395" s="2"/>
      <c r="S395" s="2"/>
      <c r="T395" s="2"/>
      <c r="U395" s="2"/>
      <c r="V395" s="2"/>
      <c r="W395" s="2"/>
      <c r="X395" s="2"/>
      <c r="Y395" s="2"/>
      <c r="Z395" s="2"/>
    </row>
    <row r="396" spans="1:26" ht="25.5" hidden="1" customHeight="1">
      <c r="A396" s="26" t="s">
        <v>1244</v>
      </c>
      <c r="B396" s="27"/>
      <c r="C396" s="28"/>
      <c r="D396" s="27"/>
      <c r="E396" s="27" t="s">
        <v>1245</v>
      </c>
      <c r="F396" s="29" t="s">
        <v>1246</v>
      </c>
      <c r="G396" s="27"/>
      <c r="H396" s="27"/>
      <c r="I396" s="27">
        <v>1</v>
      </c>
      <c r="J396" s="30">
        <v>24781800</v>
      </c>
      <c r="K396" s="26" t="s">
        <v>20</v>
      </c>
      <c r="L396" s="36" t="s">
        <v>229</v>
      </c>
      <c r="M396" s="31"/>
      <c r="N396" s="2"/>
      <c r="O396" s="2"/>
      <c r="P396" s="2"/>
      <c r="Q396" s="2"/>
      <c r="R396" s="2"/>
      <c r="S396" s="2"/>
      <c r="T396" s="2"/>
      <c r="U396" s="2"/>
      <c r="V396" s="2"/>
      <c r="W396" s="2"/>
      <c r="X396" s="2"/>
      <c r="Y396" s="2"/>
      <c r="Z396" s="2"/>
    </row>
    <row r="397" spans="1:26" ht="12.75" hidden="1" customHeight="1">
      <c r="A397" s="26" t="s">
        <v>1249</v>
      </c>
      <c r="B397" s="27"/>
      <c r="C397" s="28"/>
      <c r="D397" s="27"/>
      <c r="E397" s="27" t="s">
        <v>1250</v>
      </c>
      <c r="F397" s="29" t="s">
        <v>1251</v>
      </c>
      <c r="G397" s="27"/>
      <c r="H397" s="27"/>
      <c r="I397" s="27">
        <v>1</v>
      </c>
      <c r="J397" s="30">
        <v>0</v>
      </c>
      <c r="K397" s="26" t="s">
        <v>20</v>
      </c>
      <c r="L397" s="36" t="s">
        <v>229</v>
      </c>
      <c r="M397" s="31"/>
      <c r="N397" s="2"/>
      <c r="O397" s="2"/>
      <c r="P397" s="2"/>
      <c r="Q397" s="2"/>
      <c r="R397" s="2"/>
      <c r="S397" s="2"/>
      <c r="T397" s="2"/>
      <c r="U397" s="2"/>
      <c r="V397" s="2"/>
      <c r="W397" s="2"/>
      <c r="X397" s="2"/>
      <c r="Y397" s="2"/>
      <c r="Z397" s="2"/>
    </row>
    <row r="398" spans="1:26" ht="12.75" hidden="1" customHeight="1">
      <c r="A398" s="26" t="s">
        <v>1253</v>
      </c>
      <c r="B398" s="27"/>
      <c r="C398" s="28"/>
      <c r="D398" s="27"/>
      <c r="E398" s="27" t="s">
        <v>1254</v>
      </c>
      <c r="F398" s="29" t="s">
        <v>1255</v>
      </c>
      <c r="G398" s="27"/>
      <c r="H398" s="27"/>
      <c r="I398" s="27">
        <v>1</v>
      </c>
      <c r="J398" s="30">
        <v>23467700</v>
      </c>
      <c r="K398" s="26" t="s">
        <v>20</v>
      </c>
      <c r="L398" s="36" t="s">
        <v>229</v>
      </c>
      <c r="M398" s="31"/>
      <c r="N398" s="2"/>
      <c r="O398" s="2"/>
      <c r="P398" s="2"/>
      <c r="Q398" s="2"/>
      <c r="R398" s="2"/>
      <c r="S398" s="2"/>
      <c r="T398" s="2"/>
      <c r="U398" s="2"/>
      <c r="V398" s="2"/>
      <c r="W398" s="2"/>
      <c r="X398" s="2"/>
      <c r="Y398" s="2"/>
      <c r="Z398" s="2"/>
    </row>
    <row r="399" spans="1:26" ht="25.5" hidden="1" customHeight="1">
      <c r="A399" s="26" t="s">
        <v>1256</v>
      </c>
      <c r="B399" s="27"/>
      <c r="C399" s="28"/>
      <c r="D399" s="27"/>
      <c r="E399" s="27" t="s">
        <v>1257</v>
      </c>
      <c r="F399" s="29" t="s">
        <v>1258</v>
      </c>
      <c r="G399" s="27"/>
      <c r="H399" s="27"/>
      <c r="I399" s="27">
        <v>1</v>
      </c>
      <c r="J399" s="30">
        <v>0</v>
      </c>
      <c r="K399" s="26" t="s">
        <v>20</v>
      </c>
      <c r="L399" s="36" t="s">
        <v>229</v>
      </c>
      <c r="M399" s="31" t="s">
        <v>5337</v>
      </c>
      <c r="N399" s="2"/>
      <c r="O399" s="2"/>
      <c r="P399" s="2"/>
      <c r="Q399" s="2"/>
      <c r="R399" s="2"/>
      <c r="S399" s="2"/>
      <c r="T399" s="2"/>
      <c r="U399" s="2"/>
      <c r="V399" s="2"/>
      <c r="W399" s="2"/>
      <c r="X399" s="2"/>
      <c r="Y399" s="2"/>
      <c r="Z399" s="2"/>
    </row>
    <row r="400" spans="1:26" ht="12.75" hidden="1" customHeight="1">
      <c r="A400" s="26">
        <v>200</v>
      </c>
      <c r="B400" s="27" t="s">
        <v>1005</v>
      </c>
      <c r="C400" s="28">
        <v>39994</v>
      </c>
      <c r="D400" s="27"/>
      <c r="E400" s="27" t="s">
        <v>1259</v>
      </c>
      <c r="F400" s="29" t="s">
        <v>1260</v>
      </c>
      <c r="G400" s="27" t="s">
        <v>55</v>
      </c>
      <c r="H400" s="27" t="s">
        <v>249</v>
      </c>
      <c r="I400" s="27">
        <v>1</v>
      </c>
      <c r="J400" s="30">
        <v>60254204</v>
      </c>
      <c r="K400" s="26" t="s">
        <v>20</v>
      </c>
      <c r="L400" s="26" t="s">
        <v>423</v>
      </c>
      <c r="M400" s="31" t="s">
        <v>5338</v>
      </c>
      <c r="N400" s="2"/>
      <c r="O400" s="2"/>
      <c r="P400" s="2"/>
      <c r="Q400" s="2"/>
      <c r="R400" s="2"/>
      <c r="S400" s="2"/>
      <c r="T400" s="2"/>
      <c r="U400" s="2"/>
      <c r="V400" s="2"/>
      <c r="W400" s="2"/>
      <c r="X400" s="2"/>
      <c r="Y400" s="2"/>
      <c r="Z400" s="2"/>
    </row>
    <row r="401" spans="1:26" ht="12.75" hidden="1" customHeight="1">
      <c r="A401" s="26">
        <v>201</v>
      </c>
      <c r="B401" s="27" t="s">
        <v>1005</v>
      </c>
      <c r="C401" s="28">
        <v>39994</v>
      </c>
      <c r="D401" s="27"/>
      <c r="E401" s="27" t="s">
        <v>1261</v>
      </c>
      <c r="F401" s="29" t="s">
        <v>1262</v>
      </c>
      <c r="G401" s="27" t="s">
        <v>55</v>
      </c>
      <c r="H401" s="27" t="s">
        <v>249</v>
      </c>
      <c r="I401" s="27">
        <v>1</v>
      </c>
      <c r="J401" s="30">
        <v>60254203</v>
      </c>
      <c r="K401" s="26" t="s">
        <v>20</v>
      </c>
      <c r="L401" s="36" t="s">
        <v>229</v>
      </c>
      <c r="M401" s="31" t="s">
        <v>5339</v>
      </c>
      <c r="N401" s="2"/>
      <c r="O401" s="2"/>
      <c r="P401" s="2"/>
      <c r="Q401" s="2"/>
      <c r="R401" s="2"/>
      <c r="S401" s="2"/>
      <c r="T401" s="2"/>
      <c r="U401" s="2"/>
      <c r="V401" s="2"/>
      <c r="W401" s="2"/>
      <c r="X401" s="2"/>
      <c r="Y401" s="2"/>
      <c r="Z401" s="2"/>
    </row>
    <row r="402" spans="1:26" ht="12.75" hidden="1" customHeight="1">
      <c r="A402" s="38">
        <v>202</v>
      </c>
      <c r="B402" s="27" t="s">
        <v>1005</v>
      </c>
      <c r="C402" s="40">
        <v>39994</v>
      </c>
      <c r="D402" s="27"/>
      <c r="E402" s="39" t="s">
        <v>1263</v>
      </c>
      <c r="F402" s="41" t="s">
        <v>1264</v>
      </c>
      <c r="G402" s="27" t="s">
        <v>55</v>
      </c>
      <c r="H402" s="27" t="s">
        <v>249</v>
      </c>
      <c r="I402" s="27">
        <v>1</v>
      </c>
      <c r="J402" s="42">
        <v>106321571</v>
      </c>
      <c r="K402" s="38" t="s">
        <v>206</v>
      </c>
      <c r="L402" s="38" t="s">
        <v>841</v>
      </c>
      <c r="M402" s="43" t="s">
        <v>1265</v>
      </c>
      <c r="N402" s="2"/>
      <c r="O402" s="2"/>
      <c r="P402" s="2"/>
      <c r="Q402" s="2"/>
      <c r="R402" s="2"/>
      <c r="S402" s="2"/>
      <c r="T402" s="2"/>
      <c r="U402" s="2"/>
      <c r="V402" s="2"/>
      <c r="W402" s="2"/>
      <c r="X402" s="2"/>
      <c r="Y402" s="2"/>
      <c r="Z402" s="2"/>
    </row>
    <row r="403" spans="1:26" ht="12.75" hidden="1" customHeight="1">
      <c r="A403" s="26">
        <v>203</v>
      </c>
      <c r="B403" s="27" t="s">
        <v>884</v>
      </c>
      <c r="C403" s="28">
        <v>40639</v>
      </c>
      <c r="D403" s="27"/>
      <c r="E403" s="27" t="s">
        <v>1266</v>
      </c>
      <c r="F403" s="29" t="s">
        <v>1267</v>
      </c>
      <c r="G403" s="27"/>
      <c r="H403" s="27" t="s">
        <v>157</v>
      </c>
      <c r="I403" s="27">
        <v>1</v>
      </c>
      <c r="J403" s="30">
        <v>56765149</v>
      </c>
      <c r="K403" s="26" t="s">
        <v>206</v>
      </c>
      <c r="L403" s="26" t="s">
        <v>841</v>
      </c>
      <c r="M403" s="31" t="s">
        <v>880</v>
      </c>
      <c r="N403" s="2"/>
      <c r="O403" s="2"/>
      <c r="P403" s="2"/>
      <c r="Q403" s="2"/>
      <c r="R403" s="2"/>
      <c r="S403" s="2"/>
      <c r="T403" s="2"/>
      <c r="U403" s="2"/>
      <c r="V403" s="2"/>
      <c r="W403" s="2"/>
      <c r="X403" s="2"/>
      <c r="Y403" s="2"/>
      <c r="Z403" s="2"/>
    </row>
    <row r="404" spans="1:26" ht="12.75" hidden="1" customHeight="1">
      <c r="A404" s="26" t="s">
        <v>1268</v>
      </c>
      <c r="B404" s="27"/>
      <c r="C404" s="28"/>
      <c r="D404" s="27"/>
      <c r="E404" s="27" t="s">
        <v>1269</v>
      </c>
      <c r="F404" s="29" t="s">
        <v>1270</v>
      </c>
      <c r="G404" s="27"/>
      <c r="H404" s="27"/>
      <c r="I404" s="27">
        <v>1</v>
      </c>
      <c r="J404" s="30">
        <v>8524800</v>
      </c>
      <c r="K404" s="26" t="s">
        <v>206</v>
      </c>
      <c r="L404" s="26" t="s">
        <v>841</v>
      </c>
      <c r="M404" s="31"/>
      <c r="N404" s="2"/>
      <c r="O404" s="2"/>
      <c r="P404" s="2"/>
      <c r="Q404" s="2"/>
      <c r="R404" s="2"/>
      <c r="S404" s="2"/>
      <c r="T404" s="2"/>
      <c r="U404" s="2"/>
      <c r="V404" s="2"/>
      <c r="W404" s="2"/>
      <c r="X404" s="2"/>
      <c r="Y404" s="2"/>
      <c r="Z404" s="2"/>
    </row>
    <row r="405" spans="1:26" ht="25.5" hidden="1" customHeight="1">
      <c r="A405" s="26">
        <v>204</v>
      </c>
      <c r="B405" s="27" t="s">
        <v>1271</v>
      </c>
      <c r="C405" s="28">
        <v>41626</v>
      </c>
      <c r="D405" s="27"/>
      <c r="E405" s="27" t="s">
        <v>1272</v>
      </c>
      <c r="F405" s="29" t="s">
        <v>1273</v>
      </c>
      <c r="G405" s="27" t="s">
        <v>45</v>
      </c>
      <c r="H405" s="27" t="s">
        <v>19</v>
      </c>
      <c r="I405" s="27">
        <v>1</v>
      </c>
      <c r="J405" s="30">
        <v>56839543</v>
      </c>
      <c r="K405" s="26" t="s">
        <v>20</v>
      </c>
      <c r="L405" s="26" t="s">
        <v>423</v>
      </c>
      <c r="M405" s="31" t="s">
        <v>5340</v>
      </c>
      <c r="N405" s="2"/>
      <c r="O405" s="2"/>
      <c r="P405" s="2"/>
      <c r="Q405" s="2"/>
      <c r="R405" s="2"/>
      <c r="S405" s="2"/>
      <c r="T405" s="2"/>
      <c r="U405" s="2"/>
      <c r="V405" s="2"/>
      <c r="W405" s="2"/>
      <c r="X405" s="2"/>
      <c r="Y405" s="2"/>
      <c r="Z405" s="2"/>
    </row>
    <row r="406" spans="1:26" ht="25.5" hidden="1" customHeight="1">
      <c r="A406" s="26">
        <v>205</v>
      </c>
      <c r="B406" s="27" t="s">
        <v>1271</v>
      </c>
      <c r="C406" s="28">
        <v>41626</v>
      </c>
      <c r="D406" s="27"/>
      <c r="E406" s="27" t="s">
        <v>1275</v>
      </c>
      <c r="F406" s="29" t="s">
        <v>1276</v>
      </c>
      <c r="G406" s="27" t="s">
        <v>45</v>
      </c>
      <c r="H406" s="27" t="s">
        <v>19</v>
      </c>
      <c r="I406" s="27">
        <v>1</v>
      </c>
      <c r="J406" s="30">
        <v>45611979</v>
      </c>
      <c r="K406" s="26" t="s">
        <v>20</v>
      </c>
      <c r="L406" s="26" t="s">
        <v>423</v>
      </c>
      <c r="M406" s="31" t="s">
        <v>5341</v>
      </c>
      <c r="N406" s="2"/>
      <c r="O406" s="2"/>
      <c r="P406" s="2"/>
      <c r="Q406" s="2"/>
      <c r="R406" s="2"/>
      <c r="S406" s="2"/>
      <c r="T406" s="2"/>
      <c r="U406" s="2"/>
      <c r="V406" s="2"/>
      <c r="W406" s="2"/>
      <c r="X406" s="2"/>
      <c r="Y406" s="2"/>
      <c r="Z406" s="2"/>
    </row>
    <row r="407" spans="1:26" ht="12.75" hidden="1" customHeight="1">
      <c r="A407" s="26">
        <v>206</v>
      </c>
      <c r="B407" s="27" t="s">
        <v>1271</v>
      </c>
      <c r="C407" s="28">
        <v>41626</v>
      </c>
      <c r="D407" s="27"/>
      <c r="E407" s="27" t="s">
        <v>1278</v>
      </c>
      <c r="F407" s="29" t="s">
        <v>1279</v>
      </c>
      <c r="G407" s="27" t="s">
        <v>45</v>
      </c>
      <c r="H407" s="27" t="s">
        <v>19</v>
      </c>
      <c r="I407" s="27">
        <v>1</v>
      </c>
      <c r="J407" s="30">
        <v>45611979</v>
      </c>
      <c r="K407" s="26" t="s">
        <v>20</v>
      </c>
      <c r="L407" s="26" t="s">
        <v>423</v>
      </c>
      <c r="M407" s="31" t="s">
        <v>5342</v>
      </c>
      <c r="N407" s="2"/>
      <c r="O407" s="2"/>
      <c r="P407" s="2"/>
      <c r="Q407" s="2"/>
      <c r="R407" s="2"/>
      <c r="S407" s="2"/>
      <c r="T407" s="2"/>
      <c r="U407" s="2"/>
      <c r="V407" s="2"/>
      <c r="W407" s="2"/>
      <c r="X407" s="2"/>
      <c r="Y407" s="2"/>
      <c r="Z407" s="2"/>
    </row>
    <row r="408" spans="1:26" ht="25.5" hidden="1" customHeight="1">
      <c r="A408" s="26">
        <v>207</v>
      </c>
      <c r="B408" s="27" t="s">
        <v>470</v>
      </c>
      <c r="C408" s="28">
        <v>41983</v>
      </c>
      <c r="D408" s="27"/>
      <c r="E408" s="27" t="s">
        <v>1280</v>
      </c>
      <c r="F408" s="29" t="s">
        <v>1281</v>
      </c>
      <c r="G408" s="27" t="s">
        <v>55</v>
      </c>
      <c r="H408" s="27" t="s">
        <v>19</v>
      </c>
      <c r="I408" s="27">
        <v>1</v>
      </c>
      <c r="J408" s="30">
        <v>47915403</v>
      </c>
      <c r="K408" s="26" t="s">
        <v>20</v>
      </c>
      <c r="L408" s="26" t="s">
        <v>423</v>
      </c>
      <c r="M408" s="31" t="s">
        <v>5204</v>
      </c>
      <c r="N408" s="2"/>
      <c r="O408" s="2"/>
      <c r="P408" s="2"/>
      <c r="Q408" s="2"/>
      <c r="R408" s="2"/>
      <c r="S408" s="2"/>
      <c r="T408" s="2"/>
      <c r="U408" s="2"/>
      <c r="V408" s="2"/>
      <c r="W408" s="2"/>
      <c r="X408" s="2"/>
      <c r="Y408" s="2"/>
      <c r="Z408" s="2"/>
    </row>
    <row r="409" spans="1:26" ht="25.5" hidden="1" customHeight="1">
      <c r="A409" s="26">
        <v>208</v>
      </c>
      <c r="B409" s="27" t="s">
        <v>470</v>
      </c>
      <c r="C409" s="28">
        <v>41983</v>
      </c>
      <c r="D409" s="27"/>
      <c r="E409" s="27" t="s">
        <v>1283</v>
      </c>
      <c r="F409" s="29" t="s">
        <v>1284</v>
      </c>
      <c r="G409" s="27" t="s">
        <v>55</v>
      </c>
      <c r="H409" s="27" t="s">
        <v>19</v>
      </c>
      <c r="I409" s="27">
        <v>1</v>
      </c>
      <c r="J409" s="30">
        <v>47915403</v>
      </c>
      <c r="K409" s="26" t="s">
        <v>20</v>
      </c>
      <c r="L409" s="26" t="s">
        <v>233</v>
      </c>
      <c r="M409" s="31" t="s">
        <v>5343</v>
      </c>
      <c r="N409" s="2"/>
      <c r="O409" s="2"/>
      <c r="P409" s="2"/>
      <c r="Q409" s="2"/>
      <c r="R409" s="2"/>
      <c r="S409" s="2"/>
      <c r="T409" s="2"/>
      <c r="U409" s="2"/>
      <c r="V409" s="2"/>
      <c r="W409" s="2"/>
      <c r="X409" s="2"/>
      <c r="Y409" s="2"/>
      <c r="Z409" s="2"/>
    </row>
    <row r="410" spans="1:26" ht="38.25" hidden="1" customHeight="1">
      <c r="A410" s="26">
        <v>209</v>
      </c>
      <c r="B410" s="27" t="s">
        <v>599</v>
      </c>
      <c r="C410" s="28">
        <v>42671</v>
      </c>
      <c r="D410" s="27"/>
      <c r="E410" s="27" t="s">
        <v>1286</v>
      </c>
      <c r="F410" s="29" t="s">
        <v>1287</v>
      </c>
      <c r="G410" s="27"/>
      <c r="H410" s="27" t="s">
        <v>19</v>
      </c>
      <c r="I410" s="27">
        <v>1</v>
      </c>
      <c r="J410" s="30">
        <v>341201513</v>
      </c>
      <c r="K410" s="26" t="s">
        <v>36</v>
      </c>
      <c r="L410" s="26" t="s">
        <v>1542</v>
      </c>
      <c r="M410" s="31" t="s">
        <v>1288</v>
      </c>
      <c r="N410" s="2"/>
      <c r="O410" s="2"/>
      <c r="P410" s="2"/>
      <c r="Q410" s="2"/>
      <c r="R410" s="2"/>
      <c r="S410" s="2"/>
      <c r="T410" s="2"/>
      <c r="U410" s="2"/>
      <c r="V410" s="2"/>
      <c r="W410" s="2"/>
      <c r="X410" s="2"/>
      <c r="Y410" s="2"/>
      <c r="Z410" s="2"/>
    </row>
    <row r="411" spans="1:26" ht="38.25" hidden="1" customHeight="1">
      <c r="A411" s="26">
        <v>210</v>
      </c>
      <c r="B411" s="27" t="s">
        <v>599</v>
      </c>
      <c r="C411" s="28">
        <v>42671</v>
      </c>
      <c r="D411" s="27"/>
      <c r="E411" s="27" t="s">
        <v>1289</v>
      </c>
      <c r="F411" s="29" t="s">
        <v>1290</v>
      </c>
      <c r="G411" s="27"/>
      <c r="H411" s="27" t="s">
        <v>19</v>
      </c>
      <c r="I411" s="27">
        <v>1</v>
      </c>
      <c r="J411" s="30">
        <v>341201513</v>
      </c>
      <c r="K411" s="26" t="s">
        <v>36</v>
      </c>
      <c r="L411" s="26" t="s">
        <v>1542</v>
      </c>
      <c r="M411" s="31" t="s">
        <v>1291</v>
      </c>
      <c r="N411" s="2"/>
      <c r="O411" s="2"/>
      <c r="P411" s="2"/>
      <c r="Q411" s="2"/>
      <c r="R411" s="2"/>
      <c r="S411" s="2"/>
      <c r="T411" s="2"/>
      <c r="U411" s="2"/>
      <c r="V411" s="2"/>
      <c r="W411" s="2"/>
      <c r="X411" s="2"/>
      <c r="Y411" s="2"/>
      <c r="Z411" s="2"/>
    </row>
    <row r="412" spans="1:26" ht="38.25" hidden="1" customHeight="1">
      <c r="A412" s="26">
        <v>211</v>
      </c>
      <c r="B412" s="27" t="s">
        <v>797</v>
      </c>
      <c r="C412" s="28">
        <v>42671</v>
      </c>
      <c r="D412" s="27"/>
      <c r="E412" s="27" t="s">
        <v>1292</v>
      </c>
      <c r="F412" s="29" t="s">
        <v>1293</v>
      </c>
      <c r="G412" s="27"/>
      <c r="H412" s="27" t="s">
        <v>19</v>
      </c>
      <c r="I412" s="27">
        <v>1</v>
      </c>
      <c r="J412" s="30">
        <v>522037693</v>
      </c>
      <c r="K412" s="26" t="s">
        <v>206</v>
      </c>
      <c r="L412" s="26" t="s">
        <v>841</v>
      </c>
      <c r="M412" s="31" t="s">
        <v>1041</v>
      </c>
      <c r="N412" s="2"/>
      <c r="O412" s="2"/>
      <c r="P412" s="2"/>
      <c r="Q412" s="2"/>
      <c r="R412" s="2"/>
      <c r="S412" s="2"/>
      <c r="T412" s="2"/>
      <c r="U412" s="2"/>
      <c r="V412" s="2"/>
      <c r="W412" s="2"/>
      <c r="X412" s="2"/>
      <c r="Y412" s="2"/>
      <c r="Z412" s="2"/>
    </row>
    <row r="413" spans="1:26" ht="25.5" hidden="1" customHeight="1">
      <c r="A413" s="26">
        <v>212</v>
      </c>
      <c r="B413" s="27" t="s">
        <v>797</v>
      </c>
      <c r="C413" s="28">
        <v>42671</v>
      </c>
      <c r="D413" s="27"/>
      <c r="E413" s="27" t="s">
        <v>1294</v>
      </c>
      <c r="F413" s="29" t="s">
        <v>1295</v>
      </c>
      <c r="G413" s="27"/>
      <c r="H413" s="27" t="s">
        <v>19</v>
      </c>
      <c r="I413" s="27">
        <v>1</v>
      </c>
      <c r="J413" s="30">
        <v>101657498</v>
      </c>
      <c r="K413" s="26" t="s">
        <v>206</v>
      </c>
      <c r="L413" s="26" t="s">
        <v>841</v>
      </c>
      <c r="M413" s="31" t="s">
        <v>1041</v>
      </c>
      <c r="N413" s="2"/>
      <c r="O413" s="2"/>
      <c r="P413" s="2"/>
      <c r="Q413" s="2"/>
      <c r="R413" s="2"/>
      <c r="S413" s="2"/>
      <c r="T413" s="2"/>
      <c r="U413" s="2"/>
      <c r="V413" s="2"/>
      <c r="W413" s="2"/>
      <c r="X413" s="2"/>
      <c r="Y413" s="2"/>
      <c r="Z413" s="2"/>
    </row>
    <row r="414" spans="1:26" ht="25.5" hidden="1" customHeight="1">
      <c r="A414" s="26">
        <v>213</v>
      </c>
      <c r="B414" s="27" t="s">
        <v>797</v>
      </c>
      <c r="C414" s="28">
        <v>42671</v>
      </c>
      <c r="D414" s="27"/>
      <c r="E414" s="27" t="s">
        <v>1296</v>
      </c>
      <c r="F414" s="29" t="s">
        <v>1297</v>
      </c>
      <c r="G414" s="27"/>
      <c r="H414" s="27" t="s">
        <v>19</v>
      </c>
      <c r="I414" s="27">
        <v>1</v>
      </c>
      <c r="J414" s="30">
        <v>101657498</v>
      </c>
      <c r="K414" s="26" t="s">
        <v>206</v>
      </c>
      <c r="L414" s="26" t="s">
        <v>841</v>
      </c>
      <c r="M414" s="31" t="s">
        <v>1041</v>
      </c>
      <c r="N414" s="2"/>
      <c r="O414" s="2"/>
      <c r="P414" s="2"/>
      <c r="Q414" s="2"/>
      <c r="R414" s="2"/>
      <c r="S414" s="2"/>
      <c r="T414" s="2"/>
      <c r="U414" s="2"/>
      <c r="V414" s="2"/>
      <c r="W414" s="2"/>
      <c r="X414" s="2"/>
      <c r="Y414" s="2"/>
      <c r="Z414" s="2"/>
    </row>
    <row r="415" spans="1:26" ht="25.5" hidden="1" customHeight="1">
      <c r="A415" s="26">
        <v>214</v>
      </c>
      <c r="B415" s="27" t="s">
        <v>797</v>
      </c>
      <c r="C415" s="28">
        <v>42671</v>
      </c>
      <c r="D415" s="27"/>
      <c r="E415" s="27" t="s">
        <v>1298</v>
      </c>
      <c r="F415" s="29" t="s">
        <v>1299</v>
      </c>
      <c r="G415" s="27"/>
      <c r="H415" s="27" t="s">
        <v>19</v>
      </c>
      <c r="I415" s="27">
        <v>1</v>
      </c>
      <c r="J415" s="30">
        <v>88612431</v>
      </c>
      <c r="K415" s="26" t="s">
        <v>206</v>
      </c>
      <c r="L415" s="26" t="s">
        <v>841</v>
      </c>
      <c r="M415" s="31" t="s">
        <v>1041</v>
      </c>
      <c r="N415" s="2"/>
      <c r="O415" s="2"/>
      <c r="P415" s="2"/>
      <c r="Q415" s="2"/>
      <c r="R415" s="2"/>
      <c r="S415" s="2"/>
      <c r="T415" s="2"/>
      <c r="U415" s="2"/>
      <c r="V415" s="2"/>
      <c r="W415" s="2"/>
      <c r="X415" s="2"/>
      <c r="Y415" s="2"/>
      <c r="Z415" s="2"/>
    </row>
    <row r="416" spans="1:26" ht="25.5" hidden="1" customHeight="1">
      <c r="A416" s="26">
        <v>215</v>
      </c>
      <c r="B416" s="27" t="s">
        <v>797</v>
      </c>
      <c r="C416" s="28">
        <v>42671</v>
      </c>
      <c r="D416" s="27"/>
      <c r="E416" s="27" t="s">
        <v>1300</v>
      </c>
      <c r="F416" s="29" t="s">
        <v>1301</v>
      </c>
      <c r="G416" s="27"/>
      <c r="H416" s="27" t="s">
        <v>19</v>
      </c>
      <c r="I416" s="27">
        <v>1</v>
      </c>
      <c r="J416" s="30">
        <v>88612431</v>
      </c>
      <c r="K416" s="26" t="s">
        <v>206</v>
      </c>
      <c r="L416" s="26" t="s">
        <v>841</v>
      </c>
      <c r="M416" s="31" t="s">
        <v>1041</v>
      </c>
      <c r="N416" s="2"/>
      <c r="O416" s="2"/>
      <c r="P416" s="2"/>
      <c r="Q416" s="2"/>
      <c r="R416" s="2"/>
      <c r="S416" s="2"/>
      <c r="T416" s="2"/>
      <c r="U416" s="2"/>
      <c r="V416" s="2"/>
      <c r="W416" s="2"/>
      <c r="X416" s="2"/>
      <c r="Y416" s="2"/>
      <c r="Z416" s="2"/>
    </row>
    <row r="417" spans="1:26" ht="25.5" hidden="1" customHeight="1">
      <c r="A417" s="26">
        <v>216</v>
      </c>
      <c r="B417" s="27" t="s">
        <v>797</v>
      </c>
      <c r="C417" s="28">
        <v>42671</v>
      </c>
      <c r="D417" s="27"/>
      <c r="E417" s="27" t="s">
        <v>1302</v>
      </c>
      <c r="F417" s="29" t="s">
        <v>1303</v>
      </c>
      <c r="G417" s="27"/>
      <c r="H417" s="27" t="s">
        <v>19</v>
      </c>
      <c r="I417" s="27">
        <v>1</v>
      </c>
      <c r="J417" s="30">
        <v>88612431</v>
      </c>
      <c r="K417" s="26" t="s">
        <v>206</v>
      </c>
      <c r="L417" s="26" t="s">
        <v>841</v>
      </c>
      <c r="M417" s="31" t="s">
        <v>1041</v>
      </c>
      <c r="N417" s="2"/>
      <c r="O417" s="2"/>
      <c r="P417" s="2"/>
      <c r="Q417" s="2"/>
      <c r="R417" s="2"/>
      <c r="S417" s="2"/>
      <c r="T417" s="2"/>
      <c r="U417" s="2"/>
      <c r="V417" s="2"/>
      <c r="W417" s="2"/>
      <c r="X417" s="2"/>
      <c r="Y417" s="2"/>
      <c r="Z417" s="2"/>
    </row>
    <row r="418" spans="1:26" ht="25.5" hidden="1" customHeight="1">
      <c r="A418" s="26">
        <v>217</v>
      </c>
      <c r="B418" s="27" t="s">
        <v>797</v>
      </c>
      <c r="C418" s="28">
        <v>42671</v>
      </c>
      <c r="D418" s="27"/>
      <c r="E418" s="27" t="s">
        <v>1304</v>
      </c>
      <c r="F418" s="29" t="s">
        <v>1305</v>
      </c>
      <c r="G418" s="27"/>
      <c r="H418" s="27" t="s">
        <v>19</v>
      </c>
      <c r="I418" s="27">
        <v>1</v>
      </c>
      <c r="J418" s="30">
        <v>88612431</v>
      </c>
      <c r="K418" s="26" t="s">
        <v>206</v>
      </c>
      <c r="L418" s="26" t="s">
        <v>841</v>
      </c>
      <c r="M418" s="31" t="s">
        <v>1041</v>
      </c>
      <c r="N418" s="2"/>
      <c r="O418" s="2"/>
      <c r="P418" s="2"/>
      <c r="Q418" s="2"/>
      <c r="R418" s="2"/>
      <c r="S418" s="2"/>
      <c r="T418" s="2"/>
      <c r="U418" s="2"/>
      <c r="V418" s="2"/>
      <c r="W418" s="2"/>
      <c r="X418" s="2"/>
      <c r="Y418" s="2"/>
      <c r="Z418" s="2"/>
    </row>
    <row r="419" spans="1:26" ht="25.5" hidden="1" customHeight="1">
      <c r="A419" s="26">
        <v>218</v>
      </c>
      <c r="B419" s="27" t="s">
        <v>797</v>
      </c>
      <c r="C419" s="28">
        <v>42671</v>
      </c>
      <c r="D419" s="27"/>
      <c r="E419" s="27" t="s">
        <v>1306</v>
      </c>
      <c r="F419" s="29" t="s">
        <v>1307</v>
      </c>
      <c r="G419" s="27"/>
      <c r="H419" s="27" t="s">
        <v>19</v>
      </c>
      <c r="I419" s="27">
        <v>1</v>
      </c>
      <c r="J419" s="30">
        <v>53237972</v>
      </c>
      <c r="K419" s="26" t="s">
        <v>206</v>
      </c>
      <c r="L419" s="26" t="s">
        <v>841</v>
      </c>
      <c r="M419" s="31" t="s">
        <v>1041</v>
      </c>
      <c r="N419" s="2"/>
      <c r="O419" s="2"/>
      <c r="P419" s="2"/>
      <c r="Q419" s="2"/>
      <c r="R419" s="2"/>
      <c r="S419" s="2"/>
      <c r="T419" s="2"/>
      <c r="U419" s="2"/>
      <c r="V419" s="2"/>
      <c r="W419" s="2"/>
      <c r="X419" s="2"/>
      <c r="Y419" s="2"/>
      <c r="Z419" s="2"/>
    </row>
    <row r="420" spans="1:26" ht="25.5" hidden="1" customHeight="1">
      <c r="A420" s="26">
        <v>219</v>
      </c>
      <c r="B420" s="27" t="s">
        <v>797</v>
      </c>
      <c r="C420" s="28">
        <v>42671</v>
      </c>
      <c r="D420" s="27"/>
      <c r="E420" s="27" t="s">
        <v>1308</v>
      </c>
      <c r="F420" s="29" t="s">
        <v>1309</v>
      </c>
      <c r="G420" s="27"/>
      <c r="H420" s="27" t="s">
        <v>19</v>
      </c>
      <c r="I420" s="27">
        <v>1</v>
      </c>
      <c r="J420" s="30">
        <v>53237972</v>
      </c>
      <c r="K420" s="26" t="s">
        <v>206</v>
      </c>
      <c r="L420" s="26" t="s">
        <v>5344</v>
      </c>
      <c r="M420" s="31" t="s">
        <v>1311</v>
      </c>
      <c r="N420" s="2"/>
      <c r="O420" s="2"/>
      <c r="P420" s="2"/>
      <c r="Q420" s="2"/>
      <c r="R420" s="2"/>
      <c r="S420" s="2"/>
      <c r="T420" s="2"/>
      <c r="U420" s="2"/>
      <c r="V420" s="2"/>
      <c r="W420" s="2"/>
      <c r="X420" s="2"/>
      <c r="Y420" s="2"/>
      <c r="Z420" s="2"/>
    </row>
    <row r="421" spans="1:26" ht="25.5" hidden="1" customHeight="1">
      <c r="A421" s="26">
        <v>220</v>
      </c>
      <c r="B421" s="27" t="s">
        <v>797</v>
      </c>
      <c r="C421" s="28">
        <v>42671</v>
      </c>
      <c r="D421" s="27"/>
      <c r="E421" s="27" t="s">
        <v>1312</v>
      </c>
      <c r="F421" s="29" t="s">
        <v>1313</v>
      </c>
      <c r="G421" s="27"/>
      <c r="H421" s="27" t="s">
        <v>19</v>
      </c>
      <c r="I421" s="27">
        <v>1</v>
      </c>
      <c r="J421" s="30">
        <v>53237972</v>
      </c>
      <c r="K421" s="26" t="s">
        <v>206</v>
      </c>
      <c r="L421" s="26" t="s">
        <v>5344</v>
      </c>
      <c r="M421" s="31" t="s">
        <v>1311</v>
      </c>
      <c r="N421" s="2"/>
      <c r="O421" s="2"/>
      <c r="P421" s="2"/>
      <c r="Q421" s="2"/>
      <c r="R421" s="2"/>
      <c r="S421" s="2"/>
      <c r="T421" s="2"/>
      <c r="U421" s="2"/>
      <c r="V421" s="2"/>
      <c r="W421" s="2"/>
      <c r="X421" s="2"/>
      <c r="Y421" s="2"/>
      <c r="Z421" s="2"/>
    </row>
    <row r="422" spans="1:26" ht="25.5" hidden="1" customHeight="1">
      <c r="A422" s="26">
        <v>221</v>
      </c>
      <c r="B422" s="27" t="s">
        <v>797</v>
      </c>
      <c r="C422" s="28">
        <v>42671</v>
      </c>
      <c r="D422" s="27"/>
      <c r="E422" s="27" t="s">
        <v>1314</v>
      </c>
      <c r="F422" s="29" t="s">
        <v>1315</v>
      </c>
      <c r="G422" s="27"/>
      <c r="H422" s="27" t="s">
        <v>19</v>
      </c>
      <c r="I422" s="27">
        <v>1</v>
      </c>
      <c r="J422" s="30">
        <v>53237972</v>
      </c>
      <c r="K422" s="26" t="s">
        <v>206</v>
      </c>
      <c r="L422" s="26" t="s">
        <v>5344</v>
      </c>
      <c r="M422" s="31" t="s">
        <v>1311</v>
      </c>
      <c r="N422" s="2"/>
      <c r="O422" s="2"/>
      <c r="P422" s="2"/>
      <c r="Q422" s="2"/>
      <c r="R422" s="2"/>
      <c r="S422" s="2"/>
      <c r="T422" s="2"/>
      <c r="U422" s="2"/>
      <c r="V422" s="2"/>
      <c r="W422" s="2"/>
      <c r="X422" s="2"/>
      <c r="Y422" s="2"/>
      <c r="Z422" s="2"/>
    </row>
    <row r="423" spans="1:26" ht="25.5" hidden="1" customHeight="1">
      <c r="A423" s="26">
        <v>222</v>
      </c>
      <c r="B423" s="27" t="s">
        <v>797</v>
      </c>
      <c r="C423" s="28">
        <v>42671</v>
      </c>
      <c r="D423" s="27"/>
      <c r="E423" s="27" t="s">
        <v>1316</v>
      </c>
      <c r="F423" s="29" t="s">
        <v>1317</v>
      </c>
      <c r="G423" s="27"/>
      <c r="H423" s="27" t="s">
        <v>19</v>
      </c>
      <c r="I423" s="27">
        <v>1</v>
      </c>
      <c r="J423" s="30">
        <v>53237972</v>
      </c>
      <c r="K423" s="26" t="s">
        <v>206</v>
      </c>
      <c r="L423" s="26" t="s">
        <v>5344</v>
      </c>
      <c r="M423" s="31" t="s">
        <v>1311</v>
      </c>
      <c r="N423" s="2"/>
      <c r="O423" s="2"/>
      <c r="P423" s="2"/>
      <c r="Q423" s="2"/>
      <c r="R423" s="2"/>
      <c r="S423" s="2"/>
      <c r="T423" s="2"/>
      <c r="U423" s="2"/>
      <c r="V423" s="2"/>
      <c r="W423" s="2"/>
      <c r="X423" s="2"/>
      <c r="Y423" s="2"/>
      <c r="Z423" s="2"/>
    </row>
    <row r="424" spans="1:26" ht="25.5" hidden="1" customHeight="1">
      <c r="A424" s="26">
        <v>223</v>
      </c>
      <c r="B424" s="27" t="s">
        <v>797</v>
      </c>
      <c r="C424" s="28">
        <v>42671</v>
      </c>
      <c r="D424" s="27"/>
      <c r="E424" s="27" t="s">
        <v>1318</v>
      </c>
      <c r="F424" s="29" t="s">
        <v>1319</v>
      </c>
      <c r="G424" s="27"/>
      <c r="H424" s="27" t="s">
        <v>19</v>
      </c>
      <c r="I424" s="27">
        <v>1</v>
      </c>
      <c r="J424" s="30">
        <v>53237972</v>
      </c>
      <c r="K424" s="26" t="s">
        <v>206</v>
      </c>
      <c r="L424" s="26" t="s">
        <v>5344</v>
      </c>
      <c r="M424" s="31" t="s">
        <v>1311</v>
      </c>
      <c r="N424" s="2"/>
      <c r="O424" s="2"/>
      <c r="P424" s="2"/>
      <c r="Q424" s="2"/>
      <c r="R424" s="2"/>
      <c r="S424" s="2"/>
      <c r="T424" s="2"/>
      <c r="U424" s="2"/>
      <c r="V424" s="2"/>
      <c r="W424" s="2"/>
      <c r="X424" s="2"/>
      <c r="Y424" s="2"/>
      <c r="Z424" s="2"/>
    </row>
    <row r="425" spans="1:26" ht="25.5" hidden="1" customHeight="1">
      <c r="A425" s="26">
        <v>224</v>
      </c>
      <c r="B425" s="27" t="s">
        <v>797</v>
      </c>
      <c r="C425" s="28">
        <v>42671</v>
      </c>
      <c r="D425" s="27"/>
      <c r="E425" s="27" t="s">
        <v>1320</v>
      </c>
      <c r="F425" s="29" t="s">
        <v>1321</v>
      </c>
      <c r="G425" s="27"/>
      <c r="H425" s="27" t="s">
        <v>19</v>
      </c>
      <c r="I425" s="27">
        <v>1</v>
      </c>
      <c r="J425" s="30">
        <v>53237972</v>
      </c>
      <c r="K425" s="26" t="s">
        <v>206</v>
      </c>
      <c r="L425" s="26" t="s">
        <v>5344</v>
      </c>
      <c r="M425" s="31" t="s">
        <v>1311</v>
      </c>
      <c r="N425" s="2"/>
      <c r="O425" s="2"/>
      <c r="P425" s="2"/>
      <c r="Q425" s="2"/>
      <c r="R425" s="2"/>
      <c r="S425" s="2"/>
      <c r="T425" s="2"/>
      <c r="U425" s="2"/>
      <c r="V425" s="2"/>
      <c r="W425" s="2"/>
      <c r="X425" s="2"/>
      <c r="Y425" s="2"/>
      <c r="Z425" s="2"/>
    </row>
    <row r="426" spans="1:26" ht="25.5" hidden="1" customHeight="1">
      <c r="A426" s="26">
        <v>225</v>
      </c>
      <c r="B426" s="27" t="s">
        <v>797</v>
      </c>
      <c r="C426" s="28">
        <v>42671</v>
      </c>
      <c r="D426" s="27"/>
      <c r="E426" s="27" t="s">
        <v>1322</v>
      </c>
      <c r="F426" s="29" t="s">
        <v>1323</v>
      </c>
      <c r="G426" s="27"/>
      <c r="H426" s="27" t="s">
        <v>19</v>
      </c>
      <c r="I426" s="27">
        <v>1</v>
      </c>
      <c r="J426" s="30">
        <v>53237972</v>
      </c>
      <c r="K426" s="26" t="s">
        <v>206</v>
      </c>
      <c r="L426" s="26" t="s">
        <v>5344</v>
      </c>
      <c r="M426" s="31" t="s">
        <v>1311</v>
      </c>
      <c r="N426" s="2"/>
      <c r="O426" s="2"/>
      <c r="P426" s="2"/>
      <c r="Q426" s="2"/>
      <c r="R426" s="2"/>
      <c r="S426" s="2"/>
      <c r="T426" s="2"/>
      <c r="U426" s="2"/>
      <c r="V426" s="2"/>
      <c r="W426" s="2"/>
      <c r="X426" s="2"/>
      <c r="Y426" s="2"/>
      <c r="Z426" s="2"/>
    </row>
    <row r="427" spans="1:26" ht="25.5" hidden="1" customHeight="1">
      <c r="A427" s="26">
        <v>226</v>
      </c>
      <c r="B427" s="27" t="s">
        <v>797</v>
      </c>
      <c r="C427" s="28">
        <v>42671</v>
      </c>
      <c r="D427" s="27"/>
      <c r="E427" s="27" t="s">
        <v>1324</v>
      </c>
      <c r="F427" s="29" t="s">
        <v>1325</v>
      </c>
      <c r="G427" s="27"/>
      <c r="H427" s="27" t="s">
        <v>19</v>
      </c>
      <c r="I427" s="27">
        <v>1</v>
      </c>
      <c r="J427" s="30">
        <v>53237972</v>
      </c>
      <c r="K427" s="26" t="s">
        <v>206</v>
      </c>
      <c r="L427" s="26" t="s">
        <v>5344</v>
      </c>
      <c r="M427" s="31" t="s">
        <v>1311</v>
      </c>
      <c r="N427" s="2"/>
      <c r="O427" s="2"/>
      <c r="P427" s="2"/>
      <c r="Q427" s="2"/>
      <c r="R427" s="2"/>
      <c r="S427" s="2"/>
      <c r="T427" s="2"/>
      <c r="U427" s="2"/>
      <c r="V427" s="2"/>
      <c r="W427" s="2"/>
      <c r="X427" s="2"/>
      <c r="Y427" s="2"/>
      <c r="Z427" s="2"/>
    </row>
    <row r="428" spans="1:26" ht="51" hidden="1" customHeight="1">
      <c r="A428" s="26">
        <v>227</v>
      </c>
      <c r="B428" s="27" t="s">
        <v>797</v>
      </c>
      <c r="C428" s="28">
        <v>42671</v>
      </c>
      <c r="D428" s="27"/>
      <c r="E428" s="27" t="s">
        <v>1326</v>
      </c>
      <c r="F428" s="29" t="s">
        <v>1327</v>
      </c>
      <c r="G428" s="27" t="s">
        <v>338</v>
      </c>
      <c r="H428" s="27" t="s">
        <v>157</v>
      </c>
      <c r="I428" s="27">
        <v>1</v>
      </c>
      <c r="J428" s="30">
        <v>435070586</v>
      </c>
      <c r="K428" s="26" t="s">
        <v>206</v>
      </c>
      <c r="L428" s="26" t="s">
        <v>5344</v>
      </c>
      <c r="M428" s="31" t="s">
        <v>1311</v>
      </c>
      <c r="N428" s="2"/>
      <c r="O428" s="2"/>
      <c r="P428" s="2"/>
      <c r="Q428" s="2"/>
      <c r="R428" s="2"/>
      <c r="S428" s="2"/>
      <c r="T428" s="2"/>
      <c r="U428" s="2"/>
      <c r="V428" s="2"/>
      <c r="W428" s="2"/>
      <c r="X428" s="2"/>
      <c r="Y428" s="2"/>
      <c r="Z428" s="2"/>
    </row>
    <row r="429" spans="1:26" ht="25.5" hidden="1" customHeight="1">
      <c r="A429" s="26">
        <v>228</v>
      </c>
      <c r="B429" s="27" t="s">
        <v>1143</v>
      </c>
      <c r="C429" s="28">
        <v>43343</v>
      </c>
      <c r="D429" s="27"/>
      <c r="E429" s="27" t="s">
        <v>1328</v>
      </c>
      <c r="F429" s="29" t="s">
        <v>1329</v>
      </c>
      <c r="G429" s="27" t="s">
        <v>55</v>
      </c>
      <c r="H429" s="27" t="s">
        <v>19</v>
      </c>
      <c r="I429" s="27">
        <v>1</v>
      </c>
      <c r="J429" s="30">
        <v>45450000</v>
      </c>
      <c r="K429" s="26" t="s">
        <v>206</v>
      </c>
      <c r="L429" s="26" t="s">
        <v>1330</v>
      </c>
      <c r="M429" s="31" t="s">
        <v>1331</v>
      </c>
      <c r="N429" s="2"/>
      <c r="O429" s="2"/>
      <c r="P429" s="2"/>
      <c r="Q429" s="2"/>
      <c r="R429" s="2"/>
      <c r="S429" s="2"/>
      <c r="T429" s="2"/>
      <c r="U429" s="2"/>
      <c r="V429" s="2"/>
      <c r="W429" s="2"/>
      <c r="X429" s="2"/>
      <c r="Y429" s="2"/>
      <c r="Z429" s="2"/>
    </row>
    <row r="430" spans="1:26" ht="25.5" hidden="1" customHeight="1">
      <c r="A430" s="26">
        <v>229</v>
      </c>
      <c r="B430" s="27" t="s">
        <v>1332</v>
      </c>
      <c r="C430" s="28">
        <v>41274</v>
      </c>
      <c r="D430" s="27"/>
      <c r="E430" s="27" t="s">
        <v>1333</v>
      </c>
      <c r="F430" s="29" t="s">
        <v>1334</v>
      </c>
      <c r="G430" s="27" t="s">
        <v>248</v>
      </c>
      <c r="H430" s="27" t="s">
        <v>19</v>
      </c>
      <c r="I430" s="27">
        <v>1</v>
      </c>
      <c r="J430" s="30">
        <v>65131148</v>
      </c>
      <c r="K430" s="26" t="s">
        <v>20</v>
      </c>
      <c r="L430" s="36" t="s">
        <v>229</v>
      </c>
      <c r="M430" s="31" t="s">
        <v>5345</v>
      </c>
      <c r="N430" s="2"/>
      <c r="O430" s="2"/>
      <c r="P430" s="2"/>
      <c r="Q430" s="2"/>
      <c r="R430" s="2"/>
      <c r="S430" s="2"/>
      <c r="T430" s="2"/>
      <c r="U430" s="2"/>
      <c r="V430" s="2"/>
      <c r="W430" s="2"/>
      <c r="X430" s="2"/>
      <c r="Y430" s="2"/>
      <c r="Z430" s="2"/>
    </row>
    <row r="431" spans="1:26" ht="25.5" hidden="1" customHeight="1">
      <c r="A431" s="26" t="s">
        <v>1335</v>
      </c>
      <c r="B431" s="27"/>
      <c r="C431" s="28"/>
      <c r="D431" s="27"/>
      <c r="E431" s="27" t="s">
        <v>1336</v>
      </c>
      <c r="F431" s="29" t="s">
        <v>1337</v>
      </c>
      <c r="G431" s="27"/>
      <c r="H431" s="27"/>
      <c r="I431" s="27">
        <v>1</v>
      </c>
      <c r="J431" s="30">
        <v>25000000</v>
      </c>
      <c r="K431" s="26" t="s">
        <v>20</v>
      </c>
      <c r="L431" s="36" t="s">
        <v>229</v>
      </c>
      <c r="M431" s="31" t="s">
        <v>523</v>
      </c>
      <c r="N431" s="2"/>
      <c r="O431" s="2"/>
      <c r="P431" s="2"/>
      <c r="Q431" s="2"/>
      <c r="R431" s="2"/>
      <c r="S431" s="2"/>
      <c r="T431" s="2"/>
      <c r="U431" s="2"/>
      <c r="V431" s="2"/>
      <c r="W431" s="2"/>
      <c r="X431" s="2"/>
      <c r="Y431" s="2"/>
      <c r="Z431" s="2"/>
    </row>
    <row r="432" spans="1:26" ht="25.5" hidden="1" customHeight="1">
      <c r="A432" s="26">
        <v>230</v>
      </c>
      <c r="B432" s="27" t="s">
        <v>1143</v>
      </c>
      <c r="C432" s="28">
        <v>43343</v>
      </c>
      <c r="D432" s="27"/>
      <c r="E432" s="27" t="s">
        <v>1338</v>
      </c>
      <c r="F432" s="29" t="s">
        <v>1339</v>
      </c>
      <c r="G432" s="27" t="s">
        <v>45</v>
      </c>
      <c r="H432" s="27" t="s">
        <v>19</v>
      </c>
      <c r="I432" s="27">
        <v>1</v>
      </c>
      <c r="J432" s="30">
        <v>78450000</v>
      </c>
      <c r="K432" s="26" t="s">
        <v>20</v>
      </c>
      <c r="L432" s="26" t="s">
        <v>233</v>
      </c>
      <c r="M432" s="31" t="s">
        <v>2183</v>
      </c>
      <c r="N432" s="2"/>
      <c r="O432" s="2"/>
      <c r="P432" s="2"/>
      <c r="Q432" s="2"/>
      <c r="R432" s="2"/>
      <c r="S432" s="2"/>
      <c r="T432" s="2"/>
      <c r="U432" s="2"/>
      <c r="V432" s="2"/>
      <c r="W432" s="2"/>
      <c r="X432" s="2"/>
      <c r="Y432" s="2"/>
      <c r="Z432" s="2"/>
    </row>
    <row r="433" spans="1:26" ht="25.5" hidden="1" customHeight="1">
      <c r="A433" s="26">
        <v>231</v>
      </c>
      <c r="B433" s="27" t="s">
        <v>1143</v>
      </c>
      <c r="C433" s="28">
        <v>43343</v>
      </c>
      <c r="D433" s="27"/>
      <c r="E433" s="27" t="s">
        <v>1341</v>
      </c>
      <c r="F433" s="29" t="s">
        <v>1342</v>
      </c>
      <c r="G433" s="27" t="s">
        <v>45</v>
      </c>
      <c r="H433" s="27" t="s">
        <v>19</v>
      </c>
      <c r="I433" s="27">
        <v>1</v>
      </c>
      <c r="J433" s="30">
        <v>78450000</v>
      </c>
      <c r="K433" s="26" t="s">
        <v>20</v>
      </c>
      <c r="L433" s="26" t="s">
        <v>423</v>
      </c>
      <c r="M433" s="31" t="s">
        <v>3070</v>
      </c>
      <c r="N433" s="2"/>
      <c r="O433" s="2"/>
      <c r="P433" s="2"/>
      <c r="Q433" s="2"/>
      <c r="R433" s="2"/>
      <c r="S433" s="2"/>
      <c r="T433" s="2"/>
      <c r="U433" s="2"/>
      <c r="V433" s="2"/>
      <c r="W433" s="2"/>
      <c r="X433" s="2"/>
      <c r="Y433" s="2"/>
      <c r="Z433" s="2"/>
    </row>
    <row r="434" spans="1:26" ht="12.75" hidden="1" customHeight="1">
      <c r="A434" s="26">
        <v>232</v>
      </c>
      <c r="B434" s="27" t="s">
        <v>1198</v>
      </c>
      <c r="C434" s="28">
        <v>36160</v>
      </c>
      <c r="D434" s="27" t="s">
        <v>1344</v>
      </c>
      <c r="E434" s="27" t="s">
        <v>1345</v>
      </c>
      <c r="F434" s="29" t="s">
        <v>1346</v>
      </c>
      <c r="G434" s="27"/>
      <c r="H434" s="27" t="s">
        <v>19</v>
      </c>
      <c r="I434" s="27">
        <v>1</v>
      </c>
      <c r="J434" s="30">
        <v>48231975</v>
      </c>
      <c r="K434" s="26" t="s">
        <v>20</v>
      </c>
      <c r="L434" s="36" t="s">
        <v>229</v>
      </c>
      <c r="M434" s="31" t="s">
        <v>5333</v>
      </c>
      <c r="N434" s="2"/>
      <c r="O434" s="2"/>
      <c r="P434" s="2"/>
      <c r="Q434" s="2"/>
      <c r="R434" s="2"/>
      <c r="S434" s="2"/>
      <c r="T434" s="2"/>
      <c r="U434" s="2"/>
      <c r="V434" s="2"/>
      <c r="W434" s="2"/>
      <c r="X434" s="2"/>
      <c r="Y434" s="2"/>
      <c r="Z434" s="2"/>
    </row>
    <row r="435" spans="1:26" ht="12.75" hidden="1" customHeight="1">
      <c r="A435" s="26" t="s">
        <v>1347</v>
      </c>
      <c r="B435" s="27"/>
      <c r="C435" s="28"/>
      <c r="D435" s="27"/>
      <c r="E435" s="27" t="s">
        <v>1348</v>
      </c>
      <c r="F435" s="29" t="s">
        <v>1349</v>
      </c>
      <c r="G435" s="27"/>
      <c r="H435" s="27"/>
      <c r="I435" s="27">
        <v>1</v>
      </c>
      <c r="J435" s="30"/>
      <c r="K435" s="26" t="s">
        <v>20</v>
      </c>
      <c r="L435" s="36" t="s">
        <v>229</v>
      </c>
      <c r="M435" s="31"/>
      <c r="N435" s="2"/>
      <c r="O435" s="2"/>
      <c r="P435" s="2"/>
      <c r="Q435" s="2"/>
      <c r="R435" s="2"/>
      <c r="S435" s="2"/>
      <c r="T435" s="2"/>
      <c r="U435" s="2"/>
      <c r="V435" s="2"/>
      <c r="W435" s="2"/>
      <c r="X435" s="2"/>
      <c r="Y435" s="2"/>
      <c r="Z435" s="2"/>
    </row>
    <row r="436" spans="1:26" ht="12.75" hidden="1" customHeight="1">
      <c r="A436" s="26" t="s">
        <v>1350</v>
      </c>
      <c r="B436" s="27"/>
      <c r="C436" s="28"/>
      <c r="D436" s="27"/>
      <c r="E436" s="27" t="s">
        <v>1351</v>
      </c>
      <c r="F436" s="29" t="s">
        <v>1352</v>
      </c>
      <c r="G436" s="27"/>
      <c r="H436" s="27"/>
      <c r="I436" s="27">
        <v>1</v>
      </c>
      <c r="J436" s="30"/>
      <c r="K436" s="26" t="s">
        <v>20</v>
      </c>
      <c r="L436" s="36" t="s">
        <v>229</v>
      </c>
      <c r="M436" s="31"/>
      <c r="N436" s="2"/>
      <c r="O436" s="2"/>
      <c r="P436" s="2"/>
      <c r="Q436" s="2"/>
      <c r="R436" s="2"/>
      <c r="S436" s="2"/>
      <c r="T436" s="2"/>
      <c r="U436" s="2"/>
      <c r="V436" s="2"/>
      <c r="W436" s="2"/>
      <c r="X436" s="2"/>
      <c r="Y436" s="2"/>
      <c r="Z436" s="2"/>
    </row>
    <row r="437" spans="1:26" ht="12.75" hidden="1" customHeight="1">
      <c r="A437" s="26" t="s">
        <v>1353</v>
      </c>
      <c r="B437" s="27"/>
      <c r="C437" s="28"/>
      <c r="D437" s="27"/>
      <c r="E437" s="27" t="s">
        <v>1354</v>
      </c>
      <c r="F437" s="29" t="s">
        <v>1355</v>
      </c>
      <c r="G437" s="27"/>
      <c r="H437" s="27"/>
      <c r="I437" s="27">
        <v>1</v>
      </c>
      <c r="J437" s="30"/>
      <c r="K437" s="26" t="s">
        <v>20</v>
      </c>
      <c r="L437" s="36" t="s">
        <v>229</v>
      </c>
      <c r="M437" s="31"/>
      <c r="N437" s="2"/>
      <c r="O437" s="2"/>
      <c r="P437" s="2"/>
      <c r="Q437" s="2"/>
      <c r="R437" s="2"/>
      <c r="S437" s="2"/>
      <c r="T437" s="2"/>
      <c r="U437" s="2"/>
      <c r="V437" s="2"/>
      <c r="W437" s="2"/>
      <c r="X437" s="2"/>
      <c r="Y437" s="2"/>
      <c r="Z437" s="2"/>
    </row>
    <row r="438" spans="1:26" ht="12.75" hidden="1" customHeight="1">
      <c r="A438" s="26">
        <v>233</v>
      </c>
      <c r="B438" s="27" t="s">
        <v>470</v>
      </c>
      <c r="C438" s="28">
        <v>41983</v>
      </c>
      <c r="D438" s="27"/>
      <c r="E438" s="27" t="s">
        <v>1356</v>
      </c>
      <c r="F438" s="29" t="s">
        <v>1357</v>
      </c>
      <c r="G438" s="27" t="s">
        <v>248</v>
      </c>
      <c r="H438" s="27" t="s">
        <v>19</v>
      </c>
      <c r="I438" s="27">
        <v>1</v>
      </c>
      <c r="J438" s="30">
        <v>123652652</v>
      </c>
      <c r="K438" s="26" t="s">
        <v>20</v>
      </c>
      <c r="L438" s="36" t="s">
        <v>229</v>
      </c>
      <c r="M438" s="31" t="s">
        <v>5290</v>
      </c>
      <c r="N438" s="2"/>
      <c r="O438" s="2"/>
      <c r="P438" s="2"/>
      <c r="Q438" s="2"/>
      <c r="R438" s="2"/>
      <c r="S438" s="2"/>
      <c r="T438" s="2"/>
      <c r="U438" s="2"/>
      <c r="V438" s="2"/>
      <c r="W438" s="2"/>
      <c r="X438" s="2"/>
      <c r="Y438" s="2"/>
      <c r="Z438" s="2"/>
    </row>
    <row r="439" spans="1:26" ht="25.5" hidden="1" customHeight="1">
      <c r="A439" s="26">
        <v>234</v>
      </c>
      <c r="B439" s="27" t="s">
        <v>909</v>
      </c>
      <c r="C439" s="28">
        <v>41999</v>
      </c>
      <c r="D439" s="27"/>
      <c r="E439" s="27" t="s">
        <v>1359</v>
      </c>
      <c r="F439" s="29" t="s">
        <v>1360</v>
      </c>
      <c r="G439" s="27" t="s">
        <v>55</v>
      </c>
      <c r="H439" s="27" t="s">
        <v>19</v>
      </c>
      <c r="I439" s="27">
        <v>1</v>
      </c>
      <c r="J439" s="30">
        <v>105321737</v>
      </c>
      <c r="K439" s="26" t="s">
        <v>20</v>
      </c>
      <c r="L439" s="26" t="s">
        <v>233</v>
      </c>
      <c r="M439" s="31" t="s">
        <v>5346</v>
      </c>
      <c r="N439" s="2"/>
      <c r="O439" s="2"/>
      <c r="P439" s="2"/>
      <c r="Q439" s="2"/>
      <c r="R439" s="2"/>
      <c r="S439" s="2"/>
      <c r="T439" s="2"/>
      <c r="U439" s="2"/>
      <c r="V439" s="2"/>
      <c r="W439" s="2"/>
      <c r="X439" s="2"/>
      <c r="Y439" s="2"/>
      <c r="Z439" s="2"/>
    </row>
    <row r="440" spans="1:26" ht="25.5" hidden="1" customHeight="1">
      <c r="A440" s="26" t="s">
        <v>1362</v>
      </c>
      <c r="B440" s="27"/>
      <c r="C440" s="28"/>
      <c r="D440" s="27"/>
      <c r="E440" s="27" t="s">
        <v>1363</v>
      </c>
      <c r="F440" s="29" t="s">
        <v>1364</v>
      </c>
      <c r="G440" s="27" t="s">
        <v>55</v>
      </c>
      <c r="H440" s="27" t="s">
        <v>19</v>
      </c>
      <c r="I440" s="27">
        <v>1</v>
      </c>
      <c r="J440" s="30">
        <v>12904366</v>
      </c>
      <c r="K440" s="26" t="s">
        <v>20</v>
      </c>
      <c r="L440" s="26" t="s">
        <v>233</v>
      </c>
      <c r="M440" s="31"/>
      <c r="N440" s="2"/>
      <c r="O440" s="2"/>
      <c r="P440" s="2"/>
      <c r="Q440" s="2"/>
      <c r="R440" s="2"/>
      <c r="S440" s="2"/>
      <c r="T440" s="2"/>
      <c r="U440" s="2"/>
      <c r="V440" s="2"/>
      <c r="W440" s="2"/>
      <c r="X440" s="2"/>
      <c r="Y440" s="2"/>
      <c r="Z440" s="2"/>
    </row>
    <row r="441" spans="1:26" ht="25.5" hidden="1" customHeight="1">
      <c r="A441" s="26" t="s">
        <v>1366</v>
      </c>
      <c r="B441" s="27"/>
      <c r="C441" s="28"/>
      <c r="D441" s="27"/>
      <c r="E441" s="27" t="s">
        <v>1367</v>
      </c>
      <c r="F441" s="29" t="s">
        <v>1368</v>
      </c>
      <c r="G441" s="27" t="s">
        <v>55</v>
      </c>
      <c r="H441" s="27" t="s">
        <v>19</v>
      </c>
      <c r="I441" s="27">
        <v>1</v>
      </c>
      <c r="J441" s="30">
        <v>12904366</v>
      </c>
      <c r="K441" s="26" t="s">
        <v>20</v>
      </c>
      <c r="L441" s="26" t="s">
        <v>233</v>
      </c>
      <c r="M441" s="31"/>
      <c r="N441" s="2"/>
      <c r="O441" s="2"/>
      <c r="P441" s="2"/>
      <c r="Q441" s="2"/>
      <c r="R441" s="2"/>
      <c r="S441" s="2"/>
      <c r="T441" s="2"/>
      <c r="U441" s="2"/>
      <c r="V441" s="2"/>
      <c r="W441" s="2"/>
      <c r="X441" s="2"/>
      <c r="Y441" s="2"/>
      <c r="Z441" s="2"/>
    </row>
    <row r="442" spans="1:26" ht="25.5" hidden="1" customHeight="1">
      <c r="A442" s="26" t="s">
        <v>1370</v>
      </c>
      <c r="B442" s="27"/>
      <c r="C442" s="28"/>
      <c r="D442" s="27"/>
      <c r="E442" s="27" t="s">
        <v>1371</v>
      </c>
      <c r="F442" s="29" t="s">
        <v>1372</v>
      </c>
      <c r="G442" s="27" t="s">
        <v>55</v>
      </c>
      <c r="H442" s="27" t="s">
        <v>19</v>
      </c>
      <c r="I442" s="27">
        <v>1</v>
      </c>
      <c r="J442" s="30">
        <v>12904366</v>
      </c>
      <c r="K442" s="26" t="s">
        <v>20</v>
      </c>
      <c r="L442" s="26" t="s">
        <v>233</v>
      </c>
      <c r="M442" s="31"/>
      <c r="N442" s="2"/>
      <c r="O442" s="2"/>
      <c r="P442" s="2"/>
      <c r="Q442" s="2"/>
      <c r="R442" s="2"/>
      <c r="S442" s="2"/>
      <c r="T442" s="2"/>
      <c r="U442" s="2"/>
      <c r="V442" s="2"/>
      <c r="W442" s="2"/>
      <c r="X442" s="2"/>
      <c r="Y442" s="2"/>
      <c r="Z442" s="2"/>
    </row>
    <row r="443" spans="1:26" ht="25.5" hidden="1" customHeight="1">
      <c r="A443" s="26" t="s">
        <v>1373</v>
      </c>
      <c r="B443" s="27"/>
      <c r="C443" s="28"/>
      <c r="D443" s="27"/>
      <c r="E443" s="27" t="s">
        <v>1374</v>
      </c>
      <c r="F443" s="29" t="s">
        <v>1375</v>
      </c>
      <c r="G443" s="27" t="s">
        <v>55</v>
      </c>
      <c r="H443" s="27" t="s">
        <v>19</v>
      </c>
      <c r="I443" s="27">
        <v>1</v>
      </c>
      <c r="J443" s="30">
        <v>12904366</v>
      </c>
      <c r="K443" s="26" t="s">
        <v>20</v>
      </c>
      <c r="L443" s="26" t="s">
        <v>233</v>
      </c>
      <c r="M443" s="31"/>
      <c r="N443" s="2"/>
      <c r="O443" s="2"/>
      <c r="P443" s="2"/>
      <c r="Q443" s="2"/>
      <c r="R443" s="2"/>
      <c r="S443" s="2"/>
      <c r="T443" s="2"/>
      <c r="U443" s="2"/>
      <c r="V443" s="2"/>
      <c r="W443" s="2"/>
      <c r="X443" s="2"/>
      <c r="Y443" s="2"/>
      <c r="Z443" s="2"/>
    </row>
    <row r="444" spans="1:26" ht="25.5" hidden="1" customHeight="1">
      <c r="A444" s="38">
        <v>235</v>
      </c>
      <c r="B444" s="27" t="s">
        <v>1377</v>
      </c>
      <c r="C444" s="40">
        <v>37986</v>
      </c>
      <c r="D444" s="27" t="s">
        <v>1378</v>
      </c>
      <c r="E444" s="39">
        <v>302099902165001</v>
      </c>
      <c r="F444" s="41" t="s">
        <v>1380</v>
      </c>
      <c r="G444" s="27"/>
      <c r="H444" s="27"/>
      <c r="I444" s="27">
        <v>1</v>
      </c>
      <c r="J444" s="42">
        <v>127361061</v>
      </c>
      <c r="K444" s="38" t="s">
        <v>206</v>
      </c>
      <c r="L444" s="38" t="s">
        <v>5344</v>
      </c>
      <c r="M444" s="43" t="s">
        <v>1381</v>
      </c>
      <c r="N444" s="2"/>
      <c r="O444" s="2"/>
      <c r="P444" s="2"/>
      <c r="Q444" s="2"/>
      <c r="R444" s="2"/>
      <c r="S444" s="2"/>
      <c r="T444" s="2"/>
      <c r="U444" s="2"/>
      <c r="V444" s="2"/>
      <c r="W444" s="2"/>
      <c r="X444" s="2"/>
      <c r="Y444" s="2"/>
      <c r="Z444" s="2"/>
    </row>
    <row r="445" spans="1:26" ht="12.75" hidden="1" customHeight="1">
      <c r="A445" s="38">
        <v>236</v>
      </c>
      <c r="B445" s="27" t="s">
        <v>1382</v>
      </c>
      <c r="C445" s="40">
        <v>36160</v>
      </c>
      <c r="D445" s="27" t="s">
        <v>1383</v>
      </c>
      <c r="E445" s="39" t="s">
        <v>1384</v>
      </c>
      <c r="F445" s="41" t="s">
        <v>1385</v>
      </c>
      <c r="G445" s="27"/>
      <c r="H445" s="27" t="s">
        <v>249</v>
      </c>
      <c r="I445" s="27">
        <v>1</v>
      </c>
      <c r="J445" s="42">
        <v>455462008</v>
      </c>
      <c r="K445" s="38" t="s">
        <v>206</v>
      </c>
      <c r="L445" s="38" t="s">
        <v>5344</v>
      </c>
      <c r="M445" s="43" t="s">
        <v>1381</v>
      </c>
      <c r="N445" s="2"/>
      <c r="O445" s="2"/>
      <c r="P445" s="2"/>
      <c r="Q445" s="2"/>
      <c r="R445" s="2"/>
      <c r="S445" s="2"/>
      <c r="T445" s="2"/>
      <c r="U445" s="2"/>
      <c r="V445" s="2"/>
      <c r="W445" s="2"/>
      <c r="X445" s="2"/>
      <c r="Y445" s="2"/>
      <c r="Z445" s="2"/>
    </row>
    <row r="446" spans="1:26" ht="25.5" hidden="1" customHeight="1">
      <c r="A446" s="26">
        <v>237</v>
      </c>
      <c r="B446" s="27" t="s">
        <v>1386</v>
      </c>
      <c r="C446" s="28">
        <v>36525</v>
      </c>
      <c r="D446" s="27" t="s">
        <v>1387</v>
      </c>
      <c r="E446" s="27" t="s">
        <v>1388</v>
      </c>
      <c r="F446" s="29" t="s">
        <v>1389</v>
      </c>
      <c r="G446" s="27"/>
      <c r="H446" s="27"/>
      <c r="I446" s="27">
        <v>1</v>
      </c>
      <c r="J446" s="30">
        <v>63710903</v>
      </c>
      <c r="K446" s="26" t="s">
        <v>20</v>
      </c>
      <c r="L446" s="36" t="s">
        <v>229</v>
      </c>
      <c r="M446" s="31" t="s">
        <v>5347</v>
      </c>
      <c r="N446" s="2"/>
      <c r="O446" s="2"/>
      <c r="P446" s="2"/>
      <c r="Q446" s="2"/>
      <c r="R446" s="2"/>
      <c r="S446" s="2"/>
      <c r="T446" s="2"/>
      <c r="U446" s="2"/>
      <c r="V446" s="2"/>
      <c r="W446" s="2"/>
      <c r="X446" s="2"/>
      <c r="Y446" s="2"/>
      <c r="Z446" s="2"/>
    </row>
    <row r="447" spans="1:26" ht="25.5" hidden="1" customHeight="1">
      <c r="A447" s="26">
        <v>238</v>
      </c>
      <c r="B447" s="27" t="s">
        <v>1386</v>
      </c>
      <c r="C447" s="28">
        <v>36525</v>
      </c>
      <c r="D447" s="27" t="s">
        <v>1391</v>
      </c>
      <c r="E447" s="27" t="s">
        <v>1392</v>
      </c>
      <c r="F447" s="29" t="s">
        <v>1393</v>
      </c>
      <c r="G447" s="27"/>
      <c r="H447" s="27"/>
      <c r="I447" s="27">
        <v>1</v>
      </c>
      <c r="J447" s="30">
        <v>54301513</v>
      </c>
      <c r="K447" s="26" t="s">
        <v>206</v>
      </c>
      <c r="L447" s="26" t="s">
        <v>5344</v>
      </c>
      <c r="M447" s="31" t="s">
        <v>1394</v>
      </c>
      <c r="N447" s="2"/>
      <c r="O447" s="2"/>
      <c r="P447" s="2"/>
      <c r="Q447" s="2"/>
      <c r="R447" s="2"/>
      <c r="S447" s="2"/>
      <c r="T447" s="2"/>
      <c r="U447" s="2"/>
      <c r="V447" s="2"/>
      <c r="W447" s="2"/>
      <c r="X447" s="2"/>
      <c r="Y447" s="2"/>
      <c r="Z447" s="2"/>
    </row>
    <row r="448" spans="1:26" ht="38.25" hidden="1" customHeight="1">
      <c r="A448" s="26">
        <v>239</v>
      </c>
      <c r="B448" s="27" t="s">
        <v>1386</v>
      </c>
      <c r="C448" s="28">
        <v>36525</v>
      </c>
      <c r="D448" s="27" t="s">
        <v>1395</v>
      </c>
      <c r="E448" s="27" t="s">
        <v>1396</v>
      </c>
      <c r="F448" s="29" t="s">
        <v>1397</v>
      </c>
      <c r="G448" s="27"/>
      <c r="H448" s="27"/>
      <c r="I448" s="27">
        <v>1</v>
      </c>
      <c r="J448" s="30">
        <v>67292011</v>
      </c>
      <c r="K448" s="26" t="s">
        <v>36</v>
      </c>
      <c r="L448" s="26" t="s">
        <v>37</v>
      </c>
      <c r="M448" s="31" t="s">
        <v>1398</v>
      </c>
      <c r="N448" s="2"/>
      <c r="O448" s="2"/>
      <c r="P448" s="2"/>
      <c r="Q448" s="2"/>
      <c r="R448" s="2"/>
      <c r="S448" s="2"/>
      <c r="T448" s="2"/>
      <c r="U448" s="2"/>
      <c r="V448" s="2"/>
      <c r="W448" s="2"/>
      <c r="X448" s="2"/>
      <c r="Y448" s="2"/>
      <c r="Z448" s="2"/>
    </row>
    <row r="449" spans="1:26" ht="25.5" hidden="1" customHeight="1">
      <c r="A449" s="26">
        <v>240</v>
      </c>
      <c r="B449" s="27" t="s">
        <v>1399</v>
      </c>
      <c r="C449" s="28">
        <v>36891</v>
      </c>
      <c r="D449" s="27" t="s">
        <v>1400</v>
      </c>
      <c r="E449" s="27" t="s">
        <v>1401</v>
      </c>
      <c r="F449" s="29" t="s">
        <v>1402</v>
      </c>
      <c r="G449" s="27"/>
      <c r="H449" s="27" t="s">
        <v>19</v>
      </c>
      <c r="I449" s="27">
        <v>1</v>
      </c>
      <c r="J449" s="30">
        <v>40126693</v>
      </c>
      <c r="K449" s="26" t="s">
        <v>20</v>
      </c>
      <c r="L449" s="36" t="s">
        <v>229</v>
      </c>
      <c r="M449" s="31" t="s">
        <v>5348</v>
      </c>
      <c r="N449" s="2"/>
      <c r="O449" s="2"/>
      <c r="P449" s="2"/>
      <c r="Q449" s="2"/>
      <c r="R449" s="2"/>
      <c r="S449" s="2"/>
      <c r="T449" s="2"/>
      <c r="U449" s="2"/>
      <c r="V449" s="2"/>
      <c r="W449" s="2"/>
      <c r="X449" s="2"/>
      <c r="Y449" s="2"/>
      <c r="Z449" s="2"/>
    </row>
    <row r="450" spans="1:26" ht="25.5" hidden="1" customHeight="1">
      <c r="A450" s="26" t="s">
        <v>1403</v>
      </c>
      <c r="B450" s="27"/>
      <c r="C450" s="28"/>
      <c r="D450" s="27"/>
      <c r="E450" s="27" t="s">
        <v>1404</v>
      </c>
      <c r="F450" s="29" t="s">
        <v>1405</v>
      </c>
      <c r="G450" s="27"/>
      <c r="H450" s="27"/>
      <c r="I450" s="27">
        <v>1</v>
      </c>
      <c r="J450" s="30">
        <v>0</v>
      </c>
      <c r="K450" s="26" t="s">
        <v>20</v>
      </c>
      <c r="L450" s="36" t="s">
        <v>229</v>
      </c>
      <c r="M450" s="31"/>
      <c r="N450" s="2"/>
      <c r="O450" s="2"/>
      <c r="P450" s="2"/>
      <c r="Q450" s="2"/>
      <c r="R450" s="2"/>
      <c r="S450" s="2"/>
      <c r="T450" s="2"/>
      <c r="U450" s="2"/>
      <c r="V450" s="2"/>
      <c r="W450" s="2"/>
      <c r="X450" s="2"/>
      <c r="Y450" s="2"/>
      <c r="Z450" s="2"/>
    </row>
    <row r="451" spans="1:26" ht="12.75" hidden="1" customHeight="1">
      <c r="A451" s="26" t="s">
        <v>1406</v>
      </c>
      <c r="B451" s="27"/>
      <c r="C451" s="28"/>
      <c r="D451" s="27"/>
      <c r="E451" s="27" t="s">
        <v>1407</v>
      </c>
      <c r="F451" s="29" t="s">
        <v>1408</v>
      </c>
      <c r="G451" s="27"/>
      <c r="H451" s="27"/>
      <c r="I451" s="27">
        <v>1</v>
      </c>
      <c r="J451" s="30">
        <v>0</v>
      </c>
      <c r="K451" s="26" t="s">
        <v>20</v>
      </c>
      <c r="L451" s="36" t="s">
        <v>229</v>
      </c>
      <c r="M451" s="31"/>
      <c r="N451" s="2"/>
      <c r="O451" s="2"/>
      <c r="P451" s="2"/>
      <c r="Q451" s="2"/>
      <c r="R451" s="2"/>
      <c r="S451" s="2"/>
      <c r="T451" s="2"/>
      <c r="U451" s="2"/>
      <c r="V451" s="2"/>
      <c r="W451" s="2"/>
      <c r="X451" s="2"/>
      <c r="Y451" s="2"/>
      <c r="Z451" s="2"/>
    </row>
    <row r="452" spans="1:26" ht="25.5" hidden="1" customHeight="1">
      <c r="A452" s="26">
        <v>241</v>
      </c>
      <c r="B452" s="27" t="s">
        <v>1409</v>
      </c>
      <c r="C452" s="28">
        <v>37880</v>
      </c>
      <c r="D452" s="27" t="s">
        <v>1410</v>
      </c>
      <c r="E452" s="27" t="s">
        <v>1411</v>
      </c>
      <c r="F452" s="29" t="s">
        <v>1412</v>
      </c>
      <c r="G452" s="27"/>
      <c r="H452" s="27"/>
      <c r="I452" s="27">
        <v>1</v>
      </c>
      <c r="J452" s="30">
        <v>55326451</v>
      </c>
      <c r="K452" s="26" t="s">
        <v>36</v>
      </c>
      <c r="L452" s="26" t="s">
        <v>37</v>
      </c>
      <c r="M452" s="31" t="s">
        <v>1413</v>
      </c>
      <c r="N452" s="2"/>
      <c r="O452" s="2"/>
      <c r="P452" s="2"/>
      <c r="Q452" s="2"/>
      <c r="R452" s="2"/>
      <c r="S452" s="2"/>
      <c r="T452" s="2"/>
      <c r="U452" s="2"/>
      <c r="V452" s="2"/>
      <c r="W452" s="2"/>
      <c r="X452" s="2"/>
      <c r="Y452" s="2"/>
      <c r="Z452" s="2"/>
    </row>
    <row r="453" spans="1:26" ht="12.75" hidden="1" customHeight="1">
      <c r="A453" s="26">
        <v>242</v>
      </c>
      <c r="B453" s="27" t="s">
        <v>1414</v>
      </c>
      <c r="C453" s="28">
        <v>38681</v>
      </c>
      <c r="D453" s="27" t="s">
        <v>1415</v>
      </c>
      <c r="E453" s="27" t="s">
        <v>1416</v>
      </c>
      <c r="F453" s="29" t="s">
        <v>1417</v>
      </c>
      <c r="G453" s="27"/>
      <c r="H453" s="27"/>
      <c r="I453" s="27">
        <v>1</v>
      </c>
      <c r="J453" s="30">
        <v>173812290</v>
      </c>
      <c r="K453" s="26" t="s">
        <v>206</v>
      </c>
      <c r="L453" s="26" t="s">
        <v>5344</v>
      </c>
      <c r="M453" s="31" t="s">
        <v>1394</v>
      </c>
      <c r="N453" s="2"/>
      <c r="O453" s="2"/>
      <c r="P453" s="2"/>
      <c r="Q453" s="2"/>
      <c r="R453" s="2"/>
      <c r="S453" s="2"/>
      <c r="T453" s="2"/>
      <c r="U453" s="2"/>
      <c r="V453" s="2"/>
      <c r="W453" s="2"/>
      <c r="X453" s="2"/>
      <c r="Y453" s="2"/>
      <c r="Z453" s="2"/>
    </row>
    <row r="454" spans="1:26" ht="12.75" hidden="1" customHeight="1">
      <c r="A454" s="26">
        <v>243</v>
      </c>
      <c r="B454" s="27" t="s">
        <v>1418</v>
      </c>
      <c r="C454" s="28">
        <v>39225</v>
      </c>
      <c r="D454" s="27"/>
      <c r="E454" s="27" t="s">
        <v>1419</v>
      </c>
      <c r="F454" s="29" t="s">
        <v>1420</v>
      </c>
      <c r="G454" s="27"/>
      <c r="H454" s="27" t="s">
        <v>19</v>
      </c>
      <c r="I454" s="27">
        <v>1</v>
      </c>
      <c r="J454" s="30">
        <v>363026314</v>
      </c>
      <c r="K454" s="26" t="s">
        <v>20</v>
      </c>
      <c r="L454" s="26" t="s">
        <v>295</v>
      </c>
      <c r="M454" s="31" t="s">
        <v>5349</v>
      </c>
      <c r="N454" s="2"/>
      <c r="O454" s="2"/>
      <c r="P454" s="2"/>
      <c r="Q454" s="2"/>
      <c r="R454" s="2"/>
      <c r="S454" s="2"/>
      <c r="T454" s="2"/>
      <c r="U454" s="2"/>
      <c r="V454" s="2"/>
      <c r="W454" s="2"/>
      <c r="X454" s="2"/>
      <c r="Y454" s="2"/>
      <c r="Z454" s="2"/>
    </row>
    <row r="455" spans="1:26" ht="38.25" hidden="1" customHeight="1">
      <c r="A455" s="26">
        <v>244</v>
      </c>
      <c r="B455" s="27" t="s">
        <v>1421</v>
      </c>
      <c r="C455" s="28">
        <v>39263</v>
      </c>
      <c r="D455" s="27"/>
      <c r="E455" s="27" t="s">
        <v>1422</v>
      </c>
      <c r="F455" s="29" t="s">
        <v>1423</v>
      </c>
      <c r="G455" s="27"/>
      <c r="H455" s="27" t="s">
        <v>157</v>
      </c>
      <c r="I455" s="27">
        <v>1</v>
      </c>
      <c r="J455" s="30">
        <v>465062528</v>
      </c>
      <c r="K455" s="26" t="s">
        <v>20</v>
      </c>
      <c r="L455" s="26" t="s">
        <v>295</v>
      </c>
      <c r="M455" s="31" t="s">
        <v>5350</v>
      </c>
      <c r="N455" s="2"/>
      <c r="O455" s="2"/>
      <c r="P455" s="2"/>
      <c r="Q455" s="2"/>
      <c r="R455" s="2"/>
      <c r="S455" s="2"/>
      <c r="T455" s="2"/>
      <c r="U455" s="2"/>
      <c r="V455" s="2"/>
      <c r="W455" s="2"/>
      <c r="X455" s="2"/>
      <c r="Y455" s="2"/>
      <c r="Z455" s="2"/>
    </row>
    <row r="456" spans="1:26" ht="25.5" hidden="1" customHeight="1">
      <c r="A456" s="26" t="s">
        <v>1425</v>
      </c>
      <c r="B456" s="27"/>
      <c r="C456" s="28"/>
      <c r="D456" s="27"/>
      <c r="E456" s="27" t="s">
        <v>1426</v>
      </c>
      <c r="F456" s="29" t="s">
        <v>1427</v>
      </c>
      <c r="G456" s="27"/>
      <c r="H456" s="27"/>
      <c r="I456" s="27">
        <v>1</v>
      </c>
      <c r="J456" s="30">
        <v>0</v>
      </c>
      <c r="K456" s="26" t="s">
        <v>20</v>
      </c>
      <c r="L456" s="26" t="s">
        <v>295</v>
      </c>
      <c r="M456" s="31"/>
      <c r="N456" s="2"/>
      <c r="O456" s="2"/>
      <c r="P456" s="2"/>
      <c r="Q456" s="2"/>
      <c r="R456" s="2"/>
      <c r="S456" s="2"/>
      <c r="T456" s="2"/>
      <c r="U456" s="2"/>
      <c r="V456" s="2"/>
      <c r="W456" s="2"/>
      <c r="X456" s="2"/>
      <c r="Y456" s="2"/>
      <c r="Z456" s="2"/>
    </row>
    <row r="457" spans="1:26" ht="12.75" hidden="1" customHeight="1">
      <c r="A457" s="26" t="s">
        <v>1429</v>
      </c>
      <c r="B457" s="27"/>
      <c r="C457" s="28"/>
      <c r="D457" s="27"/>
      <c r="E457" s="27" t="s">
        <v>1430</v>
      </c>
      <c r="F457" s="29" t="s">
        <v>1431</v>
      </c>
      <c r="G457" s="27"/>
      <c r="H457" s="27"/>
      <c r="I457" s="27">
        <v>1</v>
      </c>
      <c r="J457" s="30">
        <v>0</v>
      </c>
      <c r="K457" s="26" t="s">
        <v>20</v>
      </c>
      <c r="L457" s="26" t="s">
        <v>295</v>
      </c>
      <c r="M457" s="31"/>
      <c r="N457" s="2"/>
      <c r="O457" s="2"/>
      <c r="P457" s="2"/>
      <c r="Q457" s="2"/>
      <c r="R457" s="2"/>
      <c r="S457" s="2"/>
      <c r="T457" s="2"/>
      <c r="U457" s="2"/>
      <c r="V457" s="2"/>
      <c r="W457" s="2"/>
      <c r="X457" s="2"/>
      <c r="Y457" s="2"/>
      <c r="Z457" s="2"/>
    </row>
    <row r="458" spans="1:26" ht="12.75" hidden="1" customHeight="1">
      <c r="A458" s="26">
        <v>245</v>
      </c>
      <c r="B458" s="27" t="s">
        <v>1432</v>
      </c>
      <c r="C458" s="28">
        <v>39433</v>
      </c>
      <c r="D458" s="27"/>
      <c r="E458" s="27" t="s">
        <v>1433</v>
      </c>
      <c r="F458" s="29" t="s">
        <v>1434</v>
      </c>
      <c r="G458" s="27" t="s">
        <v>1435</v>
      </c>
      <c r="H458" s="27" t="s">
        <v>249</v>
      </c>
      <c r="I458" s="27">
        <v>1</v>
      </c>
      <c r="J458" s="30">
        <v>34116387</v>
      </c>
      <c r="K458" s="26" t="s">
        <v>20</v>
      </c>
      <c r="L458" s="26" t="s">
        <v>423</v>
      </c>
      <c r="M458" s="31" t="s">
        <v>5208</v>
      </c>
      <c r="N458" s="2"/>
      <c r="O458" s="2"/>
      <c r="P458" s="2"/>
      <c r="Q458" s="2"/>
      <c r="R458" s="2"/>
      <c r="S458" s="2"/>
      <c r="T458" s="2"/>
      <c r="U458" s="2"/>
      <c r="V458" s="2"/>
      <c r="W458" s="2"/>
      <c r="X458" s="2"/>
      <c r="Y458" s="2"/>
      <c r="Z458" s="2"/>
    </row>
    <row r="459" spans="1:26" ht="12.75" hidden="1" customHeight="1">
      <c r="A459" s="26">
        <v>246</v>
      </c>
      <c r="B459" s="27" t="s">
        <v>1437</v>
      </c>
      <c r="C459" s="28">
        <v>40767</v>
      </c>
      <c r="D459" s="27"/>
      <c r="E459" s="27" t="s">
        <v>1438</v>
      </c>
      <c r="F459" s="29" t="s">
        <v>1439</v>
      </c>
      <c r="G459" s="27"/>
      <c r="H459" s="27" t="s">
        <v>249</v>
      </c>
      <c r="I459" s="27">
        <v>1</v>
      </c>
      <c r="J459" s="30">
        <v>168976663</v>
      </c>
      <c r="K459" s="26" t="s">
        <v>206</v>
      </c>
      <c r="L459" s="26" t="s">
        <v>5344</v>
      </c>
      <c r="M459" s="31" t="s">
        <v>1440</v>
      </c>
      <c r="N459" s="2"/>
      <c r="O459" s="2"/>
      <c r="P459" s="2"/>
      <c r="Q459" s="2"/>
      <c r="R459" s="2"/>
      <c r="S459" s="2"/>
      <c r="T459" s="2"/>
      <c r="U459" s="2"/>
      <c r="V459" s="2"/>
      <c r="W459" s="2"/>
      <c r="X459" s="2"/>
      <c r="Y459" s="2"/>
      <c r="Z459" s="2"/>
    </row>
    <row r="460" spans="1:26" ht="12.75" hidden="1" customHeight="1">
      <c r="A460" s="26">
        <v>247</v>
      </c>
      <c r="B460" s="27" t="s">
        <v>1437</v>
      </c>
      <c r="C460" s="28">
        <v>40767</v>
      </c>
      <c r="D460" s="27"/>
      <c r="E460" s="27" t="s">
        <v>1441</v>
      </c>
      <c r="F460" s="29" t="s">
        <v>1442</v>
      </c>
      <c r="G460" s="27"/>
      <c r="H460" s="27" t="s">
        <v>249</v>
      </c>
      <c r="I460" s="27">
        <v>1</v>
      </c>
      <c r="J460" s="30">
        <v>139770820</v>
      </c>
      <c r="K460" s="26" t="s">
        <v>206</v>
      </c>
      <c r="L460" s="26" t="s">
        <v>5344</v>
      </c>
      <c r="M460" s="31" t="s">
        <v>1443</v>
      </c>
      <c r="N460" s="2"/>
      <c r="O460" s="2"/>
      <c r="P460" s="2"/>
      <c r="Q460" s="2"/>
      <c r="R460" s="2"/>
      <c r="S460" s="2"/>
      <c r="T460" s="2"/>
      <c r="U460" s="2"/>
      <c r="V460" s="2"/>
      <c r="W460" s="2"/>
      <c r="X460" s="2"/>
      <c r="Y460" s="2"/>
      <c r="Z460" s="2"/>
    </row>
    <row r="461" spans="1:26" ht="25.5" hidden="1" customHeight="1">
      <c r="A461" s="26">
        <v>248</v>
      </c>
      <c r="B461" s="27" t="s">
        <v>1444</v>
      </c>
      <c r="C461" s="28">
        <v>39980</v>
      </c>
      <c r="D461" s="27"/>
      <c r="E461" s="27" t="s">
        <v>1445</v>
      </c>
      <c r="F461" s="29" t="s">
        <v>1446</v>
      </c>
      <c r="G461" s="27" t="s">
        <v>55</v>
      </c>
      <c r="H461" s="27" t="s">
        <v>19</v>
      </c>
      <c r="I461" s="27">
        <v>1</v>
      </c>
      <c r="J461" s="30">
        <v>1380524091</v>
      </c>
      <c r="K461" s="26" t="s">
        <v>20</v>
      </c>
      <c r="L461" s="36" t="s">
        <v>229</v>
      </c>
      <c r="M461" s="31" t="s">
        <v>5351</v>
      </c>
      <c r="N461" s="2"/>
      <c r="O461" s="2"/>
      <c r="P461" s="2"/>
      <c r="Q461" s="2"/>
      <c r="R461" s="2"/>
      <c r="S461" s="2"/>
      <c r="T461" s="2"/>
      <c r="U461" s="2"/>
      <c r="V461" s="2"/>
      <c r="W461" s="2"/>
      <c r="X461" s="2"/>
      <c r="Y461" s="2"/>
      <c r="Z461" s="2"/>
    </row>
    <row r="462" spans="1:26" ht="25.5" hidden="1" customHeight="1">
      <c r="A462" s="26" t="s">
        <v>1447</v>
      </c>
      <c r="B462" s="27"/>
      <c r="C462" s="28"/>
      <c r="D462" s="27"/>
      <c r="E462" s="27" t="s">
        <v>1448</v>
      </c>
      <c r="F462" s="29" t="s">
        <v>1449</v>
      </c>
      <c r="G462" s="27"/>
      <c r="H462" s="27"/>
      <c r="I462" s="27">
        <v>1</v>
      </c>
      <c r="J462" s="30">
        <v>0</v>
      </c>
      <c r="K462" s="26" t="s">
        <v>20</v>
      </c>
      <c r="L462" s="36" t="s">
        <v>229</v>
      </c>
      <c r="M462" s="31"/>
      <c r="N462" s="2"/>
      <c r="O462" s="2"/>
      <c r="P462" s="2"/>
      <c r="Q462" s="2"/>
      <c r="R462" s="2"/>
      <c r="S462" s="2"/>
      <c r="T462" s="2"/>
      <c r="U462" s="2"/>
      <c r="V462" s="2"/>
      <c r="W462" s="2"/>
      <c r="X462" s="2"/>
      <c r="Y462" s="2"/>
      <c r="Z462" s="2"/>
    </row>
    <row r="463" spans="1:26" ht="12.75" hidden="1" customHeight="1">
      <c r="A463" s="26">
        <v>249</v>
      </c>
      <c r="B463" s="27" t="s">
        <v>1064</v>
      </c>
      <c r="C463" s="28">
        <v>39963</v>
      </c>
      <c r="D463" s="27"/>
      <c r="E463" s="27" t="s">
        <v>1450</v>
      </c>
      <c r="F463" s="29" t="s">
        <v>1451</v>
      </c>
      <c r="G463" s="27" t="s">
        <v>55</v>
      </c>
      <c r="H463" s="27" t="s">
        <v>249</v>
      </c>
      <c r="I463" s="27">
        <v>1</v>
      </c>
      <c r="J463" s="30">
        <v>147053017</v>
      </c>
      <c r="K463" s="26" t="s">
        <v>20</v>
      </c>
      <c r="L463" s="26" t="s">
        <v>233</v>
      </c>
      <c r="M463" s="31" t="s">
        <v>1660</v>
      </c>
      <c r="N463" s="2"/>
      <c r="O463" s="2"/>
      <c r="P463" s="2"/>
      <c r="Q463" s="2"/>
      <c r="R463" s="2"/>
      <c r="S463" s="2"/>
      <c r="T463" s="2"/>
      <c r="U463" s="2"/>
      <c r="V463" s="2"/>
      <c r="W463" s="2"/>
      <c r="X463" s="2"/>
      <c r="Y463" s="2"/>
      <c r="Z463" s="2"/>
    </row>
    <row r="464" spans="1:26" ht="12.75" hidden="1" customHeight="1">
      <c r="A464" s="26">
        <v>250</v>
      </c>
      <c r="B464" s="27" t="s">
        <v>1064</v>
      </c>
      <c r="C464" s="28">
        <v>39963</v>
      </c>
      <c r="D464" s="27"/>
      <c r="E464" s="27" t="s">
        <v>1453</v>
      </c>
      <c r="F464" s="29" t="s">
        <v>1454</v>
      </c>
      <c r="G464" s="27" t="s">
        <v>338</v>
      </c>
      <c r="H464" s="27" t="s">
        <v>157</v>
      </c>
      <c r="I464" s="27">
        <v>1</v>
      </c>
      <c r="J464" s="30">
        <v>157777485</v>
      </c>
      <c r="K464" s="26" t="s">
        <v>206</v>
      </c>
      <c r="L464" s="26" t="s">
        <v>5344</v>
      </c>
      <c r="M464" s="31" t="s">
        <v>1311</v>
      </c>
      <c r="N464" s="2"/>
      <c r="O464" s="2"/>
      <c r="P464" s="2"/>
      <c r="Q464" s="2"/>
      <c r="R464" s="2"/>
      <c r="S464" s="2"/>
      <c r="T464" s="2"/>
      <c r="U464" s="2"/>
      <c r="V464" s="2"/>
      <c r="W464" s="2"/>
      <c r="X464" s="2"/>
      <c r="Y464" s="2"/>
      <c r="Z464" s="2"/>
    </row>
    <row r="465" spans="1:26" ht="25.5" hidden="1" customHeight="1">
      <c r="A465" s="26" t="s">
        <v>1455</v>
      </c>
      <c r="B465" s="27"/>
      <c r="C465" s="28"/>
      <c r="D465" s="27"/>
      <c r="E465" s="27" t="s">
        <v>1456</v>
      </c>
      <c r="F465" s="29" t="s">
        <v>1457</v>
      </c>
      <c r="G465" s="27"/>
      <c r="H465" s="27"/>
      <c r="I465" s="27">
        <v>1</v>
      </c>
      <c r="J465" s="30">
        <v>54814395</v>
      </c>
      <c r="K465" s="26" t="s">
        <v>206</v>
      </c>
      <c r="L465" s="26" t="s">
        <v>5344</v>
      </c>
      <c r="M465" s="31"/>
      <c r="N465" s="2"/>
      <c r="O465" s="2"/>
      <c r="P465" s="2"/>
      <c r="Q465" s="2"/>
      <c r="R465" s="2"/>
      <c r="S465" s="2"/>
      <c r="T465" s="2"/>
      <c r="U465" s="2"/>
      <c r="V465" s="2"/>
      <c r="W465" s="2"/>
      <c r="X465" s="2"/>
      <c r="Y465" s="2"/>
      <c r="Z465" s="2"/>
    </row>
    <row r="466" spans="1:26" ht="12.75" hidden="1" customHeight="1">
      <c r="A466" s="26" t="s">
        <v>1458</v>
      </c>
      <c r="B466" s="27"/>
      <c r="C466" s="28"/>
      <c r="D466" s="27"/>
      <c r="E466" s="27" t="s">
        <v>1459</v>
      </c>
      <c r="F466" s="29" t="s">
        <v>1460</v>
      </c>
      <c r="G466" s="27"/>
      <c r="H466" s="27"/>
      <c r="I466" s="27">
        <v>1</v>
      </c>
      <c r="J466" s="30">
        <v>6064799</v>
      </c>
      <c r="K466" s="26" t="s">
        <v>206</v>
      </c>
      <c r="L466" s="26" t="s">
        <v>5344</v>
      </c>
      <c r="M466" s="31"/>
      <c r="N466" s="2"/>
      <c r="O466" s="2"/>
      <c r="P466" s="2"/>
      <c r="Q466" s="2"/>
      <c r="R466" s="2"/>
      <c r="S466" s="2"/>
      <c r="T466" s="2"/>
      <c r="U466" s="2"/>
      <c r="V466" s="2"/>
      <c r="W466" s="2"/>
      <c r="X466" s="2"/>
      <c r="Y466" s="2"/>
      <c r="Z466" s="2"/>
    </row>
    <row r="467" spans="1:26" ht="25.5" hidden="1" customHeight="1">
      <c r="A467" s="26" t="s">
        <v>1461</v>
      </c>
      <c r="B467" s="27"/>
      <c r="C467" s="28"/>
      <c r="D467" s="27"/>
      <c r="E467" s="27" t="s">
        <v>1462</v>
      </c>
      <c r="F467" s="29" t="s">
        <v>1463</v>
      </c>
      <c r="G467" s="27"/>
      <c r="H467" s="27"/>
      <c r="I467" s="27">
        <v>1</v>
      </c>
      <c r="J467" s="30">
        <v>11259895</v>
      </c>
      <c r="K467" s="26" t="s">
        <v>206</v>
      </c>
      <c r="L467" s="26" t="s">
        <v>5344</v>
      </c>
      <c r="M467" s="31"/>
      <c r="N467" s="2"/>
      <c r="O467" s="2"/>
      <c r="P467" s="2"/>
      <c r="Q467" s="2"/>
      <c r="R467" s="2"/>
      <c r="S467" s="2"/>
      <c r="T467" s="2"/>
      <c r="U467" s="2"/>
      <c r="V467" s="2"/>
      <c r="W467" s="2"/>
      <c r="X467" s="2"/>
      <c r="Y467" s="2"/>
      <c r="Z467" s="2"/>
    </row>
    <row r="468" spans="1:26" ht="25.5" hidden="1" customHeight="1">
      <c r="A468" s="26" t="s">
        <v>1464</v>
      </c>
      <c r="B468" s="27"/>
      <c r="C468" s="28"/>
      <c r="D468" s="27"/>
      <c r="E468" s="27" t="s">
        <v>1465</v>
      </c>
      <c r="F468" s="29" t="s">
        <v>1463</v>
      </c>
      <c r="G468" s="27"/>
      <c r="H468" s="27"/>
      <c r="I468" s="27">
        <v>1</v>
      </c>
      <c r="J468" s="30">
        <v>11259894</v>
      </c>
      <c r="K468" s="26" t="s">
        <v>206</v>
      </c>
      <c r="L468" s="26" t="s">
        <v>5344</v>
      </c>
      <c r="M468" s="31"/>
      <c r="N468" s="2"/>
      <c r="O468" s="2"/>
      <c r="P468" s="2"/>
      <c r="Q468" s="2"/>
      <c r="R468" s="2"/>
      <c r="S468" s="2"/>
      <c r="T468" s="2"/>
      <c r="U468" s="2"/>
      <c r="V468" s="2"/>
      <c r="W468" s="2"/>
      <c r="X468" s="2"/>
      <c r="Y468" s="2"/>
      <c r="Z468" s="2"/>
    </row>
    <row r="469" spans="1:26" ht="25.5" hidden="1" customHeight="1">
      <c r="A469" s="26" t="s">
        <v>1466</v>
      </c>
      <c r="B469" s="27"/>
      <c r="C469" s="28"/>
      <c r="D469" s="27"/>
      <c r="E469" s="27" t="s">
        <v>1467</v>
      </c>
      <c r="F469" s="29" t="s">
        <v>1463</v>
      </c>
      <c r="G469" s="27"/>
      <c r="H469" s="27"/>
      <c r="I469" s="27">
        <v>1</v>
      </c>
      <c r="J469" s="30">
        <v>11259894</v>
      </c>
      <c r="K469" s="26" t="s">
        <v>206</v>
      </c>
      <c r="L469" s="26" t="s">
        <v>5344</v>
      </c>
      <c r="M469" s="31"/>
      <c r="N469" s="2"/>
      <c r="O469" s="2"/>
      <c r="P469" s="2"/>
      <c r="Q469" s="2"/>
      <c r="R469" s="2"/>
      <c r="S469" s="2"/>
      <c r="T469" s="2"/>
      <c r="U469" s="2"/>
      <c r="V469" s="2"/>
      <c r="W469" s="2"/>
      <c r="X469" s="2"/>
      <c r="Y469" s="2"/>
      <c r="Z469" s="2"/>
    </row>
    <row r="470" spans="1:26" ht="25.5" hidden="1" customHeight="1">
      <c r="A470" s="26" t="s">
        <v>1468</v>
      </c>
      <c r="B470" s="27"/>
      <c r="C470" s="28"/>
      <c r="D470" s="27"/>
      <c r="E470" s="27" t="s">
        <v>1469</v>
      </c>
      <c r="F470" s="29" t="s">
        <v>1463</v>
      </c>
      <c r="G470" s="27"/>
      <c r="H470" s="27"/>
      <c r="I470" s="27">
        <v>1</v>
      </c>
      <c r="J470" s="30">
        <v>11259894</v>
      </c>
      <c r="K470" s="26" t="s">
        <v>206</v>
      </c>
      <c r="L470" s="26" t="s">
        <v>5344</v>
      </c>
      <c r="M470" s="31"/>
      <c r="N470" s="2"/>
      <c r="O470" s="2"/>
      <c r="P470" s="2"/>
      <c r="Q470" s="2"/>
      <c r="R470" s="2"/>
      <c r="S470" s="2"/>
      <c r="T470" s="2"/>
      <c r="U470" s="2"/>
      <c r="V470" s="2"/>
      <c r="W470" s="2"/>
      <c r="X470" s="2"/>
      <c r="Y470" s="2"/>
      <c r="Z470" s="2"/>
    </row>
    <row r="471" spans="1:26" ht="25.5" hidden="1" customHeight="1">
      <c r="A471" s="26" t="s">
        <v>1470</v>
      </c>
      <c r="B471" s="27"/>
      <c r="C471" s="28"/>
      <c r="D471" s="27"/>
      <c r="E471" s="27" t="s">
        <v>1471</v>
      </c>
      <c r="F471" s="29" t="s">
        <v>1463</v>
      </c>
      <c r="G471" s="27"/>
      <c r="H471" s="27"/>
      <c r="I471" s="27">
        <v>1</v>
      </c>
      <c r="J471" s="30">
        <v>11259894</v>
      </c>
      <c r="K471" s="26" t="s">
        <v>206</v>
      </c>
      <c r="L471" s="26" t="s">
        <v>5344</v>
      </c>
      <c r="M471" s="31"/>
      <c r="N471" s="2"/>
      <c r="O471" s="2"/>
      <c r="P471" s="2"/>
      <c r="Q471" s="2"/>
      <c r="R471" s="2"/>
      <c r="S471" s="2"/>
      <c r="T471" s="2"/>
      <c r="U471" s="2"/>
      <c r="V471" s="2"/>
      <c r="W471" s="2"/>
      <c r="X471" s="2"/>
      <c r="Y471" s="2"/>
      <c r="Z471" s="2"/>
    </row>
    <row r="472" spans="1:26" ht="25.5" hidden="1" customHeight="1">
      <c r="A472" s="26" t="s">
        <v>1472</v>
      </c>
      <c r="B472" s="27"/>
      <c r="C472" s="28"/>
      <c r="D472" s="27"/>
      <c r="E472" s="27" t="s">
        <v>1473</v>
      </c>
      <c r="F472" s="29" t="s">
        <v>1463</v>
      </c>
      <c r="G472" s="27"/>
      <c r="H472" s="27"/>
      <c r="I472" s="27">
        <v>1</v>
      </c>
      <c r="J472" s="30">
        <v>11259894</v>
      </c>
      <c r="K472" s="26" t="s">
        <v>206</v>
      </c>
      <c r="L472" s="26" t="s">
        <v>5344</v>
      </c>
      <c r="M472" s="31"/>
      <c r="N472" s="2"/>
      <c r="O472" s="2"/>
      <c r="P472" s="2"/>
      <c r="Q472" s="2"/>
      <c r="R472" s="2"/>
      <c r="S472" s="2"/>
      <c r="T472" s="2"/>
      <c r="U472" s="2"/>
      <c r="V472" s="2"/>
      <c r="W472" s="2"/>
      <c r="X472" s="2"/>
      <c r="Y472" s="2"/>
      <c r="Z472" s="2"/>
    </row>
    <row r="473" spans="1:26" ht="25.5" hidden="1" customHeight="1">
      <c r="A473" s="26" t="s">
        <v>1474</v>
      </c>
      <c r="B473" s="27"/>
      <c r="C473" s="28"/>
      <c r="D473" s="27"/>
      <c r="E473" s="27" t="s">
        <v>1475</v>
      </c>
      <c r="F473" s="29" t="s">
        <v>1463</v>
      </c>
      <c r="G473" s="27"/>
      <c r="H473" s="27"/>
      <c r="I473" s="27">
        <v>1</v>
      </c>
      <c r="J473" s="30">
        <v>11259894</v>
      </c>
      <c r="K473" s="26" t="s">
        <v>206</v>
      </c>
      <c r="L473" s="26" t="s">
        <v>5344</v>
      </c>
      <c r="M473" s="31"/>
      <c r="N473" s="2"/>
      <c r="O473" s="2"/>
      <c r="P473" s="2"/>
      <c r="Q473" s="2"/>
      <c r="R473" s="2"/>
      <c r="S473" s="2"/>
      <c r="T473" s="2"/>
      <c r="U473" s="2"/>
      <c r="V473" s="2"/>
      <c r="W473" s="2"/>
      <c r="X473" s="2"/>
      <c r="Y473" s="2"/>
      <c r="Z473" s="2"/>
    </row>
    <row r="474" spans="1:26" ht="25.5" hidden="1" customHeight="1">
      <c r="A474" s="26" t="s">
        <v>1476</v>
      </c>
      <c r="B474" s="27"/>
      <c r="C474" s="28"/>
      <c r="D474" s="27"/>
      <c r="E474" s="27" t="s">
        <v>1477</v>
      </c>
      <c r="F474" s="29" t="s">
        <v>1463</v>
      </c>
      <c r="G474" s="27"/>
      <c r="H474" s="27"/>
      <c r="I474" s="27">
        <v>1</v>
      </c>
      <c r="J474" s="30">
        <v>11259894</v>
      </c>
      <c r="K474" s="26" t="s">
        <v>206</v>
      </c>
      <c r="L474" s="26" t="s">
        <v>5344</v>
      </c>
      <c r="M474" s="31"/>
      <c r="N474" s="2"/>
      <c r="O474" s="2"/>
      <c r="P474" s="2"/>
      <c r="Q474" s="2"/>
      <c r="R474" s="2"/>
      <c r="S474" s="2"/>
      <c r="T474" s="2"/>
      <c r="U474" s="2"/>
      <c r="V474" s="2"/>
      <c r="W474" s="2"/>
      <c r="X474" s="2"/>
      <c r="Y474" s="2"/>
      <c r="Z474" s="2"/>
    </row>
    <row r="475" spans="1:26" ht="25.5" hidden="1" customHeight="1">
      <c r="A475" s="26" t="s">
        <v>1478</v>
      </c>
      <c r="B475" s="27"/>
      <c r="C475" s="28"/>
      <c r="D475" s="27"/>
      <c r="E475" s="27" t="s">
        <v>1479</v>
      </c>
      <c r="F475" s="29" t="s">
        <v>1463</v>
      </c>
      <c r="G475" s="27"/>
      <c r="H475" s="27"/>
      <c r="I475" s="27">
        <v>1</v>
      </c>
      <c r="J475" s="30">
        <v>11259894</v>
      </c>
      <c r="K475" s="26" t="s">
        <v>206</v>
      </c>
      <c r="L475" s="26" t="s">
        <v>5344</v>
      </c>
      <c r="M475" s="31"/>
      <c r="N475" s="2"/>
      <c r="O475" s="2"/>
      <c r="P475" s="2"/>
      <c r="Q475" s="2"/>
      <c r="R475" s="2"/>
      <c r="S475" s="2"/>
      <c r="T475" s="2"/>
      <c r="U475" s="2"/>
      <c r="V475" s="2"/>
      <c r="W475" s="2"/>
      <c r="X475" s="2"/>
      <c r="Y475" s="2"/>
      <c r="Z475" s="2"/>
    </row>
    <row r="476" spans="1:26" ht="25.5" hidden="1" customHeight="1">
      <c r="A476" s="26" t="s">
        <v>1480</v>
      </c>
      <c r="B476" s="27"/>
      <c r="C476" s="28"/>
      <c r="D476" s="27"/>
      <c r="E476" s="27" t="s">
        <v>1481</v>
      </c>
      <c r="F476" s="29" t="s">
        <v>1463</v>
      </c>
      <c r="G476" s="27"/>
      <c r="H476" s="27"/>
      <c r="I476" s="27">
        <v>1</v>
      </c>
      <c r="J476" s="30">
        <v>11259894</v>
      </c>
      <c r="K476" s="26" t="s">
        <v>206</v>
      </c>
      <c r="L476" s="26" t="s">
        <v>5344</v>
      </c>
      <c r="M476" s="31"/>
      <c r="N476" s="2"/>
      <c r="O476" s="2"/>
      <c r="P476" s="2"/>
      <c r="Q476" s="2"/>
      <c r="R476" s="2"/>
      <c r="S476" s="2"/>
      <c r="T476" s="2"/>
      <c r="U476" s="2"/>
      <c r="V476" s="2"/>
      <c r="W476" s="2"/>
      <c r="X476" s="2"/>
      <c r="Y476" s="2"/>
      <c r="Z476" s="2"/>
    </row>
    <row r="477" spans="1:26" ht="12.75" hidden="1" customHeight="1">
      <c r="A477" s="26">
        <v>251</v>
      </c>
      <c r="B477" s="27" t="s">
        <v>1482</v>
      </c>
      <c r="C477" s="28">
        <v>39986</v>
      </c>
      <c r="D477" s="27"/>
      <c r="E477" s="27" t="s">
        <v>1483</v>
      </c>
      <c r="F477" s="29" t="s">
        <v>1484</v>
      </c>
      <c r="G477" s="27"/>
      <c r="H477" s="27" t="s">
        <v>249</v>
      </c>
      <c r="I477" s="27">
        <v>1</v>
      </c>
      <c r="J477" s="30">
        <v>98116052</v>
      </c>
      <c r="K477" s="26" t="s">
        <v>206</v>
      </c>
      <c r="L477" s="45" t="s">
        <v>5344</v>
      </c>
      <c r="M477" s="46" t="s">
        <v>1485</v>
      </c>
      <c r="N477" s="2"/>
      <c r="O477" s="2"/>
      <c r="P477" s="2"/>
      <c r="Q477" s="2"/>
      <c r="R477" s="2"/>
      <c r="S477" s="2"/>
      <c r="T477" s="2"/>
      <c r="U477" s="2"/>
      <c r="V477" s="2"/>
      <c r="W477" s="2"/>
      <c r="X477" s="2"/>
      <c r="Y477" s="2"/>
      <c r="Z477" s="2"/>
    </row>
    <row r="478" spans="1:26" ht="38.25" hidden="1" customHeight="1">
      <c r="A478" s="26">
        <v>252</v>
      </c>
      <c r="B478" s="27" t="s">
        <v>1005</v>
      </c>
      <c r="C478" s="28">
        <v>39994</v>
      </c>
      <c r="D478" s="27"/>
      <c r="E478" s="27" t="s">
        <v>1486</v>
      </c>
      <c r="F478" s="29" t="s">
        <v>1487</v>
      </c>
      <c r="G478" s="27" t="s">
        <v>338</v>
      </c>
      <c r="H478" s="27" t="s">
        <v>157</v>
      </c>
      <c r="I478" s="27">
        <v>1</v>
      </c>
      <c r="J478" s="30">
        <v>363433273</v>
      </c>
      <c r="K478" s="26" t="s">
        <v>206</v>
      </c>
      <c r="L478" s="45" t="s">
        <v>5344</v>
      </c>
      <c r="M478" s="46" t="s">
        <v>1488</v>
      </c>
      <c r="N478" s="2"/>
      <c r="O478" s="2"/>
      <c r="P478" s="2"/>
      <c r="Q478" s="2"/>
      <c r="R478" s="2"/>
      <c r="S478" s="2"/>
      <c r="T478" s="2"/>
      <c r="U478" s="2"/>
      <c r="V478" s="2"/>
      <c r="W478" s="2"/>
      <c r="X478" s="2"/>
      <c r="Y478" s="2"/>
      <c r="Z478" s="2"/>
    </row>
    <row r="479" spans="1:26" ht="12.75" hidden="1" customHeight="1">
      <c r="A479" s="26">
        <v>253</v>
      </c>
      <c r="B479" s="27" t="s">
        <v>1005</v>
      </c>
      <c r="C479" s="28">
        <v>39994</v>
      </c>
      <c r="D479" s="27"/>
      <c r="E479" s="27" t="s">
        <v>1489</v>
      </c>
      <c r="F479" s="29" t="s">
        <v>1490</v>
      </c>
      <c r="G479" s="27" t="s">
        <v>338</v>
      </c>
      <c r="H479" s="27" t="s">
        <v>157</v>
      </c>
      <c r="I479" s="27">
        <v>1</v>
      </c>
      <c r="J479" s="30">
        <v>416702453</v>
      </c>
      <c r="K479" s="26" t="s">
        <v>206</v>
      </c>
      <c r="L479" s="45" t="s">
        <v>5344</v>
      </c>
      <c r="M479" s="46" t="s">
        <v>1488</v>
      </c>
      <c r="N479" s="2"/>
      <c r="O479" s="2"/>
      <c r="P479" s="2"/>
      <c r="Q479" s="2"/>
      <c r="R479" s="2"/>
      <c r="S479" s="2"/>
      <c r="T479" s="2"/>
      <c r="U479" s="2"/>
      <c r="V479" s="2"/>
      <c r="W479" s="2"/>
      <c r="X479" s="2"/>
      <c r="Y479" s="2"/>
      <c r="Z479" s="2"/>
    </row>
    <row r="480" spans="1:26" ht="25.5" hidden="1" customHeight="1">
      <c r="A480" s="26" t="s">
        <v>1491</v>
      </c>
      <c r="B480" s="27"/>
      <c r="C480" s="28"/>
      <c r="D480" s="27"/>
      <c r="E480" s="27" t="s">
        <v>1492</v>
      </c>
      <c r="F480" s="29" t="s">
        <v>1493</v>
      </c>
      <c r="G480" s="27"/>
      <c r="H480" s="27"/>
      <c r="I480" s="27">
        <v>1</v>
      </c>
      <c r="J480" s="30">
        <v>52195204</v>
      </c>
      <c r="K480" s="26" t="s">
        <v>206</v>
      </c>
      <c r="L480" s="26" t="s">
        <v>5344</v>
      </c>
      <c r="M480" s="31"/>
      <c r="N480" s="2"/>
      <c r="O480" s="2"/>
      <c r="P480" s="2"/>
      <c r="Q480" s="2"/>
      <c r="R480" s="2"/>
      <c r="S480" s="2"/>
      <c r="T480" s="2"/>
      <c r="U480" s="2"/>
      <c r="V480" s="2"/>
      <c r="W480" s="2"/>
      <c r="X480" s="2"/>
      <c r="Y480" s="2"/>
      <c r="Z480" s="2"/>
    </row>
    <row r="481" spans="1:26" ht="38.25" hidden="1" customHeight="1">
      <c r="A481" s="26" t="s">
        <v>1494</v>
      </c>
      <c r="B481" s="27"/>
      <c r="C481" s="28"/>
      <c r="D481" s="27"/>
      <c r="E481" s="27" t="s">
        <v>1495</v>
      </c>
      <c r="F481" s="29" t="s">
        <v>1496</v>
      </c>
      <c r="G481" s="27"/>
      <c r="H481" s="27"/>
      <c r="I481" s="27">
        <v>1</v>
      </c>
      <c r="J481" s="30">
        <v>55202335</v>
      </c>
      <c r="K481" s="26" t="s">
        <v>206</v>
      </c>
      <c r="L481" s="26" t="s">
        <v>5344</v>
      </c>
      <c r="M481" s="31"/>
      <c r="N481" s="2"/>
      <c r="O481" s="2"/>
      <c r="P481" s="2"/>
      <c r="Q481" s="2"/>
      <c r="R481" s="2"/>
      <c r="S481" s="2"/>
      <c r="T481" s="2"/>
      <c r="U481" s="2"/>
      <c r="V481" s="2"/>
      <c r="W481" s="2"/>
      <c r="X481" s="2"/>
      <c r="Y481" s="2"/>
      <c r="Z481" s="2"/>
    </row>
    <row r="482" spans="1:26" ht="38.25" hidden="1" customHeight="1">
      <c r="A482" s="26">
        <v>254</v>
      </c>
      <c r="B482" s="27" t="s">
        <v>1005</v>
      </c>
      <c r="C482" s="28">
        <v>39994</v>
      </c>
      <c r="D482" s="27"/>
      <c r="E482" s="27" t="s">
        <v>1497</v>
      </c>
      <c r="F482" s="29" t="s">
        <v>1498</v>
      </c>
      <c r="G482" s="27" t="s">
        <v>338</v>
      </c>
      <c r="H482" s="27" t="s">
        <v>249</v>
      </c>
      <c r="I482" s="27">
        <v>1</v>
      </c>
      <c r="J482" s="30">
        <v>200833399</v>
      </c>
      <c r="K482" s="26" t="s">
        <v>206</v>
      </c>
      <c r="L482" s="26" t="s">
        <v>5344</v>
      </c>
      <c r="M482" s="31" t="s">
        <v>1499</v>
      </c>
      <c r="N482" s="2"/>
      <c r="O482" s="2"/>
      <c r="P482" s="2"/>
      <c r="Q482" s="2"/>
      <c r="R482" s="2"/>
      <c r="S482" s="2"/>
      <c r="T482" s="2"/>
      <c r="U482" s="2"/>
      <c r="V482" s="2"/>
      <c r="W482" s="2"/>
      <c r="X482" s="2"/>
      <c r="Y482" s="2"/>
      <c r="Z482" s="2"/>
    </row>
    <row r="483" spans="1:26" ht="38.25" hidden="1" customHeight="1">
      <c r="A483" s="38">
        <v>255</v>
      </c>
      <c r="B483" s="27" t="s">
        <v>1005</v>
      </c>
      <c r="C483" s="40">
        <v>39994</v>
      </c>
      <c r="D483" s="27"/>
      <c r="E483" s="39" t="s">
        <v>1500</v>
      </c>
      <c r="F483" s="41" t="s">
        <v>1501</v>
      </c>
      <c r="G483" s="27" t="s">
        <v>338</v>
      </c>
      <c r="H483" s="27" t="s">
        <v>249</v>
      </c>
      <c r="I483" s="27">
        <v>1</v>
      </c>
      <c r="J483" s="42">
        <v>200833398</v>
      </c>
      <c r="K483" s="38" t="s">
        <v>206</v>
      </c>
      <c r="L483" s="38" t="s">
        <v>5344</v>
      </c>
      <c r="M483" s="43" t="s">
        <v>1381</v>
      </c>
      <c r="N483" s="2"/>
      <c r="O483" s="2"/>
      <c r="P483" s="2"/>
      <c r="Q483" s="2"/>
      <c r="R483" s="2"/>
      <c r="S483" s="2"/>
      <c r="T483" s="2"/>
      <c r="U483" s="2"/>
      <c r="V483" s="2"/>
      <c r="W483" s="2"/>
      <c r="X483" s="2"/>
      <c r="Y483" s="2"/>
      <c r="Z483" s="2"/>
    </row>
    <row r="484" spans="1:26" ht="25.5" hidden="1" customHeight="1">
      <c r="A484" s="38">
        <v>256</v>
      </c>
      <c r="B484" s="27" t="s">
        <v>1005</v>
      </c>
      <c r="C484" s="40">
        <v>39994</v>
      </c>
      <c r="D484" s="27"/>
      <c r="E484" s="39" t="s">
        <v>1502</v>
      </c>
      <c r="F484" s="41" t="s">
        <v>1503</v>
      </c>
      <c r="G484" s="27"/>
      <c r="H484" s="27" t="s">
        <v>249</v>
      </c>
      <c r="I484" s="27">
        <v>1</v>
      </c>
      <c r="J484" s="42">
        <v>38725405</v>
      </c>
      <c r="K484" s="38" t="s">
        <v>206</v>
      </c>
      <c r="L484" s="38" t="s">
        <v>5344</v>
      </c>
      <c r="M484" s="43" t="s">
        <v>1381</v>
      </c>
      <c r="N484" s="2"/>
      <c r="O484" s="2"/>
      <c r="P484" s="2"/>
      <c r="Q484" s="2"/>
      <c r="R484" s="2"/>
      <c r="S484" s="2"/>
      <c r="T484" s="2"/>
      <c r="U484" s="2"/>
      <c r="V484" s="2"/>
      <c r="W484" s="2"/>
      <c r="X484" s="2"/>
      <c r="Y484" s="2"/>
      <c r="Z484" s="2"/>
    </row>
    <row r="485" spans="1:26" ht="25.5" hidden="1" customHeight="1">
      <c r="A485" s="26">
        <v>257</v>
      </c>
      <c r="B485" s="27" t="s">
        <v>1005</v>
      </c>
      <c r="C485" s="28">
        <v>39994</v>
      </c>
      <c r="D485" s="27"/>
      <c r="E485" s="27" t="s">
        <v>1504</v>
      </c>
      <c r="F485" s="29" t="s">
        <v>1505</v>
      </c>
      <c r="G485" s="27"/>
      <c r="H485" s="27" t="s">
        <v>249</v>
      </c>
      <c r="I485" s="27">
        <v>1</v>
      </c>
      <c r="J485" s="30">
        <v>38725405</v>
      </c>
      <c r="K485" s="26" t="s">
        <v>20</v>
      </c>
      <c r="L485" s="36" t="s">
        <v>229</v>
      </c>
      <c r="M485" s="31" t="s">
        <v>5352</v>
      </c>
      <c r="N485" s="2"/>
      <c r="O485" s="2"/>
      <c r="P485" s="2"/>
      <c r="Q485" s="2"/>
      <c r="R485" s="2"/>
      <c r="S485" s="2"/>
      <c r="T485" s="2"/>
      <c r="U485" s="2"/>
      <c r="V485" s="2"/>
      <c r="W485" s="2"/>
      <c r="X485" s="2"/>
      <c r="Y485" s="2"/>
      <c r="Z485" s="2"/>
    </row>
    <row r="486" spans="1:26" ht="25.5" hidden="1" customHeight="1">
      <c r="A486" s="26">
        <v>258</v>
      </c>
      <c r="B486" s="27" t="s">
        <v>1005</v>
      </c>
      <c r="C486" s="28">
        <v>39994</v>
      </c>
      <c r="D486" s="27"/>
      <c r="E486" s="27" t="s">
        <v>1506</v>
      </c>
      <c r="F486" s="29" t="s">
        <v>1507</v>
      </c>
      <c r="G486" s="27"/>
      <c r="H486" s="27" t="s">
        <v>249</v>
      </c>
      <c r="I486" s="27">
        <v>1</v>
      </c>
      <c r="J486" s="30">
        <v>38725405</v>
      </c>
      <c r="K486" s="26" t="s">
        <v>20</v>
      </c>
      <c r="L486" s="36" t="s">
        <v>229</v>
      </c>
      <c r="M486" s="31" t="s">
        <v>5353</v>
      </c>
      <c r="N486" s="2"/>
      <c r="O486" s="2"/>
      <c r="P486" s="2"/>
      <c r="Q486" s="2"/>
      <c r="R486" s="2"/>
      <c r="S486" s="2"/>
      <c r="T486" s="2"/>
      <c r="U486" s="2"/>
      <c r="V486" s="2"/>
      <c r="W486" s="2"/>
      <c r="X486" s="2"/>
      <c r="Y486" s="2"/>
      <c r="Z486" s="2"/>
    </row>
    <row r="487" spans="1:26" ht="12.75" hidden="1" customHeight="1">
      <c r="A487" s="38">
        <v>259</v>
      </c>
      <c r="B487" s="27" t="s">
        <v>1005</v>
      </c>
      <c r="C487" s="40">
        <v>39994</v>
      </c>
      <c r="D487" s="27"/>
      <c r="E487" s="39" t="s">
        <v>1508</v>
      </c>
      <c r="F487" s="41" t="s">
        <v>1509</v>
      </c>
      <c r="G487" s="27"/>
      <c r="H487" s="27" t="s">
        <v>249</v>
      </c>
      <c r="I487" s="27">
        <v>1</v>
      </c>
      <c r="J487" s="42">
        <v>38655144</v>
      </c>
      <c r="K487" s="38" t="s">
        <v>206</v>
      </c>
      <c r="L487" s="38" t="s">
        <v>1330</v>
      </c>
      <c r="M487" s="43" t="s">
        <v>1510</v>
      </c>
      <c r="N487" s="2"/>
      <c r="O487" s="2"/>
      <c r="P487" s="2"/>
      <c r="Q487" s="2"/>
      <c r="R487" s="2"/>
      <c r="S487" s="2"/>
      <c r="T487" s="2"/>
      <c r="U487" s="2"/>
      <c r="V487" s="2"/>
      <c r="W487" s="2"/>
      <c r="X487" s="2"/>
      <c r="Y487" s="2"/>
      <c r="Z487" s="2"/>
    </row>
    <row r="488" spans="1:26" ht="12.75" hidden="1" customHeight="1">
      <c r="A488" s="26">
        <v>260</v>
      </c>
      <c r="B488" s="27" t="s">
        <v>1511</v>
      </c>
      <c r="C488" s="28">
        <v>40178</v>
      </c>
      <c r="D488" s="27"/>
      <c r="E488" s="27">
        <v>302099902650001</v>
      </c>
      <c r="F488" s="29" t="s">
        <v>1513</v>
      </c>
      <c r="G488" s="27" t="s">
        <v>338</v>
      </c>
      <c r="H488" s="27" t="s">
        <v>249</v>
      </c>
      <c r="I488" s="27">
        <v>1</v>
      </c>
      <c r="J488" s="30">
        <v>171017530</v>
      </c>
      <c r="K488" s="26" t="s">
        <v>206</v>
      </c>
      <c r="L488" s="68" t="s">
        <v>1514</v>
      </c>
      <c r="M488" s="69" t="s">
        <v>1136</v>
      </c>
      <c r="N488" s="2"/>
      <c r="O488" s="2"/>
      <c r="P488" s="2"/>
      <c r="Q488" s="2"/>
      <c r="R488" s="2"/>
      <c r="S488" s="2"/>
      <c r="T488" s="2"/>
      <c r="U488" s="2"/>
      <c r="V488" s="2"/>
      <c r="W488" s="2"/>
      <c r="X488" s="2"/>
      <c r="Y488" s="2"/>
      <c r="Z488" s="2"/>
    </row>
    <row r="489" spans="1:26" ht="12.75" hidden="1" customHeight="1">
      <c r="A489" s="26">
        <v>261</v>
      </c>
      <c r="B489" s="27" t="s">
        <v>1511</v>
      </c>
      <c r="C489" s="28">
        <v>40178</v>
      </c>
      <c r="D489" s="27"/>
      <c r="E489" s="27" t="s">
        <v>1515</v>
      </c>
      <c r="F489" s="29" t="s">
        <v>1513</v>
      </c>
      <c r="G489" s="27" t="s">
        <v>338</v>
      </c>
      <c r="H489" s="27" t="s">
        <v>249</v>
      </c>
      <c r="I489" s="27">
        <v>1</v>
      </c>
      <c r="J489" s="30">
        <v>171017530</v>
      </c>
      <c r="K489" s="26" t="s">
        <v>206</v>
      </c>
      <c r="L489" s="68" t="s">
        <v>1514</v>
      </c>
      <c r="M489" s="69" t="s">
        <v>826</v>
      </c>
      <c r="N489" s="2"/>
      <c r="O489" s="2"/>
      <c r="P489" s="2"/>
      <c r="Q489" s="2"/>
      <c r="R489" s="2"/>
      <c r="S489" s="2"/>
      <c r="T489" s="2"/>
      <c r="U489" s="2"/>
      <c r="V489" s="2"/>
      <c r="W489" s="2"/>
      <c r="X489" s="2"/>
      <c r="Y489" s="2"/>
      <c r="Z489" s="2"/>
    </row>
    <row r="490" spans="1:26" ht="12.75" hidden="1" customHeight="1">
      <c r="A490" s="26">
        <v>262</v>
      </c>
      <c r="B490" s="27" t="s">
        <v>1516</v>
      </c>
      <c r="C490" s="28">
        <v>40352</v>
      </c>
      <c r="D490" s="27"/>
      <c r="E490" s="27" t="s">
        <v>1517</v>
      </c>
      <c r="F490" s="29" t="s">
        <v>1518</v>
      </c>
      <c r="G490" s="27" t="s">
        <v>338</v>
      </c>
      <c r="H490" s="27" t="s">
        <v>19</v>
      </c>
      <c r="I490" s="27">
        <v>1</v>
      </c>
      <c r="J490" s="30">
        <v>433862205</v>
      </c>
      <c r="K490" s="26" t="s">
        <v>20</v>
      </c>
      <c r="L490" s="36" t="s">
        <v>229</v>
      </c>
      <c r="M490" s="31" t="s">
        <v>5354</v>
      </c>
      <c r="N490" s="2"/>
      <c r="O490" s="2"/>
      <c r="P490" s="2"/>
      <c r="Q490" s="2"/>
      <c r="R490" s="2"/>
      <c r="S490" s="2"/>
      <c r="T490" s="2"/>
      <c r="U490" s="2"/>
      <c r="V490" s="2"/>
      <c r="W490" s="2"/>
      <c r="X490" s="2"/>
      <c r="Y490" s="2"/>
      <c r="Z490" s="2"/>
    </row>
    <row r="491" spans="1:26" ht="25.5" hidden="1" customHeight="1">
      <c r="A491" s="26" t="s">
        <v>1519</v>
      </c>
      <c r="B491" s="27"/>
      <c r="C491" s="28"/>
      <c r="D491" s="27"/>
      <c r="E491" s="27" t="s">
        <v>1520</v>
      </c>
      <c r="F491" s="29" t="s">
        <v>1521</v>
      </c>
      <c r="G491" s="27"/>
      <c r="H491" s="27"/>
      <c r="I491" s="27">
        <v>1</v>
      </c>
      <c r="J491" s="30">
        <v>21916668</v>
      </c>
      <c r="K491" s="26" t="s">
        <v>20</v>
      </c>
      <c r="L491" s="36" t="s">
        <v>229</v>
      </c>
      <c r="M491" s="31"/>
      <c r="N491" s="2"/>
      <c r="O491" s="2"/>
      <c r="P491" s="2"/>
      <c r="Q491" s="2"/>
      <c r="R491" s="2"/>
      <c r="S491" s="2"/>
      <c r="T491" s="2"/>
      <c r="U491" s="2"/>
      <c r="V491" s="2"/>
      <c r="W491" s="2"/>
      <c r="X491" s="2"/>
      <c r="Y491" s="2"/>
      <c r="Z491" s="2"/>
    </row>
    <row r="492" spans="1:26" ht="25.5" hidden="1" customHeight="1">
      <c r="A492" s="26" t="s">
        <v>1523</v>
      </c>
      <c r="B492" s="27"/>
      <c r="C492" s="28"/>
      <c r="D492" s="27"/>
      <c r="E492" s="27" t="s">
        <v>1524</v>
      </c>
      <c r="F492" s="29" t="s">
        <v>1525</v>
      </c>
      <c r="G492" s="27"/>
      <c r="H492" s="27"/>
      <c r="I492" s="27">
        <v>1</v>
      </c>
      <c r="J492" s="30">
        <v>21916668</v>
      </c>
      <c r="K492" s="26" t="s">
        <v>20</v>
      </c>
      <c r="L492" s="36" t="s">
        <v>229</v>
      </c>
      <c r="M492" s="31"/>
      <c r="N492" s="2"/>
      <c r="O492" s="2"/>
      <c r="P492" s="2"/>
      <c r="Q492" s="2"/>
      <c r="R492" s="2"/>
      <c r="S492" s="2"/>
      <c r="T492" s="2"/>
      <c r="U492" s="2"/>
      <c r="V492" s="2"/>
      <c r="W492" s="2"/>
      <c r="X492" s="2"/>
      <c r="Y492" s="2"/>
      <c r="Z492" s="2"/>
    </row>
    <row r="493" spans="1:26" ht="25.5" hidden="1" customHeight="1">
      <c r="A493" s="26" t="s">
        <v>1526</v>
      </c>
      <c r="B493" s="27"/>
      <c r="C493" s="28"/>
      <c r="D493" s="27"/>
      <c r="E493" s="27" t="s">
        <v>1527</v>
      </c>
      <c r="F493" s="29" t="s">
        <v>1528</v>
      </c>
      <c r="G493" s="27"/>
      <c r="H493" s="27"/>
      <c r="I493" s="27">
        <v>1</v>
      </c>
      <c r="J493" s="30">
        <v>21916668</v>
      </c>
      <c r="K493" s="26" t="s">
        <v>20</v>
      </c>
      <c r="L493" s="36" t="s">
        <v>229</v>
      </c>
      <c r="M493" s="31"/>
      <c r="N493" s="2"/>
      <c r="O493" s="2"/>
      <c r="P493" s="2"/>
      <c r="Q493" s="2"/>
      <c r="R493" s="2"/>
      <c r="S493" s="2"/>
      <c r="T493" s="2"/>
      <c r="U493" s="2"/>
      <c r="V493" s="2"/>
      <c r="W493" s="2"/>
      <c r="X493" s="2"/>
      <c r="Y493" s="2"/>
      <c r="Z493" s="2"/>
    </row>
    <row r="494" spans="1:26" ht="25.5" hidden="1" customHeight="1">
      <c r="A494" s="26" t="s">
        <v>1529</v>
      </c>
      <c r="B494" s="27"/>
      <c r="C494" s="28"/>
      <c r="D494" s="27"/>
      <c r="E494" s="27" t="s">
        <v>1530</v>
      </c>
      <c r="F494" s="29" t="s">
        <v>1531</v>
      </c>
      <c r="G494" s="27"/>
      <c r="H494" s="27"/>
      <c r="I494" s="27">
        <v>1</v>
      </c>
      <c r="J494" s="30">
        <v>21916670</v>
      </c>
      <c r="K494" s="26" t="s">
        <v>20</v>
      </c>
      <c r="L494" s="36" t="s">
        <v>229</v>
      </c>
      <c r="M494" s="31"/>
      <c r="N494" s="2"/>
      <c r="O494" s="2"/>
      <c r="P494" s="2"/>
      <c r="Q494" s="2"/>
      <c r="R494" s="2"/>
      <c r="S494" s="2"/>
      <c r="T494" s="2"/>
      <c r="U494" s="2"/>
      <c r="V494" s="2"/>
      <c r="W494" s="2"/>
      <c r="X494" s="2"/>
      <c r="Y494" s="2"/>
      <c r="Z494" s="2"/>
    </row>
    <row r="495" spans="1:26" ht="12.75" hidden="1" customHeight="1">
      <c r="A495" s="38">
        <v>263</v>
      </c>
      <c r="B495" s="27" t="s">
        <v>1137</v>
      </c>
      <c r="C495" s="40">
        <v>40441</v>
      </c>
      <c r="D495" s="27"/>
      <c r="E495" s="39" t="s">
        <v>1532</v>
      </c>
      <c r="F495" s="41" t="s">
        <v>1533</v>
      </c>
      <c r="G495" s="27" t="s">
        <v>1008</v>
      </c>
      <c r="H495" s="27" t="s">
        <v>569</v>
      </c>
      <c r="I495" s="27">
        <v>1</v>
      </c>
      <c r="J495" s="42">
        <v>52548350</v>
      </c>
      <c r="K495" s="38" t="s">
        <v>206</v>
      </c>
      <c r="L495" s="38" t="s">
        <v>1330</v>
      </c>
      <c r="M495" s="43" t="s">
        <v>1534</v>
      </c>
      <c r="N495" s="2"/>
      <c r="O495" s="2"/>
      <c r="P495" s="2"/>
      <c r="Q495" s="2"/>
      <c r="R495" s="2"/>
      <c r="S495" s="2"/>
      <c r="T495" s="2"/>
      <c r="U495" s="2"/>
      <c r="V495" s="2"/>
      <c r="W495" s="2"/>
      <c r="X495" s="2"/>
      <c r="Y495" s="2"/>
      <c r="Z495" s="2"/>
    </row>
    <row r="496" spans="1:26" ht="12.75" hidden="1" customHeight="1">
      <c r="A496" s="26">
        <v>264</v>
      </c>
      <c r="B496" s="27" t="s">
        <v>1437</v>
      </c>
      <c r="C496" s="28">
        <v>40767</v>
      </c>
      <c r="D496" s="27"/>
      <c r="E496" s="27" t="s">
        <v>1535</v>
      </c>
      <c r="F496" s="29" t="s">
        <v>1536</v>
      </c>
      <c r="G496" s="27" t="s">
        <v>248</v>
      </c>
      <c r="H496" s="27" t="s">
        <v>19</v>
      </c>
      <c r="I496" s="27">
        <v>1</v>
      </c>
      <c r="J496" s="30">
        <v>33378106</v>
      </c>
      <c r="K496" s="26" t="s">
        <v>20</v>
      </c>
      <c r="L496" s="26" t="s">
        <v>295</v>
      </c>
      <c r="M496" s="31" t="s">
        <v>5160</v>
      </c>
      <c r="N496" s="2"/>
      <c r="O496" s="2"/>
      <c r="P496" s="2"/>
      <c r="Q496" s="2"/>
      <c r="R496" s="2"/>
      <c r="S496" s="2"/>
      <c r="T496" s="2"/>
      <c r="U496" s="2"/>
      <c r="V496" s="2"/>
      <c r="W496" s="2"/>
      <c r="X496" s="2"/>
      <c r="Y496" s="2"/>
      <c r="Z496" s="2"/>
    </row>
    <row r="497" spans="1:26" ht="12.75" hidden="1" customHeight="1">
      <c r="A497" s="26">
        <v>265</v>
      </c>
      <c r="B497" s="27" t="s">
        <v>1437</v>
      </c>
      <c r="C497" s="28">
        <v>40767</v>
      </c>
      <c r="D497" s="27"/>
      <c r="E497" s="27" t="s">
        <v>1538</v>
      </c>
      <c r="F497" s="29" t="s">
        <v>1539</v>
      </c>
      <c r="G497" s="27" t="s">
        <v>248</v>
      </c>
      <c r="H497" s="27" t="s">
        <v>19</v>
      </c>
      <c r="I497" s="27">
        <v>1</v>
      </c>
      <c r="J497" s="30">
        <v>33378106</v>
      </c>
      <c r="K497" s="26" t="s">
        <v>206</v>
      </c>
      <c r="L497" s="26" t="s">
        <v>1330</v>
      </c>
      <c r="M497" s="31" t="s">
        <v>1534</v>
      </c>
      <c r="N497" s="2"/>
      <c r="O497" s="2"/>
      <c r="P497" s="2"/>
      <c r="Q497" s="2"/>
      <c r="R497" s="2"/>
      <c r="S497" s="2"/>
      <c r="T497" s="2"/>
      <c r="U497" s="2"/>
      <c r="V497" s="2"/>
      <c r="W497" s="2"/>
      <c r="X497" s="2"/>
      <c r="Y497" s="2"/>
      <c r="Z497" s="2"/>
    </row>
    <row r="498" spans="1:26" ht="25.5" hidden="1" customHeight="1">
      <c r="A498" s="26">
        <v>266</v>
      </c>
      <c r="B498" s="27" t="s">
        <v>52</v>
      </c>
      <c r="C498" s="28">
        <v>40875</v>
      </c>
      <c r="D498" s="27"/>
      <c r="E498" s="27" t="s">
        <v>1540</v>
      </c>
      <c r="F498" s="29" t="s">
        <v>1541</v>
      </c>
      <c r="G498" s="27" t="s">
        <v>338</v>
      </c>
      <c r="H498" s="27" t="s">
        <v>19</v>
      </c>
      <c r="I498" s="27">
        <v>1</v>
      </c>
      <c r="J498" s="30">
        <v>106049772</v>
      </c>
      <c r="K498" s="26" t="s">
        <v>36</v>
      </c>
      <c r="L498" s="26" t="s">
        <v>1542</v>
      </c>
      <c r="M498" s="31" t="s">
        <v>1543</v>
      </c>
      <c r="N498" s="2"/>
      <c r="O498" s="2"/>
      <c r="P498" s="2"/>
      <c r="Q498" s="2"/>
      <c r="R498" s="2"/>
      <c r="S498" s="2"/>
      <c r="T498" s="2"/>
      <c r="U498" s="2"/>
      <c r="V498" s="2"/>
      <c r="W498" s="2"/>
      <c r="X498" s="2"/>
      <c r="Y498" s="2"/>
      <c r="Z498" s="2"/>
    </row>
    <row r="499" spans="1:26" ht="12.75" hidden="1" customHeight="1">
      <c r="A499" s="26" t="s">
        <v>1544</v>
      </c>
      <c r="B499" s="27"/>
      <c r="C499" s="28"/>
      <c r="D499" s="27"/>
      <c r="E499" s="27" t="s">
        <v>1545</v>
      </c>
      <c r="F499" s="29" t="s">
        <v>1546</v>
      </c>
      <c r="G499" s="27"/>
      <c r="H499" s="27"/>
      <c r="I499" s="27">
        <v>1</v>
      </c>
      <c r="J499" s="30">
        <v>28250045</v>
      </c>
      <c r="K499" s="26" t="s">
        <v>36</v>
      </c>
      <c r="L499" s="26" t="s">
        <v>1542</v>
      </c>
      <c r="M499" s="31"/>
      <c r="N499" s="2"/>
      <c r="O499" s="2"/>
      <c r="P499" s="2"/>
      <c r="Q499" s="2"/>
      <c r="R499" s="2"/>
      <c r="S499" s="2"/>
      <c r="T499" s="2"/>
      <c r="U499" s="2"/>
      <c r="V499" s="2"/>
      <c r="W499" s="2"/>
      <c r="X499" s="2"/>
      <c r="Y499" s="2"/>
      <c r="Z499" s="2"/>
    </row>
    <row r="500" spans="1:26" ht="25.5" hidden="1" customHeight="1">
      <c r="A500" s="26">
        <v>267</v>
      </c>
      <c r="B500" s="27" t="s">
        <v>52</v>
      </c>
      <c r="C500" s="28">
        <v>40875</v>
      </c>
      <c r="D500" s="27"/>
      <c r="E500" s="27" t="s">
        <v>1547</v>
      </c>
      <c r="F500" s="29" t="s">
        <v>1541</v>
      </c>
      <c r="G500" s="27" t="s">
        <v>338</v>
      </c>
      <c r="H500" s="27" t="s">
        <v>19</v>
      </c>
      <c r="I500" s="27">
        <v>1</v>
      </c>
      <c r="J500" s="30">
        <v>106049771</v>
      </c>
      <c r="K500" s="26" t="s">
        <v>36</v>
      </c>
      <c r="L500" s="26" t="s">
        <v>1542</v>
      </c>
      <c r="M500" s="31" t="s">
        <v>1543</v>
      </c>
      <c r="N500" s="2"/>
      <c r="O500" s="2"/>
      <c r="P500" s="2"/>
      <c r="Q500" s="2"/>
      <c r="R500" s="2"/>
      <c r="S500" s="2"/>
      <c r="T500" s="2"/>
      <c r="U500" s="2"/>
      <c r="V500" s="2"/>
      <c r="W500" s="2"/>
      <c r="X500" s="2"/>
      <c r="Y500" s="2"/>
      <c r="Z500" s="2"/>
    </row>
    <row r="501" spans="1:26" ht="12.75" hidden="1" customHeight="1">
      <c r="A501" s="26" t="s">
        <v>1548</v>
      </c>
      <c r="B501" s="27"/>
      <c r="C501" s="28"/>
      <c r="D501" s="27"/>
      <c r="E501" s="27" t="s">
        <v>1549</v>
      </c>
      <c r="F501" s="29" t="s">
        <v>1546</v>
      </c>
      <c r="G501" s="27"/>
      <c r="H501" s="27"/>
      <c r="I501" s="27">
        <v>1</v>
      </c>
      <c r="J501" s="30">
        <v>28250045</v>
      </c>
      <c r="K501" s="26" t="s">
        <v>36</v>
      </c>
      <c r="L501" s="26" t="s">
        <v>1542</v>
      </c>
      <c r="M501" s="31"/>
      <c r="N501" s="2"/>
      <c r="O501" s="2"/>
      <c r="P501" s="2"/>
      <c r="Q501" s="2"/>
      <c r="R501" s="2"/>
      <c r="S501" s="2"/>
      <c r="T501" s="2"/>
      <c r="U501" s="2"/>
      <c r="V501" s="2"/>
      <c r="W501" s="2"/>
      <c r="X501" s="2"/>
      <c r="Y501" s="2"/>
      <c r="Z501" s="2"/>
    </row>
    <row r="502" spans="1:26" ht="25.5" hidden="1" customHeight="1">
      <c r="A502" s="26">
        <v>268</v>
      </c>
      <c r="B502" s="27" t="s">
        <v>52</v>
      </c>
      <c r="C502" s="28">
        <v>40875</v>
      </c>
      <c r="D502" s="27"/>
      <c r="E502" s="27" t="s">
        <v>1550</v>
      </c>
      <c r="F502" s="29" t="s">
        <v>1551</v>
      </c>
      <c r="G502" s="27"/>
      <c r="H502" s="27" t="s">
        <v>19</v>
      </c>
      <c r="I502" s="27">
        <v>1</v>
      </c>
      <c r="J502" s="30">
        <v>143447451</v>
      </c>
      <c r="K502" s="26" t="s">
        <v>36</v>
      </c>
      <c r="L502" s="26" t="s">
        <v>1542</v>
      </c>
      <c r="M502" s="31" t="s">
        <v>1543</v>
      </c>
      <c r="N502" s="2"/>
      <c r="O502" s="2"/>
      <c r="P502" s="2"/>
      <c r="Q502" s="2"/>
      <c r="R502" s="2"/>
      <c r="S502" s="2"/>
      <c r="T502" s="2"/>
      <c r="U502" s="2"/>
      <c r="V502" s="2"/>
      <c r="W502" s="2"/>
      <c r="X502" s="2"/>
      <c r="Y502" s="2"/>
      <c r="Z502" s="2"/>
    </row>
    <row r="503" spans="1:26" ht="25.5" hidden="1" customHeight="1">
      <c r="A503" s="26" t="s">
        <v>1552</v>
      </c>
      <c r="B503" s="27"/>
      <c r="C503" s="28"/>
      <c r="D503" s="27"/>
      <c r="E503" s="27" t="s">
        <v>1553</v>
      </c>
      <c r="F503" s="29" t="s">
        <v>1554</v>
      </c>
      <c r="G503" s="27"/>
      <c r="H503" s="27"/>
      <c r="I503" s="27">
        <v>1</v>
      </c>
      <c r="J503" s="30">
        <v>28250045</v>
      </c>
      <c r="K503" s="26" t="s">
        <v>36</v>
      </c>
      <c r="L503" s="26" t="s">
        <v>1542</v>
      </c>
      <c r="M503" s="31"/>
      <c r="N503" s="2"/>
      <c r="O503" s="2"/>
      <c r="P503" s="2"/>
      <c r="Q503" s="2"/>
      <c r="R503" s="2"/>
      <c r="S503" s="2"/>
      <c r="T503" s="2"/>
      <c r="U503" s="2"/>
      <c r="V503" s="2"/>
      <c r="W503" s="2"/>
      <c r="X503" s="2"/>
      <c r="Y503" s="2"/>
      <c r="Z503" s="2"/>
    </row>
    <row r="504" spans="1:26" ht="12.75" hidden="1" customHeight="1">
      <c r="A504" s="26">
        <v>269</v>
      </c>
      <c r="B504" s="27" t="s">
        <v>197</v>
      </c>
      <c r="C504" s="28">
        <v>40948</v>
      </c>
      <c r="D504" s="27"/>
      <c r="E504" s="27" t="s">
        <v>1555</v>
      </c>
      <c r="F504" s="29" t="s">
        <v>1556</v>
      </c>
      <c r="G504" s="27" t="s">
        <v>338</v>
      </c>
      <c r="H504" s="27" t="s">
        <v>19</v>
      </c>
      <c r="I504" s="27">
        <v>1</v>
      </c>
      <c r="J504" s="30">
        <v>268070586</v>
      </c>
      <c r="K504" s="26" t="s">
        <v>20</v>
      </c>
      <c r="L504" s="36" t="s">
        <v>229</v>
      </c>
      <c r="M504" s="31" t="s">
        <v>5355</v>
      </c>
      <c r="N504" s="2"/>
      <c r="O504" s="2"/>
      <c r="P504" s="2"/>
      <c r="Q504" s="2"/>
      <c r="R504" s="2"/>
      <c r="S504" s="2"/>
      <c r="T504" s="2"/>
      <c r="U504" s="2"/>
      <c r="V504" s="2"/>
      <c r="W504" s="2"/>
      <c r="X504" s="2"/>
      <c r="Y504" s="2"/>
      <c r="Z504" s="2"/>
    </row>
    <row r="505" spans="1:26" ht="12.75" hidden="1" customHeight="1">
      <c r="A505" s="26">
        <v>270</v>
      </c>
      <c r="B505" s="27" t="s">
        <v>197</v>
      </c>
      <c r="C505" s="28">
        <v>40948</v>
      </c>
      <c r="D505" s="27"/>
      <c r="E505" s="27" t="s">
        <v>1557</v>
      </c>
      <c r="F505" s="29" t="s">
        <v>1558</v>
      </c>
      <c r="G505" s="27" t="s">
        <v>338</v>
      </c>
      <c r="H505" s="27" t="s">
        <v>19</v>
      </c>
      <c r="I505" s="27">
        <v>1</v>
      </c>
      <c r="J505" s="30">
        <v>268070586</v>
      </c>
      <c r="K505" s="26" t="s">
        <v>206</v>
      </c>
      <c r="L505" s="26" t="s">
        <v>1330</v>
      </c>
      <c r="M505" s="31" t="s">
        <v>1559</v>
      </c>
      <c r="N505" s="2"/>
      <c r="O505" s="2"/>
      <c r="P505" s="2"/>
      <c r="Q505" s="2"/>
      <c r="R505" s="2"/>
      <c r="S505" s="2"/>
      <c r="T505" s="2"/>
      <c r="U505" s="2"/>
      <c r="V505" s="2"/>
      <c r="W505" s="2"/>
      <c r="X505" s="2"/>
      <c r="Y505" s="2"/>
      <c r="Z505" s="2"/>
    </row>
    <row r="506" spans="1:26" ht="25.5" hidden="1" customHeight="1">
      <c r="A506" s="26">
        <v>271</v>
      </c>
      <c r="B506" s="27" t="s">
        <v>1560</v>
      </c>
      <c r="C506" s="28">
        <v>40981</v>
      </c>
      <c r="D506" s="27"/>
      <c r="E506" s="27" t="s">
        <v>1561</v>
      </c>
      <c r="F506" s="29" t="s">
        <v>1562</v>
      </c>
      <c r="G506" s="27" t="s">
        <v>55</v>
      </c>
      <c r="H506" s="27" t="s">
        <v>19</v>
      </c>
      <c r="I506" s="27">
        <v>1</v>
      </c>
      <c r="J506" s="30">
        <v>464149240</v>
      </c>
      <c r="K506" s="26" t="s">
        <v>20</v>
      </c>
      <c r="L506" s="36" t="s">
        <v>229</v>
      </c>
      <c r="M506" s="31" t="s">
        <v>2183</v>
      </c>
      <c r="N506" s="2"/>
      <c r="O506" s="2"/>
      <c r="P506" s="2"/>
      <c r="Q506" s="2"/>
      <c r="R506" s="2"/>
      <c r="S506" s="2"/>
      <c r="T506" s="2"/>
      <c r="U506" s="2"/>
      <c r="V506" s="2"/>
      <c r="W506" s="2"/>
      <c r="X506" s="2"/>
      <c r="Y506" s="2"/>
      <c r="Z506" s="2"/>
    </row>
    <row r="507" spans="1:26" ht="12.75" hidden="1" customHeight="1">
      <c r="A507" s="26" t="s">
        <v>1564</v>
      </c>
      <c r="B507" s="27"/>
      <c r="C507" s="28"/>
      <c r="D507" s="27"/>
      <c r="E507" s="27" t="s">
        <v>1565</v>
      </c>
      <c r="F507" s="29" t="s">
        <v>1566</v>
      </c>
      <c r="G507" s="27"/>
      <c r="H507" s="27"/>
      <c r="I507" s="27">
        <v>1</v>
      </c>
      <c r="J507" s="30">
        <v>0</v>
      </c>
      <c r="K507" s="26" t="s">
        <v>20</v>
      </c>
      <c r="L507" s="36" t="s">
        <v>229</v>
      </c>
      <c r="M507" s="31" t="s">
        <v>5356</v>
      </c>
      <c r="N507" s="2"/>
      <c r="O507" s="2"/>
      <c r="P507" s="2"/>
      <c r="Q507" s="2"/>
      <c r="R507" s="2"/>
      <c r="S507" s="2"/>
      <c r="T507" s="2"/>
      <c r="U507" s="2"/>
      <c r="V507" s="2"/>
      <c r="W507" s="2"/>
      <c r="X507" s="2"/>
      <c r="Y507" s="2"/>
      <c r="Z507" s="2"/>
    </row>
    <row r="508" spans="1:26" ht="25.5" hidden="1" customHeight="1">
      <c r="A508" s="26">
        <v>272</v>
      </c>
      <c r="B508" s="27" t="s">
        <v>281</v>
      </c>
      <c r="C508" s="28">
        <v>41044</v>
      </c>
      <c r="D508" s="27"/>
      <c r="E508" s="27" t="s">
        <v>1567</v>
      </c>
      <c r="F508" s="29" t="s">
        <v>1568</v>
      </c>
      <c r="G508" s="27" t="s">
        <v>248</v>
      </c>
      <c r="H508" s="27" t="s">
        <v>19</v>
      </c>
      <c r="I508" s="27">
        <v>1</v>
      </c>
      <c r="J508" s="30">
        <v>112936000</v>
      </c>
      <c r="K508" s="26" t="s">
        <v>20</v>
      </c>
      <c r="L508" s="36" t="s">
        <v>229</v>
      </c>
      <c r="M508" s="31" t="s">
        <v>5296</v>
      </c>
      <c r="N508" s="2"/>
      <c r="O508" s="2"/>
      <c r="P508" s="2"/>
      <c r="Q508" s="2"/>
      <c r="R508" s="2"/>
      <c r="S508" s="2"/>
      <c r="T508" s="2"/>
      <c r="U508" s="2"/>
      <c r="V508" s="2"/>
      <c r="W508" s="2"/>
      <c r="X508" s="2"/>
      <c r="Y508" s="2"/>
      <c r="Z508" s="2"/>
    </row>
    <row r="509" spans="1:26" ht="12.75" hidden="1" customHeight="1">
      <c r="A509" s="26">
        <v>273</v>
      </c>
      <c r="B509" s="27" t="s">
        <v>212</v>
      </c>
      <c r="C509" s="28">
        <v>41512</v>
      </c>
      <c r="D509" s="27"/>
      <c r="E509" s="27" t="s">
        <v>1569</v>
      </c>
      <c r="F509" s="29" t="s">
        <v>1570</v>
      </c>
      <c r="G509" s="27" t="s">
        <v>338</v>
      </c>
      <c r="H509" s="27" t="s">
        <v>19</v>
      </c>
      <c r="I509" s="27">
        <v>1</v>
      </c>
      <c r="J509" s="30">
        <v>1146053379</v>
      </c>
      <c r="K509" s="26" t="s">
        <v>20</v>
      </c>
      <c r="L509" s="26" t="s">
        <v>233</v>
      </c>
      <c r="M509" s="31" t="s">
        <v>1847</v>
      </c>
      <c r="N509" s="2"/>
      <c r="O509" s="2"/>
      <c r="P509" s="2"/>
      <c r="Q509" s="2"/>
      <c r="R509" s="2"/>
      <c r="S509" s="2"/>
      <c r="T509" s="2"/>
      <c r="U509" s="2"/>
      <c r="V509" s="2"/>
      <c r="W509" s="2"/>
      <c r="X509" s="2"/>
      <c r="Y509" s="2"/>
      <c r="Z509" s="2"/>
    </row>
    <row r="510" spans="1:26" ht="12.75" hidden="1" customHeight="1">
      <c r="A510" s="26" t="s">
        <v>1572</v>
      </c>
      <c r="B510" s="27"/>
      <c r="C510" s="28"/>
      <c r="D510" s="27"/>
      <c r="E510" s="27" t="s">
        <v>1573</v>
      </c>
      <c r="F510" s="29" t="s">
        <v>1574</v>
      </c>
      <c r="G510" s="27"/>
      <c r="H510" s="27"/>
      <c r="I510" s="27">
        <v>1</v>
      </c>
      <c r="J510" s="30">
        <v>120465449</v>
      </c>
      <c r="K510" s="26" t="s">
        <v>20</v>
      </c>
      <c r="L510" s="26" t="s">
        <v>233</v>
      </c>
      <c r="M510" s="31"/>
      <c r="N510" s="2"/>
      <c r="O510" s="2"/>
      <c r="P510" s="2"/>
      <c r="Q510" s="2"/>
      <c r="R510" s="2"/>
      <c r="S510" s="2"/>
      <c r="T510" s="2"/>
      <c r="U510" s="2"/>
      <c r="V510" s="2"/>
      <c r="W510" s="2"/>
      <c r="X510" s="2"/>
      <c r="Y510" s="2"/>
      <c r="Z510" s="2"/>
    </row>
    <row r="511" spans="1:26" ht="12.75" hidden="1" customHeight="1">
      <c r="A511" s="26" t="s">
        <v>1576</v>
      </c>
      <c r="B511" s="27"/>
      <c r="C511" s="28"/>
      <c r="D511" s="27"/>
      <c r="E511" s="27" t="s">
        <v>1577</v>
      </c>
      <c r="F511" s="29" t="s">
        <v>1574</v>
      </c>
      <c r="G511" s="27"/>
      <c r="H511" s="27"/>
      <c r="I511" s="27">
        <v>1</v>
      </c>
      <c r="J511" s="30">
        <v>120465449</v>
      </c>
      <c r="K511" s="26" t="s">
        <v>20</v>
      </c>
      <c r="L511" s="26" t="s">
        <v>233</v>
      </c>
      <c r="M511" s="31"/>
      <c r="N511" s="2"/>
      <c r="O511" s="2"/>
      <c r="P511" s="2"/>
      <c r="Q511" s="2"/>
      <c r="R511" s="2"/>
      <c r="S511" s="2"/>
      <c r="T511" s="2"/>
      <c r="U511" s="2"/>
      <c r="V511" s="2"/>
      <c r="W511" s="2"/>
      <c r="X511" s="2"/>
      <c r="Y511" s="2"/>
      <c r="Z511" s="2"/>
    </row>
    <row r="512" spans="1:26" ht="25.5" hidden="1" customHeight="1">
      <c r="A512" s="26" t="s">
        <v>1578</v>
      </c>
      <c r="B512" s="27"/>
      <c r="C512" s="28"/>
      <c r="D512" s="27"/>
      <c r="E512" s="27" t="s">
        <v>1579</v>
      </c>
      <c r="F512" s="29" t="s">
        <v>1580</v>
      </c>
      <c r="G512" s="27"/>
      <c r="H512" s="27"/>
      <c r="I512" s="27">
        <v>1</v>
      </c>
      <c r="J512" s="30">
        <v>96104240</v>
      </c>
      <c r="K512" s="26" t="s">
        <v>20</v>
      </c>
      <c r="L512" s="26" t="s">
        <v>233</v>
      </c>
      <c r="M512" s="31"/>
      <c r="N512" s="2"/>
      <c r="O512" s="2"/>
      <c r="P512" s="2"/>
      <c r="Q512" s="2"/>
      <c r="R512" s="2"/>
      <c r="S512" s="2"/>
      <c r="T512" s="2"/>
      <c r="U512" s="2"/>
      <c r="V512" s="2"/>
      <c r="W512" s="2"/>
      <c r="X512" s="2"/>
      <c r="Y512" s="2"/>
      <c r="Z512" s="2"/>
    </row>
    <row r="513" spans="1:26" ht="25.5" hidden="1" customHeight="1">
      <c r="A513" s="26" t="s">
        <v>1582</v>
      </c>
      <c r="B513" s="27"/>
      <c r="C513" s="28"/>
      <c r="D513" s="27"/>
      <c r="E513" s="27" t="s">
        <v>1583</v>
      </c>
      <c r="F513" s="29" t="s">
        <v>1580</v>
      </c>
      <c r="G513" s="27"/>
      <c r="H513" s="27"/>
      <c r="I513" s="27">
        <v>1</v>
      </c>
      <c r="J513" s="30">
        <v>96104240</v>
      </c>
      <c r="K513" s="26" t="s">
        <v>20</v>
      </c>
      <c r="L513" s="26" t="s">
        <v>233</v>
      </c>
      <c r="M513" s="31"/>
      <c r="N513" s="2"/>
      <c r="O513" s="2"/>
      <c r="P513" s="2"/>
      <c r="Q513" s="2"/>
      <c r="R513" s="2"/>
      <c r="S513" s="2"/>
      <c r="T513" s="2"/>
      <c r="U513" s="2"/>
      <c r="V513" s="2"/>
      <c r="W513" s="2"/>
      <c r="X513" s="2"/>
      <c r="Y513" s="2"/>
      <c r="Z513" s="2"/>
    </row>
    <row r="514" spans="1:26" ht="12.75" hidden="1" customHeight="1">
      <c r="A514" s="26" t="s">
        <v>1585</v>
      </c>
      <c r="B514" s="27"/>
      <c r="C514" s="28"/>
      <c r="D514" s="27"/>
      <c r="E514" s="27" t="s">
        <v>1586</v>
      </c>
      <c r="F514" s="29" t="s">
        <v>1587</v>
      </c>
      <c r="G514" s="27"/>
      <c r="H514" s="27"/>
      <c r="I514" s="27">
        <v>1</v>
      </c>
      <c r="J514" s="30">
        <v>95957611</v>
      </c>
      <c r="K514" s="26" t="s">
        <v>20</v>
      </c>
      <c r="L514" s="26" t="s">
        <v>233</v>
      </c>
      <c r="M514" s="31"/>
      <c r="N514" s="2"/>
      <c r="O514" s="2"/>
      <c r="P514" s="2"/>
      <c r="Q514" s="2"/>
      <c r="R514" s="2"/>
      <c r="S514" s="2"/>
      <c r="T514" s="2"/>
      <c r="U514" s="2"/>
      <c r="V514" s="2"/>
      <c r="W514" s="2"/>
      <c r="X514" s="2"/>
      <c r="Y514" s="2"/>
      <c r="Z514" s="2"/>
    </row>
    <row r="515" spans="1:26" ht="12.75" hidden="1" customHeight="1">
      <c r="A515" s="26">
        <v>274</v>
      </c>
      <c r="B515" s="27" t="s">
        <v>212</v>
      </c>
      <c r="C515" s="28">
        <v>41512</v>
      </c>
      <c r="D515" s="27"/>
      <c r="E515" s="27" t="s">
        <v>1589</v>
      </c>
      <c r="F515" s="29" t="s">
        <v>1570</v>
      </c>
      <c r="G515" s="27" t="s">
        <v>338</v>
      </c>
      <c r="H515" s="27" t="s">
        <v>19</v>
      </c>
      <c r="I515" s="27">
        <v>1</v>
      </c>
      <c r="J515" s="30">
        <v>1146073379</v>
      </c>
      <c r="K515" s="26" t="s">
        <v>20</v>
      </c>
      <c r="L515" s="26" t="s">
        <v>233</v>
      </c>
      <c r="M515" s="31" t="s">
        <v>1537</v>
      </c>
      <c r="N515" s="2"/>
      <c r="O515" s="2"/>
      <c r="P515" s="2"/>
      <c r="Q515" s="2"/>
      <c r="R515" s="2"/>
      <c r="S515" s="2"/>
      <c r="T515" s="2"/>
      <c r="U515" s="2"/>
      <c r="V515" s="2"/>
      <c r="W515" s="2"/>
      <c r="X515" s="2"/>
      <c r="Y515" s="2"/>
      <c r="Z515" s="2"/>
    </row>
    <row r="516" spans="1:26" ht="12.75" hidden="1" customHeight="1">
      <c r="A516" s="26" t="s">
        <v>1591</v>
      </c>
      <c r="B516" s="27"/>
      <c r="C516" s="28"/>
      <c r="D516" s="27"/>
      <c r="E516" s="27" t="s">
        <v>1592</v>
      </c>
      <c r="F516" s="29" t="s">
        <v>1574</v>
      </c>
      <c r="G516" s="27"/>
      <c r="H516" s="27"/>
      <c r="I516" s="27">
        <v>1</v>
      </c>
      <c r="J516" s="30">
        <v>120465449</v>
      </c>
      <c r="K516" s="26" t="s">
        <v>20</v>
      </c>
      <c r="L516" s="26" t="s">
        <v>233</v>
      </c>
      <c r="M516" s="31"/>
      <c r="N516" s="2"/>
      <c r="O516" s="2"/>
      <c r="P516" s="2"/>
      <c r="Q516" s="2"/>
      <c r="R516" s="2"/>
      <c r="S516" s="2"/>
      <c r="T516" s="2"/>
      <c r="U516" s="2"/>
      <c r="V516" s="2"/>
      <c r="W516" s="2"/>
      <c r="X516" s="2"/>
      <c r="Y516" s="2"/>
      <c r="Z516" s="2"/>
    </row>
    <row r="517" spans="1:26" ht="12.75" hidden="1" customHeight="1">
      <c r="A517" s="26" t="s">
        <v>1594</v>
      </c>
      <c r="B517" s="27"/>
      <c r="C517" s="28"/>
      <c r="D517" s="27"/>
      <c r="E517" s="27" t="s">
        <v>1595</v>
      </c>
      <c r="F517" s="29" t="s">
        <v>1574</v>
      </c>
      <c r="G517" s="27"/>
      <c r="H517" s="27"/>
      <c r="I517" s="27">
        <v>1</v>
      </c>
      <c r="J517" s="30">
        <v>120465449</v>
      </c>
      <c r="K517" s="26" t="s">
        <v>20</v>
      </c>
      <c r="L517" s="26" t="s">
        <v>233</v>
      </c>
      <c r="M517" s="31"/>
      <c r="N517" s="2"/>
      <c r="O517" s="2"/>
      <c r="P517" s="2"/>
      <c r="Q517" s="2"/>
      <c r="R517" s="2"/>
      <c r="S517" s="2"/>
      <c r="T517" s="2"/>
      <c r="U517" s="2"/>
      <c r="V517" s="2"/>
      <c r="W517" s="2"/>
      <c r="X517" s="2"/>
      <c r="Y517" s="2"/>
      <c r="Z517" s="2"/>
    </row>
    <row r="518" spans="1:26" ht="25.5" hidden="1" customHeight="1">
      <c r="A518" s="26" t="s">
        <v>1597</v>
      </c>
      <c r="B518" s="27"/>
      <c r="C518" s="28"/>
      <c r="D518" s="27"/>
      <c r="E518" s="27" t="s">
        <v>1598</v>
      </c>
      <c r="F518" s="29" t="s">
        <v>1580</v>
      </c>
      <c r="G518" s="27"/>
      <c r="H518" s="27"/>
      <c r="I518" s="27">
        <v>1</v>
      </c>
      <c r="J518" s="30">
        <v>96104240</v>
      </c>
      <c r="K518" s="26" t="s">
        <v>20</v>
      </c>
      <c r="L518" s="26" t="s">
        <v>233</v>
      </c>
      <c r="M518" s="31"/>
      <c r="N518" s="2"/>
      <c r="O518" s="2"/>
      <c r="P518" s="2"/>
      <c r="Q518" s="2"/>
      <c r="R518" s="2"/>
      <c r="S518" s="2"/>
      <c r="T518" s="2"/>
      <c r="U518" s="2"/>
      <c r="V518" s="2"/>
      <c r="W518" s="2"/>
      <c r="X518" s="2"/>
      <c r="Y518" s="2"/>
      <c r="Z518" s="2"/>
    </row>
    <row r="519" spans="1:26" ht="25.5" hidden="1" customHeight="1">
      <c r="A519" s="26" t="s">
        <v>1600</v>
      </c>
      <c r="B519" s="27"/>
      <c r="C519" s="28"/>
      <c r="D519" s="27"/>
      <c r="E519" s="27" t="s">
        <v>1601</v>
      </c>
      <c r="F519" s="29" t="s">
        <v>1580</v>
      </c>
      <c r="G519" s="27"/>
      <c r="H519" s="27"/>
      <c r="I519" s="27">
        <v>1</v>
      </c>
      <c r="J519" s="30">
        <v>96104240</v>
      </c>
      <c r="K519" s="26" t="s">
        <v>20</v>
      </c>
      <c r="L519" s="26" t="s">
        <v>233</v>
      </c>
      <c r="M519" s="31"/>
      <c r="N519" s="2"/>
      <c r="O519" s="2"/>
      <c r="P519" s="2"/>
      <c r="Q519" s="2"/>
      <c r="R519" s="2"/>
      <c r="S519" s="2"/>
      <c r="T519" s="2"/>
      <c r="U519" s="2"/>
      <c r="V519" s="2"/>
      <c r="W519" s="2"/>
      <c r="X519" s="2"/>
      <c r="Y519" s="2"/>
      <c r="Z519" s="2"/>
    </row>
    <row r="520" spans="1:26" ht="12.75" hidden="1" customHeight="1">
      <c r="A520" s="26" t="s">
        <v>1603</v>
      </c>
      <c r="B520" s="27"/>
      <c r="C520" s="28"/>
      <c r="D520" s="27"/>
      <c r="E520" s="27" t="s">
        <v>1604</v>
      </c>
      <c r="F520" s="29" t="s">
        <v>1587</v>
      </c>
      <c r="G520" s="27"/>
      <c r="H520" s="27"/>
      <c r="I520" s="27">
        <v>1</v>
      </c>
      <c r="J520" s="30">
        <v>95957611</v>
      </c>
      <c r="K520" s="26" t="s">
        <v>20</v>
      </c>
      <c r="L520" s="26" t="s">
        <v>233</v>
      </c>
      <c r="M520" s="31"/>
      <c r="N520" s="2"/>
      <c r="O520" s="2"/>
      <c r="P520" s="2"/>
      <c r="Q520" s="2"/>
      <c r="R520" s="2"/>
      <c r="S520" s="2"/>
      <c r="T520" s="2"/>
      <c r="U520" s="2"/>
      <c r="V520" s="2"/>
      <c r="W520" s="2"/>
      <c r="X520" s="2"/>
      <c r="Y520" s="2"/>
      <c r="Z520" s="2"/>
    </row>
    <row r="521" spans="1:26" ht="25.5" hidden="1" customHeight="1">
      <c r="A521" s="26">
        <v>275</v>
      </c>
      <c r="B521" s="27" t="s">
        <v>212</v>
      </c>
      <c r="C521" s="28">
        <v>41512</v>
      </c>
      <c r="D521" s="27"/>
      <c r="E521" s="27" t="s">
        <v>1606</v>
      </c>
      <c r="F521" s="29" t="s">
        <v>1607</v>
      </c>
      <c r="G521" s="27" t="s">
        <v>338</v>
      </c>
      <c r="H521" s="27" t="s">
        <v>19</v>
      </c>
      <c r="I521" s="27">
        <v>1</v>
      </c>
      <c r="J521" s="30">
        <v>34394761</v>
      </c>
      <c r="K521" s="26" t="s">
        <v>36</v>
      </c>
      <c r="L521" s="26" t="s">
        <v>1542</v>
      </c>
      <c r="M521" s="31" t="s">
        <v>1608</v>
      </c>
      <c r="N521" s="2"/>
      <c r="O521" s="2"/>
      <c r="P521" s="2"/>
      <c r="Q521" s="2"/>
      <c r="R521" s="2"/>
      <c r="S521" s="2"/>
      <c r="T521" s="2"/>
      <c r="U521" s="2"/>
      <c r="V521" s="2"/>
      <c r="W521" s="2"/>
      <c r="X521" s="2"/>
      <c r="Y521" s="2"/>
      <c r="Z521" s="2"/>
    </row>
    <row r="522" spans="1:26" ht="25.5" hidden="1" customHeight="1">
      <c r="A522" s="26">
        <v>276</v>
      </c>
      <c r="B522" s="27" t="s">
        <v>212</v>
      </c>
      <c r="C522" s="28">
        <v>41512</v>
      </c>
      <c r="D522" s="27"/>
      <c r="E522" s="27" t="s">
        <v>1609</v>
      </c>
      <c r="F522" s="29" t="s">
        <v>1610</v>
      </c>
      <c r="G522" s="27" t="s">
        <v>338</v>
      </c>
      <c r="H522" s="27" t="s">
        <v>19</v>
      </c>
      <c r="I522" s="27">
        <v>1</v>
      </c>
      <c r="J522" s="30">
        <v>34394760</v>
      </c>
      <c r="K522" s="26" t="s">
        <v>36</v>
      </c>
      <c r="L522" s="26" t="s">
        <v>1542</v>
      </c>
      <c r="M522" s="31" t="s">
        <v>1608</v>
      </c>
      <c r="N522" s="2"/>
      <c r="O522" s="2"/>
      <c r="P522" s="2"/>
      <c r="Q522" s="2"/>
      <c r="R522" s="2"/>
      <c r="S522" s="2"/>
      <c r="T522" s="2"/>
      <c r="U522" s="2"/>
      <c r="V522" s="2"/>
      <c r="W522" s="2"/>
      <c r="X522" s="2"/>
      <c r="Y522" s="2"/>
      <c r="Z522" s="2"/>
    </row>
    <row r="523" spans="1:26" ht="12.75" hidden="1" customHeight="1">
      <c r="A523" s="26">
        <v>277</v>
      </c>
      <c r="B523" s="27" t="s">
        <v>411</v>
      </c>
      <c r="C523" s="28">
        <v>41599</v>
      </c>
      <c r="D523" s="27"/>
      <c r="E523" s="27" t="s">
        <v>1611</v>
      </c>
      <c r="F523" s="29" t="s">
        <v>1612</v>
      </c>
      <c r="G523" s="27" t="s">
        <v>1008</v>
      </c>
      <c r="H523" s="27" t="s">
        <v>19</v>
      </c>
      <c r="I523" s="27">
        <v>1</v>
      </c>
      <c r="J523" s="30">
        <v>982971699</v>
      </c>
      <c r="K523" s="26" t="s">
        <v>20</v>
      </c>
      <c r="L523" s="26" t="s">
        <v>423</v>
      </c>
      <c r="M523" s="31" t="s">
        <v>5204</v>
      </c>
      <c r="N523" s="2"/>
      <c r="O523" s="2"/>
      <c r="P523" s="2"/>
      <c r="Q523" s="2"/>
      <c r="R523" s="2"/>
      <c r="S523" s="2"/>
      <c r="T523" s="2"/>
      <c r="U523" s="2"/>
      <c r="V523" s="2"/>
      <c r="W523" s="2"/>
      <c r="X523" s="2"/>
      <c r="Y523" s="2"/>
      <c r="Z523" s="2"/>
    </row>
    <row r="524" spans="1:26" ht="12.75" hidden="1" customHeight="1">
      <c r="A524" s="26" t="s">
        <v>1614</v>
      </c>
      <c r="B524" s="27"/>
      <c r="C524" s="28"/>
      <c r="D524" s="27"/>
      <c r="E524" s="27" t="s">
        <v>1615</v>
      </c>
      <c r="F524" s="29" t="s">
        <v>1616</v>
      </c>
      <c r="G524" s="27"/>
      <c r="H524" s="27"/>
      <c r="I524" s="27">
        <v>1</v>
      </c>
      <c r="J524" s="30">
        <v>0</v>
      </c>
      <c r="K524" s="26" t="s">
        <v>20</v>
      </c>
      <c r="L524" s="26" t="s">
        <v>423</v>
      </c>
      <c r="M524" s="31" t="s">
        <v>5217</v>
      </c>
      <c r="N524" s="2"/>
      <c r="O524" s="2"/>
      <c r="P524" s="2"/>
      <c r="Q524" s="2"/>
      <c r="R524" s="2"/>
      <c r="S524" s="2"/>
      <c r="T524" s="2"/>
      <c r="U524" s="2"/>
      <c r="V524" s="2"/>
      <c r="W524" s="2"/>
      <c r="X524" s="2"/>
      <c r="Y524" s="2"/>
      <c r="Z524" s="2"/>
    </row>
    <row r="525" spans="1:26" ht="12.75" hidden="1" customHeight="1">
      <c r="A525" s="26">
        <v>278</v>
      </c>
      <c r="B525" s="27" t="s">
        <v>1618</v>
      </c>
      <c r="C525" s="28">
        <v>41606</v>
      </c>
      <c r="D525" s="27"/>
      <c r="E525" s="27" t="s">
        <v>1619</v>
      </c>
      <c r="F525" s="29" t="s">
        <v>1620</v>
      </c>
      <c r="G525" s="27" t="s">
        <v>45</v>
      </c>
      <c r="H525" s="27" t="s">
        <v>19</v>
      </c>
      <c r="I525" s="27">
        <v>1</v>
      </c>
      <c r="J525" s="30">
        <v>2641956303</v>
      </c>
      <c r="K525" s="26" t="s">
        <v>20</v>
      </c>
      <c r="L525" s="36" t="s">
        <v>229</v>
      </c>
      <c r="M525" s="31" t="s">
        <v>5357</v>
      </c>
      <c r="N525" s="2"/>
      <c r="O525" s="2"/>
      <c r="P525" s="2"/>
      <c r="Q525" s="2"/>
      <c r="R525" s="2"/>
      <c r="S525" s="2"/>
      <c r="T525" s="2"/>
      <c r="U525" s="2"/>
      <c r="V525" s="2"/>
      <c r="W525" s="2"/>
      <c r="X525" s="2"/>
      <c r="Y525" s="2"/>
      <c r="Z525" s="2"/>
    </row>
    <row r="526" spans="1:26" ht="12.75" hidden="1" customHeight="1">
      <c r="A526" s="26" t="s">
        <v>1621</v>
      </c>
      <c r="B526" s="27"/>
      <c r="C526" s="28"/>
      <c r="D526" s="27"/>
      <c r="E526" s="27" t="s">
        <v>1622</v>
      </c>
      <c r="F526" s="29" t="s">
        <v>1623</v>
      </c>
      <c r="G526" s="27"/>
      <c r="H526" s="27"/>
      <c r="I526" s="27">
        <v>1</v>
      </c>
      <c r="J526" s="30">
        <v>0</v>
      </c>
      <c r="K526" s="26" t="s">
        <v>20</v>
      </c>
      <c r="L526" s="36" t="s">
        <v>229</v>
      </c>
      <c r="M526" s="31" t="s">
        <v>5357</v>
      </c>
      <c r="N526" s="2"/>
      <c r="O526" s="2"/>
      <c r="P526" s="2"/>
      <c r="Q526" s="2"/>
      <c r="R526" s="2"/>
      <c r="S526" s="2"/>
      <c r="T526" s="2"/>
      <c r="U526" s="2"/>
      <c r="V526" s="2"/>
      <c r="W526" s="2"/>
      <c r="X526" s="2"/>
      <c r="Y526" s="2"/>
      <c r="Z526" s="2"/>
    </row>
    <row r="527" spans="1:26" ht="12.75" hidden="1" customHeight="1">
      <c r="A527" s="26" t="s">
        <v>1624</v>
      </c>
      <c r="B527" s="27"/>
      <c r="C527" s="28"/>
      <c r="D527" s="27"/>
      <c r="E527" s="27" t="s">
        <v>1625</v>
      </c>
      <c r="F527" s="29" t="s">
        <v>1626</v>
      </c>
      <c r="G527" s="27"/>
      <c r="H527" s="27"/>
      <c r="I527" s="27">
        <v>1</v>
      </c>
      <c r="J527" s="30">
        <v>0</v>
      </c>
      <c r="K527" s="26" t="s">
        <v>20</v>
      </c>
      <c r="L527" s="36" t="s">
        <v>229</v>
      </c>
      <c r="M527" s="31" t="s">
        <v>5357</v>
      </c>
      <c r="N527" s="2"/>
      <c r="O527" s="2"/>
      <c r="P527" s="2"/>
      <c r="Q527" s="2"/>
      <c r="R527" s="2"/>
      <c r="S527" s="2"/>
      <c r="T527" s="2"/>
      <c r="U527" s="2"/>
      <c r="V527" s="2"/>
      <c r="W527" s="2"/>
      <c r="X527" s="2"/>
      <c r="Y527" s="2"/>
      <c r="Z527" s="2"/>
    </row>
    <row r="528" spans="1:26" ht="25.5" hidden="1" customHeight="1">
      <c r="A528" s="26" t="s">
        <v>1627</v>
      </c>
      <c r="B528" s="27"/>
      <c r="C528" s="28"/>
      <c r="D528" s="27"/>
      <c r="E528" s="27" t="s">
        <v>1628</v>
      </c>
      <c r="F528" s="29" t="s">
        <v>1629</v>
      </c>
      <c r="G528" s="27"/>
      <c r="H528" s="27"/>
      <c r="I528" s="27">
        <v>1</v>
      </c>
      <c r="J528" s="30">
        <v>0</v>
      </c>
      <c r="K528" s="26" t="s">
        <v>20</v>
      </c>
      <c r="L528" s="36" t="s">
        <v>229</v>
      </c>
      <c r="M528" s="31" t="s">
        <v>5357</v>
      </c>
      <c r="N528" s="2"/>
      <c r="O528" s="2"/>
      <c r="P528" s="2"/>
      <c r="Q528" s="2"/>
      <c r="R528" s="2"/>
      <c r="S528" s="2"/>
      <c r="T528" s="2"/>
      <c r="U528" s="2"/>
      <c r="V528" s="2"/>
      <c r="W528" s="2"/>
      <c r="X528" s="2"/>
      <c r="Y528" s="2"/>
      <c r="Z528" s="2"/>
    </row>
    <row r="529" spans="1:26" ht="12.75" hidden="1" customHeight="1">
      <c r="A529" s="26" t="s">
        <v>1630</v>
      </c>
      <c r="B529" s="27"/>
      <c r="C529" s="28"/>
      <c r="D529" s="27"/>
      <c r="E529" s="27" t="s">
        <v>1631</v>
      </c>
      <c r="F529" s="29" t="s">
        <v>1632</v>
      </c>
      <c r="G529" s="27"/>
      <c r="H529" s="27"/>
      <c r="I529" s="27">
        <v>1</v>
      </c>
      <c r="J529" s="30">
        <v>0</v>
      </c>
      <c r="K529" s="26" t="s">
        <v>20</v>
      </c>
      <c r="L529" s="36" t="s">
        <v>229</v>
      </c>
      <c r="M529" s="31"/>
      <c r="N529" s="2"/>
      <c r="O529" s="2"/>
      <c r="P529" s="2"/>
      <c r="Q529" s="2"/>
      <c r="R529" s="2"/>
      <c r="S529" s="2"/>
      <c r="T529" s="2"/>
      <c r="U529" s="2"/>
      <c r="V529" s="2"/>
      <c r="W529" s="2"/>
      <c r="X529" s="2"/>
      <c r="Y529" s="2"/>
      <c r="Z529" s="2"/>
    </row>
    <row r="530" spans="1:26" ht="12.75" hidden="1" customHeight="1">
      <c r="A530" s="26">
        <v>279</v>
      </c>
      <c r="B530" s="27" t="s">
        <v>1271</v>
      </c>
      <c r="C530" s="28">
        <v>41626</v>
      </c>
      <c r="D530" s="27"/>
      <c r="E530" s="27" t="s">
        <v>1633</v>
      </c>
      <c r="F530" s="29" t="s">
        <v>1634</v>
      </c>
      <c r="G530" s="27" t="s">
        <v>1635</v>
      </c>
      <c r="H530" s="27" t="s">
        <v>19</v>
      </c>
      <c r="I530" s="27">
        <v>1</v>
      </c>
      <c r="J530" s="30">
        <v>528836726</v>
      </c>
      <c r="K530" s="26" t="s">
        <v>20</v>
      </c>
      <c r="L530" s="26" t="s">
        <v>423</v>
      </c>
      <c r="M530" s="31" t="s">
        <v>5222</v>
      </c>
      <c r="N530" s="2"/>
      <c r="O530" s="2"/>
      <c r="P530" s="2"/>
      <c r="Q530" s="2"/>
      <c r="R530" s="2"/>
      <c r="S530" s="2"/>
      <c r="T530" s="2"/>
      <c r="U530" s="2"/>
      <c r="V530" s="2"/>
      <c r="W530" s="2"/>
      <c r="X530" s="2"/>
      <c r="Y530" s="2"/>
      <c r="Z530" s="2"/>
    </row>
    <row r="531" spans="1:26" ht="12.75" hidden="1" customHeight="1">
      <c r="A531" s="26">
        <v>280</v>
      </c>
      <c r="B531" s="27" t="s">
        <v>1271</v>
      </c>
      <c r="C531" s="28">
        <v>41626</v>
      </c>
      <c r="D531" s="27"/>
      <c r="E531" s="27" t="s">
        <v>1637</v>
      </c>
      <c r="F531" s="29" t="s">
        <v>1638</v>
      </c>
      <c r="G531" s="27" t="s">
        <v>45</v>
      </c>
      <c r="H531" s="27" t="s">
        <v>19</v>
      </c>
      <c r="I531" s="27">
        <v>1</v>
      </c>
      <c r="J531" s="30">
        <v>550089044</v>
      </c>
      <c r="K531" s="26" t="s">
        <v>20</v>
      </c>
      <c r="L531" s="26" t="s">
        <v>423</v>
      </c>
      <c r="M531" s="31" t="s">
        <v>5222</v>
      </c>
      <c r="N531" s="2"/>
      <c r="O531" s="2"/>
      <c r="P531" s="2"/>
      <c r="Q531" s="2"/>
      <c r="R531" s="2"/>
      <c r="S531" s="2"/>
      <c r="T531" s="2"/>
      <c r="U531" s="2"/>
      <c r="V531" s="2"/>
      <c r="W531" s="2"/>
      <c r="X531" s="2"/>
      <c r="Y531" s="2"/>
      <c r="Z531" s="2"/>
    </row>
    <row r="532" spans="1:26" ht="12.75" hidden="1" customHeight="1">
      <c r="A532" s="26">
        <v>281</v>
      </c>
      <c r="B532" s="27" t="s">
        <v>1271</v>
      </c>
      <c r="C532" s="28">
        <v>41626</v>
      </c>
      <c r="D532" s="27"/>
      <c r="E532" s="27" t="s">
        <v>1640</v>
      </c>
      <c r="F532" s="29" t="s">
        <v>1641</v>
      </c>
      <c r="G532" s="27" t="s">
        <v>45</v>
      </c>
      <c r="H532" s="27" t="s">
        <v>19</v>
      </c>
      <c r="I532" s="27">
        <v>1</v>
      </c>
      <c r="J532" s="30">
        <v>834029886</v>
      </c>
      <c r="K532" s="26" t="s">
        <v>20</v>
      </c>
      <c r="L532" s="26" t="s">
        <v>423</v>
      </c>
      <c r="M532" s="31" t="s">
        <v>5222</v>
      </c>
      <c r="N532" s="2"/>
      <c r="O532" s="2"/>
      <c r="P532" s="2"/>
      <c r="Q532" s="2"/>
      <c r="R532" s="2"/>
      <c r="S532" s="2"/>
      <c r="T532" s="2"/>
      <c r="U532" s="2"/>
      <c r="V532" s="2"/>
      <c r="W532" s="2"/>
      <c r="X532" s="2"/>
      <c r="Y532" s="2"/>
      <c r="Z532" s="2"/>
    </row>
    <row r="533" spans="1:26" ht="12.75" hidden="1" customHeight="1">
      <c r="A533" s="26">
        <v>282</v>
      </c>
      <c r="B533" s="27" t="s">
        <v>1271</v>
      </c>
      <c r="C533" s="28">
        <v>41626</v>
      </c>
      <c r="D533" s="27"/>
      <c r="E533" s="27" t="s">
        <v>1643</v>
      </c>
      <c r="F533" s="29" t="s">
        <v>1644</v>
      </c>
      <c r="G533" s="27" t="s">
        <v>45</v>
      </c>
      <c r="H533" s="27" t="s">
        <v>19</v>
      </c>
      <c r="I533" s="27">
        <v>1</v>
      </c>
      <c r="J533" s="30">
        <v>834029885</v>
      </c>
      <c r="K533" s="26" t="s">
        <v>20</v>
      </c>
      <c r="L533" s="26" t="s">
        <v>423</v>
      </c>
      <c r="M533" s="31" t="s">
        <v>5222</v>
      </c>
      <c r="N533" s="2"/>
      <c r="O533" s="2"/>
      <c r="P533" s="2"/>
      <c r="Q533" s="2"/>
      <c r="R533" s="2"/>
      <c r="S533" s="2"/>
      <c r="T533" s="2"/>
      <c r="U533" s="2"/>
      <c r="V533" s="2"/>
      <c r="W533" s="2"/>
      <c r="X533" s="2"/>
      <c r="Y533" s="2"/>
      <c r="Z533" s="2"/>
    </row>
    <row r="534" spans="1:26" ht="12.75" hidden="1" customHeight="1">
      <c r="A534" s="26">
        <v>283</v>
      </c>
      <c r="B534" s="27" t="s">
        <v>1271</v>
      </c>
      <c r="C534" s="28">
        <v>41626</v>
      </c>
      <c r="D534" s="27"/>
      <c r="E534" s="27" t="s">
        <v>1646</v>
      </c>
      <c r="F534" s="29" t="s">
        <v>1647</v>
      </c>
      <c r="G534" s="27" t="s">
        <v>45</v>
      </c>
      <c r="H534" s="27" t="s">
        <v>19</v>
      </c>
      <c r="I534" s="27">
        <v>1</v>
      </c>
      <c r="J534" s="30">
        <v>119058961</v>
      </c>
      <c r="K534" s="26" t="s">
        <v>20</v>
      </c>
      <c r="L534" s="26" t="s">
        <v>423</v>
      </c>
      <c r="M534" s="31" t="s">
        <v>5222</v>
      </c>
      <c r="N534" s="2"/>
      <c r="O534" s="2"/>
      <c r="P534" s="2"/>
      <c r="Q534" s="2"/>
      <c r="R534" s="2"/>
      <c r="S534" s="2"/>
      <c r="T534" s="2"/>
      <c r="U534" s="2"/>
      <c r="V534" s="2"/>
      <c r="W534" s="2"/>
      <c r="X534" s="2"/>
      <c r="Y534" s="2"/>
      <c r="Z534" s="2"/>
    </row>
    <row r="535" spans="1:26" ht="12.75" hidden="1" customHeight="1">
      <c r="A535" s="26">
        <v>284</v>
      </c>
      <c r="B535" s="27" t="s">
        <v>219</v>
      </c>
      <c r="C535" s="28">
        <v>41635</v>
      </c>
      <c r="D535" s="27"/>
      <c r="E535" s="27" t="s">
        <v>1648</v>
      </c>
      <c r="F535" s="29" t="s">
        <v>1649</v>
      </c>
      <c r="G535" s="27" t="s">
        <v>45</v>
      </c>
      <c r="H535" s="27" t="s">
        <v>19</v>
      </c>
      <c r="I535" s="27">
        <v>1</v>
      </c>
      <c r="J535" s="30">
        <v>130537446</v>
      </c>
      <c r="K535" s="26" t="s">
        <v>20</v>
      </c>
      <c r="L535" s="26" t="s">
        <v>423</v>
      </c>
      <c r="M535" s="31" t="s">
        <v>5222</v>
      </c>
      <c r="N535" s="2"/>
      <c r="O535" s="2"/>
      <c r="P535" s="2"/>
      <c r="Q535" s="2"/>
      <c r="R535" s="2"/>
      <c r="S535" s="2"/>
      <c r="T535" s="2"/>
      <c r="U535" s="2"/>
      <c r="V535" s="2"/>
      <c r="W535" s="2"/>
      <c r="X535" s="2"/>
      <c r="Y535" s="2"/>
      <c r="Z535" s="2"/>
    </row>
    <row r="536" spans="1:26" ht="12.75" hidden="1" customHeight="1">
      <c r="A536" s="26" t="s">
        <v>1651</v>
      </c>
      <c r="B536" s="27"/>
      <c r="C536" s="28"/>
      <c r="D536" s="27"/>
      <c r="E536" s="27" t="s">
        <v>1652</v>
      </c>
      <c r="F536" s="29" t="s">
        <v>1653</v>
      </c>
      <c r="G536" s="27"/>
      <c r="H536" s="27"/>
      <c r="I536" s="27">
        <v>1</v>
      </c>
      <c r="J536" s="30">
        <v>0</v>
      </c>
      <c r="K536" s="26" t="s">
        <v>20</v>
      </c>
      <c r="L536" s="26" t="s">
        <v>423</v>
      </c>
      <c r="M536" s="31" t="s">
        <v>5223</v>
      </c>
      <c r="N536" s="2"/>
      <c r="O536" s="2"/>
      <c r="P536" s="2"/>
      <c r="Q536" s="2"/>
      <c r="R536" s="2"/>
      <c r="S536" s="2"/>
      <c r="T536" s="2"/>
      <c r="U536" s="2"/>
      <c r="V536" s="2"/>
      <c r="W536" s="2"/>
      <c r="X536" s="2"/>
      <c r="Y536" s="2"/>
      <c r="Z536" s="2"/>
    </row>
    <row r="537" spans="1:26" ht="25.5" hidden="1" customHeight="1">
      <c r="A537" s="38">
        <v>285</v>
      </c>
      <c r="B537" s="27" t="s">
        <v>877</v>
      </c>
      <c r="C537" s="40">
        <v>41981</v>
      </c>
      <c r="D537" s="27"/>
      <c r="E537" s="39" t="s">
        <v>1655</v>
      </c>
      <c r="F537" s="41" t="s">
        <v>1656</v>
      </c>
      <c r="G537" s="27" t="s">
        <v>1435</v>
      </c>
      <c r="H537" s="27" t="s">
        <v>19</v>
      </c>
      <c r="I537" s="27">
        <v>1</v>
      </c>
      <c r="J537" s="42">
        <v>489729924</v>
      </c>
      <c r="K537" s="38" t="s">
        <v>206</v>
      </c>
      <c r="L537" s="38" t="s">
        <v>1330</v>
      </c>
      <c r="M537" s="43" t="s">
        <v>1657</v>
      </c>
      <c r="N537" s="2"/>
      <c r="O537" s="2"/>
      <c r="P537" s="2"/>
      <c r="Q537" s="2"/>
      <c r="R537" s="2"/>
      <c r="S537" s="2"/>
      <c r="T537" s="2"/>
      <c r="U537" s="2"/>
      <c r="V537" s="2"/>
      <c r="W537" s="2"/>
      <c r="X537" s="2"/>
      <c r="Y537" s="2"/>
      <c r="Z537" s="2"/>
    </row>
    <row r="538" spans="1:26" ht="25.5" hidden="1" customHeight="1">
      <c r="A538" s="26">
        <v>286</v>
      </c>
      <c r="B538" s="27" t="s">
        <v>877</v>
      </c>
      <c r="C538" s="28">
        <v>41981</v>
      </c>
      <c r="D538" s="27"/>
      <c r="E538" s="27" t="s">
        <v>1658</v>
      </c>
      <c r="F538" s="29" t="s">
        <v>1659</v>
      </c>
      <c r="G538" s="27" t="s">
        <v>55</v>
      </c>
      <c r="H538" s="27" t="s">
        <v>19</v>
      </c>
      <c r="I538" s="27">
        <v>1</v>
      </c>
      <c r="J538" s="30">
        <v>281907402</v>
      </c>
      <c r="K538" s="26" t="s">
        <v>20</v>
      </c>
      <c r="L538" s="26" t="s">
        <v>233</v>
      </c>
      <c r="M538" s="31" t="s">
        <v>5358</v>
      </c>
      <c r="N538" s="2"/>
      <c r="O538" s="2"/>
      <c r="P538" s="2"/>
      <c r="Q538" s="2"/>
      <c r="R538" s="2"/>
      <c r="S538" s="2"/>
      <c r="T538" s="2"/>
      <c r="U538" s="2"/>
      <c r="V538" s="2"/>
      <c r="W538" s="2"/>
      <c r="X538" s="2"/>
      <c r="Y538" s="2"/>
      <c r="Z538" s="2"/>
    </row>
    <row r="539" spans="1:26" ht="25.5" hidden="1" customHeight="1">
      <c r="A539" s="26" t="s">
        <v>1661</v>
      </c>
      <c r="B539" s="27"/>
      <c r="C539" s="28"/>
      <c r="D539" s="27"/>
      <c r="E539" s="27" t="s">
        <v>1662</v>
      </c>
      <c r="F539" s="29" t="s">
        <v>1663</v>
      </c>
      <c r="G539" s="27" t="s">
        <v>55</v>
      </c>
      <c r="H539" s="27" t="s">
        <v>249</v>
      </c>
      <c r="I539" s="27">
        <v>1</v>
      </c>
      <c r="J539" s="30">
        <v>0</v>
      </c>
      <c r="K539" s="26" t="s">
        <v>20</v>
      </c>
      <c r="L539" s="26" t="s">
        <v>233</v>
      </c>
      <c r="M539" s="31" t="s">
        <v>5359</v>
      </c>
      <c r="N539" s="2"/>
      <c r="O539" s="2"/>
      <c r="P539" s="2"/>
      <c r="Q539" s="2"/>
      <c r="R539" s="2"/>
      <c r="S539" s="2"/>
      <c r="T539" s="2"/>
      <c r="U539" s="2"/>
      <c r="V539" s="2"/>
      <c r="W539" s="2"/>
      <c r="X539" s="2"/>
      <c r="Y539" s="2"/>
      <c r="Z539" s="2"/>
    </row>
    <row r="540" spans="1:26" ht="25.5" hidden="1" customHeight="1">
      <c r="A540" s="26" t="s">
        <v>1664</v>
      </c>
      <c r="B540" s="27"/>
      <c r="C540" s="28"/>
      <c r="D540" s="27"/>
      <c r="E540" s="27" t="s">
        <v>1665</v>
      </c>
      <c r="F540" s="29" t="s">
        <v>1666</v>
      </c>
      <c r="G540" s="27" t="s">
        <v>55</v>
      </c>
      <c r="H540" s="27" t="s">
        <v>249</v>
      </c>
      <c r="I540" s="27">
        <v>1</v>
      </c>
      <c r="J540" s="30">
        <v>0</v>
      </c>
      <c r="K540" s="26" t="s">
        <v>20</v>
      </c>
      <c r="L540" s="26" t="s">
        <v>233</v>
      </c>
      <c r="M540" s="31" t="s">
        <v>5359</v>
      </c>
      <c r="N540" s="2"/>
      <c r="O540" s="2"/>
      <c r="P540" s="2"/>
      <c r="Q540" s="2"/>
      <c r="R540" s="2"/>
      <c r="S540" s="2"/>
      <c r="T540" s="2"/>
      <c r="U540" s="2"/>
      <c r="V540" s="2"/>
      <c r="W540" s="2"/>
      <c r="X540" s="2"/>
      <c r="Y540" s="2"/>
      <c r="Z540" s="2"/>
    </row>
    <row r="541" spans="1:26" ht="25.5" hidden="1" customHeight="1">
      <c r="A541" s="26">
        <v>287</v>
      </c>
      <c r="B541" s="27" t="s">
        <v>1668</v>
      </c>
      <c r="C541" s="28">
        <v>41982</v>
      </c>
      <c r="D541" s="27"/>
      <c r="E541" s="27" t="s">
        <v>1669</v>
      </c>
      <c r="F541" s="29" t="s">
        <v>1670</v>
      </c>
      <c r="G541" s="27" t="s">
        <v>45</v>
      </c>
      <c r="H541" s="27" t="s">
        <v>19</v>
      </c>
      <c r="I541" s="27">
        <v>1</v>
      </c>
      <c r="J541" s="30">
        <v>567315000</v>
      </c>
      <c r="K541" s="26" t="s">
        <v>20</v>
      </c>
      <c r="L541" s="26" t="s">
        <v>423</v>
      </c>
      <c r="M541" s="31" t="s">
        <v>5360</v>
      </c>
      <c r="N541" s="2"/>
      <c r="O541" s="2"/>
      <c r="P541" s="2"/>
      <c r="Q541" s="2"/>
      <c r="R541" s="2"/>
      <c r="S541" s="2"/>
      <c r="T541" s="2"/>
      <c r="U541" s="2"/>
      <c r="V541" s="2"/>
      <c r="W541" s="2"/>
      <c r="X541" s="2"/>
      <c r="Y541" s="2"/>
      <c r="Z541" s="2"/>
    </row>
    <row r="542" spans="1:26" ht="38.25" hidden="1" customHeight="1">
      <c r="A542" s="26" t="s">
        <v>1672</v>
      </c>
      <c r="B542" s="27"/>
      <c r="C542" s="28"/>
      <c r="D542" s="27"/>
      <c r="E542" s="27" t="s">
        <v>1673</v>
      </c>
      <c r="F542" s="29" t="s">
        <v>1674</v>
      </c>
      <c r="G542" s="27" t="s">
        <v>45</v>
      </c>
      <c r="H542" s="27" t="s">
        <v>249</v>
      </c>
      <c r="I542" s="27">
        <v>1</v>
      </c>
      <c r="J542" s="30">
        <v>0</v>
      </c>
      <c r="K542" s="26" t="s">
        <v>20</v>
      </c>
      <c r="L542" s="26" t="s">
        <v>423</v>
      </c>
      <c r="M542" s="31"/>
      <c r="N542" s="2"/>
      <c r="O542" s="2"/>
      <c r="P542" s="2"/>
      <c r="Q542" s="2"/>
      <c r="R542" s="2"/>
      <c r="S542" s="2"/>
      <c r="T542" s="2"/>
      <c r="U542" s="2"/>
      <c r="V542" s="2"/>
      <c r="W542" s="2"/>
      <c r="X542" s="2"/>
      <c r="Y542" s="2"/>
      <c r="Z542" s="2"/>
    </row>
    <row r="543" spans="1:26" ht="25.5" hidden="1" customHeight="1">
      <c r="A543" s="26">
        <v>288</v>
      </c>
      <c r="B543" s="27" t="s">
        <v>1668</v>
      </c>
      <c r="C543" s="28">
        <v>41982</v>
      </c>
      <c r="D543" s="27"/>
      <c r="E543" s="27" t="s">
        <v>1676</v>
      </c>
      <c r="F543" s="29" t="s">
        <v>1677</v>
      </c>
      <c r="G543" s="27" t="s">
        <v>45</v>
      </c>
      <c r="H543" s="27" t="s">
        <v>19</v>
      </c>
      <c r="I543" s="27">
        <v>1</v>
      </c>
      <c r="J543" s="30">
        <v>567315000</v>
      </c>
      <c r="K543" s="26" t="s">
        <v>20</v>
      </c>
      <c r="L543" s="26" t="s">
        <v>423</v>
      </c>
      <c r="M543" s="31" t="s">
        <v>5361</v>
      </c>
      <c r="N543" s="2"/>
      <c r="O543" s="2"/>
      <c r="P543" s="2"/>
      <c r="Q543" s="2"/>
      <c r="R543" s="2"/>
      <c r="S543" s="2"/>
      <c r="T543" s="2"/>
      <c r="U543" s="2"/>
      <c r="V543" s="2"/>
      <c r="W543" s="2"/>
      <c r="X543" s="2"/>
      <c r="Y543" s="2"/>
      <c r="Z543" s="2"/>
    </row>
    <row r="544" spans="1:26" ht="25.5" hidden="1" customHeight="1">
      <c r="A544" s="26" t="s">
        <v>1679</v>
      </c>
      <c r="B544" s="27"/>
      <c r="C544" s="28"/>
      <c r="D544" s="27"/>
      <c r="E544" s="27" t="s">
        <v>1680</v>
      </c>
      <c r="F544" s="29" t="s">
        <v>1681</v>
      </c>
      <c r="G544" s="27" t="s">
        <v>45</v>
      </c>
      <c r="H544" s="27" t="s">
        <v>249</v>
      </c>
      <c r="I544" s="27">
        <v>1</v>
      </c>
      <c r="J544" s="30">
        <v>0</v>
      </c>
      <c r="K544" s="26" t="s">
        <v>20</v>
      </c>
      <c r="L544" s="26" t="s">
        <v>423</v>
      </c>
      <c r="M544" s="31"/>
      <c r="N544" s="2"/>
      <c r="O544" s="2"/>
      <c r="P544" s="2"/>
      <c r="Q544" s="2"/>
      <c r="R544" s="2"/>
      <c r="S544" s="2"/>
      <c r="T544" s="2"/>
      <c r="U544" s="2"/>
      <c r="V544" s="2"/>
      <c r="W544" s="2"/>
      <c r="X544" s="2"/>
      <c r="Y544" s="2"/>
      <c r="Z544" s="2"/>
    </row>
    <row r="545" spans="1:26" ht="12.75" hidden="1" customHeight="1">
      <c r="A545" s="26">
        <v>289</v>
      </c>
      <c r="B545" s="27" t="s">
        <v>1683</v>
      </c>
      <c r="C545" s="28">
        <v>42733</v>
      </c>
      <c r="D545" s="27"/>
      <c r="E545" s="27" t="s">
        <v>1684</v>
      </c>
      <c r="F545" s="29" t="s">
        <v>1685</v>
      </c>
      <c r="G545" s="27" t="s">
        <v>338</v>
      </c>
      <c r="H545" s="27" t="s">
        <v>19</v>
      </c>
      <c r="I545" s="27">
        <v>1</v>
      </c>
      <c r="J545" s="30">
        <v>198000000</v>
      </c>
      <c r="K545" s="26" t="s">
        <v>36</v>
      </c>
      <c r="L545" s="26" t="s">
        <v>37</v>
      </c>
      <c r="M545" s="31" t="s">
        <v>1686</v>
      </c>
      <c r="N545" s="2"/>
      <c r="O545" s="2"/>
      <c r="P545" s="2"/>
      <c r="Q545" s="2"/>
      <c r="R545" s="2"/>
      <c r="S545" s="2"/>
      <c r="T545" s="2"/>
      <c r="U545" s="2"/>
      <c r="V545" s="2"/>
      <c r="W545" s="2"/>
      <c r="X545" s="2"/>
      <c r="Y545" s="2"/>
      <c r="Z545" s="2"/>
    </row>
    <row r="546" spans="1:26" ht="12.75" hidden="1" customHeight="1">
      <c r="A546" s="26">
        <v>290</v>
      </c>
      <c r="B546" s="27" t="s">
        <v>1683</v>
      </c>
      <c r="C546" s="28">
        <v>42733</v>
      </c>
      <c r="D546" s="27"/>
      <c r="E546" s="27" t="s">
        <v>1687</v>
      </c>
      <c r="F546" s="29" t="s">
        <v>1688</v>
      </c>
      <c r="G546" s="27" t="s">
        <v>338</v>
      </c>
      <c r="H546" s="27" t="s">
        <v>19</v>
      </c>
      <c r="I546" s="27">
        <v>1</v>
      </c>
      <c r="J546" s="30">
        <v>198000000</v>
      </c>
      <c r="K546" s="26" t="s">
        <v>36</v>
      </c>
      <c r="L546" s="26" t="s">
        <v>37</v>
      </c>
      <c r="M546" s="31" t="s">
        <v>1689</v>
      </c>
      <c r="N546" s="2"/>
      <c r="O546" s="2"/>
      <c r="P546" s="2"/>
      <c r="Q546" s="2"/>
      <c r="R546" s="2"/>
      <c r="S546" s="2"/>
      <c r="T546" s="2"/>
      <c r="U546" s="2"/>
      <c r="V546" s="2"/>
      <c r="W546" s="2"/>
      <c r="X546" s="2"/>
      <c r="Y546" s="2"/>
      <c r="Z546" s="2"/>
    </row>
    <row r="547" spans="1:26" ht="12.75" hidden="1" customHeight="1">
      <c r="A547" s="26">
        <v>291</v>
      </c>
      <c r="B547" s="27" t="s">
        <v>1690</v>
      </c>
      <c r="C547" s="28">
        <v>41982</v>
      </c>
      <c r="D547" s="27"/>
      <c r="E547" s="27" t="s">
        <v>1691</v>
      </c>
      <c r="F547" s="29" t="s">
        <v>1692</v>
      </c>
      <c r="G547" s="27" t="s">
        <v>1088</v>
      </c>
      <c r="H547" s="27" t="s">
        <v>19</v>
      </c>
      <c r="I547" s="27">
        <v>1</v>
      </c>
      <c r="J547" s="30">
        <v>99430513</v>
      </c>
      <c r="K547" s="26" t="s">
        <v>20</v>
      </c>
      <c r="L547" s="26" t="s">
        <v>423</v>
      </c>
      <c r="M547" s="31" t="s">
        <v>2122</v>
      </c>
      <c r="N547" s="2"/>
      <c r="O547" s="2"/>
      <c r="P547" s="2"/>
      <c r="Q547" s="2"/>
      <c r="R547" s="2"/>
      <c r="S547" s="2"/>
      <c r="T547" s="2"/>
      <c r="U547" s="2"/>
      <c r="V547" s="2"/>
      <c r="W547" s="2"/>
      <c r="X547" s="2"/>
      <c r="Y547" s="2"/>
      <c r="Z547" s="2"/>
    </row>
    <row r="548" spans="1:26" ht="25.5" hidden="1" customHeight="1">
      <c r="A548" s="26">
        <v>292</v>
      </c>
      <c r="B548" s="27" t="s">
        <v>1690</v>
      </c>
      <c r="C548" s="28">
        <v>41982</v>
      </c>
      <c r="D548" s="27"/>
      <c r="E548" s="27" t="s">
        <v>1694</v>
      </c>
      <c r="F548" s="29" t="s">
        <v>1695</v>
      </c>
      <c r="G548" s="27" t="s">
        <v>1088</v>
      </c>
      <c r="H548" s="27" t="s">
        <v>19</v>
      </c>
      <c r="I548" s="27">
        <v>1</v>
      </c>
      <c r="J548" s="30">
        <v>261272065</v>
      </c>
      <c r="K548" s="26" t="s">
        <v>206</v>
      </c>
      <c r="L548" s="26" t="s">
        <v>1330</v>
      </c>
      <c r="M548" s="31" t="s">
        <v>1696</v>
      </c>
      <c r="N548" s="2"/>
      <c r="O548" s="2"/>
      <c r="P548" s="2"/>
      <c r="Q548" s="2"/>
      <c r="R548" s="2"/>
      <c r="S548" s="2"/>
      <c r="T548" s="2"/>
      <c r="U548" s="2"/>
      <c r="V548" s="2"/>
      <c r="W548" s="2"/>
      <c r="X548" s="2"/>
      <c r="Y548" s="2"/>
      <c r="Z548" s="2"/>
    </row>
    <row r="549" spans="1:26" ht="12.75" hidden="1" customHeight="1">
      <c r="A549" s="26">
        <v>293</v>
      </c>
      <c r="B549" s="27" t="s">
        <v>470</v>
      </c>
      <c r="C549" s="28">
        <v>41983</v>
      </c>
      <c r="D549" s="27"/>
      <c r="E549" s="27" t="s">
        <v>1697</v>
      </c>
      <c r="F549" s="29" t="s">
        <v>1698</v>
      </c>
      <c r="G549" s="27" t="s">
        <v>45</v>
      </c>
      <c r="H549" s="27" t="s">
        <v>19</v>
      </c>
      <c r="I549" s="27">
        <v>1</v>
      </c>
      <c r="J549" s="30">
        <v>398006974</v>
      </c>
      <c r="K549" s="26" t="s">
        <v>20</v>
      </c>
      <c r="L549" s="26" t="s">
        <v>423</v>
      </c>
      <c r="M549" s="31" t="s">
        <v>5169</v>
      </c>
      <c r="N549" s="2"/>
      <c r="O549" s="2"/>
      <c r="P549" s="2"/>
      <c r="Q549" s="2"/>
      <c r="R549" s="2"/>
      <c r="S549" s="2"/>
      <c r="T549" s="2"/>
      <c r="U549" s="2"/>
      <c r="V549" s="2"/>
      <c r="W549" s="2"/>
      <c r="X549" s="2"/>
      <c r="Y549" s="2"/>
      <c r="Z549" s="2"/>
    </row>
    <row r="550" spans="1:26" ht="12.75" hidden="1" customHeight="1">
      <c r="A550" s="26">
        <v>294</v>
      </c>
      <c r="B550" s="27" t="s">
        <v>470</v>
      </c>
      <c r="C550" s="28">
        <v>41983</v>
      </c>
      <c r="D550" s="27"/>
      <c r="E550" s="27" t="s">
        <v>1700</v>
      </c>
      <c r="F550" s="29" t="s">
        <v>1701</v>
      </c>
      <c r="G550" s="27" t="s">
        <v>45</v>
      </c>
      <c r="H550" s="27" t="s">
        <v>19</v>
      </c>
      <c r="I550" s="27">
        <v>1</v>
      </c>
      <c r="J550" s="30">
        <v>398006974</v>
      </c>
      <c r="K550" s="26" t="s">
        <v>20</v>
      </c>
      <c r="L550" s="26" t="s">
        <v>423</v>
      </c>
      <c r="M550" s="31" t="s">
        <v>5169</v>
      </c>
      <c r="N550" s="2"/>
      <c r="O550" s="2"/>
      <c r="P550" s="2"/>
      <c r="Q550" s="2"/>
      <c r="R550" s="2"/>
      <c r="S550" s="2"/>
      <c r="T550" s="2"/>
      <c r="U550" s="2"/>
      <c r="V550" s="2"/>
      <c r="W550" s="2"/>
      <c r="X550" s="2"/>
      <c r="Y550" s="2"/>
      <c r="Z550" s="2"/>
    </row>
    <row r="551" spans="1:26" ht="12.75" hidden="1" customHeight="1">
      <c r="A551" s="26">
        <v>295</v>
      </c>
      <c r="B551" s="27" t="s">
        <v>470</v>
      </c>
      <c r="C551" s="28">
        <v>41983</v>
      </c>
      <c r="D551" s="27"/>
      <c r="E551" s="27" t="s">
        <v>1703</v>
      </c>
      <c r="F551" s="29" t="s">
        <v>1704</v>
      </c>
      <c r="G551" s="27" t="s">
        <v>45</v>
      </c>
      <c r="H551" s="27" t="s">
        <v>19</v>
      </c>
      <c r="I551" s="27">
        <v>1</v>
      </c>
      <c r="J551" s="30">
        <v>398006974</v>
      </c>
      <c r="K551" s="26" t="s">
        <v>20</v>
      </c>
      <c r="L551" s="26" t="s">
        <v>423</v>
      </c>
      <c r="M551" s="31" t="s">
        <v>5169</v>
      </c>
      <c r="N551" s="2"/>
      <c r="O551" s="2"/>
      <c r="P551" s="2"/>
      <c r="Q551" s="2"/>
      <c r="R551" s="2"/>
      <c r="S551" s="2"/>
      <c r="T551" s="2"/>
      <c r="U551" s="2"/>
      <c r="V551" s="2"/>
      <c r="W551" s="2"/>
      <c r="X551" s="2"/>
      <c r="Y551" s="2"/>
      <c r="Z551" s="2"/>
    </row>
    <row r="552" spans="1:26" ht="12.75" hidden="1" customHeight="1">
      <c r="A552" s="26">
        <v>296</v>
      </c>
      <c r="B552" s="27" t="s">
        <v>470</v>
      </c>
      <c r="C552" s="28">
        <v>41983</v>
      </c>
      <c r="D552" s="27"/>
      <c r="E552" s="27" t="s">
        <v>1706</v>
      </c>
      <c r="F552" s="29" t="s">
        <v>1707</v>
      </c>
      <c r="G552" s="27" t="s">
        <v>45</v>
      </c>
      <c r="H552" s="27" t="s">
        <v>19</v>
      </c>
      <c r="I552" s="27">
        <v>1</v>
      </c>
      <c r="J552" s="30">
        <v>398006974</v>
      </c>
      <c r="K552" s="26" t="s">
        <v>20</v>
      </c>
      <c r="L552" s="26" t="s">
        <v>423</v>
      </c>
      <c r="M552" s="31" t="s">
        <v>5169</v>
      </c>
      <c r="N552" s="2"/>
      <c r="O552" s="2"/>
      <c r="P552" s="2"/>
      <c r="Q552" s="2"/>
      <c r="R552" s="2"/>
      <c r="S552" s="2"/>
      <c r="T552" s="2"/>
      <c r="U552" s="2"/>
      <c r="V552" s="2"/>
      <c r="W552" s="2"/>
      <c r="X552" s="2"/>
      <c r="Y552" s="2"/>
      <c r="Z552" s="2"/>
    </row>
    <row r="553" spans="1:26" ht="12.75" hidden="1" customHeight="1">
      <c r="A553" s="26">
        <v>297</v>
      </c>
      <c r="B553" s="27" t="s">
        <v>470</v>
      </c>
      <c r="C553" s="28">
        <v>41983</v>
      </c>
      <c r="D553" s="27"/>
      <c r="E553" s="27" t="s">
        <v>1709</v>
      </c>
      <c r="F553" s="29" t="s">
        <v>1710</v>
      </c>
      <c r="G553" s="27" t="s">
        <v>45</v>
      </c>
      <c r="H553" s="27" t="s">
        <v>19</v>
      </c>
      <c r="I553" s="27">
        <v>1</v>
      </c>
      <c r="J553" s="30">
        <v>75994860</v>
      </c>
      <c r="K553" s="26" t="s">
        <v>20</v>
      </c>
      <c r="L553" s="26" t="s">
        <v>423</v>
      </c>
      <c r="M553" s="31" t="s">
        <v>2122</v>
      </c>
      <c r="N553" s="2"/>
      <c r="O553" s="2"/>
      <c r="P553" s="2"/>
      <c r="Q553" s="2"/>
      <c r="R553" s="2"/>
      <c r="S553" s="2"/>
      <c r="T553" s="2"/>
      <c r="U553" s="2"/>
      <c r="V553" s="2"/>
      <c r="W553" s="2"/>
      <c r="X553" s="2"/>
      <c r="Y553" s="2"/>
      <c r="Z553" s="2"/>
    </row>
    <row r="554" spans="1:26" ht="12.75" hidden="1" customHeight="1">
      <c r="A554" s="26">
        <v>298</v>
      </c>
      <c r="B554" s="27" t="s">
        <v>470</v>
      </c>
      <c r="C554" s="28">
        <v>41983</v>
      </c>
      <c r="D554" s="27"/>
      <c r="E554" s="27" t="s">
        <v>1712</v>
      </c>
      <c r="F554" s="29" t="s">
        <v>1713</v>
      </c>
      <c r="G554" s="27" t="s">
        <v>45</v>
      </c>
      <c r="H554" s="27" t="s">
        <v>19</v>
      </c>
      <c r="I554" s="27">
        <v>1</v>
      </c>
      <c r="J554" s="30">
        <v>75994860</v>
      </c>
      <c r="K554" s="26" t="s">
        <v>20</v>
      </c>
      <c r="L554" s="26" t="s">
        <v>423</v>
      </c>
      <c r="M554" s="31" t="s">
        <v>2122</v>
      </c>
      <c r="N554" s="2"/>
      <c r="O554" s="2"/>
      <c r="P554" s="2"/>
      <c r="Q554" s="2"/>
      <c r="R554" s="2"/>
      <c r="S554" s="2"/>
      <c r="T554" s="2"/>
      <c r="U554" s="2"/>
      <c r="V554" s="2"/>
      <c r="W554" s="2"/>
      <c r="X554" s="2"/>
      <c r="Y554" s="2"/>
      <c r="Z554" s="2"/>
    </row>
    <row r="555" spans="1:26" ht="12.75" hidden="1" customHeight="1">
      <c r="A555" s="26">
        <v>299</v>
      </c>
      <c r="B555" s="27" t="s">
        <v>470</v>
      </c>
      <c r="C555" s="28">
        <v>41983</v>
      </c>
      <c r="D555" s="27"/>
      <c r="E555" s="27" t="s">
        <v>1715</v>
      </c>
      <c r="F555" s="29" t="s">
        <v>1716</v>
      </c>
      <c r="G555" s="27" t="s">
        <v>45</v>
      </c>
      <c r="H555" s="27" t="s">
        <v>19</v>
      </c>
      <c r="I555" s="27">
        <v>1</v>
      </c>
      <c r="J555" s="30">
        <v>75994860</v>
      </c>
      <c r="K555" s="26" t="s">
        <v>20</v>
      </c>
      <c r="L555" s="26" t="s">
        <v>423</v>
      </c>
      <c r="M555" s="31" t="s">
        <v>2122</v>
      </c>
      <c r="N555" s="2"/>
      <c r="O555" s="2"/>
      <c r="P555" s="2"/>
      <c r="Q555" s="2"/>
      <c r="R555" s="2"/>
      <c r="S555" s="2"/>
      <c r="T555" s="2"/>
      <c r="U555" s="2"/>
      <c r="V555" s="2"/>
      <c r="W555" s="2"/>
      <c r="X555" s="2"/>
      <c r="Y555" s="2"/>
      <c r="Z555" s="2"/>
    </row>
    <row r="556" spans="1:26" ht="12.75" hidden="1" customHeight="1">
      <c r="A556" s="26">
        <v>300</v>
      </c>
      <c r="B556" s="27" t="s">
        <v>470</v>
      </c>
      <c r="C556" s="28">
        <v>41983</v>
      </c>
      <c r="D556" s="27"/>
      <c r="E556" s="27" t="s">
        <v>1718</v>
      </c>
      <c r="F556" s="29" t="s">
        <v>1719</v>
      </c>
      <c r="G556" s="27" t="s">
        <v>45</v>
      </c>
      <c r="H556" s="27" t="s">
        <v>19</v>
      </c>
      <c r="I556" s="27">
        <v>1</v>
      </c>
      <c r="J556" s="30">
        <v>75994860</v>
      </c>
      <c r="K556" s="26" t="s">
        <v>20</v>
      </c>
      <c r="L556" s="26" t="s">
        <v>423</v>
      </c>
      <c r="M556" s="31" t="s">
        <v>2122</v>
      </c>
      <c r="N556" s="2"/>
      <c r="O556" s="2"/>
      <c r="P556" s="2"/>
      <c r="Q556" s="2"/>
      <c r="R556" s="2"/>
      <c r="S556" s="2"/>
      <c r="T556" s="2"/>
      <c r="U556" s="2"/>
      <c r="V556" s="2"/>
      <c r="W556" s="2"/>
      <c r="X556" s="2"/>
      <c r="Y556" s="2"/>
      <c r="Z556" s="2"/>
    </row>
    <row r="557" spans="1:26" ht="12.75" hidden="1" customHeight="1">
      <c r="A557" s="26">
        <v>301</v>
      </c>
      <c r="B557" s="27" t="s">
        <v>470</v>
      </c>
      <c r="C557" s="28">
        <v>41983</v>
      </c>
      <c r="D557" s="27"/>
      <c r="E557" s="27" t="s">
        <v>1721</v>
      </c>
      <c r="F557" s="29" t="s">
        <v>1722</v>
      </c>
      <c r="G557" s="27" t="s">
        <v>55</v>
      </c>
      <c r="H557" s="27" t="s">
        <v>19</v>
      </c>
      <c r="I557" s="27">
        <v>1</v>
      </c>
      <c r="J557" s="30">
        <v>217293775</v>
      </c>
      <c r="K557" s="26" t="s">
        <v>20</v>
      </c>
      <c r="L557" s="26" t="s">
        <v>423</v>
      </c>
      <c r="M557" s="31" t="s">
        <v>5221</v>
      </c>
      <c r="N557" s="2"/>
      <c r="O557" s="2"/>
      <c r="P557" s="2"/>
      <c r="Q557" s="2"/>
      <c r="R557" s="2"/>
      <c r="S557" s="2"/>
      <c r="T557" s="2"/>
      <c r="U557" s="2"/>
      <c r="V557" s="2"/>
      <c r="W557" s="2"/>
      <c r="X557" s="2"/>
      <c r="Y557" s="2"/>
      <c r="Z557" s="2"/>
    </row>
    <row r="558" spans="1:26" ht="12.75" hidden="1" customHeight="1">
      <c r="A558" s="26">
        <v>302</v>
      </c>
      <c r="B558" s="27" t="s">
        <v>470</v>
      </c>
      <c r="C558" s="28">
        <v>41983</v>
      </c>
      <c r="D558" s="27"/>
      <c r="E558" s="27" t="s">
        <v>1724</v>
      </c>
      <c r="F558" s="29" t="s">
        <v>1725</v>
      </c>
      <c r="G558" s="27" t="s">
        <v>55</v>
      </c>
      <c r="H558" s="27" t="s">
        <v>19</v>
      </c>
      <c r="I558" s="27">
        <v>1</v>
      </c>
      <c r="J558" s="30">
        <v>217293776</v>
      </c>
      <c r="K558" s="26" t="s">
        <v>20</v>
      </c>
      <c r="L558" s="26" t="s">
        <v>423</v>
      </c>
      <c r="M558" s="31" t="s">
        <v>5221</v>
      </c>
      <c r="N558" s="2"/>
      <c r="O558" s="2"/>
      <c r="P558" s="2"/>
      <c r="Q558" s="2"/>
      <c r="R558" s="2"/>
      <c r="S558" s="2"/>
      <c r="T558" s="2"/>
      <c r="U558" s="2"/>
      <c r="V558" s="2"/>
      <c r="W558" s="2"/>
      <c r="X558" s="2"/>
      <c r="Y558" s="2"/>
      <c r="Z558" s="2"/>
    </row>
    <row r="559" spans="1:26" ht="12.75" hidden="1" customHeight="1">
      <c r="A559" s="26" t="s">
        <v>1727</v>
      </c>
      <c r="B559" s="27"/>
      <c r="C559" s="28"/>
      <c r="D559" s="27"/>
      <c r="E559" s="27" t="s">
        <v>1728</v>
      </c>
      <c r="F559" s="29" t="s">
        <v>1729</v>
      </c>
      <c r="G559" s="27" t="s">
        <v>55</v>
      </c>
      <c r="H559" s="27" t="s">
        <v>19</v>
      </c>
      <c r="I559" s="27">
        <v>1</v>
      </c>
      <c r="J559" s="30">
        <v>0</v>
      </c>
      <c r="K559" s="26" t="s">
        <v>20</v>
      </c>
      <c r="L559" s="26" t="s">
        <v>423</v>
      </c>
      <c r="M559" s="31" t="s">
        <v>5227</v>
      </c>
      <c r="N559" s="2"/>
      <c r="O559" s="2"/>
      <c r="P559" s="2"/>
      <c r="Q559" s="2"/>
      <c r="R559" s="2"/>
      <c r="S559" s="2"/>
      <c r="T559" s="2"/>
      <c r="U559" s="2"/>
      <c r="V559" s="2"/>
      <c r="W559" s="2"/>
      <c r="X559" s="2"/>
      <c r="Y559" s="2"/>
      <c r="Z559" s="2"/>
    </row>
    <row r="560" spans="1:26" ht="25.5" hidden="1" customHeight="1">
      <c r="A560" s="26">
        <v>303</v>
      </c>
      <c r="B560" s="27" t="s">
        <v>470</v>
      </c>
      <c r="C560" s="28">
        <v>41983</v>
      </c>
      <c r="D560" s="27"/>
      <c r="E560" s="27" t="s">
        <v>1731</v>
      </c>
      <c r="F560" s="29" t="s">
        <v>1732</v>
      </c>
      <c r="G560" s="27" t="s">
        <v>45</v>
      </c>
      <c r="H560" s="27" t="s">
        <v>19</v>
      </c>
      <c r="I560" s="27">
        <v>1</v>
      </c>
      <c r="J560" s="30">
        <v>2456211629</v>
      </c>
      <c r="K560" s="26" t="s">
        <v>20</v>
      </c>
      <c r="L560" s="26" t="s">
        <v>233</v>
      </c>
      <c r="M560" s="31" t="s">
        <v>5362</v>
      </c>
      <c r="N560" s="2"/>
      <c r="O560" s="2"/>
      <c r="P560" s="2"/>
      <c r="Q560" s="2"/>
      <c r="R560" s="2"/>
      <c r="S560" s="2"/>
      <c r="T560" s="2"/>
      <c r="U560" s="2"/>
      <c r="V560" s="2"/>
      <c r="W560" s="2"/>
      <c r="X560" s="2"/>
      <c r="Y560" s="2"/>
      <c r="Z560" s="2"/>
    </row>
    <row r="561" spans="1:26" ht="12.75" hidden="1" customHeight="1">
      <c r="A561" s="26" t="s">
        <v>1733</v>
      </c>
      <c r="B561" s="27"/>
      <c r="C561" s="28"/>
      <c r="D561" s="27"/>
      <c r="E561" s="27" t="s">
        <v>1734</v>
      </c>
      <c r="F561" s="29" t="s">
        <v>1735</v>
      </c>
      <c r="G561" s="27" t="s">
        <v>248</v>
      </c>
      <c r="H561" s="27" t="s">
        <v>249</v>
      </c>
      <c r="I561" s="27">
        <v>1</v>
      </c>
      <c r="J561" s="30">
        <v>0</v>
      </c>
      <c r="K561" s="26" t="s">
        <v>20</v>
      </c>
      <c r="L561" s="26" t="s">
        <v>233</v>
      </c>
      <c r="M561" s="31" t="s">
        <v>5363</v>
      </c>
      <c r="N561" s="2"/>
      <c r="O561" s="2"/>
      <c r="P561" s="2"/>
      <c r="Q561" s="2"/>
      <c r="R561" s="2"/>
      <c r="S561" s="2"/>
      <c r="T561" s="2"/>
      <c r="U561" s="2"/>
      <c r="V561" s="2"/>
      <c r="W561" s="2"/>
      <c r="X561" s="2"/>
      <c r="Y561" s="2"/>
      <c r="Z561" s="2"/>
    </row>
    <row r="562" spans="1:26" ht="12.75" hidden="1" customHeight="1">
      <c r="A562" s="26" t="s">
        <v>1737</v>
      </c>
      <c r="B562" s="27"/>
      <c r="C562" s="28"/>
      <c r="D562" s="27"/>
      <c r="E562" s="27" t="s">
        <v>1738</v>
      </c>
      <c r="F562" s="29" t="s">
        <v>1739</v>
      </c>
      <c r="G562" s="27"/>
      <c r="H562" s="27" t="s">
        <v>249</v>
      </c>
      <c r="I562" s="27">
        <v>1</v>
      </c>
      <c r="J562" s="30">
        <v>0</v>
      </c>
      <c r="K562" s="26" t="s">
        <v>20</v>
      </c>
      <c r="L562" s="26" t="s">
        <v>233</v>
      </c>
      <c r="M562" s="31" t="s">
        <v>5364</v>
      </c>
      <c r="N562" s="2"/>
      <c r="O562" s="2"/>
      <c r="P562" s="2"/>
      <c r="Q562" s="2"/>
      <c r="R562" s="2"/>
      <c r="S562" s="2"/>
      <c r="T562" s="2"/>
      <c r="U562" s="2"/>
      <c r="V562" s="2"/>
      <c r="W562" s="2"/>
      <c r="X562" s="2"/>
      <c r="Y562" s="2"/>
      <c r="Z562" s="2"/>
    </row>
    <row r="563" spans="1:26" ht="25.5" hidden="1" customHeight="1">
      <c r="A563" s="26">
        <v>304</v>
      </c>
      <c r="B563" s="27" t="s">
        <v>938</v>
      </c>
      <c r="C563" s="28">
        <v>42368</v>
      </c>
      <c r="D563" s="27"/>
      <c r="E563" s="27" t="s">
        <v>1740</v>
      </c>
      <c r="F563" s="29" t="s">
        <v>1741</v>
      </c>
      <c r="G563" s="27" t="s">
        <v>45</v>
      </c>
      <c r="H563" s="27" t="s">
        <v>19</v>
      </c>
      <c r="I563" s="27">
        <v>1</v>
      </c>
      <c r="J563" s="30">
        <v>2070481906</v>
      </c>
      <c r="K563" s="26" t="s">
        <v>20</v>
      </c>
      <c r="L563" s="26" t="s">
        <v>423</v>
      </c>
      <c r="M563" s="31" t="s">
        <v>5230</v>
      </c>
      <c r="N563" s="2"/>
      <c r="O563" s="2"/>
      <c r="P563" s="2"/>
      <c r="Q563" s="2"/>
      <c r="R563" s="2"/>
      <c r="S563" s="2"/>
      <c r="T563" s="2"/>
      <c r="U563" s="2"/>
      <c r="V563" s="2"/>
      <c r="W563" s="2"/>
      <c r="X563" s="2"/>
      <c r="Y563" s="2"/>
      <c r="Z563" s="2"/>
    </row>
    <row r="564" spans="1:26" ht="12.75" hidden="1" customHeight="1">
      <c r="A564" s="26" t="s">
        <v>1742</v>
      </c>
      <c r="B564" s="27"/>
      <c r="C564" s="28"/>
      <c r="D564" s="27"/>
      <c r="E564" s="27" t="s">
        <v>1743</v>
      </c>
      <c r="F564" s="29" t="s">
        <v>1744</v>
      </c>
      <c r="G564" s="27" t="s">
        <v>45</v>
      </c>
      <c r="H564" s="27" t="s">
        <v>249</v>
      </c>
      <c r="I564" s="27">
        <v>1</v>
      </c>
      <c r="J564" s="30">
        <v>0</v>
      </c>
      <c r="K564" s="26" t="s">
        <v>20</v>
      </c>
      <c r="L564" s="26" t="s">
        <v>423</v>
      </c>
      <c r="M564" s="31" t="s">
        <v>5230</v>
      </c>
      <c r="N564" s="2"/>
      <c r="O564" s="2"/>
      <c r="P564" s="2"/>
      <c r="Q564" s="2"/>
      <c r="R564" s="2"/>
      <c r="S564" s="2"/>
      <c r="T564" s="2"/>
      <c r="U564" s="2"/>
      <c r="V564" s="2"/>
      <c r="W564" s="2"/>
      <c r="X564" s="2"/>
      <c r="Y564" s="2"/>
      <c r="Z564" s="2"/>
    </row>
    <row r="565" spans="1:26" ht="12.75" hidden="1" customHeight="1">
      <c r="A565" s="26" t="s">
        <v>1746</v>
      </c>
      <c r="B565" s="27"/>
      <c r="C565" s="28"/>
      <c r="D565" s="27"/>
      <c r="E565" s="27" t="s">
        <v>1747</v>
      </c>
      <c r="F565" s="29" t="s">
        <v>1748</v>
      </c>
      <c r="G565" s="27" t="s">
        <v>45</v>
      </c>
      <c r="H565" s="27" t="s">
        <v>249</v>
      </c>
      <c r="I565" s="27">
        <v>1</v>
      </c>
      <c r="J565" s="30">
        <v>0</v>
      </c>
      <c r="K565" s="26" t="s">
        <v>20</v>
      </c>
      <c r="L565" s="26" t="s">
        <v>423</v>
      </c>
      <c r="M565" s="31" t="s">
        <v>5230</v>
      </c>
      <c r="N565" s="2"/>
      <c r="O565" s="2"/>
      <c r="P565" s="2"/>
      <c r="Q565" s="2"/>
      <c r="R565" s="2"/>
      <c r="S565" s="2"/>
      <c r="T565" s="2"/>
      <c r="U565" s="2"/>
      <c r="V565" s="2"/>
      <c r="W565" s="2"/>
      <c r="X565" s="2"/>
      <c r="Y565" s="2"/>
      <c r="Z565" s="2"/>
    </row>
    <row r="566" spans="1:26" ht="25.5" hidden="1" customHeight="1">
      <c r="A566" s="26">
        <v>305</v>
      </c>
      <c r="B566" s="27" t="s">
        <v>909</v>
      </c>
      <c r="C566" s="28">
        <v>41999</v>
      </c>
      <c r="D566" s="27"/>
      <c r="E566" s="27" t="s">
        <v>1749</v>
      </c>
      <c r="F566" s="29" t="s">
        <v>1750</v>
      </c>
      <c r="G566" s="27" t="s">
        <v>55</v>
      </c>
      <c r="H566" s="27" t="s">
        <v>19</v>
      </c>
      <c r="I566" s="27">
        <v>1</v>
      </c>
      <c r="J566" s="30">
        <v>230928375</v>
      </c>
      <c r="K566" s="26" t="s">
        <v>20</v>
      </c>
      <c r="L566" s="26" t="s">
        <v>233</v>
      </c>
      <c r="M566" s="31" t="s">
        <v>1660</v>
      </c>
      <c r="N566" s="2"/>
      <c r="O566" s="2"/>
      <c r="P566" s="2"/>
      <c r="Q566" s="2"/>
      <c r="R566" s="2"/>
      <c r="S566" s="2"/>
      <c r="T566" s="2"/>
      <c r="U566" s="2"/>
      <c r="V566" s="2"/>
      <c r="W566" s="2"/>
      <c r="X566" s="2"/>
      <c r="Y566" s="2"/>
      <c r="Z566" s="2"/>
    </row>
    <row r="567" spans="1:26" ht="25.5" hidden="1" customHeight="1">
      <c r="A567" s="26">
        <v>306</v>
      </c>
      <c r="B567" s="27" t="s">
        <v>909</v>
      </c>
      <c r="C567" s="28">
        <v>41999</v>
      </c>
      <c r="D567" s="27"/>
      <c r="E567" s="27" t="s">
        <v>1752</v>
      </c>
      <c r="F567" s="29" t="s">
        <v>1753</v>
      </c>
      <c r="G567" s="27" t="s">
        <v>1754</v>
      </c>
      <c r="H567" s="27" t="s">
        <v>19</v>
      </c>
      <c r="I567" s="27">
        <v>1</v>
      </c>
      <c r="J567" s="30">
        <v>185816786</v>
      </c>
      <c r="K567" s="26" t="s">
        <v>20</v>
      </c>
      <c r="L567" s="26" t="s">
        <v>233</v>
      </c>
      <c r="M567" s="31" t="s">
        <v>1660</v>
      </c>
      <c r="N567" s="2"/>
      <c r="O567" s="2"/>
      <c r="P567" s="2"/>
      <c r="Q567" s="2"/>
      <c r="R567" s="2"/>
      <c r="S567" s="2"/>
      <c r="T567" s="2"/>
      <c r="U567" s="2"/>
      <c r="V567" s="2"/>
      <c r="W567" s="2"/>
      <c r="X567" s="2"/>
      <c r="Y567" s="2"/>
      <c r="Z567" s="2"/>
    </row>
    <row r="568" spans="1:26" ht="25.5" hidden="1" customHeight="1">
      <c r="A568" s="26">
        <v>307</v>
      </c>
      <c r="B568" s="27" t="s">
        <v>909</v>
      </c>
      <c r="C568" s="28">
        <v>41999</v>
      </c>
      <c r="D568" s="27"/>
      <c r="E568" s="27" t="s">
        <v>1756</v>
      </c>
      <c r="F568" s="29" t="s">
        <v>1757</v>
      </c>
      <c r="G568" s="27" t="s">
        <v>1754</v>
      </c>
      <c r="H568" s="27" t="s">
        <v>19</v>
      </c>
      <c r="I568" s="27">
        <v>1</v>
      </c>
      <c r="J568" s="30">
        <v>185816786</v>
      </c>
      <c r="K568" s="26" t="s">
        <v>20</v>
      </c>
      <c r="L568" s="26" t="s">
        <v>233</v>
      </c>
      <c r="M568" s="31" t="s">
        <v>1660</v>
      </c>
      <c r="N568" s="2"/>
      <c r="O568" s="2"/>
      <c r="P568" s="2"/>
      <c r="Q568" s="2"/>
      <c r="R568" s="2"/>
      <c r="S568" s="2"/>
      <c r="T568" s="2"/>
      <c r="U568" s="2"/>
      <c r="V568" s="2"/>
      <c r="W568" s="2"/>
      <c r="X568" s="2"/>
      <c r="Y568" s="2"/>
      <c r="Z568" s="2"/>
    </row>
    <row r="569" spans="1:26" ht="12.75" hidden="1" customHeight="1">
      <c r="A569" s="26">
        <v>308</v>
      </c>
      <c r="B569" s="27" t="s">
        <v>909</v>
      </c>
      <c r="C569" s="28">
        <v>41999</v>
      </c>
      <c r="D569" s="27"/>
      <c r="E569" s="27" t="s">
        <v>1758</v>
      </c>
      <c r="F569" s="29" t="s">
        <v>1759</v>
      </c>
      <c r="G569" s="27" t="s">
        <v>248</v>
      </c>
      <c r="H569" s="27" t="s">
        <v>19</v>
      </c>
      <c r="I569" s="27">
        <v>1</v>
      </c>
      <c r="J569" s="30">
        <v>73898164</v>
      </c>
      <c r="K569" s="26" t="s">
        <v>20</v>
      </c>
      <c r="L569" s="26" t="s">
        <v>233</v>
      </c>
      <c r="M569" s="31" t="s">
        <v>2353</v>
      </c>
      <c r="N569" s="2"/>
      <c r="O569" s="2"/>
      <c r="P569" s="2"/>
      <c r="Q569" s="2"/>
      <c r="R569" s="2"/>
      <c r="S569" s="2"/>
      <c r="T569" s="2"/>
      <c r="U569" s="2"/>
      <c r="V569" s="2"/>
      <c r="W569" s="2"/>
      <c r="X569" s="2"/>
      <c r="Y569" s="2"/>
      <c r="Z569" s="2"/>
    </row>
    <row r="570" spans="1:26" ht="12.75" hidden="1" customHeight="1">
      <c r="A570" s="26">
        <v>309</v>
      </c>
      <c r="B570" s="27" t="s">
        <v>1683</v>
      </c>
      <c r="C570" s="28">
        <v>42733</v>
      </c>
      <c r="D570" s="27"/>
      <c r="E570" s="27" t="s">
        <v>1761</v>
      </c>
      <c r="F570" s="29" t="s">
        <v>1762</v>
      </c>
      <c r="G570" s="27" t="s">
        <v>248</v>
      </c>
      <c r="H570" s="27" t="s">
        <v>19</v>
      </c>
      <c r="I570" s="27">
        <v>1</v>
      </c>
      <c r="J570" s="30">
        <v>95000000</v>
      </c>
      <c r="K570" s="26" t="s">
        <v>20</v>
      </c>
      <c r="L570" s="36" t="s">
        <v>229</v>
      </c>
      <c r="M570" s="31" t="s">
        <v>5365</v>
      </c>
      <c r="N570" s="2"/>
      <c r="O570" s="2"/>
      <c r="P570" s="2"/>
      <c r="Q570" s="2"/>
      <c r="R570" s="2"/>
      <c r="S570" s="2"/>
      <c r="T570" s="2"/>
      <c r="U570" s="2"/>
      <c r="V570" s="2"/>
      <c r="W570" s="2"/>
      <c r="X570" s="2"/>
      <c r="Y570" s="2"/>
      <c r="Z570" s="2"/>
    </row>
    <row r="571" spans="1:26" ht="25.5" hidden="1" customHeight="1">
      <c r="A571" s="26">
        <v>310</v>
      </c>
      <c r="B571" s="27" t="s">
        <v>1763</v>
      </c>
      <c r="C571" s="28">
        <v>42368</v>
      </c>
      <c r="D571" s="27"/>
      <c r="E571" s="27" t="s">
        <v>1764</v>
      </c>
      <c r="F571" s="29" t="s">
        <v>1765</v>
      </c>
      <c r="G571" s="27" t="s">
        <v>1088</v>
      </c>
      <c r="H571" s="27" t="s">
        <v>19</v>
      </c>
      <c r="I571" s="27">
        <v>1</v>
      </c>
      <c r="J571" s="30">
        <v>585429876</v>
      </c>
      <c r="K571" s="26" t="s">
        <v>206</v>
      </c>
      <c r="L571" s="26" t="s">
        <v>1330</v>
      </c>
      <c r="M571" s="31" t="s">
        <v>1766</v>
      </c>
      <c r="N571" s="2"/>
      <c r="O571" s="2"/>
      <c r="P571" s="2"/>
      <c r="Q571" s="2"/>
      <c r="R571" s="2"/>
      <c r="S571" s="2"/>
      <c r="T571" s="2"/>
      <c r="U571" s="2"/>
      <c r="V571" s="2"/>
      <c r="W571" s="2"/>
      <c r="X571" s="2"/>
      <c r="Y571" s="2"/>
      <c r="Z571" s="2"/>
    </row>
    <row r="572" spans="1:26" ht="12.75" hidden="1" customHeight="1">
      <c r="A572" s="26" t="s">
        <v>1767</v>
      </c>
      <c r="B572" s="27"/>
      <c r="C572" s="28"/>
      <c r="D572" s="27"/>
      <c r="E572" s="27" t="s">
        <v>1768</v>
      </c>
      <c r="F572" s="29" t="s">
        <v>1769</v>
      </c>
      <c r="G572" s="27" t="s">
        <v>1088</v>
      </c>
      <c r="H572" s="27" t="s">
        <v>249</v>
      </c>
      <c r="I572" s="27">
        <v>1</v>
      </c>
      <c r="J572" s="30">
        <v>63441241</v>
      </c>
      <c r="K572" s="26" t="s">
        <v>206</v>
      </c>
      <c r="L572" s="45" t="s">
        <v>1330</v>
      </c>
      <c r="M572" s="46" t="s">
        <v>1770</v>
      </c>
      <c r="N572" s="2"/>
      <c r="O572" s="2"/>
      <c r="P572" s="2"/>
      <c r="Q572" s="2"/>
      <c r="R572" s="2"/>
      <c r="S572" s="2"/>
      <c r="T572" s="2"/>
      <c r="U572" s="2"/>
      <c r="V572" s="2"/>
      <c r="W572" s="2"/>
      <c r="X572" s="2"/>
      <c r="Y572" s="2"/>
      <c r="Z572" s="2"/>
    </row>
    <row r="573" spans="1:26" ht="12.75" hidden="1" customHeight="1">
      <c r="A573" s="26" t="s">
        <v>1771</v>
      </c>
      <c r="B573" s="27"/>
      <c r="C573" s="28"/>
      <c r="D573" s="27"/>
      <c r="E573" s="27" t="s">
        <v>1772</v>
      </c>
      <c r="F573" s="29" t="s">
        <v>1773</v>
      </c>
      <c r="G573" s="27" t="s">
        <v>1088</v>
      </c>
      <c r="H573" s="27" t="s">
        <v>249</v>
      </c>
      <c r="I573" s="27">
        <v>1</v>
      </c>
      <c r="J573" s="30">
        <v>63441241</v>
      </c>
      <c r="K573" s="26" t="s">
        <v>206</v>
      </c>
      <c r="L573" s="26" t="s">
        <v>1330</v>
      </c>
      <c r="M573" s="31" t="s">
        <v>1774</v>
      </c>
      <c r="N573" s="2"/>
      <c r="O573" s="2"/>
      <c r="P573" s="2"/>
      <c r="Q573" s="2"/>
      <c r="R573" s="2"/>
      <c r="S573" s="2"/>
      <c r="T573" s="2"/>
      <c r="U573" s="2"/>
      <c r="V573" s="2"/>
      <c r="W573" s="2"/>
      <c r="X573" s="2"/>
      <c r="Y573" s="2"/>
      <c r="Z573" s="2"/>
    </row>
    <row r="574" spans="1:26" ht="12.75" hidden="1" customHeight="1">
      <c r="A574" s="26" t="s">
        <v>1775</v>
      </c>
      <c r="B574" s="27"/>
      <c r="C574" s="28"/>
      <c r="D574" s="27"/>
      <c r="E574" s="27" t="s">
        <v>1776</v>
      </c>
      <c r="F574" s="29" t="s">
        <v>1777</v>
      </c>
      <c r="G574" s="27" t="s">
        <v>1088</v>
      </c>
      <c r="H574" s="27" t="s">
        <v>249</v>
      </c>
      <c r="I574" s="27">
        <v>1</v>
      </c>
      <c r="J574" s="30">
        <v>63441241</v>
      </c>
      <c r="K574" s="26" t="s">
        <v>206</v>
      </c>
      <c r="L574" s="45" t="s">
        <v>1330</v>
      </c>
      <c r="M574" s="46" t="s">
        <v>1778</v>
      </c>
      <c r="N574" s="2"/>
      <c r="O574" s="2"/>
      <c r="P574" s="2"/>
      <c r="Q574" s="2"/>
      <c r="R574" s="2"/>
      <c r="S574" s="2"/>
      <c r="T574" s="2"/>
      <c r="U574" s="2"/>
      <c r="V574" s="2"/>
      <c r="W574" s="2"/>
      <c r="X574" s="2"/>
      <c r="Y574" s="2"/>
      <c r="Z574" s="2"/>
    </row>
    <row r="575" spans="1:26" ht="25.5" hidden="1" customHeight="1">
      <c r="A575" s="26" t="s">
        <v>1779</v>
      </c>
      <c r="B575" s="27"/>
      <c r="C575" s="28"/>
      <c r="D575" s="27"/>
      <c r="E575" s="27" t="s">
        <v>1780</v>
      </c>
      <c r="F575" s="29" t="s">
        <v>1781</v>
      </c>
      <c r="G575" s="27" t="s">
        <v>1088</v>
      </c>
      <c r="H575" s="27" t="s">
        <v>249</v>
      </c>
      <c r="I575" s="27">
        <v>1</v>
      </c>
      <c r="J575" s="30">
        <v>63441241</v>
      </c>
      <c r="K575" s="26" t="s">
        <v>206</v>
      </c>
      <c r="L575" s="26" t="s">
        <v>1330</v>
      </c>
      <c r="M575" s="31" t="s">
        <v>1782</v>
      </c>
      <c r="N575" s="2"/>
      <c r="O575" s="2"/>
      <c r="P575" s="2"/>
      <c r="Q575" s="2"/>
      <c r="R575" s="2"/>
      <c r="S575" s="2"/>
      <c r="T575" s="2"/>
      <c r="U575" s="2"/>
      <c r="V575" s="2"/>
      <c r="W575" s="2"/>
      <c r="X575" s="2"/>
      <c r="Y575" s="2"/>
      <c r="Z575" s="2"/>
    </row>
    <row r="576" spans="1:26" ht="12.75" hidden="1" customHeight="1">
      <c r="A576" s="26" t="s">
        <v>1783</v>
      </c>
      <c r="B576" s="27"/>
      <c r="C576" s="28"/>
      <c r="D576" s="27"/>
      <c r="E576" s="27" t="s">
        <v>1784</v>
      </c>
      <c r="F576" s="29" t="s">
        <v>1785</v>
      </c>
      <c r="G576" s="27" t="s">
        <v>1088</v>
      </c>
      <c r="H576" s="27" t="s">
        <v>249</v>
      </c>
      <c r="I576" s="27">
        <v>1</v>
      </c>
      <c r="J576" s="30">
        <v>63441241</v>
      </c>
      <c r="K576" s="26" t="s">
        <v>206</v>
      </c>
      <c r="L576" s="45" t="s">
        <v>1330</v>
      </c>
      <c r="M576" s="46" t="s">
        <v>1786</v>
      </c>
      <c r="N576" s="2"/>
      <c r="O576" s="2"/>
      <c r="P576" s="2"/>
      <c r="Q576" s="2"/>
      <c r="R576" s="2"/>
      <c r="S576" s="2"/>
      <c r="T576" s="2"/>
      <c r="U576" s="2"/>
      <c r="V576" s="2"/>
      <c r="W576" s="2"/>
      <c r="X576" s="2"/>
      <c r="Y576" s="2"/>
      <c r="Z576" s="2"/>
    </row>
    <row r="577" spans="1:26" ht="12.75" hidden="1" customHeight="1">
      <c r="A577" s="26" t="s">
        <v>1787</v>
      </c>
      <c r="B577" s="27"/>
      <c r="C577" s="28"/>
      <c r="D577" s="27"/>
      <c r="E577" s="27" t="s">
        <v>1788</v>
      </c>
      <c r="F577" s="29" t="s">
        <v>1789</v>
      </c>
      <c r="G577" s="27" t="s">
        <v>1088</v>
      </c>
      <c r="H577" s="27" t="s">
        <v>249</v>
      </c>
      <c r="I577" s="27">
        <v>1</v>
      </c>
      <c r="J577" s="30">
        <v>63441241</v>
      </c>
      <c r="K577" s="26" t="s">
        <v>206</v>
      </c>
      <c r="L577" s="45" t="s">
        <v>1330</v>
      </c>
      <c r="M577" s="46" t="s">
        <v>1790</v>
      </c>
      <c r="N577" s="2"/>
      <c r="O577" s="2"/>
      <c r="P577" s="2"/>
      <c r="Q577" s="2"/>
      <c r="R577" s="2"/>
      <c r="S577" s="2"/>
      <c r="T577" s="2"/>
      <c r="U577" s="2"/>
      <c r="V577" s="2"/>
      <c r="W577" s="2"/>
      <c r="X577" s="2"/>
      <c r="Y577" s="2"/>
      <c r="Z577" s="2"/>
    </row>
    <row r="578" spans="1:26" ht="12.75" hidden="1" customHeight="1">
      <c r="A578" s="26" t="s">
        <v>1791</v>
      </c>
      <c r="B578" s="27"/>
      <c r="C578" s="28"/>
      <c r="D578" s="27"/>
      <c r="E578" s="27" t="s">
        <v>1792</v>
      </c>
      <c r="F578" s="29" t="s">
        <v>1793</v>
      </c>
      <c r="G578" s="27" t="s">
        <v>1088</v>
      </c>
      <c r="H578" s="27" t="s">
        <v>249</v>
      </c>
      <c r="I578" s="27">
        <v>1</v>
      </c>
      <c r="J578" s="30">
        <v>63441241</v>
      </c>
      <c r="K578" s="26" t="s">
        <v>206</v>
      </c>
      <c r="L578" s="26" t="s">
        <v>1330</v>
      </c>
      <c r="M578" s="71"/>
      <c r="N578" s="2"/>
      <c r="O578" s="2"/>
      <c r="P578" s="2"/>
      <c r="Q578" s="2"/>
      <c r="R578" s="2"/>
      <c r="S578" s="2"/>
      <c r="T578" s="2"/>
      <c r="U578" s="2"/>
      <c r="V578" s="2"/>
      <c r="W578" s="2"/>
      <c r="X578" s="2"/>
      <c r="Y578" s="2"/>
      <c r="Z578" s="2"/>
    </row>
    <row r="579" spans="1:26" ht="12.75" hidden="1" customHeight="1">
      <c r="A579" s="26" t="s">
        <v>1794</v>
      </c>
      <c r="B579" s="27"/>
      <c r="C579" s="28"/>
      <c r="D579" s="27"/>
      <c r="E579" s="27" t="s">
        <v>1795</v>
      </c>
      <c r="F579" s="29" t="s">
        <v>1796</v>
      </c>
      <c r="G579" s="27" t="s">
        <v>1088</v>
      </c>
      <c r="H579" s="27" t="s">
        <v>249</v>
      </c>
      <c r="I579" s="27">
        <v>1</v>
      </c>
      <c r="J579" s="30">
        <v>63441241</v>
      </c>
      <c r="K579" s="26" t="s">
        <v>206</v>
      </c>
      <c r="L579" s="26" t="s">
        <v>1330</v>
      </c>
      <c r="M579" s="31" t="s">
        <v>1797</v>
      </c>
      <c r="N579" s="2"/>
      <c r="O579" s="2"/>
      <c r="P579" s="2"/>
      <c r="Q579" s="2"/>
      <c r="R579" s="2"/>
      <c r="S579" s="2"/>
      <c r="T579" s="2"/>
      <c r="U579" s="2"/>
      <c r="V579" s="2"/>
      <c r="W579" s="2"/>
      <c r="X579" s="2"/>
      <c r="Y579" s="2"/>
      <c r="Z579" s="2"/>
    </row>
    <row r="580" spans="1:26" ht="25.5" hidden="1" customHeight="1">
      <c r="A580" s="26">
        <v>311</v>
      </c>
      <c r="B580" s="27" t="s">
        <v>938</v>
      </c>
      <c r="C580" s="28">
        <v>42368</v>
      </c>
      <c r="D580" s="27"/>
      <c r="E580" s="27" t="s">
        <v>1798</v>
      </c>
      <c r="F580" s="29" t="s">
        <v>1799</v>
      </c>
      <c r="G580" s="27" t="s">
        <v>45</v>
      </c>
      <c r="H580" s="27" t="s">
        <v>19</v>
      </c>
      <c r="I580" s="27">
        <v>1</v>
      </c>
      <c r="J580" s="30">
        <v>1429447954</v>
      </c>
      <c r="K580" s="26" t="s">
        <v>20</v>
      </c>
      <c r="L580" s="26" t="s">
        <v>233</v>
      </c>
      <c r="M580" s="31" t="s">
        <v>5296</v>
      </c>
      <c r="N580" s="2"/>
      <c r="O580" s="2"/>
      <c r="P580" s="2"/>
      <c r="Q580" s="2"/>
      <c r="R580" s="2"/>
      <c r="S580" s="2"/>
      <c r="T580" s="2"/>
      <c r="U580" s="2"/>
      <c r="V580" s="2"/>
      <c r="W580" s="2"/>
      <c r="X580" s="2"/>
      <c r="Y580" s="2"/>
      <c r="Z580" s="2"/>
    </row>
    <row r="581" spans="1:26" ht="25.5" hidden="1" customHeight="1">
      <c r="A581" s="26" t="s">
        <v>1801</v>
      </c>
      <c r="B581" s="27"/>
      <c r="C581" s="28"/>
      <c r="D581" s="27"/>
      <c r="E581" s="27" t="s">
        <v>1802</v>
      </c>
      <c r="F581" s="29" t="s">
        <v>1803</v>
      </c>
      <c r="G581" s="27" t="s">
        <v>45</v>
      </c>
      <c r="H581" s="27" t="s">
        <v>249</v>
      </c>
      <c r="I581" s="27">
        <v>1</v>
      </c>
      <c r="J581" s="30">
        <v>0</v>
      </c>
      <c r="K581" s="26" t="s">
        <v>20</v>
      </c>
      <c r="L581" s="26" t="s">
        <v>233</v>
      </c>
      <c r="M581" s="31"/>
      <c r="N581" s="2"/>
      <c r="O581" s="2"/>
      <c r="P581" s="2"/>
      <c r="Q581" s="2"/>
      <c r="R581" s="2"/>
      <c r="S581" s="2"/>
      <c r="T581" s="2"/>
      <c r="U581" s="2"/>
      <c r="V581" s="2"/>
      <c r="W581" s="2"/>
      <c r="X581" s="2"/>
      <c r="Y581" s="2"/>
      <c r="Z581" s="2"/>
    </row>
    <row r="582" spans="1:26" ht="12.75" hidden="1" customHeight="1">
      <c r="A582" s="26" t="s">
        <v>1804</v>
      </c>
      <c r="B582" s="27"/>
      <c r="C582" s="28"/>
      <c r="D582" s="27"/>
      <c r="E582" s="27" t="s">
        <v>1805</v>
      </c>
      <c r="F582" s="29" t="s">
        <v>1806</v>
      </c>
      <c r="G582" s="27" t="s">
        <v>45</v>
      </c>
      <c r="H582" s="27" t="s">
        <v>249</v>
      </c>
      <c r="I582" s="27">
        <v>1</v>
      </c>
      <c r="J582" s="30">
        <v>163319280</v>
      </c>
      <c r="K582" s="26" t="s">
        <v>20</v>
      </c>
      <c r="L582" s="26" t="s">
        <v>233</v>
      </c>
      <c r="M582" s="31"/>
      <c r="N582" s="2"/>
      <c r="O582" s="2"/>
      <c r="P582" s="2"/>
      <c r="Q582" s="2"/>
      <c r="R582" s="2"/>
      <c r="S582" s="2"/>
      <c r="T582" s="2"/>
      <c r="U582" s="2"/>
      <c r="V582" s="2"/>
      <c r="W582" s="2"/>
      <c r="X582" s="2"/>
      <c r="Y582" s="2"/>
      <c r="Z582" s="2"/>
    </row>
    <row r="583" spans="1:26" ht="12.75" hidden="1" customHeight="1">
      <c r="A583" s="26" t="s">
        <v>1807</v>
      </c>
      <c r="B583" s="27"/>
      <c r="C583" s="28"/>
      <c r="D583" s="27"/>
      <c r="E583" s="27" t="s">
        <v>1808</v>
      </c>
      <c r="F583" s="29" t="s">
        <v>1809</v>
      </c>
      <c r="G583" s="27" t="s">
        <v>45</v>
      </c>
      <c r="H583" s="27" t="s">
        <v>249</v>
      </c>
      <c r="I583" s="27">
        <v>1</v>
      </c>
      <c r="J583" s="30">
        <v>175839013</v>
      </c>
      <c r="K583" s="26" t="s">
        <v>20</v>
      </c>
      <c r="L583" s="26" t="s">
        <v>233</v>
      </c>
      <c r="M583" s="31"/>
      <c r="N583" s="2"/>
      <c r="O583" s="2"/>
      <c r="P583" s="2"/>
      <c r="Q583" s="2"/>
      <c r="R583" s="2"/>
      <c r="S583" s="2"/>
      <c r="T583" s="2"/>
      <c r="U583" s="2"/>
      <c r="V583" s="2"/>
      <c r="W583" s="2"/>
      <c r="X583" s="2"/>
      <c r="Y583" s="2"/>
      <c r="Z583" s="2"/>
    </row>
    <row r="584" spans="1:26" ht="12.75" hidden="1" customHeight="1">
      <c r="A584" s="26" t="s">
        <v>1811</v>
      </c>
      <c r="B584" s="27"/>
      <c r="C584" s="28"/>
      <c r="D584" s="27"/>
      <c r="E584" s="27" t="s">
        <v>1812</v>
      </c>
      <c r="F584" s="29" t="s">
        <v>1813</v>
      </c>
      <c r="G584" s="27" t="s">
        <v>45</v>
      </c>
      <c r="H584" s="27" t="s">
        <v>249</v>
      </c>
      <c r="I584" s="27">
        <v>1</v>
      </c>
      <c r="J584" s="30">
        <v>175839013</v>
      </c>
      <c r="K584" s="26" t="s">
        <v>20</v>
      </c>
      <c r="L584" s="26" t="s">
        <v>233</v>
      </c>
      <c r="M584" s="31"/>
      <c r="N584" s="2"/>
      <c r="O584" s="2"/>
      <c r="P584" s="2"/>
      <c r="Q584" s="2"/>
      <c r="R584" s="2"/>
      <c r="S584" s="2"/>
      <c r="T584" s="2"/>
      <c r="U584" s="2"/>
      <c r="V584" s="2"/>
      <c r="W584" s="2"/>
      <c r="X584" s="2"/>
      <c r="Y584" s="2"/>
      <c r="Z584" s="2"/>
    </row>
    <row r="585" spans="1:26" ht="12.75" hidden="1" customHeight="1">
      <c r="A585" s="26" t="s">
        <v>1814</v>
      </c>
      <c r="B585" s="27"/>
      <c r="C585" s="28"/>
      <c r="D585" s="27"/>
      <c r="E585" s="27" t="s">
        <v>1815</v>
      </c>
      <c r="F585" s="29" t="s">
        <v>1816</v>
      </c>
      <c r="G585" s="27" t="s">
        <v>45</v>
      </c>
      <c r="H585" s="27" t="s">
        <v>249</v>
      </c>
      <c r="I585" s="27">
        <v>1</v>
      </c>
      <c r="J585" s="30">
        <v>175839013</v>
      </c>
      <c r="K585" s="26" t="s">
        <v>20</v>
      </c>
      <c r="L585" s="26" t="s">
        <v>233</v>
      </c>
      <c r="M585" s="31"/>
      <c r="N585" s="2"/>
      <c r="O585" s="2"/>
      <c r="P585" s="2"/>
      <c r="Q585" s="2"/>
      <c r="R585" s="2"/>
      <c r="S585" s="2"/>
      <c r="T585" s="2"/>
      <c r="U585" s="2"/>
      <c r="V585" s="2"/>
      <c r="W585" s="2"/>
      <c r="X585" s="2"/>
      <c r="Y585" s="2"/>
      <c r="Z585" s="2"/>
    </row>
    <row r="586" spans="1:26" ht="12.75" hidden="1" customHeight="1">
      <c r="A586" s="26" t="s">
        <v>1818</v>
      </c>
      <c r="B586" s="27"/>
      <c r="C586" s="28"/>
      <c r="D586" s="27"/>
      <c r="E586" s="27" t="s">
        <v>1819</v>
      </c>
      <c r="F586" s="29" t="s">
        <v>1820</v>
      </c>
      <c r="G586" s="27" t="s">
        <v>45</v>
      </c>
      <c r="H586" s="27" t="s">
        <v>249</v>
      </c>
      <c r="I586" s="27">
        <v>1</v>
      </c>
      <c r="J586" s="30">
        <v>175839013</v>
      </c>
      <c r="K586" s="26" t="s">
        <v>20</v>
      </c>
      <c r="L586" s="26" t="s">
        <v>233</v>
      </c>
      <c r="M586" s="31"/>
      <c r="N586" s="2"/>
      <c r="O586" s="2"/>
      <c r="P586" s="2"/>
      <c r="Q586" s="2"/>
      <c r="R586" s="2"/>
      <c r="S586" s="2"/>
      <c r="T586" s="2"/>
      <c r="U586" s="2"/>
      <c r="V586" s="2"/>
      <c r="W586" s="2"/>
      <c r="X586" s="2"/>
      <c r="Y586" s="2"/>
      <c r="Z586" s="2"/>
    </row>
    <row r="587" spans="1:26" ht="12.75" hidden="1" customHeight="1">
      <c r="A587" s="26" t="s">
        <v>1822</v>
      </c>
      <c r="B587" s="27"/>
      <c r="C587" s="28"/>
      <c r="D587" s="27"/>
      <c r="E587" s="27" t="s">
        <v>1823</v>
      </c>
      <c r="F587" s="29" t="s">
        <v>1824</v>
      </c>
      <c r="G587" s="27" t="s">
        <v>45</v>
      </c>
      <c r="H587" s="27" t="s">
        <v>249</v>
      </c>
      <c r="I587" s="27">
        <v>1</v>
      </c>
      <c r="J587" s="30">
        <v>175839013</v>
      </c>
      <c r="K587" s="26" t="s">
        <v>20</v>
      </c>
      <c r="L587" s="26" t="s">
        <v>233</v>
      </c>
      <c r="M587" s="31"/>
      <c r="N587" s="2"/>
      <c r="O587" s="2"/>
      <c r="P587" s="2"/>
      <c r="Q587" s="2"/>
      <c r="R587" s="2"/>
      <c r="S587" s="2"/>
      <c r="T587" s="2"/>
      <c r="U587" s="2"/>
      <c r="V587" s="2"/>
      <c r="W587" s="2"/>
      <c r="X587" s="2"/>
      <c r="Y587" s="2"/>
      <c r="Z587" s="2"/>
    </row>
    <row r="588" spans="1:26" ht="12.75" hidden="1" customHeight="1">
      <c r="A588" s="26" t="s">
        <v>1825</v>
      </c>
      <c r="B588" s="27"/>
      <c r="C588" s="28"/>
      <c r="D588" s="27"/>
      <c r="E588" s="27" t="s">
        <v>1826</v>
      </c>
      <c r="F588" s="29" t="s">
        <v>1827</v>
      </c>
      <c r="G588" s="27" t="s">
        <v>45</v>
      </c>
      <c r="H588" s="27" t="s">
        <v>249</v>
      </c>
      <c r="I588" s="27">
        <v>1</v>
      </c>
      <c r="J588" s="30">
        <v>57981810</v>
      </c>
      <c r="K588" s="26" t="s">
        <v>20</v>
      </c>
      <c r="L588" s="26" t="s">
        <v>233</v>
      </c>
      <c r="M588" s="31"/>
      <c r="N588" s="2"/>
      <c r="O588" s="2"/>
      <c r="P588" s="2"/>
      <c r="Q588" s="2"/>
      <c r="R588" s="2"/>
      <c r="S588" s="2"/>
      <c r="T588" s="2"/>
      <c r="U588" s="2"/>
      <c r="V588" s="2"/>
      <c r="W588" s="2"/>
      <c r="X588" s="2"/>
      <c r="Y588" s="2"/>
      <c r="Z588" s="2"/>
    </row>
    <row r="589" spans="1:26" ht="12.75" hidden="1" customHeight="1">
      <c r="A589" s="26" t="s">
        <v>1829</v>
      </c>
      <c r="B589" s="27"/>
      <c r="C589" s="28"/>
      <c r="D589" s="27"/>
      <c r="E589" s="27" t="s">
        <v>1830</v>
      </c>
      <c r="F589" s="29" t="s">
        <v>1831</v>
      </c>
      <c r="G589" s="27" t="s">
        <v>45</v>
      </c>
      <c r="H589" s="27" t="s">
        <v>249</v>
      </c>
      <c r="I589" s="27">
        <v>1</v>
      </c>
      <c r="J589" s="30">
        <v>62426581</v>
      </c>
      <c r="K589" s="26" t="s">
        <v>20</v>
      </c>
      <c r="L589" s="26" t="s">
        <v>233</v>
      </c>
      <c r="M589" s="31"/>
      <c r="N589" s="2"/>
      <c r="O589" s="2"/>
      <c r="P589" s="2"/>
      <c r="Q589" s="2"/>
      <c r="R589" s="2"/>
      <c r="S589" s="2"/>
      <c r="T589" s="2"/>
      <c r="U589" s="2"/>
      <c r="V589" s="2"/>
      <c r="W589" s="2"/>
      <c r="X589" s="2"/>
      <c r="Y589" s="2"/>
      <c r="Z589" s="2"/>
    </row>
    <row r="590" spans="1:26" ht="12.75" hidden="1" customHeight="1">
      <c r="A590" s="26" t="s">
        <v>1833</v>
      </c>
      <c r="B590" s="27"/>
      <c r="C590" s="28"/>
      <c r="D590" s="27"/>
      <c r="E590" s="27" t="s">
        <v>1834</v>
      </c>
      <c r="F590" s="29" t="s">
        <v>1835</v>
      </c>
      <c r="G590" s="27" t="s">
        <v>45</v>
      </c>
      <c r="H590" s="27" t="s">
        <v>249</v>
      </c>
      <c r="I590" s="27">
        <v>1</v>
      </c>
      <c r="J590" s="30">
        <v>62426581</v>
      </c>
      <c r="K590" s="26" t="s">
        <v>20</v>
      </c>
      <c r="L590" s="26" t="s">
        <v>233</v>
      </c>
      <c r="M590" s="31"/>
      <c r="N590" s="2"/>
      <c r="O590" s="2"/>
      <c r="P590" s="2"/>
      <c r="Q590" s="2"/>
      <c r="R590" s="2"/>
      <c r="S590" s="2"/>
      <c r="T590" s="2"/>
      <c r="U590" s="2"/>
      <c r="V590" s="2"/>
      <c r="W590" s="2"/>
      <c r="X590" s="2"/>
      <c r="Y590" s="2"/>
      <c r="Z590" s="2"/>
    </row>
    <row r="591" spans="1:26" ht="12.75" hidden="1" customHeight="1">
      <c r="A591" s="26" t="s">
        <v>1837</v>
      </c>
      <c r="B591" s="27"/>
      <c r="C591" s="28"/>
      <c r="D591" s="27"/>
      <c r="E591" s="27" t="s">
        <v>1838</v>
      </c>
      <c r="F591" s="29" t="s">
        <v>1839</v>
      </c>
      <c r="G591" s="27" t="s">
        <v>45</v>
      </c>
      <c r="H591" s="27" t="s">
        <v>249</v>
      </c>
      <c r="I591" s="27">
        <v>1</v>
      </c>
      <c r="J591" s="30">
        <v>62426581</v>
      </c>
      <c r="K591" s="26" t="s">
        <v>20</v>
      </c>
      <c r="L591" s="26" t="s">
        <v>233</v>
      </c>
      <c r="M591" s="31"/>
      <c r="N591" s="2"/>
      <c r="O591" s="2"/>
      <c r="P591" s="2"/>
      <c r="Q591" s="2"/>
      <c r="R591" s="2"/>
      <c r="S591" s="2"/>
      <c r="T591" s="2"/>
      <c r="U591" s="2"/>
      <c r="V591" s="2"/>
      <c r="W591" s="2"/>
      <c r="X591" s="2"/>
      <c r="Y591" s="2"/>
      <c r="Z591" s="2"/>
    </row>
    <row r="592" spans="1:26" ht="12.75" hidden="1" customHeight="1">
      <c r="A592" s="26" t="s">
        <v>1841</v>
      </c>
      <c r="B592" s="27"/>
      <c r="C592" s="28"/>
      <c r="D592" s="27"/>
      <c r="E592" s="27" t="s">
        <v>1842</v>
      </c>
      <c r="F592" s="29" t="s">
        <v>1843</v>
      </c>
      <c r="G592" s="27" t="s">
        <v>45</v>
      </c>
      <c r="H592" s="27" t="s">
        <v>249</v>
      </c>
      <c r="I592" s="27">
        <v>1</v>
      </c>
      <c r="J592" s="30">
        <v>62426581</v>
      </c>
      <c r="K592" s="26" t="s">
        <v>20</v>
      </c>
      <c r="L592" s="26" t="s">
        <v>233</v>
      </c>
      <c r="M592" s="31"/>
      <c r="N592" s="2"/>
      <c r="O592" s="2"/>
      <c r="P592" s="2"/>
      <c r="Q592" s="2"/>
      <c r="R592" s="2"/>
      <c r="S592" s="2"/>
      <c r="T592" s="2"/>
      <c r="U592" s="2"/>
      <c r="V592" s="2"/>
      <c r="W592" s="2"/>
      <c r="X592" s="2"/>
      <c r="Y592" s="2"/>
      <c r="Z592" s="2"/>
    </row>
    <row r="593" spans="1:26" ht="25.5" hidden="1" customHeight="1">
      <c r="A593" s="26">
        <v>312</v>
      </c>
      <c r="B593" s="27" t="s">
        <v>938</v>
      </c>
      <c r="C593" s="28">
        <v>42368</v>
      </c>
      <c r="D593" s="27"/>
      <c r="E593" s="27" t="s">
        <v>1845</v>
      </c>
      <c r="F593" s="29" t="s">
        <v>1846</v>
      </c>
      <c r="G593" s="27" t="s">
        <v>45</v>
      </c>
      <c r="H593" s="27" t="s">
        <v>19</v>
      </c>
      <c r="I593" s="27">
        <v>1</v>
      </c>
      <c r="J593" s="30">
        <v>656280161</v>
      </c>
      <c r="K593" s="26" t="s">
        <v>20</v>
      </c>
      <c r="L593" s="26" t="s">
        <v>233</v>
      </c>
      <c r="M593" s="31" t="s">
        <v>1847</v>
      </c>
      <c r="N593" s="2"/>
      <c r="O593" s="2"/>
      <c r="P593" s="2"/>
      <c r="Q593" s="2"/>
      <c r="R593" s="2"/>
      <c r="S593" s="2"/>
      <c r="T593" s="2"/>
      <c r="U593" s="2"/>
      <c r="V593" s="2"/>
      <c r="W593" s="2"/>
      <c r="X593" s="2"/>
      <c r="Y593" s="2"/>
      <c r="Z593" s="2"/>
    </row>
    <row r="594" spans="1:26" ht="12.75" hidden="1" customHeight="1">
      <c r="A594" s="26" t="s">
        <v>1848</v>
      </c>
      <c r="B594" s="27"/>
      <c r="C594" s="28"/>
      <c r="D594" s="27"/>
      <c r="E594" s="27" t="s">
        <v>1849</v>
      </c>
      <c r="F594" s="29" t="s">
        <v>1850</v>
      </c>
      <c r="G594" s="27" t="s">
        <v>45</v>
      </c>
      <c r="H594" s="27" t="s">
        <v>249</v>
      </c>
      <c r="I594" s="27">
        <v>1</v>
      </c>
      <c r="J594" s="30">
        <v>0</v>
      </c>
      <c r="K594" s="26" t="s">
        <v>20</v>
      </c>
      <c r="L594" s="26" t="s">
        <v>233</v>
      </c>
      <c r="M594" s="31"/>
      <c r="N594" s="2"/>
      <c r="O594" s="2"/>
      <c r="P594" s="2"/>
      <c r="Q594" s="2"/>
      <c r="R594" s="2"/>
      <c r="S594" s="2"/>
      <c r="T594" s="2"/>
      <c r="U594" s="2"/>
      <c r="V594" s="2"/>
      <c r="W594" s="2"/>
      <c r="X594" s="2"/>
      <c r="Y594" s="2"/>
      <c r="Z594" s="2"/>
    </row>
    <row r="595" spans="1:26" ht="12.75" hidden="1" customHeight="1">
      <c r="A595" s="26" t="s">
        <v>1851</v>
      </c>
      <c r="B595" s="27"/>
      <c r="C595" s="28"/>
      <c r="D595" s="27"/>
      <c r="E595" s="27" t="s">
        <v>1852</v>
      </c>
      <c r="F595" s="29" t="s">
        <v>1853</v>
      </c>
      <c r="G595" s="27" t="s">
        <v>45</v>
      </c>
      <c r="H595" s="27" t="s">
        <v>249</v>
      </c>
      <c r="I595" s="27">
        <v>1</v>
      </c>
      <c r="J595" s="30">
        <v>0</v>
      </c>
      <c r="K595" s="26" t="s">
        <v>20</v>
      </c>
      <c r="L595" s="26" t="s">
        <v>233</v>
      </c>
      <c r="M595" s="31"/>
      <c r="N595" s="2"/>
      <c r="O595" s="2"/>
      <c r="P595" s="2"/>
      <c r="Q595" s="2"/>
      <c r="R595" s="2"/>
      <c r="S595" s="2"/>
      <c r="T595" s="2"/>
      <c r="U595" s="2"/>
      <c r="V595" s="2"/>
      <c r="W595" s="2"/>
      <c r="X595" s="2"/>
      <c r="Y595" s="2"/>
      <c r="Z595" s="2"/>
    </row>
    <row r="596" spans="1:26" ht="12.75" hidden="1" customHeight="1">
      <c r="A596" s="26">
        <v>313</v>
      </c>
      <c r="B596" s="27" t="s">
        <v>938</v>
      </c>
      <c r="C596" s="28">
        <v>42368</v>
      </c>
      <c r="D596" s="27"/>
      <c r="E596" s="27" t="s">
        <v>1854</v>
      </c>
      <c r="F596" s="34" t="s">
        <v>1855</v>
      </c>
      <c r="G596" s="27" t="s">
        <v>1008</v>
      </c>
      <c r="H596" s="27" t="s">
        <v>19</v>
      </c>
      <c r="I596" s="27">
        <v>1</v>
      </c>
      <c r="J596" s="30">
        <v>41696365</v>
      </c>
      <c r="K596" s="26" t="s">
        <v>20</v>
      </c>
      <c r="L596" s="26" t="s">
        <v>233</v>
      </c>
      <c r="M596" s="31" t="s">
        <v>1847</v>
      </c>
      <c r="N596" s="2"/>
      <c r="O596" s="2"/>
      <c r="P596" s="2"/>
      <c r="Q596" s="2"/>
      <c r="R596" s="2"/>
      <c r="S596" s="2"/>
      <c r="T596" s="2"/>
      <c r="U596" s="2"/>
      <c r="V596" s="2"/>
      <c r="W596" s="2"/>
      <c r="X596" s="2"/>
      <c r="Y596" s="2"/>
      <c r="Z596" s="2"/>
    </row>
    <row r="597" spans="1:26" ht="25.5" hidden="1" customHeight="1">
      <c r="A597" s="26">
        <v>314</v>
      </c>
      <c r="B597" s="27" t="s">
        <v>241</v>
      </c>
      <c r="C597" s="28">
        <v>42726</v>
      </c>
      <c r="D597" s="27"/>
      <c r="E597" s="27" t="s">
        <v>1856</v>
      </c>
      <c r="F597" s="29" t="s">
        <v>1857</v>
      </c>
      <c r="G597" s="27" t="s">
        <v>338</v>
      </c>
      <c r="H597" s="27" t="s">
        <v>19</v>
      </c>
      <c r="I597" s="27">
        <v>1</v>
      </c>
      <c r="J597" s="30">
        <v>166800000</v>
      </c>
      <c r="K597" s="26" t="s">
        <v>206</v>
      </c>
      <c r="L597" s="26" t="s">
        <v>1330</v>
      </c>
      <c r="M597" s="31" t="s">
        <v>1858</v>
      </c>
      <c r="N597" s="2"/>
      <c r="O597" s="2"/>
      <c r="P597" s="2"/>
      <c r="Q597" s="2"/>
      <c r="R597" s="2"/>
      <c r="S597" s="2"/>
      <c r="T597" s="2"/>
      <c r="U597" s="2"/>
      <c r="V597" s="2"/>
      <c r="W597" s="2"/>
      <c r="X597" s="2"/>
      <c r="Y597" s="2"/>
      <c r="Z597" s="2"/>
    </row>
    <row r="598" spans="1:26" ht="25.5" hidden="1" customHeight="1">
      <c r="A598" s="26">
        <v>315</v>
      </c>
      <c r="B598" s="27" t="s">
        <v>241</v>
      </c>
      <c r="C598" s="28">
        <v>42726</v>
      </c>
      <c r="D598" s="27"/>
      <c r="E598" s="27" t="s">
        <v>1859</v>
      </c>
      <c r="F598" s="29" t="s">
        <v>1860</v>
      </c>
      <c r="G598" s="27" t="s">
        <v>338</v>
      </c>
      <c r="H598" s="27" t="s">
        <v>19</v>
      </c>
      <c r="I598" s="27">
        <v>1</v>
      </c>
      <c r="J598" s="30">
        <v>263500000</v>
      </c>
      <c r="K598" s="26" t="s">
        <v>20</v>
      </c>
      <c r="L598" s="26" t="s">
        <v>423</v>
      </c>
      <c r="M598" s="31" t="s">
        <v>5222</v>
      </c>
      <c r="N598" s="2"/>
      <c r="O598" s="2"/>
      <c r="P598" s="2"/>
      <c r="Q598" s="2"/>
      <c r="R598" s="2"/>
      <c r="S598" s="2"/>
      <c r="T598" s="2"/>
      <c r="U598" s="2"/>
      <c r="V598" s="2"/>
      <c r="W598" s="2"/>
      <c r="X598" s="2"/>
      <c r="Y598" s="2"/>
      <c r="Z598" s="2"/>
    </row>
    <row r="599" spans="1:26" ht="25.5" hidden="1" customHeight="1">
      <c r="A599" s="26">
        <v>316</v>
      </c>
      <c r="B599" s="27" t="s">
        <v>241</v>
      </c>
      <c r="C599" s="28">
        <v>42726</v>
      </c>
      <c r="D599" s="27"/>
      <c r="E599" s="27" t="s">
        <v>1861</v>
      </c>
      <c r="F599" s="29" t="s">
        <v>1862</v>
      </c>
      <c r="G599" s="27" t="s">
        <v>307</v>
      </c>
      <c r="H599" s="27" t="s">
        <v>19</v>
      </c>
      <c r="I599" s="27">
        <v>1</v>
      </c>
      <c r="J599" s="30">
        <v>81740000</v>
      </c>
      <c r="K599" s="26" t="s">
        <v>206</v>
      </c>
      <c r="L599" s="26" t="s">
        <v>1330</v>
      </c>
      <c r="M599" s="31" t="s">
        <v>1559</v>
      </c>
      <c r="N599" s="2"/>
      <c r="O599" s="2"/>
      <c r="P599" s="2"/>
      <c r="Q599" s="2"/>
      <c r="R599" s="2"/>
      <c r="S599" s="2"/>
      <c r="T599" s="2"/>
      <c r="U599" s="2"/>
      <c r="V599" s="2"/>
      <c r="W599" s="2"/>
      <c r="X599" s="2"/>
      <c r="Y599" s="2"/>
      <c r="Z599" s="2"/>
    </row>
    <row r="600" spans="1:26" ht="25.5" hidden="1" customHeight="1">
      <c r="A600" s="26">
        <v>317</v>
      </c>
      <c r="B600" s="27" t="s">
        <v>241</v>
      </c>
      <c r="C600" s="28">
        <v>42726</v>
      </c>
      <c r="D600" s="27"/>
      <c r="E600" s="27" t="s">
        <v>1863</v>
      </c>
      <c r="F600" s="29" t="s">
        <v>1864</v>
      </c>
      <c r="G600" s="27" t="s">
        <v>307</v>
      </c>
      <c r="H600" s="27" t="s">
        <v>19</v>
      </c>
      <c r="I600" s="27">
        <v>1</v>
      </c>
      <c r="J600" s="30">
        <v>81740000</v>
      </c>
      <c r="K600" s="26" t="s">
        <v>206</v>
      </c>
      <c r="L600" s="26" t="s">
        <v>1330</v>
      </c>
      <c r="M600" s="31" t="s">
        <v>1865</v>
      </c>
      <c r="N600" s="2"/>
      <c r="O600" s="2"/>
      <c r="P600" s="2"/>
      <c r="Q600" s="2"/>
      <c r="R600" s="2"/>
      <c r="S600" s="2"/>
      <c r="T600" s="2"/>
      <c r="U600" s="2"/>
      <c r="V600" s="2"/>
      <c r="W600" s="2"/>
      <c r="X600" s="2"/>
      <c r="Y600" s="2"/>
      <c r="Z600" s="2"/>
    </row>
    <row r="601" spans="1:26" ht="25.5" hidden="1" customHeight="1">
      <c r="A601" s="26">
        <v>318</v>
      </c>
      <c r="B601" s="27" t="s">
        <v>241</v>
      </c>
      <c r="C601" s="28">
        <v>42726</v>
      </c>
      <c r="D601" s="27"/>
      <c r="E601" s="27" t="s">
        <v>1866</v>
      </c>
      <c r="F601" s="29" t="s">
        <v>1867</v>
      </c>
      <c r="G601" s="27" t="s">
        <v>1868</v>
      </c>
      <c r="H601" s="27" t="s">
        <v>19</v>
      </c>
      <c r="I601" s="27">
        <v>1</v>
      </c>
      <c r="J601" s="30">
        <v>95000000</v>
      </c>
      <c r="K601" s="26" t="s">
        <v>36</v>
      </c>
      <c r="L601" s="26" t="s">
        <v>1542</v>
      </c>
      <c r="M601" s="31" t="s">
        <v>1288</v>
      </c>
      <c r="N601" s="2"/>
      <c r="O601" s="2"/>
      <c r="P601" s="2"/>
      <c r="Q601" s="2"/>
      <c r="R601" s="2"/>
      <c r="S601" s="2"/>
      <c r="T601" s="2"/>
      <c r="U601" s="2"/>
      <c r="V601" s="2"/>
      <c r="W601" s="2"/>
      <c r="X601" s="2"/>
      <c r="Y601" s="2"/>
      <c r="Z601" s="2"/>
    </row>
    <row r="602" spans="1:26" ht="25.5" hidden="1" customHeight="1">
      <c r="A602" s="26">
        <v>319</v>
      </c>
      <c r="B602" s="27" t="s">
        <v>241</v>
      </c>
      <c r="C602" s="28">
        <v>42726</v>
      </c>
      <c r="D602" s="27"/>
      <c r="E602" s="27" t="s">
        <v>1869</v>
      </c>
      <c r="F602" s="29" t="s">
        <v>1870</v>
      </c>
      <c r="G602" s="27" t="s">
        <v>1868</v>
      </c>
      <c r="H602" s="27" t="s">
        <v>19</v>
      </c>
      <c r="I602" s="27">
        <v>1</v>
      </c>
      <c r="J602" s="30">
        <v>95000000</v>
      </c>
      <c r="K602" s="26" t="s">
        <v>36</v>
      </c>
      <c r="L602" s="26" t="s">
        <v>1542</v>
      </c>
      <c r="M602" s="31" t="s">
        <v>1291</v>
      </c>
      <c r="N602" s="2"/>
      <c r="O602" s="2"/>
      <c r="P602" s="2"/>
      <c r="Q602" s="2"/>
      <c r="R602" s="2"/>
      <c r="S602" s="2"/>
      <c r="T602" s="2"/>
      <c r="U602" s="2"/>
      <c r="V602" s="2"/>
      <c r="W602" s="2"/>
      <c r="X602" s="2"/>
      <c r="Y602" s="2"/>
      <c r="Z602" s="2"/>
    </row>
    <row r="603" spans="1:26" ht="25.5" hidden="1" customHeight="1">
      <c r="A603" s="26">
        <v>320</v>
      </c>
      <c r="B603" s="27" t="s">
        <v>241</v>
      </c>
      <c r="C603" s="28">
        <v>42726</v>
      </c>
      <c r="D603" s="27"/>
      <c r="E603" s="27" t="s">
        <v>1871</v>
      </c>
      <c r="F603" s="29" t="s">
        <v>1872</v>
      </c>
      <c r="G603" s="27" t="s">
        <v>338</v>
      </c>
      <c r="H603" s="27" t="s">
        <v>19</v>
      </c>
      <c r="I603" s="27">
        <v>1</v>
      </c>
      <c r="J603" s="30">
        <v>145450000</v>
      </c>
      <c r="K603" s="26" t="s">
        <v>206</v>
      </c>
      <c r="L603" s="26" t="s">
        <v>1330</v>
      </c>
      <c r="M603" s="31" t="s">
        <v>1865</v>
      </c>
      <c r="N603" s="2"/>
      <c r="O603" s="2"/>
      <c r="P603" s="2"/>
      <c r="Q603" s="2"/>
      <c r="R603" s="2"/>
      <c r="S603" s="2"/>
      <c r="T603" s="2"/>
      <c r="U603" s="2"/>
      <c r="V603" s="2"/>
      <c r="W603" s="2"/>
      <c r="X603" s="2"/>
      <c r="Y603" s="2"/>
      <c r="Z603" s="2"/>
    </row>
    <row r="604" spans="1:26" ht="25.5" hidden="1" customHeight="1">
      <c r="A604" s="26">
        <v>321</v>
      </c>
      <c r="B604" s="27" t="s">
        <v>241</v>
      </c>
      <c r="C604" s="28">
        <v>42726</v>
      </c>
      <c r="D604" s="27"/>
      <c r="E604" s="27" t="s">
        <v>1873</v>
      </c>
      <c r="F604" s="29" t="s">
        <v>1874</v>
      </c>
      <c r="G604" s="27" t="s">
        <v>338</v>
      </c>
      <c r="H604" s="27" t="s">
        <v>19</v>
      </c>
      <c r="I604" s="27">
        <v>1</v>
      </c>
      <c r="J604" s="30">
        <v>242150000</v>
      </c>
      <c r="K604" s="26" t="s">
        <v>20</v>
      </c>
      <c r="L604" s="36" t="s">
        <v>229</v>
      </c>
      <c r="M604" s="31" t="s">
        <v>5366</v>
      </c>
      <c r="N604" s="2"/>
      <c r="O604" s="2"/>
      <c r="P604" s="2"/>
      <c r="Q604" s="2"/>
      <c r="R604" s="2"/>
      <c r="S604" s="2"/>
      <c r="T604" s="2"/>
      <c r="U604" s="2"/>
      <c r="V604" s="2"/>
      <c r="W604" s="2"/>
      <c r="X604" s="2"/>
      <c r="Y604" s="2"/>
      <c r="Z604" s="2"/>
    </row>
    <row r="605" spans="1:26" ht="25.5" hidden="1" customHeight="1">
      <c r="A605" s="26">
        <v>322</v>
      </c>
      <c r="B605" s="27" t="s">
        <v>241</v>
      </c>
      <c r="C605" s="28">
        <v>42726</v>
      </c>
      <c r="D605" s="27"/>
      <c r="E605" s="27" t="s">
        <v>1875</v>
      </c>
      <c r="F605" s="29" t="s">
        <v>1876</v>
      </c>
      <c r="G605" s="27" t="s">
        <v>307</v>
      </c>
      <c r="H605" s="27" t="s">
        <v>19</v>
      </c>
      <c r="I605" s="27">
        <v>1</v>
      </c>
      <c r="J605" s="30">
        <v>245230000</v>
      </c>
      <c r="K605" s="26" t="s">
        <v>20</v>
      </c>
      <c r="L605" s="36" t="s">
        <v>229</v>
      </c>
      <c r="M605" s="31" t="s">
        <v>5367</v>
      </c>
      <c r="N605" s="2"/>
      <c r="O605" s="2"/>
      <c r="P605" s="2"/>
      <c r="Q605" s="2"/>
      <c r="R605" s="2"/>
      <c r="S605" s="2"/>
      <c r="T605" s="2"/>
      <c r="U605" s="2"/>
      <c r="V605" s="2"/>
      <c r="W605" s="2"/>
      <c r="X605" s="2"/>
      <c r="Y605" s="2"/>
      <c r="Z605" s="2"/>
    </row>
    <row r="606" spans="1:26" ht="25.5" hidden="1" customHeight="1">
      <c r="A606" s="26" t="s">
        <v>1877</v>
      </c>
      <c r="B606" s="27"/>
      <c r="C606" s="28"/>
      <c r="D606" s="27"/>
      <c r="E606" s="27" t="s">
        <v>1878</v>
      </c>
      <c r="F606" s="29" t="s">
        <v>1879</v>
      </c>
      <c r="G606" s="27" t="s">
        <v>1088</v>
      </c>
      <c r="H606" s="27" t="s">
        <v>249</v>
      </c>
      <c r="I606" s="27">
        <v>1</v>
      </c>
      <c r="J606" s="30">
        <v>0</v>
      </c>
      <c r="K606" s="26" t="s">
        <v>20</v>
      </c>
      <c r="L606" s="36" t="s">
        <v>229</v>
      </c>
      <c r="M606" s="31"/>
      <c r="N606" s="2"/>
      <c r="O606" s="2"/>
      <c r="P606" s="2"/>
      <c r="Q606" s="2"/>
      <c r="R606" s="2"/>
      <c r="S606" s="2"/>
      <c r="T606" s="2"/>
      <c r="U606" s="2"/>
      <c r="V606" s="2"/>
      <c r="W606" s="2"/>
      <c r="X606" s="2"/>
      <c r="Y606" s="2"/>
      <c r="Z606" s="2"/>
    </row>
    <row r="607" spans="1:26" ht="25.5" hidden="1" customHeight="1">
      <c r="A607" s="26">
        <v>323</v>
      </c>
      <c r="B607" s="27" t="s">
        <v>599</v>
      </c>
      <c r="C607" s="28">
        <v>42671</v>
      </c>
      <c r="D607" s="27"/>
      <c r="E607" s="27" t="s">
        <v>1880</v>
      </c>
      <c r="F607" s="29" t="s">
        <v>1881</v>
      </c>
      <c r="G607" s="27" t="s">
        <v>1435</v>
      </c>
      <c r="H607" s="27" t="s">
        <v>19</v>
      </c>
      <c r="I607" s="27">
        <v>1</v>
      </c>
      <c r="J607" s="30">
        <v>1266624540</v>
      </c>
      <c r="K607" s="26" t="s">
        <v>36</v>
      </c>
      <c r="L607" s="26" t="s">
        <v>1542</v>
      </c>
      <c r="M607" s="31" t="s">
        <v>1882</v>
      </c>
      <c r="N607" s="2"/>
      <c r="O607" s="2"/>
      <c r="P607" s="2"/>
      <c r="Q607" s="2"/>
      <c r="R607" s="2"/>
      <c r="S607" s="2"/>
      <c r="T607" s="2"/>
      <c r="U607" s="2"/>
      <c r="V607" s="2"/>
      <c r="W607" s="2"/>
      <c r="X607" s="2"/>
      <c r="Y607" s="2"/>
      <c r="Z607" s="2"/>
    </row>
    <row r="608" spans="1:26" ht="25.5" hidden="1" customHeight="1">
      <c r="A608" s="26">
        <v>324</v>
      </c>
      <c r="B608" s="27" t="s">
        <v>599</v>
      </c>
      <c r="C608" s="28">
        <v>42671</v>
      </c>
      <c r="D608" s="27"/>
      <c r="E608" s="27" t="s">
        <v>1883</v>
      </c>
      <c r="F608" s="29" t="s">
        <v>1884</v>
      </c>
      <c r="G608" s="27" t="s">
        <v>1435</v>
      </c>
      <c r="H608" s="27" t="s">
        <v>19</v>
      </c>
      <c r="I608" s="27">
        <v>1</v>
      </c>
      <c r="J608" s="30">
        <v>1266624541</v>
      </c>
      <c r="K608" s="26" t="s">
        <v>36</v>
      </c>
      <c r="L608" s="26" t="s">
        <v>1542</v>
      </c>
      <c r="M608" s="31" t="s">
        <v>1885</v>
      </c>
      <c r="N608" s="2"/>
      <c r="O608" s="2"/>
      <c r="P608" s="2"/>
      <c r="Q608" s="2"/>
      <c r="R608" s="2"/>
      <c r="S608" s="2"/>
      <c r="T608" s="2"/>
      <c r="U608" s="2"/>
      <c r="V608" s="2"/>
      <c r="W608" s="2"/>
      <c r="X608" s="2"/>
      <c r="Y608" s="2"/>
      <c r="Z608" s="2"/>
    </row>
    <row r="609" spans="1:26" ht="25.5" hidden="1" customHeight="1">
      <c r="A609" s="26">
        <v>325</v>
      </c>
      <c r="B609" s="27" t="s">
        <v>599</v>
      </c>
      <c r="C609" s="28">
        <v>42671</v>
      </c>
      <c r="D609" s="27"/>
      <c r="E609" s="27" t="s">
        <v>1886</v>
      </c>
      <c r="F609" s="29" t="s">
        <v>1887</v>
      </c>
      <c r="G609" s="27" t="s">
        <v>1435</v>
      </c>
      <c r="H609" s="27" t="s">
        <v>19</v>
      </c>
      <c r="I609" s="27">
        <v>1</v>
      </c>
      <c r="J609" s="30">
        <v>1458476195</v>
      </c>
      <c r="K609" s="26" t="s">
        <v>36</v>
      </c>
      <c r="L609" s="26" t="s">
        <v>1542</v>
      </c>
      <c r="M609" s="31" t="s">
        <v>1888</v>
      </c>
      <c r="N609" s="2"/>
      <c r="O609" s="2"/>
      <c r="P609" s="2"/>
      <c r="Q609" s="2"/>
      <c r="R609" s="2"/>
      <c r="S609" s="2"/>
      <c r="T609" s="2"/>
      <c r="U609" s="2"/>
      <c r="V609" s="2"/>
      <c r="W609" s="2"/>
      <c r="X609" s="2"/>
      <c r="Y609" s="2"/>
      <c r="Z609" s="2"/>
    </row>
    <row r="610" spans="1:26" ht="25.5" hidden="1" customHeight="1">
      <c r="A610" s="26">
        <v>326</v>
      </c>
      <c r="B610" s="27" t="s">
        <v>599</v>
      </c>
      <c r="C610" s="28">
        <v>42671</v>
      </c>
      <c r="D610" s="27"/>
      <c r="E610" s="27" t="s">
        <v>1889</v>
      </c>
      <c r="F610" s="29" t="s">
        <v>1890</v>
      </c>
      <c r="G610" s="27" t="s">
        <v>338</v>
      </c>
      <c r="H610" s="27" t="s">
        <v>19</v>
      </c>
      <c r="I610" s="27">
        <v>1</v>
      </c>
      <c r="J610" s="30">
        <v>78592695</v>
      </c>
      <c r="K610" s="26" t="s">
        <v>36</v>
      </c>
      <c r="L610" s="26" t="s">
        <v>1542</v>
      </c>
      <c r="M610" s="31" t="s">
        <v>1891</v>
      </c>
      <c r="N610" s="2"/>
      <c r="O610" s="2"/>
      <c r="P610" s="2"/>
      <c r="Q610" s="2"/>
      <c r="R610" s="2"/>
      <c r="S610" s="2"/>
      <c r="T610" s="2"/>
      <c r="U610" s="2"/>
      <c r="V610" s="2"/>
      <c r="W610" s="2"/>
      <c r="X610" s="2"/>
      <c r="Y610" s="2"/>
      <c r="Z610" s="2"/>
    </row>
    <row r="611" spans="1:26" ht="25.5" hidden="1" customHeight="1">
      <c r="A611" s="26">
        <v>327</v>
      </c>
      <c r="B611" s="27" t="s">
        <v>599</v>
      </c>
      <c r="C611" s="28">
        <v>42671</v>
      </c>
      <c r="D611" s="27"/>
      <c r="E611" s="27" t="s">
        <v>1892</v>
      </c>
      <c r="F611" s="29" t="s">
        <v>1893</v>
      </c>
      <c r="G611" s="27" t="s">
        <v>338</v>
      </c>
      <c r="H611" s="27" t="s">
        <v>19</v>
      </c>
      <c r="I611" s="27">
        <v>1</v>
      </c>
      <c r="J611" s="30">
        <v>78592695</v>
      </c>
      <c r="K611" s="26" t="s">
        <v>36</v>
      </c>
      <c r="L611" s="26" t="s">
        <v>1542</v>
      </c>
      <c r="M611" s="31" t="s">
        <v>1894</v>
      </c>
      <c r="N611" s="2"/>
      <c r="O611" s="2"/>
      <c r="P611" s="2"/>
      <c r="Q611" s="2"/>
      <c r="R611" s="2"/>
      <c r="S611" s="2"/>
      <c r="T611" s="2"/>
      <c r="U611" s="2"/>
      <c r="V611" s="2"/>
      <c r="W611" s="2"/>
      <c r="X611" s="2"/>
      <c r="Y611" s="2"/>
      <c r="Z611" s="2"/>
    </row>
    <row r="612" spans="1:26" ht="25.5" hidden="1" customHeight="1">
      <c r="A612" s="26">
        <v>328</v>
      </c>
      <c r="B612" s="27" t="s">
        <v>599</v>
      </c>
      <c r="C612" s="28">
        <v>42671</v>
      </c>
      <c r="D612" s="27"/>
      <c r="E612" s="27" t="s">
        <v>1895</v>
      </c>
      <c r="F612" s="29" t="s">
        <v>1896</v>
      </c>
      <c r="G612" s="27" t="s">
        <v>1435</v>
      </c>
      <c r="H612" s="27" t="s">
        <v>19</v>
      </c>
      <c r="I612" s="27">
        <v>1</v>
      </c>
      <c r="J612" s="30">
        <v>1659706731</v>
      </c>
      <c r="K612" s="26" t="s">
        <v>36</v>
      </c>
      <c r="L612" s="26" t="s">
        <v>1542</v>
      </c>
      <c r="M612" s="31" t="s">
        <v>1897</v>
      </c>
      <c r="N612" s="2"/>
      <c r="O612" s="2"/>
      <c r="P612" s="2"/>
      <c r="Q612" s="2"/>
      <c r="R612" s="2"/>
      <c r="S612" s="2"/>
      <c r="T612" s="2"/>
      <c r="U612" s="2"/>
      <c r="V612" s="2"/>
      <c r="W612" s="2"/>
      <c r="X612" s="2"/>
      <c r="Y612" s="2"/>
      <c r="Z612" s="2"/>
    </row>
    <row r="613" spans="1:26" ht="25.5" hidden="1" customHeight="1">
      <c r="A613" s="26">
        <v>329</v>
      </c>
      <c r="B613" s="27" t="s">
        <v>599</v>
      </c>
      <c r="C613" s="28">
        <v>42671</v>
      </c>
      <c r="D613" s="27"/>
      <c r="E613" s="27" t="s">
        <v>1898</v>
      </c>
      <c r="F613" s="29" t="s">
        <v>1899</v>
      </c>
      <c r="G613" s="27" t="s">
        <v>1635</v>
      </c>
      <c r="H613" s="27" t="s">
        <v>19</v>
      </c>
      <c r="I613" s="27">
        <v>1</v>
      </c>
      <c r="J613" s="30">
        <v>304873169</v>
      </c>
      <c r="K613" s="26" t="s">
        <v>36</v>
      </c>
      <c r="L613" s="26" t="s">
        <v>1542</v>
      </c>
      <c r="M613" s="31" t="s">
        <v>1900</v>
      </c>
      <c r="N613" s="2"/>
      <c r="O613" s="2"/>
      <c r="P613" s="2"/>
      <c r="Q613" s="2"/>
      <c r="R613" s="2"/>
      <c r="S613" s="2"/>
      <c r="T613" s="2"/>
      <c r="U613" s="2"/>
      <c r="V613" s="2"/>
      <c r="W613" s="2"/>
      <c r="X613" s="2"/>
      <c r="Y613" s="2"/>
      <c r="Z613" s="2"/>
    </row>
    <row r="614" spans="1:26" ht="12.75" hidden="1" customHeight="1">
      <c r="A614" s="26" t="s">
        <v>1901</v>
      </c>
      <c r="B614" s="27"/>
      <c r="C614" s="28"/>
      <c r="D614" s="27"/>
      <c r="E614" s="27" t="s">
        <v>1902</v>
      </c>
      <c r="F614" s="29" t="s">
        <v>1903</v>
      </c>
      <c r="G614" s="27"/>
      <c r="H614" s="27" t="s">
        <v>249</v>
      </c>
      <c r="I614" s="27">
        <v>1</v>
      </c>
      <c r="J614" s="30">
        <v>8476755</v>
      </c>
      <c r="K614" s="26" t="s">
        <v>36</v>
      </c>
      <c r="L614" s="26" t="s">
        <v>1542</v>
      </c>
      <c r="M614" s="31"/>
      <c r="N614" s="2"/>
      <c r="O614" s="2"/>
      <c r="P614" s="2"/>
      <c r="Q614" s="2"/>
      <c r="R614" s="2"/>
      <c r="S614" s="2"/>
      <c r="T614" s="2"/>
      <c r="U614" s="2"/>
      <c r="V614" s="2"/>
      <c r="W614" s="2"/>
      <c r="X614" s="2"/>
      <c r="Y614" s="2"/>
      <c r="Z614" s="2"/>
    </row>
    <row r="615" spans="1:26" ht="12.75" hidden="1" customHeight="1">
      <c r="A615" s="26" t="s">
        <v>1904</v>
      </c>
      <c r="B615" s="27"/>
      <c r="C615" s="28"/>
      <c r="D615" s="27"/>
      <c r="E615" s="27" t="s">
        <v>1905</v>
      </c>
      <c r="F615" s="29" t="s">
        <v>1906</v>
      </c>
      <c r="G615" s="27"/>
      <c r="H615" s="27" t="s">
        <v>249</v>
      </c>
      <c r="I615" s="27">
        <v>1</v>
      </c>
      <c r="J615" s="30">
        <v>8476755</v>
      </c>
      <c r="K615" s="26" t="s">
        <v>36</v>
      </c>
      <c r="L615" s="26" t="s">
        <v>1542</v>
      </c>
      <c r="M615" s="31"/>
      <c r="N615" s="2"/>
      <c r="O615" s="2"/>
      <c r="P615" s="2"/>
      <c r="Q615" s="2"/>
      <c r="R615" s="2"/>
      <c r="S615" s="2"/>
      <c r="T615" s="2"/>
      <c r="U615" s="2"/>
      <c r="V615" s="2"/>
      <c r="W615" s="2"/>
      <c r="X615" s="2"/>
      <c r="Y615" s="2"/>
      <c r="Z615" s="2"/>
    </row>
    <row r="616" spans="1:26" ht="25.5" hidden="1" customHeight="1">
      <c r="A616" s="26">
        <v>330</v>
      </c>
      <c r="B616" s="27" t="s">
        <v>599</v>
      </c>
      <c r="C616" s="28">
        <v>42671</v>
      </c>
      <c r="D616" s="27"/>
      <c r="E616" s="27" t="s">
        <v>1907</v>
      </c>
      <c r="F616" s="29" t="s">
        <v>1908</v>
      </c>
      <c r="G616" s="27" t="s">
        <v>1635</v>
      </c>
      <c r="H616" s="27" t="s">
        <v>19</v>
      </c>
      <c r="I616" s="27">
        <v>1</v>
      </c>
      <c r="J616" s="30">
        <v>310473170</v>
      </c>
      <c r="K616" s="26" t="s">
        <v>36</v>
      </c>
      <c r="L616" s="26" t="s">
        <v>1542</v>
      </c>
      <c r="M616" s="31" t="s">
        <v>1909</v>
      </c>
      <c r="N616" s="2"/>
      <c r="O616" s="2"/>
      <c r="P616" s="2"/>
      <c r="Q616" s="2"/>
      <c r="R616" s="2"/>
      <c r="S616" s="2"/>
      <c r="T616" s="2"/>
      <c r="U616" s="2"/>
      <c r="V616" s="2"/>
      <c r="W616" s="2"/>
      <c r="X616" s="2"/>
      <c r="Y616" s="2"/>
      <c r="Z616" s="2"/>
    </row>
    <row r="617" spans="1:26" ht="12.75" hidden="1" customHeight="1">
      <c r="A617" s="26" t="s">
        <v>1910</v>
      </c>
      <c r="B617" s="27"/>
      <c r="C617" s="28"/>
      <c r="D617" s="27"/>
      <c r="E617" s="27" t="s">
        <v>1911</v>
      </c>
      <c r="F617" s="29" t="s">
        <v>1903</v>
      </c>
      <c r="G617" s="27"/>
      <c r="H617" s="27" t="s">
        <v>249</v>
      </c>
      <c r="I617" s="27">
        <v>1</v>
      </c>
      <c r="J617" s="30">
        <v>8476755</v>
      </c>
      <c r="K617" s="26" t="s">
        <v>36</v>
      </c>
      <c r="L617" s="26" t="s">
        <v>1542</v>
      </c>
      <c r="M617" s="31"/>
      <c r="N617" s="2"/>
      <c r="O617" s="2"/>
      <c r="P617" s="2"/>
      <c r="Q617" s="2"/>
      <c r="R617" s="2"/>
      <c r="S617" s="2"/>
      <c r="T617" s="2"/>
      <c r="U617" s="2"/>
      <c r="V617" s="2"/>
      <c r="W617" s="2"/>
      <c r="X617" s="2"/>
      <c r="Y617" s="2"/>
      <c r="Z617" s="2"/>
    </row>
    <row r="618" spans="1:26" ht="12.75" hidden="1" customHeight="1">
      <c r="A618" s="26" t="s">
        <v>1912</v>
      </c>
      <c r="B618" s="27"/>
      <c r="C618" s="28"/>
      <c r="D618" s="27"/>
      <c r="E618" s="27" t="s">
        <v>1913</v>
      </c>
      <c r="F618" s="29" t="s">
        <v>1906</v>
      </c>
      <c r="G618" s="27"/>
      <c r="H618" s="27" t="s">
        <v>249</v>
      </c>
      <c r="I618" s="27">
        <v>1</v>
      </c>
      <c r="J618" s="30">
        <v>8476755</v>
      </c>
      <c r="K618" s="26" t="s">
        <v>36</v>
      </c>
      <c r="L618" s="26" t="s">
        <v>1542</v>
      </c>
      <c r="M618" s="31"/>
      <c r="N618" s="2"/>
      <c r="O618" s="2"/>
      <c r="P618" s="2"/>
      <c r="Q618" s="2"/>
      <c r="R618" s="2"/>
      <c r="S618" s="2"/>
      <c r="T618" s="2"/>
      <c r="U618" s="2"/>
      <c r="V618" s="2"/>
      <c r="W618" s="2"/>
      <c r="X618" s="2"/>
      <c r="Y618" s="2"/>
      <c r="Z618" s="2"/>
    </row>
    <row r="619" spans="1:26" ht="102" hidden="1" customHeight="1">
      <c r="A619" s="26">
        <v>331</v>
      </c>
      <c r="B619" s="27" t="s">
        <v>599</v>
      </c>
      <c r="C619" s="28">
        <v>42671</v>
      </c>
      <c r="D619" s="27"/>
      <c r="E619" s="27" t="s">
        <v>1914</v>
      </c>
      <c r="F619" s="29" t="s">
        <v>1915</v>
      </c>
      <c r="G619" s="27" t="s">
        <v>338</v>
      </c>
      <c r="H619" s="27" t="s">
        <v>19</v>
      </c>
      <c r="I619" s="27">
        <v>1</v>
      </c>
      <c r="J619" s="30">
        <v>1070142808</v>
      </c>
      <c r="K619" s="26" t="s">
        <v>36</v>
      </c>
      <c r="L619" s="26" t="s">
        <v>1542</v>
      </c>
      <c r="M619" s="31" t="s">
        <v>1900</v>
      </c>
      <c r="N619" s="2"/>
      <c r="O619" s="2"/>
      <c r="P619" s="2"/>
      <c r="Q619" s="2"/>
      <c r="R619" s="2"/>
      <c r="S619" s="2"/>
      <c r="T619" s="2"/>
      <c r="U619" s="2"/>
      <c r="V619" s="2"/>
      <c r="W619" s="2"/>
      <c r="X619" s="2"/>
      <c r="Y619" s="2"/>
      <c r="Z619" s="2"/>
    </row>
    <row r="620" spans="1:26" ht="102" hidden="1" customHeight="1">
      <c r="A620" s="26">
        <v>332</v>
      </c>
      <c r="B620" s="27" t="s">
        <v>599</v>
      </c>
      <c r="C620" s="28">
        <v>42671</v>
      </c>
      <c r="D620" s="27"/>
      <c r="E620" s="27" t="s">
        <v>1916</v>
      </c>
      <c r="F620" s="29" t="s">
        <v>1917</v>
      </c>
      <c r="G620" s="27" t="s">
        <v>338</v>
      </c>
      <c r="H620" s="27" t="s">
        <v>19</v>
      </c>
      <c r="I620" s="27">
        <v>1</v>
      </c>
      <c r="J620" s="30">
        <v>1070142808</v>
      </c>
      <c r="K620" s="26" t="s">
        <v>36</v>
      </c>
      <c r="L620" s="26" t="s">
        <v>1542</v>
      </c>
      <c r="M620" s="31" t="s">
        <v>1909</v>
      </c>
      <c r="N620" s="2"/>
      <c r="O620" s="2"/>
      <c r="P620" s="2"/>
      <c r="Q620" s="2"/>
      <c r="R620" s="2"/>
      <c r="S620" s="2"/>
      <c r="T620" s="2"/>
      <c r="U620" s="2"/>
      <c r="V620" s="2"/>
      <c r="W620" s="2"/>
      <c r="X620" s="2"/>
      <c r="Y620" s="2"/>
      <c r="Z620" s="2"/>
    </row>
    <row r="621" spans="1:26" ht="25.5" hidden="1" customHeight="1">
      <c r="A621" s="26">
        <v>333</v>
      </c>
      <c r="B621" s="27" t="s">
        <v>599</v>
      </c>
      <c r="C621" s="28">
        <v>42671</v>
      </c>
      <c r="D621" s="27"/>
      <c r="E621" s="27" t="s">
        <v>1918</v>
      </c>
      <c r="F621" s="29" t="s">
        <v>1919</v>
      </c>
      <c r="G621" s="27" t="s">
        <v>338</v>
      </c>
      <c r="H621" s="27" t="s">
        <v>19</v>
      </c>
      <c r="I621" s="27">
        <v>1</v>
      </c>
      <c r="J621" s="30">
        <v>893606052</v>
      </c>
      <c r="K621" s="26" t="s">
        <v>36</v>
      </c>
      <c r="L621" s="26" t="s">
        <v>1542</v>
      </c>
      <c r="M621" s="31" t="s">
        <v>1909</v>
      </c>
      <c r="N621" s="2"/>
      <c r="O621" s="2"/>
      <c r="P621" s="2"/>
      <c r="Q621" s="2"/>
      <c r="R621" s="2"/>
      <c r="S621" s="2"/>
      <c r="T621" s="2"/>
      <c r="U621" s="2"/>
      <c r="V621" s="2"/>
      <c r="W621" s="2"/>
      <c r="X621" s="2"/>
      <c r="Y621" s="2"/>
      <c r="Z621" s="2"/>
    </row>
    <row r="622" spans="1:26" ht="51" hidden="1" customHeight="1">
      <c r="A622" s="26">
        <v>334</v>
      </c>
      <c r="B622" s="27" t="s">
        <v>599</v>
      </c>
      <c r="C622" s="28">
        <v>42671</v>
      </c>
      <c r="D622" s="27"/>
      <c r="E622" s="27" t="s">
        <v>1920</v>
      </c>
      <c r="F622" s="29" t="s">
        <v>1921</v>
      </c>
      <c r="G622" s="27" t="s">
        <v>338</v>
      </c>
      <c r="H622" s="27" t="s">
        <v>19</v>
      </c>
      <c r="I622" s="27">
        <v>1</v>
      </c>
      <c r="J622" s="30">
        <v>1061001362</v>
      </c>
      <c r="K622" s="26" t="s">
        <v>36</v>
      </c>
      <c r="L622" s="26" t="s">
        <v>1542</v>
      </c>
      <c r="M622" s="31" t="s">
        <v>1922</v>
      </c>
      <c r="N622" s="2"/>
      <c r="O622" s="2"/>
      <c r="P622" s="2"/>
      <c r="Q622" s="2"/>
      <c r="R622" s="2"/>
      <c r="S622" s="2"/>
      <c r="T622" s="2"/>
      <c r="U622" s="2"/>
      <c r="V622" s="2"/>
      <c r="W622" s="2"/>
      <c r="X622" s="2"/>
      <c r="Y622" s="2"/>
      <c r="Z622" s="2"/>
    </row>
    <row r="623" spans="1:26" ht="63.75" hidden="1" customHeight="1">
      <c r="A623" s="26">
        <v>335</v>
      </c>
      <c r="B623" s="27" t="s">
        <v>599</v>
      </c>
      <c r="C623" s="28">
        <v>42671</v>
      </c>
      <c r="D623" s="27"/>
      <c r="E623" s="27" t="s">
        <v>1923</v>
      </c>
      <c r="F623" s="29" t="s">
        <v>1924</v>
      </c>
      <c r="G623" s="27" t="s">
        <v>338</v>
      </c>
      <c r="H623" s="27" t="s">
        <v>19</v>
      </c>
      <c r="I623" s="27">
        <v>1</v>
      </c>
      <c r="J623" s="30">
        <v>1087594659</v>
      </c>
      <c r="K623" s="26" t="s">
        <v>36</v>
      </c>
      <c r="L623" s="26" t="s">
        <v>1542</v>
      </c>
      <c r="M623" s="31" t="s">
        <v>1925</v>
      </c>
      <c r="N623" s="2"/>
      <c r="O623" s="2"/>
      <c r="P623" s="2"/>
      <c r="Q623" s="2"/>
      <c r="R623" s="2"/>
      <c r="S623" s="2"/>
      <c r="T623" s="2"/>
      <c r="U623" s="2"/>
      <c r="V623" s="2"/>
      <c r="W623" s="2"/>
      <c r="X623" s="2"/>
      <c r="Y623" s="2"/>
      <c r="Z623" s="2"/>
    </row>
    <row r="624" spans="1:26" ht="25.5" hidden="1" customHeight="1">
      <c r="A624" s="26">
        <v>336</v>
      </c>
      <c r="B624" s="27" t="s">
        <v>797</v>
      </c>
      <c r="C624" s="28">
        <v>42671</v>
      </c>
      <c r="D624" s="27"/>
      <c r="E624" s="27" t="s">
        <v>1926</v>
      </c>
      <c r="F624" s="29" t="s">
        <v>1927</v>
      </c>
      <c r="G624" s="27" t="s">
        <v>55</v>
      </c>
      <c r="H624" s="27" t="s">
        <v>157</v>
      </c>
      <c r="I624" s="27">
        <v>1</v>
      </c>
      <c r="J624" s="30">
        <v>2245866770</v>
      </c>
      <c r="K624" s="26" t="s">
        <v>206</v>
      </c>
      <c r="L624" s="26" t="s">
        <v>1330</v>
      </c>
      <c r="M624" s="31" t="s">
        <v>1559</v>
      </c>
      <c r="N624" s="2"/>
      <c r="O624" s="2"/>
      <c r="P624" s="2"/>
      <c r="Q624" s="2"/>
      <c r="R624" s="2"/>
      <c r="S624" s="2"/>
      <c r="T624" s="2"/>
      <c r="U624" s="2"/>
      <c r="V624" s="2"/>
      <c r="W624" s="2"/>
      <c r="X624" s="2"/>
      <c r="Y624" s="2"/>
      <c r="Z624" s="2"/>
    </row>
    <row r="625" spans="1:26" ht="25.5" hidden="1" customHeight="1">
      <c r="A625" s="26">
        <v>337</v>
      </c>
      <c r="B625" s="27" t="s">
        <v>797</v>
      </c>
      <c r="C625" s="28">
        <v>42671</v>
      </c>
      <c r="D625" s="27"/>
      <c r="E625" s="27" t="s">
        <v>1928</v>
      </c>
      <c r="F625" s="29" t="s">
        <v>1929</v>
      </c>
      <c r="G625" s="27" t="s">
        <v>55</v>
      </c>
      <c r="H625" s="27" t="s">
        <v>157</v>
      </c>
      <c r="I625" s="27">
        <v>1</v>
      </c>
      <c r="J625" s="30">
        <v>2245866771</v>
      </c>
      <c r="K625" s="26" t="s">
        <v>206</v>
      </c>
      <c r="L625" s="26" t="s">
        <v>1330</v>
      </c>
      <c r="M625" s="31" t="s">
        <v>1559</v>
      </c>
      <c r="N625" s="2"/>
      <c r="O625" s="2"/>
      <c r="P625" s="2"/>
      <c r="Q625" s="2"/>
      <c r="R625" s="2"/>
      <c r="S625" s="2"/>
      <c r="T625" s="2"/>
      <c r="U625" s="2"/>
      <c r="V625" s="2"/>
      <c r="W625" s="2"/>
      <c r="X625" s="2"/>
      <c r="Y625" s="2"/>
      <c r="Z625" s="2"/>
    </row>
    <row r="626" spans="1:26" ht="25.5" hidden="1" customHeight="1">
      <c r="A626" s="26">
        <v>338</v>
      </c>
      <c r="B626" s="27" t="s">
        <v>797</v>
      </c>
      <c r="C626" s="28">
        <v>42671</v>
      </c>
      <c r="D626" s="27"/>
      <c r="E626" s="27" t="s">
        <v>1930</v>
      </c>
      <c r="F626" s="29" t="s">
        <v>1931</v>
      </c>
      <c r="G626" s="27" t="s">
        <v>338</v>
      </c>
      <c r="H626" s="27" t="s">
        <v>157</v>
      </c>
      <c r="I626" s="27">
        <v>1</v>
      </c>
      <c r="J626" s="30">
        <v>1703497608</v>
      </c>
      <c r="K626" s="26" t="s">
        <v>206</v>
      </c>
      <c r="L626" s="26" t="s">
        <v>1330</v>
      </c>
      <c r="M626" s="31" t="s">
        <v>1559</v>
      </c>
      <c r="N626" s="2"/>
      <c r="O626" s="2"/>
      <c r="P626" s="2"/>
      <c r="Q626" s="2"/>
      <c r="R626" s="2"/>
      <c r="S626" s="2"/>
      <c r="T626" s="2"/>
      <c r="U626" s="2"/>
      <c r="V626" s="2"/>
      <c r="W626" s="2"/>
      <c r="X626" s="2"/>
      <c r="Y626" s="2"/>
      <c r="Z626" s="2"/>
    </row>
    <row r="627" spans="1:26" ht="25.5" hidden="1" customHeight="1">
      <c r="A627" s="26">
        <v>339</v>
      </c>
      <c r="B627" s="27" t="s">
        <v>797</v>
      </c>
      <c r="C627" s="28">
        <v>42671</v>
      </c>
      <c r="D627" s="27"/>
      <c r="E627" s="27" t="s">
        <v>1932</v>
      </c>
      <c r="F627" s="29" t="s">
        <v>1933</v>
      </c>
      <c r="G627" s="27" t="s">
        <v>338</v>
      </c>
      <c r="H627" s="27" t="s">
        <v>157</v>
      </c>
      <c r="I627" s="27">
        <v>1</v>
      </c>
      <c r="J627" s="30">
        <v>1703497608</v>
      </c>
      <c r="K627" s="26" t="s">
        <v>206</v>
      </c>
      <c r="L627" s="26" t="s">
        <v>1330</v>
      </c>
      <c r="M627" s="31" t="s">
        <v>1559</v>
      </c>
      <c r="N627" s="2"/>
      <c r="O627" s="2"/>
      <c r="P627" s="2"/>
      <c r="Q627" s="2"/>
      <c r="R627" s="2"/>
      <c r="S627" s="2"/>
      <c r="T627" s="2"/>
      <c r="U627" s="2"/>
      <c r="V627" s="2"/>
      <c r="W627" s="2"/>
      <c r="X627" s="2"/>
      <c r="Y627" s="2"/>
      <c r="Z627" s="2"/>
    </row>
    <row r="628" spans="1:26" ht="25.5" hidden="1" customHeight="1">
      <c r="A628" s="26">
        <v>340</v>
      </c>
      <c r="B628" s="27" t="s">
        <v>797</v>
      </c>
      <c r="C628" s="28">
        <v>42671</v>
      </c>
      <c r="D628" s="27"/>
      <c r="E628" s="27" t="s">
        <v>1934</v>
      </c>
      <c r="F628" s="29" t="s">
        <v>1935</v>
      </c>
      <c r="G628" s="27" t="s">
        <v>338</v>
      </c>
      <c r="H628" s="27" t="s">
        <v>157</v>
      </c>
      <c r="I628" s="27">
        <v>1</v>
      </c>
      <c r="J628" s="30">
        <v>148549229</v>
      </c>
      <c r="K628" s="26" t="s">
        <v>206</v>
      </c>
      <c r="L628" s="45" t="s">
        <v>1330</v>
      </c>
      <c r="M628" s="46" t="s">
        <v>1936</v>
      </c>
      <c r="N628" s="2"/>
      <c r="O628" s="2"/>
      <c r="P628" s="2"/>
      <c r="Q628" s="2"/>
      <c r="R628" s="2"/>
      <c r="S628" s="2"/>
      <c r="T628" s="2"/>
      <c r="U628" s="2"/>
      <c r="V628" s="2"/>
      <c r="W628" s="2"/>
      <c r="X628" s="2"/>
      <c r="Y628" s="2"/>
      <c r="Z628" s="2"/>
    </row>
    <row r="629" spans="1:26" ht="25.5" hidden="1" customHeight="1">
      <c r="A629" s="26">
        <v>341</v>
      </c>
      <c r="B629" s="27" t="s">
        <v>797</v>
      </c>
      <c r="C629" s="28">
        <v>42671</v>
      </c>
      <c r="D629" s="27"/>
      <c r="E629" s="27" t="s">
        <v>1937</v>
      </c>
      <c r="F629" s="29" t="s">
        <v>1938</v>
      </c>
      <c r="G629" s="27" t="s">
        <v>338</v>
      </c>
      <c r="H629" s="27" t="s">
        <v>157</v>
      </c>
      <c r="I629" s="27">
        <v>1</v>
      </c>
      <c r="J629" s="30">
        <v>148549229</v>
      </c>
      <c r="K629" s="26" t="s">
        <v>206</v>
      </c>
      <c r="L629" s="26" t="s">
        <v>1330</v>
      </c>
      <c r="M629" s="31" t="s">
        <v>1559</v>
      </c>
      <c r="N629" s="2"/>
      <c r="O629" s="2"/>
      <c r="P629" s="2"/>
      <c r="Q629" s="2"/>
      <c r="R629" s="2"/>
      <c r="S629" s="2"/>
      <c r="T629" s="2"/>
      <c r="U629" s="2"/>
      <c r="V629" s="2"/>
      <c r="W629" s="2"/>
      <c r="X629" s="2"/>
      <c r="Y629" s="2"/>
      <c r="Z629" s="2"/>
    </row>
    <row r="630" spans="1:26" ht="25.5" hidden="1" customHeight="1">
      <c r="A630" s="26">
        <v>342</v>
      </c>
      <c r="B630" s="27" t="s">
        <v>797</v>
      </c>
      <c r="C630" s="28">
        <v>42671</v>
      </c>
      <c r="D630" s="27"/>
      <c r="E630" s="27" t="s">
        <v>1939</v>
      </c>
      <c r="F630" s="29" t="s">
        <v>1940</v>
      </c>
      <c r="G630" s="27" t="s">
        <v>338</v>
      </c>
      <c r="H630" s="27" t="s">
        <v>157</v>
      </c>
      <c r="I630" s="27">
        <v>1</v>
      </c>
      <c r="J630" s="30">
        <v>299919012</v>
      </c>
      <c r="K630" s="26" t="s">
        <v>206</v>
      </c>
      <c r="L630" s="26" t="s">
        <v>1330</v>
      </c>
      <c r="M630" s="31" t="s">
        <v>1559</v>
      </c>
      <c r="N630" s="2"/>
      <c r="O630" s="2"/>
      <c r="P630" s="2"/>
      <c r="Q630" s="2"/>
      <c r="R630" s="2"/>
      <c r="S630" s="2"/>
      <c r="T630" s="2"/>
      <c r="U630" s="2"/>
      <c r="V630" s="2"/>
      <c r="W630" s="2"/>
      <c r="X630" s="2"/>
      <c r="Y630" s="2"/>
      <c r="Z630" s="2"/>
    </row>
    <row r="631" spans="1:26" ht="25.5" hidden="1" customHeight="1">
      <c r="A631" s="26">
        <v>343</v>
      </c>
      <c r="B631" s="27" t="s">
        <v>797</v>
      </c>
      <c r="C631" s="28">
        <v>42671</v>
      </c>
      <c r="D631" s="27"/>
      <c r="E631" s="27" t="s">
        <v>1941</v>
      </c>
      <c r="F631" s="29" t="s">
        <v>1942</v>
      </c>
      <c r="G631" s="27" t="s">
        <v>338</v>
      </c>
      <c r="H631" s="27" t="s">
        <v>157</v>
      </c>
      <c r="I631" s="27">
        <v>1</v>
      </c>
      <c r="J631" s="30">
        <v>299919012</v>
      </c>
      <c r="K631" s="26" t="s">
        <v>206</v>
      </c>
      <c r="L631" s="26" t="s">
        <v>1330</v>
      </c>
      <c r="M631" s="31" t="s">
        <v>1559</v>
      </c>
      <c r="N631" s="2"/>
      <c r="O631" s="2"/>
      <c r="P631" s="2"/>
      <c r="Q631" s="2"/>
      <c r="R631" s="2"/>
      <c r="S631" s="2"/>
      <c r="T631" s="2"/>
      <c r="U631" s="2"/>
      <c r="V631" s="2"/>
      <c r="W631" s="2"/>
      <c r="X631" s="2"/>
      <c r="Y631" s="2"/>
      <c r="Z631" s="2"/>
    </row>
    <row r="632" spans="1:26" ht="25.5" hidden="1" customHeight="1">
      <c r="A632" s="26">
        <v>344</v>
      </c>
      <c r="B632" s="27" t="s">
        <v>797</v>
      </c>
      <c r="C632" s="28">
        <v>42671</v>
      </c>
      <c r="D632" s="27"/>
      <c r="E632" s="27" t="s">
        <v>1943</v>
      </c>
      <c r="F632" s="29" t="s">
        <v>1944</v>
      </c>
      <c r="G632" s="27" t="s">
        <v>338</v>
      </c>
      <c r="H632" s="27" t="s">
        <v>157</v>
      </c>
      <c r="I632" s="27">
        <v>1</v>
      </c>
      <c r="J632" s="30">
        <v>103890434</v>
      </c>
      <c r="K632" s="26" t="s">
        <v>206</v>
      </c>
      <c r="L632" s="26" t="s">
        <v>1330</v>
      </c>
      <c r="M632" s="31" t="s">
        <v>1559</v>
      </c>
      <c r="N632" s="2"/>
      <c r="O632" s="2"/>
      <c r="P632" s="2"/>
      <c r="Q632" s="2"/>
      <c r="R632" s="2"/>
      <c r="S632" s="2"/>
      <c r="T632" s="2"/>
      <c r="U632" s="2"/>
      <c r="V632" s="2"/>
      <c r="W632" s="2"/>
      <c r="X632" s="2"/>
      <c r="Y632" s="2"/>
      <c r="Z632" s="2"/>
    </row>
    <row r="633" spans="1:26" ht="25.5" hidden="1" customHeight="1">
      <c r="A633" s="26">
        <v>345</v>
      </c>
      <c r="B633" s="27" t="s">
        <v>797</v>
      </c>
      <c r="C633" s="28">
        <v>42671</v>
      </c>
      <c r="D633" s="27"/>
      <c r="E633" s="27" t="s">
        <v>1945</v>
      </c>
      <c r="F633" s="29" t="s">
        <v>1946</v>
      </c>
      <c r="G633" s="27" t="s">
        <v>338</v>
      </c>
      <c r="H633" s="27" t="s">
        <v>157</v>
      </c>
      <c r="I633" s="27">
        <v>1</v>
      </c>
      <c r="J633" s="30">
        <v>103890434</v>
      </c>
      <c r="K633" s="26" t="s">
        <v>206</v>
      </c>
      <c r="L633" s="26" t="s">
        <v>1330</v>
      </c>
      <c r="M633" s="31" t="s">
        <v>1559</v>
      </c>
      <c r="N633" s="2"/>
      <c r="O633" s="2"/>
      <c r="P633" s="2"/>
      <c r="Q633" s="2"/>
      <c r="R633" s="2"/>
      <c r="S633" s="2"/>
      <c r="T633" s="2"/>
      <c r="U633" s="2"/>
      <c r="V633" s="2"/>
      <c r="W633" s="2"/>
      <c r="X633" s="2"/>
      <c r="Y633" s="2"/>
      <c r="Z633" s="2"/>
    </row>
    <row r="634" spans="1:26" ht="25.5" hidden="1" customHeight="1">
      <c r="A634" s="26">
        <v>346</v>
      </c>
      <c r="B634" s="27" t="s">
        <v>797</v>
      </c>
      <c r="C634" s="28">
        <v>42671</v>
      </c>
      <c r="D634" s="27"/>
      <c r="E634" s="27" t="s">
        <v>1947</v>
      </c>
      <c r="F634" s="29" t="s">
        <v>1948</v>
      </c>
      <c r="G634" s="27" t="s">
        <v>338</v>
      </c>
      <c r="H634" s="27" t="s">
        <v>157</v>
      </c>
      <c r="I634" s="27">
        <v>1</v>
      </c>
      <c r="J634" s="30">
        <v>788345084</v>
      </c>
      <c r="K634" s="26" t="s">
        <v>206</v>
      </c>
      <c r="L634" s="26" t="s">
        <v>1330</v>
      </c>
      <c r="M634" s="31" t="s">
        <v>1559</v>
      </c>
      <c r="N634" s="2"/>
      <c r="O634" s="2"/>
      <c r="P634" s="2"/>
      <c r="Q634" s="2"/>
      <c r="R634" s="2"/>
      <c r="S634" s="2"/>
      <c r="T634" s="2"/>
      <c r="U634" s="2"/>
      <c r="V634" s="2"/>
      <c r="W634" s="2"/>
      <c r="X634" s="2"/>
      <c r="Y634" s="2"/>
      <c r="Z634" s="2"/>
    </row>
    <row r="635" spans="1:26" ht="25.5" hidden="1" customHeight="1">
      <c r="A635" s="26">
        <v>347</v>
      </c>
      <c r="B635" s="27" t="s">
        <v>797</v>
      </c>
      <c r="C635" s="28">
        <v>42671</v>
      </c>
      <c r="D635" s="27"/>
      <c r="E635" s="27" t="s">
        <v>1949</v>
      </c>
      <c r="F635" s="29" t="s">
        <v>1950</v>
      </c>
      <c r="G635" s="27" t="s">
        <v>338</v>
      </c>
      <c r="H635" s="27" t="s">
        <v>157</v>
      </c>
      <c r="I635" s="27">
        <v>1</v>
      </c>
      <c r="J635" s="30">
        <v>788345084</v>
      </c>
      <c r="K635" s="26" t="s">
        <v>206</v>
      </c>
      <c r="L635" s="45" t="s">
        <v>1330</v>
      </c>
      <c r="M635" s="46" t="s">
        <v>1951</v>
      </c>
      <c r="N635" s="2"/>
      <c r="O635" s="2"/>
      <c r="P635" s="2"/>
      <c r="Q635" s="2"/>
      <c r="R635" s="2"/>
      <c r="S635" s="2"/>
      <c r="T635" s="2"/>
      <c r="U635" s="2"/>
      <c r="V635" s="2"/>
      <c r="W635" s="2"/>
      <c r="X635" s="2"/>
      <c r="Y635" s="2"/>
      <c r="Z635" s="2"/>
    </row>
    <row r="636" spans="1:26" ht="25.5" hidden="1" customHeight="1">
      <c r="A636" s="26">
        <v>348</v>
      </c>
      <c r="B636" s="27" t="s">
        <v>797</v>
      </c>
      <c r="C636" s="28">
        <v>42671</v>
      </c>
      <c r="D636" s="27"/>
      <c r="E636" s="27" t="s">
        <v>1952</v>
      </c>
      <c r="F636" s="29" t="s">
        <v>1953</v>
      </c>
      <c r="G636" s="27" t="s">
        <v>1754</v>
      </c>
      <c r="H636" s="27" t="s">
        <v>19</v>
      </c>
      <c r="I636" s="27">
        <v>1</v>
      </c>
      <c r="J636" s="30">
        <v>227172189</v>
      </c>
      <c r="K636" s="26" t="s">
        <v>206</v>
      </c>
      <c r="L636" s="26" t="s">
        <v>1514</v>
      </c>
      <c r="M636" s="31" t="s">
        <v>1954</v>
      </c>
      <c r="N636" s="2"/>
      <c r="O636" s="2"/>
      <c r="P636" s="2"/>
      <c r="Q636" s="2"/>
      <c r="R636" s="2"/>
      <c r="S636" s="2"/>
      <c r="T636" s="2"/>
      <c r="U636" s="2"/>
      <c r="V636" s="2"/>
      <c r="W636" s="2"/>
      <c r="X636" s="2"/>
      <c r="Y636" s="2"/>
      <c r="Z636" s="2"/>
    </row>
    <row r="637" spans="1:26" ht="25.5" hidden="1" customHeight="1">
      <c r="A637" s="26">
        <v>349</v>
      </c>
      <c r="B637" s="27" t="s">
        <v>797</v>
      </c>
      <c r="C637" s="28">
        <v>42671</v>
      </c>
      <c r="D637" s="27"/>
      <c r="E637" s="27" t="s">
        <v>1955</v>
      </c>
      <c r="F637" s="29" t="s">
        <v>1956</v>
      </c>
      <c r="G637" s="27" t="s">
        <v>1754</v>
      </c>
      <c r="H637" s="27" t="s">
        <v>19</v>
      </c>
      <c r="I637" s="27">
        <v>1</v>
      </c>
      <c r="J637" s="30">
        <v>227172189</v>
      </c>
      <c r="K637" s="26" t="s">
        <v>206</v>
      </c>
      <c r="L637" s="45" t="s">
        <v>1514</v>
      </c>
      <c r="M637" s="46" t="s">
        <v>1957</v>
      </c>
      <c r="N637" s="2"/>
      <c r="O637" s="2"/>
      <c r="P637" s="2"/>
      <c r="Q637" s="2"/>
      <c r="R637" s="2"/>
      <c r="S637" s="2"/>
      <c r="T637" s="2"/>
      <c r="U637" s="2"/>
      <c r="V637" s="2"/>
      <c r="W637" s="2"/>
      <c r="X637" s="2"/>
      <c r="Y637" s="2"/>
      <c r="Z637" s="2"/>
    </row>
    <row r="638" spans="1:26" ht="25.5" hidden="1" customHeight="1">
      <c r="A638" s="26">
        <v>350</v>
      </c>
      <c r="B638" s="27" t="s">
        <v>797</v>
      </c>
      <c r="C638" s="28">
        <v>42671</v>
      </c>
      <c r="D638" s="27"/>
      <c r="E638" s="27" t="s">
        <v>1958</v>
      </c>
      <c r="F638" s="29" t="s">
        <v>1959</v>
      </c>
      <c r="G638" s="27" t="s">
        <v>1754</v>
      </c>
      <c r="H638" s="27" t="s">
        <v>19</v>
      </c>
      <c r="I638" s="27">
        <v>1</v>
      </c>
      <c r="J638" s="30">
        <v>227172189</v>
      </c>
      <c r="K638" s="26" t="s">
        <v>206</v>
      </c>
      <c r="L638" s="26" t="s">
        <v>1514</v>
      </c>
      <c r="M638" s="31" t="s">
        <v>1954</v>
      </c>
      <c r="N638" s="2"/>
      <c r="O638" s="2"/>
      <c r="P638" s="2"/>
      <c r="Q638" s="2"/>
      <c r="R638" s="2"/>
      <c r="S638" s="2"/>
      <c r="T638" s="2"/>
      <c r="U638" s="2"/>
      <c r="V638" s="2"/>
      <c r="W638" s="2"/>
      <c r="X638" s="2"/>
      <c r="Y638" s="2"/>
      <c r="Z638" s="2"/>
    </row>
    <row r="639" spans="1:26" ht="25.5" hidden="1" customHeight="1">
      <c r="A639" s="26">
        <v>351</v>
      </c>
      <c r="B639" s="27" t="s">
        <v>797</v>
      </c>
      <c r="C639" s="28">
        <v>42671</v>
      </c>
      <c r="D639" s="27"/>
      <c r="E639" s="27" t="s">
        <v>1960</v>
      </c>
      <c r="F639" s="29" t="s">
        <v>1961</v>
      </c>
      <c r="G639" s="27" t="s">
        <v>1754</v>
      </c>
      <c r="H639" s="27" t="s">
        <v>19</v>
      </c>
      <c r="I639" s="27">
        <v>1</v>
      </c>
      <c r="J639" s="30">
        <v>227172189</v>
      </c>
      <c r="K639" s="26" t="s">
        <v>206</v>
      </c>
      <c r="L639" s="26" t="s">
        <v>1514</v>
      </c>
      <c r="M639" s="31" t="s">
        <v>1954</v>
      </c>
      <c r="N639" s="2"/>
      <c r="O639" s="2"/>
      <c r="P639" s="2"/>
      <c r="Q639" s="2"/>
      <c r="R639" s="2"/>
      <c r="S639" s="2"/>
      <c r="T639" s="2"/>
      <c r="U639" s="2"/>
      <c r="V639" s="2"/>
      <c r="W639" s="2"/>
      <c r="X639" s="2"/>
      <c r="Y639" s="2"/>
      <c r="Z639" s="2"/>
    </row>
    <row r="640" spans="1:26" ht="25.5" hidden="1" customHeight="1">
      <c r="A640" s="26">
        <v>352</v>
      </c>
      <c r="B640" s="27" t="s">
        <v>797</v>
      </c>
      <c r="C640" s="28">
        <v>42671</v>
      </c>
      <c r="D640" s="27"/>
      <c r="E640" s="27" t="s">
        <v>1962</v>
      </c>
      <c r="F640" s="29" t="s">
        <v>1963</v>
      </c>
      <c r="G640" s="27" t="s">
        <v>1754</v>
      </c>
      <c r="H640" s="27" t="s">
        <v>19</v>
      </c>
      <c r="I640" s="27">
        <v>1</v>
      </c>
      <c r="J640" s="30">
        <v>227172189</v>
      </c>
      <c r="K640" s="26" t="s">
        <v>206</v>
      </c>
      <c r="L640" s="45" t="s">
        <v>1514</v>
      </c>
      <c r="M640" s="46" t="s">
        <v>1957</v>
      </c>
      <c r="N640" s="2"/>
      <c r="O640" s="2"/>
      <c r="P640" s="2"/>
      <c r="Q640" s="2"/>
      <c r="R640" s="2"/>
      <c r="S640" s="2"/>
      <c r="T640" s="2"/>
      <c r="U640" s="2"/>
      <c r="V640" s="2"/>
      <c r="W640" s="2"/>
      <c r="X640" s="2"/>
      <c r="Y640" s="2"/>
      <c r="Z640" s="2"/>
    </row>
    <row r="641" spans="1:26" ht="25.5" hidden="1" customHeight="1">
      <c r="A641" s="26">
        <v>353</v>
      </c>
      <c r="B641" s="27" t="s">
        <v>797</v>
      </c>
      <c r="C641" s="28">
        <v>42671</v>
      </c>
      <c r="D641" s="27"/>
      <c r="E641" s="27" t="s">
        <v>1964</v>
      </c>
      <c r="F641" s="29" t="s">
        <v>1965</v>
      </c>
      <c r="G641" s="27" t="s">
        <v>1754</v>
      </c>
      <c r="H641" s="27" t="s">
        <v>19</v>
      </c>
      <c r="I641" s="27">
        <v>1</v>
      </c>
      <c r="J641" s="30">
        <v>227172189</v>
      </c>
      <c r="K641" s="26" t="s">
        <v>206</v>
      </c>
      <c r="L641" s="26" t="s">
        <v>1514</v>
      </c>
      <c r="M641" s="31" t="s">
        <v>1954</v>
      </c>
      <c r="N641" s="2"/>
      <c r="O641" s="2"/>
      <c r="P641" s="2"/>
      <c r="Q641" s="2"/>
      <c r="R641" s="2"/>
      <c r="S641" s="2"/>
      <c r="T641" s="2"/>
      <c r="U641" s="2"/>
      <c r="V641" s="2"/>
      <c r="W641" s="2"/>
      <c r="X641" s="2"/>
      <c r="Y641" s="2"/>
      <c r="Z641" s="2"/>
    </row>
    <row r="642" spans="1:26" ht="25.5" hidden="1" customHeight="1">
      <c r="A642" s="26">
        <v>354</v>
      </c>
      <c r="B642" s="27" t="s">
        <v>797</v>
      </c>
      <c r="C642" s="28">
        <v>42671</v>
      </c>
      <c r="D642" s="27"/>
      <c r="E642" s="27" t="s">
        <v>1966</v>
      </c>
      <c r="F642" s="29" t="s">
        <v>1967</v>
      </c>
      <c r="G642" s="27" t="s">
        <v>1754</v>
      </c>
      <c r="H642" s="27" t="s">
        <v>19</v>
      </c>
      <c r="I642" s="27">
        <v>1</v>
      </c>
      <c r="J642" s="30">
        <v>227172189</v>
      </c>
      <c r="K642" s="26" t="s">
        <v>206</v>
      </c>
      <c r="L642" s="26" t="s">
        <v>1514</v>
      </c>
      <c r="M642" s="31" t="s">
        <v>1954</v>
      </c>
      <c r="N642" s="2"/>
      <c r="O642" s="2"/>
      <c r="P642" s="2"/>
      <c r="Q642" s="2"/>
      <c r="R642" s="2"/>
      <c r="S642" s="2"/>
      <c r="T642" s="2"/>
      <c r="U642" s="2"/>
      <c r="V642" s="2"/>
      <c r="W642" s="2"/>
      <c r="X642" s="2"/>
      <c r="Y642" s="2"/>
      <c r="Z642" s="2"/>
    </row>
    <row r="643" spans="1:26" ht="25.5" hidden="1" customHeight="1">
      <c r="A643" s="26">
        <v>355</v>
      </c>
      <c r="B643" s="27" t="s">
        <v>797</v>
      </c>
      <c r="C643" s="28">
        <v>42671</v>
      </c>
      <c r="D643" s="27"/>
      <c r="E643" s="27" t="s">
        <v>1968</v>
      </c>
      <c r="F643" s="29" t="s">
        <v>1969</v>
      </c>
      <c r="G643" s="27" t="s">
        <v>1754</v>
      </c>
      <c r="H643" s="27" t="s">
        <v>19</v>
      </c>
      <c r="I643" s="27">
        <v>1</v>
      </c>
      <c r="J643" s="30">
        <v>227172189</v>
      </c>
      <c r="K643" s="26" t="s">
        <v>206</v>
      </c>
      <c r="L643" s="26" t="s">
        <v>1514</v>
      </c>
      <c r="M643" s="31" t="s">
        <v>1954</v>
      </c>
      <c r="N643" s="2"/>
      <c r="O643" s="2"/>
      <c r="P643" s="2"/>
      <c r="Q643" s="2"/>
      <c r="R643" s="2"/>
      <c r="S643" s="2"/>
      <c r="T643" s="2"/>
      <c r="U643" s="2"/>
      <c r="V643" s="2"/>
      <c r="W643" s="2"/>
      <c r="X643" s="2"/>
      <c r="Y643" s="2"/>
      <c r="Z643" s="2"/>
    </row>
    <row r="644" spans="1:26" ht="38.25" hidden="1" customHeight="1">
      <c r="A644" s="26">
        <v>356</v>
      </c>
      <c r="B644" s="27" t="s">
        <v>797</v>
      </c>
      <c r="C644" s="28">
        <v>42671</v>
      </c>
      <c r="D644" s="27"/>
      <c r="E644" s="27" t="s">
        <v>1970</v>
      </c>
      <c r="F644" s="29" t="s">
        <v>1971</v>
      </c>
      <c r="G644" s="27" t="s">
        <v>45</v>
      </c>
      <c r="H644" s="27" t="s">
        <v>19</v>
      </c>
      <c r="I644" s="27">
        <v>1</v>
      </c>
      <c r="J644" s="30">
        <v>251264429</v>
      </c>
      <c r="K644" s="26" t="s">
        <v>206</v>
      </c>
      <c r="L644" s="26" t="s">
        <v>1514</v>
      </c>
      <c r="M644" s="31" t="s">
        <v>1954</v>
      </c>
      <c r="N644" s="2"/>
      <c r="O644" s="2"/>
      <c r="P644" s="2"/>
      <c r="Q644" s="2"/>
      <c r="R644" s="2"/>
      <c r="S644" s="2"/>
      <c r="T644" s="2"/>
      <c r="U644" s="2"/>
      <c r="V644" s="2"/>
      <c r="W644" s="2"/>
      <c r="X644" s="2"/>
      <c r="Y644" s="2"/>
      <c r="Z644" s="2"/>
    </row>
    <row r="645" spans="1:26" ht="63.75" hidden="1" customHeight="1">
      <c r="A645" s="26">
        <v>357</v>
      </c>
      <c r="B645" s="27" t="s">
        <v>797</v>
      </c>
      <c r="C645" s="28">
        <v>42671</v>
      </c>
      <c r="D645" s="27"/>
      <c r="E645" s="27" t="s">
        <v>1972</v>
      </c>
      <c r="F645" s="29" t="s">
        <v>1973</v>
      </c>
      <c r="G645" s="27" t="s">
        <v>45</v>
      </c>
      <c r="H645" s="27" t="s">
        <v>19</v>
      </c>
      <c r="I645" s="27">
        <v>1</v>
      </c>
      <c r="J645" s="30">
        <v>526151003</v>
      </c>
      <c r="K645" s="26" t="s">
        <v>206</v>
      </c>
      <c r="L645" s="26" t="s">
        <v>1514</v>
      </c>
      <c r="M645" s="31" t="s">
        <v>1954</v>
      </c>
      <c r="N645" s="2"/>
      <c r="O645" s="2"/>
      <c r="P645" s="2"/>
      <c r="Q645" s="2"/>
      <c r="R645" s="2"/>
      <c r="S645" s="2"/>
      <c r="T645" s="2"/>
      <c r="U645" s="2"/>
      <c r="V645" s="2"/>
      <c r="W645" s="2"/>
      <c r="X645" s="2"/>
      <c r="Y645" s="2"/>
      <c r="Z645" s="2"/>
    </row>
    <row r="646" spans="1:26" ht="25.5" hidden="1" customHeight="1">
      <c r="A646" s="26">
        <v>358</v>
      </c>
      <c r="B646" s="27" t="s">
        <v>797</v>
      </c>
      <c r="C646" s="28">
        <v>42671</v>
      </c>
      <c r="D646" s="27"/>
      <c r="E646" s="27" t="s">
        <v>1974</v>
      </c>
      <c r="F646" s="29" t="s">
        <v>1975</v>
      </c>
      <c r="G646" s="27" t="s">
        <v>45</v>
      </c>
      <c r="H646" s="27" t="s">
        <v>19</v>
      </c>
      <c r="I646" s="27">
        <v>1</v>
      </c>
      <c r="J646" s="30">
        <v>141027743</v>
      </c>
      <c r="K646" s="26" t="s">
        <v>206</v>
      </c>
      <c r="L646" s="26" t="s">
        <v>1514</v>
      </c>
      <c r="M646" s="31" t="s">
        <v>1954</v>
      </c>
      <c r="N646" s="2"/>
      <c r="O646" s="2"/>
      <c r="P646" s="2"/>
      <c r="Q646" s="2"/>
      <c r="R646" s="2"/>
      <c r="S646" s="2"/>
      <c r="T646" s="2"/>
      <c r="U646" s="2"/>
      <c r="V646" s="2"/>
      <c r="W646" s="2"/>
      <c r="X646" s="2"/>
      <c r="Y646" s="2"/>
      <c r="Z646" s="2"/>
    </row>
    <row r="647" spans="1:26" ht="25.5" hidden="1" customHeight="1">
      <c r="A647" s="26">
        <v>359</v>
      </c>
      <c r="B647" s="27" t="s">
        <v>797</v>
      </c>
      <c r="C647" s="28">
        <v>42671</v>
      </c>
      <c r="D647" s="27"/>
      <c r="E647" s="27" t="s">
        <v>1976</v>
      </c>
      <c r="F647" s="29" t="s">
        <v>1977</v>
      </c>
      <c r="G647" s="27" t="s">
        <v>307</v>
      </c>
      <c r="H647" s="27" t="s">
        <v>19</v>
      </c>
      <c r="I647" s="27">
        <v>1</v>
      </c>
      <c r="J647" s="30">
        <v>68633502</v>
      </c>
      <c r="K647" s="26" t="s">
        <v>206</v>
      </c>
      <c r="L647" s="26" t="s">
        <v>1514</v>
      </c>
      <c r="M647" s="31" t="s">
        <v>1954</v>
      </c>
      <c r="N647" s="2"/>
      <c r="O647" s="2"/>
      <c r="P647" s="2"/>
      <c r="Q647" s="2"/>
      <c r="R647" s="2"/>
      <c r="S647" s="2"/>
      <c r="T647" s="2"/>
      <c r="U647" s="2"/>
      <c r="V647" s="2"/>
      <c r="W647" s="2"/>
      <c r="X647" s="2"/>
      <c r="Y647" s="2"/>
      <c r="Z647" s="2"/>
    </row>
    <row r="648" spans="1:26" ht="25.5" hidden="1" customHeight="1">
      <c r="A648" s="26">
        <v>360</v>
      </c>
      <c r="B648" s="27" t="s">
        <v>797</v>
      </c>
      <c r="C648" s="28">
        <v>42671</v>
      </c>
      <c r="D648" s="27"/>
      <c r="E648" s="27" t="s">
        <v>1978</v>
      </c>
      <c r="F648" s="29" t="s">
        <v>1979</v>
      </c>
      <c r="G648" s="27" t="s">
        <v>307</v>
      </c>
      <c r="H648" s="27" t="s">
        <v>19</v>
      </c>
      <c r="I648" s="27">
        <v>1</v>
      </c>
      <c r="J648" s="30">
        <v>68633502</v>
      </c>
      <c r="K648" s="26" t="s">
        <v>206</v>
      </c>
      <c r="L648" s="26" t="s">
        <v>1514</v>
      </c>
      <c r="M648" s="31" t="s">
        <v>1954</v>
      </c>
      <c r="N648" s="2"/>
      <c r="O648" s="2"/>
      <c r="P648" s="2"/>
      <c r="Q648" s="2"/>
      <c r="R648" s="2"/>
      <c r="S648" s="2"/>
      <c r="T648" s="2"/>
      <c r="U648" s="2"/>
      <c r="V648" s="2"/>
      <c r="W648" s="2"/>
      <c r="X648" s="2"/>
      <c r="Y648" s="2"/>
      <c r="Z648" s="2"/>
    </row>
    <row r="649" spans="1:26" ht="25.5" hidden="1" customHeight="1">
      <c r="A649" s="26">
        <v>361</v>
      </c>
      <c r="B649" s="27" t="s">
        <v>797</v>
      </c>
      <c r="C649" s="28">
        <v>42671</v>
      </c>
      <c r="D649" s="27"/>
      <c r="E649" s="27" t="s">
        <v>1980</v>
      </c>
      <c r="F649" s="29" t="s">
        <v>1981</v>
      </c>
      <c r="G649" s="27" t="s">
        <v>307</v>
      </c>
      <c r="H649" s="27" t="s">
        <v>19</v>
      </c>
      <c r="I649" s="27">
        <v>1</v>
      </c>
      <c r="J649" s="30">
        <v>68633502</v>
      </c>
      <c r="K649" s="26" t="s">
        <v>206</v>
      </c>
      <c r="L649" s="26" t="s">
        <v>1514</v>
      </c>
      <c r="M649" s="31" t="s">
        <v>1954</v>
      </c>
      <c r="N649" s="2"/>
      <c r="O649" s="2"/>
      <c r="P649" s="2"/>
      <c r="Q649" s="2"/>
      <c r="R649" s="2"/>
      <c r="S649" s="2"/>
      <c r="T649" s="2"/>
      <c r="U649" s="2"/>
      <c r="V649" s="2"/>
      <c r="W649" s="2"/>
      <c r="X649" s="2"/>
      <c r="Y649" s="2"/>
      <c r="Z649" s="2"/>
    </row>
    <row r="650" spans="1:26" ht="25.5" hidden="1" customHeight="1">
      <c r="A650" s="26">
        <v>362</v>
      </c>
      <c r="B650" s="27" t="s">
        <v>797</v>
      </c>
      <c r="C650" s="28">
        <v>42671</v>
      </c>
      <c r="D650" s="27"/>
      <c r="E650" s="27" t="s">
        <v>1982</v>
      </c>
      <c r="F650" s="29" t="s">
        <v>1983</v>
      </c>
      <c r="G650" s="27" t="s">
        <v>307</v>
      </c>
      <c r="H650" s="27" t="s">
        <v>19</v>
      </c>
      <c r="I650" s="27">
        <v>1</v>
      </c>
      <c r="J650" s="30">
        <v>68633502</v>
      </c>
      <c r="K650" s="26" t="s">
        <v>206</v>
      </c>
      <c r="L650" s="26" t="s">
        <v>1514</v>
      </c>
      <c r="M650" s="31" t="s">
        <v>1954</v>
      </c>
      <c r="N650" s="2"/>
      <c r="O650" s="2"/>
      <c r="P650" s="2"/>
      <c r="Q650" s="2"/>
      <c r="R650" s="2"/>
      <c r="S650" s="2"/>
      <c r="T650" s="2"/>
      <c r="U650" s="2"/>
      <c r="V650" s="2"/>
      <c r="W650" s="2"/>
      <c r="X650" s="2"/>
      <c r="Y650" s="2"/>
      <c r="Z650" s="2"/>
    </row>
    <row r="651" spans="1:26" ht="25.5" hidden="1" customHeight="1">
      <c r="A651" s="26">
        <v>363</v>
      </c>
      <c r="B651" s="27" t="s">
        <v>797</v>
      </c>
      <c r="C651" s="28">
        <v>42671</v>
      </c>
      <c r="D651" s="27"/>
      <c r="E651" s="27" t="s">
        <v>1984</v>
      </c>
      <c r="F651" s="29" t="s">
        <v>1985</v>
      </c>
      <c r="G651" s="27" t="s">
        <v>338</v>
      </c>
      <c r="H651" s="27" t="s">
        <v>19</v>
      </c>
      <c r="I651" s="27">
        <v>1</v>
      </c>
      <c r="J651" s="30">
        <v>559527568</v>
      </c>
      <c r="K651" s="26" t="s">
        <v>206</v>
      </c>
      <c r="L651" s="26" t="s">
        <v>1514</v>
      </c>
      <c r="M651" s="31" t="s">
        <v>1986</v>
      </c>
      <c r="N651" s="2"/>
      <c r="O651" s="2"/>
      <c r="P651" s="2"/>
      <c r="Q651" s="2"/>
      <c r="R651" s="2"/>
      <c r="S651" s="2"/>
      <c r="T651" s="2"/>
      <c r="U651" s="2"/>
      <c r="V651" s="2"/>
      <c r="W651" s="2"/>
      <c r="X651" s="2"/>
      <c r="Y651" s="2"/>
      <c r="Z651" s="2"/>
    </row>
    <row r="652" spans="1:26" ht="25.5" hidden="1" customHeight="1">
      <c r="A652" s="26">
        <v>364</v>
      </c>
      <c r="B652" s="27" t="s">
        <v>797</v>
      </c>
      <c r="C652" s="28">
        <v>42671</v>
      </c>
      <c r="D652" s="27"/>
      <c r="E652" s="27" t="s">
        <v>1987</v>
      </c>
      <c r="F652" s="29" t="s">
        <v>1988</v>
      </c>
      <c r="G652" s="27" t="s">
        <v>338</v>
      </c>
      <c r="H652" s="27" t="s">
        <v>19</v>
      </c>
      <c r="I652" s="27">
        <v>1</v>
      </c>
      <c r="J652" s="30">
        <v>559527568</v>
      </c>
      <c r="K652" s="26" t="s">
        <v>206</v>
      </c>
      <c r="L652" s="26" t="s">
        <v>1514</v>
      </c>
      <c r="M652" s="31" t="s">
        <v>1986</v>
      </c>
      <c r="N652" s="2"/>
      <c r="O652" s="2"/>
      <c r="P652" s="2"/>
      <c r="Q652" s="2"/>
      <c r="R652" s="2"/>
      <c r="S652" s="2"/>
      <c r="T652" s="2"/>
      <c r="U652" s="2"/>
      <c r="V652" s="2"/>
      <c r="W652" s="2"/>
      <c r="X652" s="2"/>
      <c r="Y652" s="2"/>
      <c r="Z652" s="2"/>
    </row>
    <row r="653" spans="1:26" ht="25.5" hidden="1" customHeight="1">
      <c r="A653" s="26">
        <v>365</v>
      </c>
      <c r="B653" s="27" t="s">
        <v>1989</v>
      </c>
      <c r="C653" s="28">
        <v>43827</v>
      </c>
      <c r="D653" s="27"/>
      <c r="E653" s="27" t="s">
        <v>1990</v>
      </c>
      <c r="F653" s="29" t="s">
        <v>1991</v>
      </c>
      <c r="G653" s="27" t="s">
        <v>248</v>
      </c>
      <c r="H653" s="27" t="s">
        <v>19</v>
      </c>
      <c r="I653" s="27">
        <v>1</v>
      </c>
      <c r="J653" s="30">
        <v>65900000</v>
      </c>
      <c r="K653" s="26" t="s">
        <v>20</v>
      </c>
      <c r="L653" s="26" t="s">
        <v>423</v>
      </c>
      <c r="M653" s="31" t="s">
        <v>5239</v>
      </c>
      <c r="N653" s="2"/>
      <c r="O653" s="2"/>
      <c r="P653" s="2"/>
      <c r="Q653" s="2"/>
      <c r="R653" s="2"/>
      <c r="S653" s="2"/>
      <c r="T653" s="2"/>
      <c r="U653" s="2"/>
      <c r="V653" s="2"/>
      <c r="W653" s="2"/>
      <c r="X653" s="2"/>
      <c r="Y653" s="2"/>
      <c r="Z653" s="2"/>
    </row>
    <row r="654" spans="1:26" ht="25.5" hidden="1" customHeight="1">
      <c r="A654" s="26">
        <v>366</v>
      </c>
      <c r="B654" s="27" t="s">
        <v>1993</v>
      </c>
      <c r="C654" s="28">
        <v>42956</v>
      </c>
      <c r="D654" s="27"/>
      <c r="E654" s="27" t="s">
        <v>1994</v>
      </c>
      <c r="F654" s="29" t="s">
        <v>1995</v>
      </c>
      <c r="G654" s="27" t="s">
        <v>338</v>
      </c>
      <c r="H654" s="27" t="s">
        <v>249</v>
      </c>
      <c r="I654" s="27">
        <v>1</v>
      </c>
      <c r="J654" s="30">
        <v>157350000</v>
      </c>
      <c r="K654" s="26" t="s">
        <v>36</v>
      </c>
      <c r="L654" s="26" t="s">
        <v>1542</v>
      </c>
      <c r="M654" s="31" t="s">
        <v>1996</v>
      </c>
      <c r="N654" s="2"/>
      <c r="O654" s="2"/>
      <c r="P654" s="2"/>
      <c r="Q654" s="2"/>
      <c r="R654" s="2"/>
      <c r="S654" s="2"/>
      <c r="T654" s="2"/>
      <c r="U654" s="2"/>
      <c r="V654" s="2"/>
      <c r="W654" s="2"/>
      <c r="X654" s="2"/>
      <c r="Y654" s="2"/>
      <c r="Z654" s="2"/>
    </row>
    <row r="655" spans="1:26" ht="25.5" hidden="1" customHeight="1">
      <c r="A655" s="26">
        <v>367</v>
      </c>
      <c r="B655" s="27" t="s">
        <v>1993</v>
      </c>
      <c r="C655" s="28">
        <v>42956</v>
      </c>
      <c r="D655" s="27"/>
      <c r="E655" s="27" t="s">
        <v>1997</v>
      </c>
      <c r="F655" s="29" t="s">
        <v>1998</v>
      </c>
      <c r="G655" s="27" t="s">
        <v>338</v>
      </c>
      <c r="H655" s="27" t="s">
        <v>249</v>
      </c>
      <c r="I655" s="27">
        <v>1</v>
      </c>
      <c r="J655" s="30">
        <v>157350000</v>
      </c>
      <c r="K655" s="26" t="s">
        <v>36</v>
      </c>
      <c r="L655" s="26" t="s">
        <v>1542</v>
      </c>
      <c r="M655" s="31" t="s">
        <v>1996</v>
      </c>
      <c r="N655" s="2"/>
      <c r="O655" s="2"/>
      <c r="P655" s="2"/>
      <c r="Q655" s="2"/>
      <c r="R655" s="2"/>
      <c r="S655" s="2"/>
      <c r="T655" s="2"/>
      <c r="U655" s="2"/>
      <c r="V655" s="2"/>
      <c r="W655" s="2"/>
      <c r="X655" s="2"/>
      <c r="Y655" s="2"/>
      <c r="Z655" s="2"/>
    </row>
    <row r="656" spans="1:26" ht="25.5" hidden="1" customHeight="1">
      <c r="A656" s="26">
        <v>368</v>
      </c>
      <c r="B656" s="27" t="s">
        <v>973</v>
      </c>
      <c r="C656" s="28">
        <v>43799</v>
      </c>
      <c r="D656" s="27"/>
      <c r="E656" s="27" t="s">
        <v>1999</v>
      </c>
      <c r="F656" s="29" t="s">
        <v>2000</v>
      </c>
      <c r="G656" s="27" t="s">
        <v>55</v>
      </c>
      <c r="H656" s="27" t="s">
        <v>19</v>
      </c>
      <c r="I656" s="27">
        <v>1</v>
      </c>
      <c r="J656" s="30">
        <v>385252778</v>
      </c>
      <c r="K656" s="26" t="s">
        <v>20</v>
      </c>
      <c r="L656" s="26" t="s">
        <v>295</v>
      </c>
      <c r="M656" s="31" t="s">
        <v>5368</v>
      </c>
      <c r="N656" s="2"/>
      <c r="O656" s="2"/>
      <c r="P656" s="2"/>
      <c r="Q656" s="2"/>
      <c r="R656" s="2"/>
      <c r="S656" s="2"/>
      <c r="T656" s="2"/>
      <c r="U656" s="2"/>
      <c r="V656" s="2"/>
      <c r="W656" s="2"/>
      <c r="X656" s="2"/>
      <c r="Y656" s="2"/>
      <c r="Z656" s="2"/>
    </row>
    <row r="657" spans="1:26" ht="25.5" hidden="1" customHeight="1">
      <c r="A657" s="26">
        <v>369</v>
      </c>
      <c r="B657" s="27" t="s">
        <v>973</v>
      </c>
      <c r="C657" s="28">
        <v>43799</v>
      </c>
      <c r="D657" s="27"/>
      <c r="E657" s="27" t="s">
        <v>2002</v>
      </c>
      <c r="F657" s="29" t="s">
        <v>2003</v>
      </c>
      <c r="G657" s="27" t="s">
        <v>55</v>
      </c>
      <c r="H657" s="27" t="s">
        <v>19</v>
      </c>
      <c r="I657" s="27">
        <v>1</v>
      </c>
      <c r="J657" s="30">
        <v>385252778</v>
      </c>
      <c r="K657" s="26" t="s">
        <v>20</v>
      </c>
      <c r="L657" s="26" t="s">
        <v>295</v>
      </c>
      <c r="M657" s="31" t="s">
        <v>5369</v>
      </c>
      <c r="N657" s="2"/>
      <c r="O657" s="2"/>
      <c r="P657" s="2"/>
      <c r="Q657" s="2"/>
      <c r="R657" s="2"/>
      <c r="S657" s="2"/>
      <c r="T657" s="2"/>
      <c r="U657" s="2"/>
      <c r="V657" s="2"/>
      <c r="W657" s="2"/>
      <c r="X657" s="2"/>
      <c r="Y657" s="2"/>
      <c r="Z657" s="2"/>
    </row>
    <row r="658" spans="1:26" ht="25.5" hidden="1" customHeight="1">
      <c r="A658" s="26">
        <v>370</v>
      </c>
      <c r="B658" s="27" t="s">
        <v>973</v>
      </c>
      <c r="C658" s="28">
        <v>43799</v>
      </c>
      <c r="D658" s="27"/>
      <c r="E658" s="27" t="s">
        <v>2005</v>
      </c>
      <c r="F658" s="29" t="s">
        <v>2006</v>
      </c>
      <c r="G658" s="27" t="s">
        <v>55</v>
      </c>
      <c r="H658" s="27" t="s">
        <v>19</v>
      </c>
      <c r="I658" s="27">
        <v>1</v>
      </c>
      <c r="J658" s="30">
        <v>385252778</v>
      </c>
      <c r="K658" s="26" t="s">
        <v>20</v>
      </c>
      <c r="L658" s="26" t="s">
        <v>295</v>
      </c>
      <c r="M658" s="31" t="s">
        <v>5370</v>
      </c>
      <c r="N658" s="2"/>
      <c r="O658" s="2"/>
      <c r="P658" s="2"/>
      <c r="Q658" s="2"/>
      <c r="R658" s="2"/>
      <c r="S658" s="2"/>
      <c r="T658" s="2"/>
      <c r="U658" s="2"/>
      <c r="V658" s="2"/>
      <c r="W658" s="2"/>
      <c r="X658" s="2"/>
      <c r="Y658" s="2"/>
      <c r="Z658" s="2"/>
    </row>
    <row r="659" spans="1:26" ht="25.5" hidden="1" customHeight="1">
      <c r="A659" s="26">
        <v>371</v>
      </c>
      <c r="B659" s="27" t="s">
        <v>973</v>
      </c>
      <c r="C659" s="28">
        <v>43799</v>
      </c>
      <c r="D659" s="27"/>
      <c r="E659" s="27" t="s">
        <v>2007</v>
      </c>
      <c r="F659" s="29" t="s">
        <v>2008</v>
      </c>
      <c r="G659" s="27" t="s">
        <v>55</v>
      </c>
      <c r="H659" s="27" t="s">
        <v>19</v>
      </c>
      <c r="I659" s="27">
        <v>1</v>
      </c>
      <c r="J659" s="30">
        <v>385252778</v>
      </c>
      <c r="K659" s="26" t="s">
        <v>20</v>
      </c>
      <c r="L659" s="26" t="s">
        <v>295</v>
      </c>
      <c r="M659" s="31" t="s">
        <v>5371</v>
      </c>
      <c r="N659" s="2"/>
      <c r="O659" s="2"/>
      <c r="P659" s="2"/>
      <c r="Q659" s="2"/>
      <c r="R659" s="2"/>
      <c r="S659" s="2"/>
      <c r="T659" s="2"/>
      <c r="U659" s="2"/>
      <c r="V659" s="2"/>
      <c r="W659" s="2"/>
      <c r="X659" s="2"/>
      <c r="Y659" s="2"/>
      <c r="Z659" s="2"/>
    </row>
    <row r="660" spans="1:26" ht="25.5" hidden="1" customHeight="1">
      <c r="A660" s="26">
        <v>372</v>
      </c>
      <c r="B660" s="27" t="s">
        <v>973</v>
      </c>
      <c r="C660" s="28">
        <v>43799</v>
      </c>
      <c r="D660" s="27"/>
      <c r="E660" s="27" t="s">
        <v>2009</v>
      </c>
      <c r="F660" s="29" t="s">
        <v>2010</v>
      </c>
      <c r="G660" s="27" t="s">
        <v>55</v>
      </c>
      <c r="H660" s="27" t="s">
        <v>19</v>
      </c>
      <c r="I660" s="27">
        <v>1</v>
      </c>
      <c r="J660" s="30">
        <v>153080573</v>
      </c>
      <c r="K660" s="26" t="s">
        <v>20</v>
      </c>
      <c r="L660" s="26" t="s">
        <v>295</v>
      </c>
      <c r="M660" s="31" t="s">
        <v>5372</v>
      </c>
      <c r="N660" s="2"/>
      <c r="O660" s="2"/>
      <c r="P660" s="2"/>
      <c r="Q660" s="2"/>
      <c r="R660" s="2"/>
      <c r="S660" s="2"/>
      <c r="T660" s="2"/>
      <c r="U660" s="2"/>
      <c r="V660" s="2"/>
      <c r="W660" s="2"/>
      <c r="X660" s="2"/>
      <c r="Y660" s="2"/>
      <c r="Z660" s="2"/>
    </row>
    <row r="661" spans="1:26" ht="25.5" hidden="1" customHeight="1">
      <c r="A661" s="26">
        <v>373</v>
      </c>
      <c r="B661" s="27" t="s">
        <v>2012</v>
      </c>
      <c r="C661" s="28">
        <v>43798</v>
      </c>
      <c r="D661" s="27"/>
      <c r="E661" s="27" t="s">
        <v>2013</v>
      </c>
      <c r="F661" s="29" t="s">
        <v>2014</v>
      </c>
      <c r="G661" s="27" t="s">
        <v>2015</v>
      </c>
      <c r="H661" s="27" t="s">
        <v>249</v>
      </c>
      <c r="I661" s="27">
        <v>1</v>
      </c>
      <c r="J661" s="30">
        <v>72900000</v>
      </c>
      <c r="K661" s="26" t="s">
        <v>20</v>
      </c>
      <c r="L661" s="36" t="s">
        <v>229</v>
      </c>
      <c r="M661" s="31" t="s">
        <v>5373</v>
      </c>
      <c r="N661" s="2"/>
      <c r="O661" s="2"/>
      <c r="P661" s="2"/>
      <c r="Q661" s="2"/>
      <c r="R661" s="2"/>
      <c r="S661" s="2"/>
      <c r="T661" s="2"/>
      <c r="U661" s="2"/>
      <c r="V661" s="2"/>
      <c r="W661" s="2"/>
      <c r="X661" s="2"/>
      <c r="Y661" s="2"/>
      <c r="Z661" s="2"/>
    </row>
    <row r="662" spans="1:26" ht="25.5" hidden="1" customHeight="1">
      <c r="A662" s="26">
        <v>374</v>
      </c>
      <c r="B662" s="27" t="s">
        <v>1989</v>
      </c>
      <c r="C662" s="28">
        <v>43827</v>
      </c>
      <c r="D662" s="27"/>
      <c r="E662" s="27" t="s">
        <v>2016</v>
      </c>
      <c r="F662" s="29" t="s">
        <v>2017</v>
      </c>
      <c r="G662" s="27" t="s">
        <v>2018</v>
      </c>
      <c r="H662" s="27" t="s">
        <v>19</v>
      </c>
      <c r="I662" s="27">
        <v>1</v>
      </c>
      <c r="J662" s="30">
        <v>219000000</v>
      </c>
      <c r="K662" s="26" t="s">
        <v>20</v>
      </c>
      <c r="L662" s="26" t="s">
        <v>295</v>
      </c>
      <c r="M662" s="31" t="s">
        <v>1510</v>
      </c>
      <c r="N662" s="2"/>
      <c r="O662" s="2"/>
      <c r="P662" s="2"/>
      <c r="Q662" s="2"/>
      <c r="R662" s="2"/>
      <c r="S662" s="2"/>
      <c r="T662" s="2"/>
      <c r="U662" s="2"/>
      <c r="V662" s="2"/>
      <c r="W662" s="2"/>
      <c r="X662" s="2"/>
      <c r="Y662" s="2"/>
      <c r="Z662" s="2"/>
    </row>
    <row r="663" spans="1:26" ht="25.5" hidden="1" customHeight="1">
      <c r="A663" s="26">
        <v>375</v>
      </c>
      <c r="B663" s="27" t="s">
        <v>1989</v>
      </c>
      <c r="C663" s="28">
        <v>43827</v>
      </c>
      <c r="D663" s="27"/>
      <c r="E663" s="27" t="s">
        <v>2019</v>
      </c>
      <c r="F663" s="29" t="s">
        <v>2020</v>
      </c>
      <c r="G663" s="27" t="s">
        <v>2018</v>
      </c>
      <c r="H663" s="27" t="s">
        <v>19</v>
      </c>
      <c r="I663" s="27">
        <v>1</v>
      </c>
      <c r="J663" s="30">
        <v>219000000</v>
      </c>
      <c r="K663" s="26" t="s">
        <v>20</v>
      </c>
      <c r="L663" s="26" t="s">
        <v>295</v>
      </c>
      <c r="M663" s="31" t="s">
        <v>1510</v>
      </c>
      <c r="N663" s="2"/>
      <c r="O663" s="2"/>
      <c r="P663" s="2"/>
      <c r="Q663" s="2"/>
      <c r="R663" s="2"/>
      <c r="S663" s="2"/>
      <c r="T663" s="2"/>
      <c r="U663" s="2"/>
      <c r="V663" s="2"/>
      <c r="W663" s="2"/>
      <c r="X663" s="2"/>
      <c r="Y663" s="2"/>
      <c r="Z663" s="2"/>
    </row>
    <row r="664" spans="1:26" ht="12.75" hidden="1" customHeight="1">
      <c r="A664" s="26">
        <v>376</v>
      </c>
      <c r="B664" s="27" t="s">
        <v>52</v>
      </c>
      <c r="C664" s="28">
        <v>40875</v>
      </c>
      <c r="D664" s="27"/>
      <c r="E664" s="27" t="s">
        <v>2021</v>
      </c>
      <c r="F664" s="29" t="s">
        <v>2022</v>
      </c>
      <c r="G664" s="27" t="s">
        <v>55</v>
      </c>
      <c r="H664" s="27" t="s">
        <v>19</v>
      </c>
      <c r="I664" s="27">
        <v>1</v>
      </c>
      <c r="J664" s="30">
        <v>59863190</v>
      </c>
      <c r="K664" s="26" t="s">
        <v>36</v>
      </c>
      <c r="L664" s="26" t="s">
        <v>1542</v>
      </c>
      <c r="M664" s="31" t="s">
        <v>2023</v>
      </c>
      <c r="N664" s="2"/>
      <c r="O664" s="2"/>
      <c r="P664" s="2"/>
      <c r="Q664" s="2"/>
      <c r="R664" s="2"/>
      <c r="S664" s="2"/>
      <c r="T664" s="2"/>
      <c r="U664" s="2"/>
      <c r="V664" s="2"/>
      <c r="W664" s="2"/>
      <c r="X664" s="2"/>
      <c r="Y664" s="2"/>
      <c r="Z664" s="2"/>
    </row>
    <row r="665" spans="1:26" ht="12.75" hidden="1" customHeight="1">
      <c r="A665" s="26">
        <v>377</v>
      </c>
      <c r="B665" s="27" t="s">
        <v>52</v>
      </c>
      <c r="C665" s="28">
        <v>40875</v>
      </c>
      <c r="D665" s="27"/>
      <c r="E665" s="27" t="s">
        <v>2024</v>
      </c>
      <c r="F665" s="29" t="s">
        <v>2025</v>
      </c>
      <c r="G665" s="27" t="s">
        <v>55</v>
      </c>
      <c r="H665" s="27" t="s">
        <v>19</v>
      </c>
      <c r="I665" s="27">
        <v>1</v>
      </c>
      <c r="J665" s="30">
        <v>59863190</v>
      </c>
      <c r="K665" s="26" t="s">
        <v>36</v>
      </c>
      <c r="L665" s="26" t="s">
        <v>1542</v>
      </c>
      <c r="M665" s="31" t="s">
        <v>2023</v>
      </c>
      <c r="N665" s="2"/>
      <c r="O665" s="2"/>
      <c r="P665" s="2"/>
      <c r="Q665" s="2"/>
      <c r="R665" s="2"/>
      <c r="S665" s="2"/>
      <c r="T665" s="2"/>
      <c r="U665" s="2"/>
      <c r="V665" s="2"/>
      <c r="W665" s="2"/>
      <c r="X665" s="2"/>
      <c r="Y665" s="2"/>
      <c r="Z665" s="2"/>
    </row>
    <row r="666" spans="1:26" ht="12.75" hidden="1" customHeight="1">
      <c r="A666" s="26">
        <v>378</v>
      </c>
      <c r="B666" s="27" t="s">
        <v>470</v>
      </c>
      <c r="C666" s="28">
        <v>41983</v>
      </c>
      <c r="D666" s="27"/>
      <c r="E666" s="27" t="s">
        <v>2026</v>
      </c>
      <c r="F666" s="29" t="s">
        <v>2027</v>
      </c>
      <c r="G666" s="27" t="s">
        <v>248</v>
      </c>
      <c r="H666" s="27" t="s">
        <v>19</v>
      </c>
      <c r="I666" s="27">
        <v>1</v>
      </c>
      <c r="J666" s="30">
        <v>160748450</v>
      </c>
      <c r="K666" s="26" t="s">
        <v>20</v>
      </c>
      <c r="L666" s="26" t="s">
        <v>423</v>
      </c>
      <c r="M666" s="31" t="s">
        <v>5243</v>
      </c>
      <c r="N666" s="2"/>
      <c r="O666" s="2"/>
      <c r="P666" s="2"/>
      <c r="Q666" s="2"/>
      <c r="R666" s="2"/>
      <c r="S666" s="2"/>
      <c r="T666" s="2"/>
      <c r="U666" s="2"/>
      <c r="V666" s="2"/>
      <c r="W666" s="2"/>
      <c r="X666" s="2"/>
      <c r="Y666" s="2"/>
      <c r="Z666" s="2"/>
    </row>
    <row r="667" spans="1:26" ht="12.75" hidden="1" customHeight="1">
      <c r="A667" s="26" t="s">
        <v>2028</v>
      </c>
      <c r="B667" s="27"/>
      <c r="C667" s="28"/>
      <c r="D667" s="27"/>
      <c r="E667" s="27" t="s">
        <v>2029</v>
      </c>
      <c r="F667" s="29" t="s">
        <v>2030</v>
      </c>
      <c r="G667" s="27" t="s">
        <v>248</v>
      </c>
      <c r="H667" s="27" t="s">
        <v>19</v>
      </c>
      <c r="I667" s="27">
        <v>1</v>
      </c>
      <c r="J667" s="30">
        <v>33231650</v>
      </c>
      <c r="K667" s="26" t="s">
        <v>20</v>
      </c>
      <c r="L667" s="26" t="s">
        <v>423</v>
      </c>
      <c r="M667" s="31"/>
      <c r="N667" s="2"/>
      <c r="O667" s="2"/>
      <c r="P667" s="2"/>
      <c r="Q667" s="2"/>
      <c r="R667" s="2"/>
      <c r="S667" s="2"/>
      <c r="T667" s="2"/>
      <c r="U667" s="2"/>
      <c r="V667" s="2"/>
      <c r="W667" s="2"/>
      <c r="X667" s="2"/>
      <c r="Y667" s="2"/>
      <c r="Z667" s="2"/>
    </row>
    <row r="668" spans="1:26" ht="12.75" hidden="1" customHeight="1">
      <c r="A668" s="26">
        <v>379</v>
      </c>
      <c r="B668" s="27" t="s">
        <v>909</v>
      </c>
      <c r="C668" s="28">
        <v>41999</v>
      </c>
      <c r="D668" s="27"/>
      <c r="E668" s="27" t="s">
        <v>2032</v>
      </c>
      <c r="F668" s="29" t="s">
        <v>2033</v>
      </c>
      <c r="G668" s="27" t="s">
        <v>55</v>
      </c>
      <c r="H668" s="27" t="s">
        <v>19</v>
      </c>
      <c r="I668" s="27">
        <v>1</v>
      </c>
      <c r="J668" s="30">
        <v>49407932</v>
      </c>
      <c r="K668" s="26" t="s">
        <v>20</v>
      </c>
      <c r="L668" s="26" t="s">
        <v>233</v>
      </c>
      <c r="M668" s="31" t="s">
        <v>5374</v>
      </c>
      <c r="N668" s="2"/>
      <c r="O668" s="2"/>
      <c r="P668" s="2"/>
      <c r="Q668" s="2"/>
      <c r="R668" s="2"/>
      <c r="S668" s="2"/>
      <c r="T668" s="2"/>
      <c r="U668" s="2"/>
      <c r="V668" s="2"/>
      <c r="W668" s="2"/>
      <c r="X668" s="2"/>
      <c r="Y668" s="2"/>
      <c r="Z668" s="2"/>
    </row>
    <row r="669" spans="1:26" ht="25.5" hidden="1" customHeight="1">
      <c r="A669" s="26" t="s">
        <v>2035</v>
      </c>
      <c r="B669" s="27"/>
      <c r="C669" s="28"/>
      <c r="D669" s="27"/>
      <c r="E669" s="27" t="s">
        <v>2036</v>
      </c>
      <c r="F669" s="29" t="s">
        <v>2037</v>
      </c>
      <c r="G669" s="27" t="s">
        <v>55</v>
      </c>
      <c r="H669" s="27" t="s">
        <v>19</v>
      </c>
      <c r="I669" s="27">
        <v>1</v>
      </c>
      <c r="J669" s="30">
        <v>10740855</v>
      </c>
      <c r="K669" s="26" t="s">
        <v>20</v>
      </c>
      <c r="L669" s="26" t="s">
        <v>233</v>
      </c>
      <c r="M669" s="31"/>
      <c r="N669" s="2"/>
      <c r="O669" s="2"/>
      <c r="P669" s="2"/>
      <c r="Q669" s="2"/>
      <c r="R669" s="2"/>
      <c r="S669" s="2"/>
      <c r="T669" s="2"/>
      <c r="U669" s="2"/>
      <c r="V669" s="2"/>
      <c r="W669" s="2"/>
      <c r="X669" s="2"/>
      <c r="Y669" s="2"/>
      <c r="Z669" s="2"/>
    </row>
    <row r="670" spans="1:26" ht="25.5" hidden="1" customHeight="1">
      <c r="A670" s="26" t="s">
        <v>2038</v>
      </c>
      <c r="B670" s="27"/>
      <c r="C670" s="28"/>
      <c r="D670" s="27"/>
      <c r="E670" s="27" t="s">
        <v>2039</v>
      </c>
      <c r="F670" s="29" t="s">
        <v>2040</v>
      </c>
      <c r="G670" s="27" t="s">
        <v>55</v>
      </c>
      <c r="H670" s="27" t="s">
        <v>19</v>
      </c>
      <c r="I670" s="27">
        <v>1</v>
      </c>
      <c r="J670" s="30">
        <v>10740855</v>
      </c>
      <c r="K670" s="26" t="s">
        <v>20</v>
      </c>
      <c r="L670" s="26" t="s">
        <v>233</v>
      </c>
      <c r="M670" s="31"/>
      <c r="N670" s="2"/>
      <c r="O670" s="2"/>
      <c r="P670" s="2"/>
      <c r="Q670" s="2"/>
      <c r="R670" s="2"/>
      <c r="S670" s="2"/>
      <c r="T670" s="2"/>
      <c r="U670" s="2"/>
      <c r="V670" s="2"/>
      <c r="W670" s="2"/>
      <c r="X670" s="2"/>
      <c r="Y670" s="2"/>
      <c r="Z670" s="2"/>
    </row>
    <row r="671" spans="1:26" ht="25.5" hidden="1" customHeight="1">
      <c r="A671" s="26">
        <v>380</v>
      </c>
      <c r="B671" s="27" t="s">
        <v>2041</v>
      </c>
      <c r="C671" s="28">
        <v>42184</v>
      </c>
      <c r="D671" s="27"/>
      <c r="E671" s="27" t="s">
        <v>2042</v>
      </c>
      <c r="F671" s="29" t="s">
        <v>2043</v>
      </c>
      <c r="G671" s="27" t="s">
        <v>55</v>
      </c>
      <c r="H671" s="27" t="s">
        <v>19</v>
      </c>
      <c r="I671" s="27">
        <v>1</v>
      </c>
      <c r="J671" s="30">
        <v>57165919</v>
      </c>
      <c r="K671" s="26" t="s">
        <v>20</v>
      </c>
      <c r="L671" s="26" t="s">
        <v>233</v>
      </c>
      <c r="M671" s="31" t="s">
        <v>5375</v>
      </c>
      <c r="N671" s="2"/>
      <c r="O671" s="2"/>
      <c r="P671" s="2"/>
      <c r="Q671" s="2"/>
      <c r="R671" s="2"/>
      <c r="S671" s="2"/>
      <c r="T671" s="2"/>
      <c r="U671" s="2"/>
      <c r="V671" s="2"/>
      <c r="W671" s="2"/>
      <c r="X671" s="2"/>
      <c r="Y671" s="2"/>
      <c r="Z671" s="2"/>
    </row>
    <row r="672" spans="1:26" ht="25.5" hidden="1" customHeight="1">
      <c r="A672" s="26" t="s">
        <v>2045</v>
      </c>
      <c r="B672" s="27"/>
      <c r="C672" s="28"/>
      <c r="D672" s="27"/>
      <c r="E672" s="27" t="s">
        <v>2046</v>
      </c>
      <c r="F672" s="29" t="s">
        <v>2047</v>
      </c>
      <c r="G672" s="27" t="s">
        <v>55</v>
      </c>
      <c r="H672" s="27" t="s">
        <v>249</v>
      </c>
      <c r="I672" s="27">
        <v>1</v>
      </c>
      <c r="J672" s="30">
        <v>0</v>
      </c>
      <c r="K672" s="26" t="s">
        <v>20</v>
      </c>
      <c r="L672" s="26" t="s">
        <v>233</v>
      </c>
      <c r="M672" s="31"/>
      <c r="N672" s="2"/>
      <c r="O672" s="2"/>
      <c r="P672" s="2"/>
      <c r="Q672" s="2"/>
      <c r="R672" s="2"/>
      <c r="S672" s="2"/>
      <c r="T672" s="2"/>
      <c r="U672" s="2"/>
      <c r="V672" s="2"/>
      <c r="W672" s="2"/>
      <c r="X672" s="2"/>
      <c r="Y672" s="2"/>
      <c r="Z672" s="2"/>
    </row>
    <row r="673" spans="1:26" ht="25.5" hidden="1" customHeight="1">
      <c r="A673" s="26" t="s">
        <v>2049</v>
      </c>
      <c r="B673" s="27"/>
      <c r="C673" s="28"/>
      <c r="D673" s="27"/>
      <c r="E673" s="27" t="s">
        <v>2050</v>
      </c>
      <c r="F673" s="29" t="s">
        <v>2051</v>
      </c>
      <c r="G673" s="27" t="s">
        <v>55</v>
      </c>
      <c r="H673" s="27" t="s">
        <v>249</v>
      </c>
      <c r="I673" s="27">
        <v>1</v>
      </c>
      <c r="J673" s="30">
        <v>0</v>
      </c>
      <c r="K673" s="26" t="s">
        <v>20</v>
      </c>
      <c r="L673" s="26" t="s">
        <v>233</v>
      </c>
      <c r="M673" s="31"/>
      <c r="N673" s="2"/>
      <c r="O673" s="2"/>
      <c r="P673" s="2"/>
      <c r="Q673" s="2"/>
      <c r="R673" s="2"/>
      <c r="S673" s="2"/>
      <c r="T673" s="2"/>
      <c r="U673" s="2"/>
      <c r="V673" s="2"/>
      <c r="W673" s="2"/>
      <c r="X673" s="2"/>
      <c r="Y673" s="2"/>
      <c r="Z673" s="2"/>
    </row>
    <row r="674" spans="1:26" ht="25.5" hidden="1" customHeight="1">
      <c r="A674" s="26">
        <v>381</v>
      </c>
      <c r="B674" s="27" t="s">
        <v>599</v>
      </c>
      <c r="C674" s="28">
        <v>42671</v>
      </c>
      <c r="D674" s="27"/>
      <c r="E674" s="27" t="s">
        <v>2052</v>
      </c>
      <c r="F674" s="29" t="s">
        <v>2053</v>
      </c>
      <c r="G674" s="27" t="s">
        <v>307</v>
      </c>
      <c r="H674" s="27" t="s">
        <v>19</v>
      </c>
      <c r="I674" s="27">
        <v>1</v>
      </c>
      <c r="J674" s="30">
        <v>46981879</v>
      </c>
      <c r="K674" s="26" t="s">
        <v>36</v>
      </c>
      <c r="L674" s="26" t="s">
        <v>1542</v>
      </c>
      <c r="M674" s="31" t="s">
        <v>2055</v>
      </c>
      <c r="N674" s="2"/>
      <c r="O674" s="2"/>
      <c r="P674" s="2"/>
      <c r="Q674" s="2"/>
      <c r="R674" s="2"/>
      <c r="S674" s="2"/>
      <c r="T674" s="2"/>
      <c r="U674" s="2"/>
      <c r="V674" s="2"/>
      <c r="W674" s="2"/>
      <c r="X674" s="2"/>
      <c r="Y674" s="2"/>
      <c r="Z674" s="2"/>
    </row>
    <row r="675" spans="1:26" ht="25.5" hidden="1" customHeight="1">
      <c r="A675" s="26">
        <v>382</v>
      </c>
      <c r="B675" s="27" t="s">
        <v>599</v>
      </c>
      <c r="C675" s="28">
        <v>42671</v>
      </c>
      <c r="D675" s="27"/>
      <c r="E675" s="27" t="s">
        <v>2056</v>
      </c>
      <c r="F675" s="29" t="s">
        <v>2057</v>
      </c>
      <c r="G675" s="27" t="s">
        <v>307</v>
      </c>
      <c r="H675" s="27" t="s">
        <v>19</v>
      </c>
      <c r="I675" s="27">
        <v>1</v>
      </c>
      <c r="J675" s="30">
        <v>46981879</v>
      </c>
      <c r="K675" s="26" t="s">
        <v>36</v>
      </c>
      <c r="L675" s="26" t="s">
        <v>1542</v>
      </c>
      <c r="M675" s="31" t="s">
        <v>2058</v>
      </c>
      <c r="N675" s="2"/>
      <c r="O675" s="2"/>
      <c r="P675" s="2"/>
      <c r="Q675" s="2"/>
      <c r="R675" s="2"/>
      <c r="S675" s="2"/>
      <c r="T675" s="2"/>
      <c r="U675" s="2"/>
      <c r="V675" s="2"/>
      <c r="W675" s="2"/>
      <c r="X675" s="2"/>
      <c r="Y675" s="2"/>
      <c r="Z675" s="2"/>
    </row>
    <row r="676" spans="1:26" ht="25.5" hidden="1" customHeight="1">
      <c r="A676" s="26">
        <v>383</v>
      </c>
      <c r="B676" s="27" t="s">
        <v>1993</v>
      </c>
      <c r="C676" s="28">
        <v>42956</v>
      </c>
      <c r="D676" s="27"/>
      <c r="E676" s="27" t="s">
        <v>2059</v>
      </c>
      <c r="F676" s="29" t="s">
        <v>2060</v>
      </c>
      <c r="G676" s="27" t="s">
        <v>307</v>
      </c>
      <c r="H676" s="27" t="s">
        <v>19</v>
      </c>
      <c r="I676" s="27">
        <v>1</v>
      </c>
      <c r="J676" s="30">
        <v>40750000</v>
      </c>
      <c r="K676" s="26" t="s">
        <v>36</v>
      </c>
      <c r="L676" s="26" t="s">
        <v>1542</v>
      </c>
      <c r="M676" s="31" t="s">
        <v>2061</v>
      </c>
      <c r="N676" s="2"/>
      <c r="O676" s="2"/>
      <c r="P676" s="2"/>
      <c r="Q676" s="2"/>
      <c r="R676" s="2"/>
      <c r="S676" s="2"/>
      <c r="T676" s="2"/>
      <c r="U676" s="2"/>
      <c r="V676" s="2"/>
      <c r="W676" s="2"/>
      <c r="X676" s="2"/>
      <c r="Y676" s="2"/>
      <c r="Z676" s="2"/>
    </row>
    <row r="677" spans="1:26" ht="25.5" hidden="1" customHeight="1">
      <c r="A677" s="26">
        <v>384</v>
      </c>
      <c r="B677" s="27" t="s">
        <v>1993</v>
      </c>
      <c r="C677" s="28">
        <v>42956</v>
      </c>
      <c r="D677" s="27"/>
      <c r="E677" s="27" t="s">
        <v>2062</v>
      </c>
      <c r="F677" s="29" t="s">
        <v>2063</v>
      </c>
      <c r="G677" s="27" t="s">
        <v>307</v>
      </c>
      <c r="H677" s="27" t="s">
        <v>19</v>
      </c>
      <c r="I677" s="27">
        <v>1</v>
      </c>
      <c r="J677" s="30">
        <v>40750000</v>
      </c>
      <c r="K677" s="26" t="s">
        <v>36</v>
      </c>
      <c r="L677" s="26" t="s">
        <v>1542</v>
      </c>
      <c r="M677" s="31" t="s">
        <v>2064</v>
      </c>
      <c r="N677" s="2"/>
      <c r="O677" s="2"/>
      <c r="P677" s="2"/>
      <c r="Q677" s="2"/>
      <c r="R677" s="2"/>
      <c r="S677" s="2"/>
      <c r="T677" s="2"/>
      <c r="U677" s="2"/>
      <c r="V677" s="2"/>
      <c r="W677" s="2"/>
      <c r="X677" s="2"/>
      <c r="Y677" s="2"/>
      <c r="Z677" s="2"/>
    </row>
    <row r="678" spans="1:26" ht="25.5" hidden="1" customHeight="1">
      <c r="A678" s="26">
        <v>385</v>
      </c>
      <c r="B678" s="27" t="s">
        <v>797</v>
      </c>
      <c r="C678" s="28">
        <v>42671</v>
      </c>
      <c r="D678" s="27"/>
      <c r="E678" s="27" t="s">
        <v>2065</v>
      </c>
      <c r="F678" s="29" t="s">
        <v>2066</v>
      </c>
      <c r="G678" s="27" t="s">
        <v>307</v>
      </c>
      <c r="H678" s="27" t="s">
        <v>19</v>
      </c>
      <c r="I678" s="27">
        <v>1</v>
      </c>
      <c r="J678" s="30">
        <v>46539155</v>
      </c>
      <c r="K678" s="26" t="s">
        <v>206</v>
      </c>
      <c r="L678" s="26" t="s">
        <v>1514</v>
      </c>
      <c r="M678" s="31" t="s">
        <v>2067</v>
      </c>
      <c r="N678" s="2"/>
      <c r="O678" s="2"/>
      <c r="P678" s="2"/>
      <c r="Q678" s="2"/>
      <c r="R678" s="2"/>
      <c r="S678" s="2"/>
      <c r="T678" s="2"/>
      <c r="U678" s="2"/>
      <c r="V678" s="2"/>
      <c r="W678" s="2"/>
      <c r="X678" s="2"/>
      <c r="Y678" s="2"/>
      <c r="Z678" s="2"/>
    </row>
    <row r="679" spans="1:26" ht="25.5" hidden="1" customHeight="1">
      <c r="A679" s="26">
        <v>386</v>
      </c>
      <c r="B679" s="27" t="s">
        <v>1989</v>
      </c>
      <c r="C679" s="28">
        <v>43827</v>
      </c>
      <c r="D679" s="27"/>
      <c r="E679" s="27" t="s">
        <v>2068</v>
      </c>
      <c r="F679" s="29" t="s">
        <v>2069</v>
      </c>
      <c r="G679" s="27" t="s">
        <v>2070</v>
      </c>
      <c r="H679" s="27" t="s">
        <v>19</v>
      </c>
      <c r="I679" s="27">
        <v>1</v>
      </c>
      <c r="J679" s="30">
        <v>48450000</v>
      </c>
      <c r="K679" s="26" t="s">
        <v>20</v>
      </c>
      <c r="L679" s="26" t="s">
        <v>295</v>
      </c>
      <c r="M679" s="31" t="s">
        <v>5376</v>
      </c>
      <c r="N679" s="2"/>
      <c r="O679" s="2"/>
      <c r="P679" s="2"/>
      <c r="Q679" s="2"/>
      <c r="R679" s="2"/>
      <c r="S679" s="2"/>
      <c r="T679" s="2"/>
      <c r="U679" s="2"/>
      <c r="V679" s="2"/>
      <c r="W679" s="2"/>
      <c r="X679" s="2"/>
      <c r="Y679" s="2"/>
      <c r="Z679" s="2"/>
    </row>
    <row r="680" spans="1:26" ht="25.5" hidden="1" customHeight="1">
      <c r="A680" s="26">
        <v>387</v>
      </c>
      <c r="B680" s="27" t="s">
        <v>1989</v>
      </c>
      <c r="C680" s="28">
        <v>43827</v>
      </c>
      <c r="D680" s="27"/>
      <c r="E680" s="27" t="s">
        <v>2072</v>
      </c>
      <c r="F680" s="29" t="s">
        <v>2073</v>
      </c>
      <c r="G680" s="27" t="s">
        <v>2070</v>
      </c>
      <c r="H680" s="27" t="s">
        <v>19</v>
      </c>
      <c r="I680" s="27">
        <v>1</v>
      </c>
      <c r="J680" s="30">
        <v>48450000</v>
      </c>
      <c r="K680" s="26" t="s">
        <v>20</v>
      </c>
      <c r="L680" s="26" t="s">
        <v>233</v>
      </c>
      <c r="M680" s="31" t="s">
        <v>2074</v>
      </c>
      <c r="N680" s="2"/>
      <c r="O680" s="2"/>
      <c r="P680" s="2"/>
      <c r="Q680" s="2"/>
      <c r="R680" s="2"/>
      <c r="S680" s="2"/>
      <c r="T680" s="2"/>
      <c r="U680" s="2"/>
      <c r="V680" s="2"/>
      <c r="W680" s="2"/>
      <c r="X680" s="2"/>
      <c r="Y680" s="2"/>
      <c r="Z680" s="2"/>
    </row>
    <row r="681" spans="1:26" ht="25.5" hidden="1" customHeight="1">
      <c r="A681" s="26">
        <v>388</v>
      </c>
      <c r="B681" s="27" t="s">
        <v>1989</v>
      </c>
      <c r="C681" s="28">
        <v>43827</v>
      </c>
      <c r="D681" s="27"/>
      <c r="E681" s="27" t="s">
        <v>2075</v>
      </c>
      <c r="F681" s="29" t="s">
        <v>2076</v>
      </c>
      <c r="G681" s="27" t="s">
        <v>2070</v>
      </c>
      <c r="H681" s="27" t="s">
        <v>19</v>
      </c>
      <c r="I681" s="27">
        <v>1</v>
      </c>
      <c r="J681" s="30">
        <v>48450000</v>
      </c>
      <c r="K681" s="26" t="s">
        <v>20</v>
      </c>
      <c r="L681" s="26" t="s">
        <v>233</v>
      </c>
      <c r="M681" s="31" t="s">
        <v>2074</v>
      </c>
      <c r="N681" s="2"/>
      <c r="O681" s="2"/>
      <c r="P681" s="2"/>
      <c r="Q681" s="2"/>
      <c r="R681" s="2"/>
      <c r="S681" s="2"/>
      <c r="T681" s="2"/>
      <c r="U681" s="2"/>
      <c r="V681" s="2"/>
      <c r="W681" s="2"/>
      <c r="X681" s="2"/>
      <c r="Y681" s="2"/>
      <c r="Z681" s="2"/>
    </row>
    <row r="682" spans="1:26" ht="25.5" hidden="1" customHeight="1">
      <c r="A682" s="26">
        <v>389</v>
      </c>
      <c r="B682" s="27" t="s">
        <v>1989</v>
      </c>
      <c r="C682" s="28">
        <v>43827</v>
      </c>
      <c r="D682" s="27"/>
      <c r="E682" s="27" t="s">
        <v>2078</v>
      </c>
      <c r="F682" s="29" t="s">
        <v>2079</v>
      </c>
      <c r="G682" s="27" t="s">
        <v>2070</v>
      </c>
      <c r="H682" s="27" t="s">
        <v>19</v>
      </c>
      <c r="I682" s="27">
        <v>1</v>
      </c>
      <c r="J682" s="30">
        <v>48450000</v>
      </c>
      <c r="K682" s="26" t="s">
        <v>20</v>
      </c>
      <c r="L682" s="26" t="s">
        <v>423</v>
      </c>
      <c r="M682" s="31" t="s">
        <v>5248</v>
      </c>
      <c r="N682" s="2"/>
      <c r="O682" s="2"/>
      <c r="P682" s="2"/>
      <c r="Q682" s="2"/>
      <c r="R682" s="2"/>
      <c r="S682" s="2"/>
      <c r="T682" s="2"/>
      <c r="U682" s="2"/>
      <c r="V682" s="2"/>
      <c r="W682" s="2"/>
      <c r="X682" s="2"/>
      <c r="Y682" s="2"/>
      <c r="Z682" s="2"/>
    </row>
    <row r="683" spans="1:26" ht="25.5" hidden="1" customHeight="1">
      <c r="A683" s="26">
        <v>390</v>
      </c>
      <c r="B683" s="27" t="s">
        <v>1198</v>
      </c>
      <c r="C683" s="28">
        <v>36160</v>
      </c>
      <c r="D683" s="27" t="s">
        <v>2081</v>
      </c>
      <c r="E683" s="27" t="s">
        <v>2082</v>
      </c>
      <c r="F683" s="29" t="s">
        <v>2083</v>
      </c>
      <c r="G683" s="27"/>
      <c r="H683" s="27" t="s">
        <v>249</v>
      </c>
      <c r="I683" s="27">
        <v>1</v>
      </c>
      <c r="J683" s="30">
        <v>42145125</v>
      </c>
      <c r="K683" s="26" t="s">
        <v>20</v>
      </c>
      <c r="L683" s="26" t="s">
        <v>5288</v>
      </c>
      <c r="M683" s="31" t="s">
        <v>5377</v>
      </c>
      <c r="N683" s="2"/>
      <c r="O683" s="2"/>
      <c r="P683" s="2"/>
      <c r="Q683" s="2"/>
      <c r="R683" s="2"/>
      <c r="S683" s="2"/>
      <c r="T683" s="2"/>
      <c r="U683" s="2"/>
      <c r="V683" s="2"/>
      <c r="W683" s="2"/>
      <c r="X683" s="2"/>
      <c r="Y683" s="2"/>
      <c r="Z683" s="2"/>
    </row>
    <row r="684" spans="1:26" ht="12.75" hidden="1" customHeight="1">
      <c r="A684" s="26" t="s">
        <v>2084</v>
      </c>
      <c r="B684" s="27"/>
      <c r="C684" s="28"/>
      <c r="D684" s="27"/>
      <c r="E684" s="27" t="s">
        <v>2085</v>
      </c>
      <c r="F684" s="29" t="s">
        <v>2086</v>
      </c>
      <c r="G684" s="27"/>
      <c r="H684" s="27"/>
      <c r="I684" s="27">
        <v>1</v>
      </c>
      <c r="J684" s="30">
        <v>0</v>
      </c>
      <c r="K684" s="26" t="s">
        <v>20</v>
      </c>
      <c r="L684" s="26" t="s">
        <v>5288</v>
      </c>
      <c r="M684" s="31"/>
      <c r="N684" s="2"/>
      <c r="O684" s="2"/>
      <c r="P684" s="2"/>
      <c r="Q684" s="2"/>
      <c r="R684" s="2"/>
      <c r="S684" s="2"/>
      <c r="T684" s="2"/>
      <c r="U684" s="2"/>
      <c r="V684" s="2"/>
      <c r="W684" s="2"/>
      <c r="X684" s="2"/>
      <c r="Y684" s="2"/>
      <c r="Z684" s="2"/>
    </row>
    <row r="685" spans="1:26" ht="12.75" hidden="1" customHeight="1">
      <c r="A685" s="26" t="s">
        <v>2087</v>
      </c>
      <c r="B685" s="27"/>
      <c r="C685" s="28"/>
      <c r="D685" s="27"/>
      <c r="E685" s="27" t="s">
        <v>2088</v>
      </c>
      <c r="F685" s="29" t="s">
        <v>2089</v>
      </c>
      <c r="G685" s="27"/>
      <c r="H685" s="27"/>
      <c r="I685" s="27">
        <v>1</v>
      </c>
      <c r="J685" s="30"/>
      <c r="K685" s="26" t="s">
        <v>20</v>
      </c>
      <c r="L685" s="26" t="s">
        <v>5288</v>
      </c>
      <c r="M685" s="31"/>
      <c r="N685" s="2"/>
      <c r="O685" s="2"/>
      <c r="P685" s="2"/>
      <c r="Q685" s="2"/>
      <c r="R685" s="2"/>
      <c r="S685" s="2"/>
      <c r="T685" s="2"/>
      <c r="U685" s="2"/>
      <c r="V685" s="2"/>
      <c r="W685" s="2"/>
      <c r="X685" s="2"/>
      <c r="Y685" s="2"/>
      <c r="Z685" s="2"/>
    </row>
    <row r="686" spans="1:26" ht="12.75" hidden="1" customHeight="1">
      <c r="A686" s="26" t="s">
        <v>2090</v>
      </c>
      <c r="B686" s="27"/>
      <c r="C686" s="28"/>
      <c r="D686" s="27"/>
      <c r="E686" s="27" t="s">
        <v>2091</v>
      </c>
      <c r="F686" s="29" t="s">
        <v>2092</v>
      </c>
      <c r="G686" s="27"/>
      <c r="H686" s="27"/>
      <c r="I686" s="27">
        <v>1</v>
      </c>
      <c r="J686" s="30"/>
      <c r="K686" s="26" t="s">
        <v>20</v>
      </c>
      <c r="L686" s="26" t="s">
        <v>5288</v>
      </c>
      <c r="M686" s="31"/>
      <c r="N686" s="2"/>
      <c r="O686" s="2"/>
      <c r="P686" s="2"/>
      <c r="Q686" s="2"/>
      <c r="R686" s="2"/>
      <c r="S686" s="2"/>
      <c r="T686" s="2"/>
      <c r="U686" s="2"/>
      <c r="V686" s="2"/>
      <c r="W686" s="2"/>
      <c r="X686" s="2"/>
      <c r="Y686" s="2"/>
      <c r="Z686" s="2"/>
    </row>
    <row r="687" spans="1:26" ht="25.5" hidden="1" customHeight="1">
      <c r="A687" s="26">
        <v>391</v>
      </c>
      <c r="B687" s="27" t="s">
        <v>1198</v>
      </c>
      <c r="C687" s="28">
        <v>36160</v>
      </c>
      <c r="D687" s="27" t="s">
        <v>2081</v>
      </c>
      <c r="E687" s="27" t="s">
        <v>2093</v>
      </c>
      <c r="F687" s="29" t="s">
        <v>2083</v>
      </c>
      <c r="G687" s="27"/>
      <c r="H687" s="27" t="s">
        <v>249</v>
      </c>
      <c r="I687" s="27">
        <v>1</v>
      </c>
      <c r="J687" s="30">
        <v>42145125</v>
      </c>
      <c r="K687" s="26" t="s">
        <v>20</v>
      </c>
      <c r="L687" s="26" t="s">
        <v>295</v>
      </c>
      <c r="M687" s="31" t="s">
        <v>3692</v>
      </c>
      <c r="N687" s="2"/>
      <c r="O687" s="2"/>
      <c r="P687" s="2"/>
      <c r="Q687" s="2"/>
      <c r="R687" s="2"/>
      <c r="S687" s="2"/>
      <c r="T687" s="2"/>
      <c r="U687" s="2"/>
      <c r="V687" s="2"/>
      <c r="W687" s="2"/>
      <c r="X687" s="2"/>
      <c r="Y687" s="2"/>
      <c r="Z687" s="2"/>
    </row>
    <row r="688" spans="1:26" ht="12.75" hidden="1" customHeight="1">
      <c r="A688" s="26" t="s">
        <v>2094</v>
      </c>
      <c r="B688" s="27"/>
      <c r="C688" s="28"/>
      <c r="D688" s="27"/>
      <c r="E688" s="27" t="s">
        <v>2095</v>
      </c>
      <c r="F688" s="29" t="s">
        <v>2086</v>
      </c>
      <c r="G688" s="27"/>
      <c r="H688" s="27"/>
      <c r="I688" s="27">
        <v>1</v>
      </c>
      <c r="J688" s="30">
        <v>0</v>
      </c>
      <c r="K688" s="26" t="s">
        <v>20</v>
      </c>
      <c r="L688" s="26" t="s">
        <v>295</v>
      </c>
      <c r="M688" s="31"/>
      <c r="N688" s="2"/>
      <c r="O688" s="2"/>
      <c r="P688" s="2"/>
      <c r="Q688" s="2"/>
      <c r="R688" s="2"/>
      <c r="S688" s="2"/>
      <c r="T688" s="2"/>
      <c r="U688" s="2"/>
      <c r="V688" s="2"/>
      <c r="W688" s="2"/>
      <c r="X688" s="2"/>
      <c r="Y688" s="2"/>
      <c r="Z688" s="2"/>
    </row>
    <row r="689" spans="1:26" ht="12.75" hidden="1" customHeight="1">
      <c r="A689" s="26" t="s">
        <v>2096</v>
      </c>
      <c r="B689" s="27"/>
      <c r="C689" s="28"/>
      <c r="D689" s="27"/>
      <c r="E689" s="27" t="s">
        <v>2097</v>
      </c>
      <c r="F689" s="29" t="s">
        <v>2089</v>
      </c>
      <c r="G689" s="27"/>
      <c r="H689" s="27"/>
      <c r="I689" s="27">
        <v>1</v>
      </c>
      <c r="J689" s="30"/>
      <c r="K689" s="26" t="s">
        <v>20</v>
      </c>
      <c r="L689" s="26" t="s">
        <v>295</v>
      </c>
      <c r="M689" s="31"/>
      <c r="N689" s="2"/>
      <c r="O689" s="2"/>
      <c r="P689" s="2"/>
      <c r="Q689" s="2"/>
      <c r="R689" s="2"/>
      <c r="S689" s="2"/>
      <c r="T689" s="2"/>
      <c r="U689" s="2"/>
      <c r="V689" s="2"/>
      <c r="W689" s="2"/>
      <c r="X689" s="2"/>
      <c r="Y689" s="2"/>
      <c r="Z689" s="2"/>
    </row>
    <row r="690" spans="1:26" ht="12.75" hidden="1" customHeight="1">
      <c r="A690" s="26" t="s">
        <v>2098</v>
      </c>
      <c r="B690" s="27"/>
      <c r="C690" s="28"/>
      <c r="D690" s="27"/>
      <c r="E690" s="27" t="s">
        <v>2099</v>
      </c>
      <c r="F690" s="29" t="s">
        <v>2092</v>
      </c>
      <c r="G690" s="27"/>
      <c r="H690" s="27"/>
      <c r="I690" s="27">
        <v>1</v>
      </c>
      <c r="J690" s="30"/>
      <c r="K690" s="26" t="s">
        <v>20</v>
      </c>
      <c r="L690" s="26" t="s">
        <v>295</v>
      </c>
      <c r="M690" s="31"/>
      <c r="N690" s="2"/>
      <c r="O690" s="2"/>
      <c r="P690" s="2"/>
      <c r="Q690" s="2"/>
      <c r="R690" s="2"/>
      <c r="S690" s="2"/>
      <c r="T690" s="2"/>
      <c r="U690" s="2"/>
      <c r="V690" s="2"/>
      <c r="W690" s="2"/>
      <c r="X690" s="2"/>
      <c r="Y690" s="2"/>
      <c r="Z690" s="2"/>
    </row>
    <row r="691" spans="1:26" ht="25.5" hidden="1" customHeight="1">
      <c r="A691" s="26">
        <v>392</v>
      </c>
      <c r="B691" s="27" t="s">
        <v>1198</v>
      </c>
      <c r="C691" s="28">
        <v>36160</v>
      </c>
      <c r="D691" s="27" t="s">
        <v>2081</v>
      </c>
      <c r="E691" s="27" t="s">
        <v>2100</v>
      </c>
      <c r="F691" s="29" t="s">
        <v>2083</v>
      </c>
      <c r="G691" s="27"/>
      <c r="H691" s="27" t="s">
        <v>249</v>
      </c>
      <c r="I691" s="27">
        <v>1</v>
      </c>
      <c r="J691" s="30">
        <v>42145125</v>
      </c>
      <c r="K691" s="26" t="s">
        <v>20</v>
      </c>
      <c r="L691" s="26" t="s">
        <v>295</v>
      </c>
      <c r="M691" s="31" t="s">
        <v>3692</v>
      </c>
      <c r="N691" s="2"/>
      <c r="O691" s="2"/>
      <c r="P691" s="2"/>
      <c r="Q691" s="2"/>
      <c r="R691" s="2"/>
      <c r="S691" s="2"/>
      <c r="T691" s="2"/>
      <c r="U691" s="2"/>
      <c r="V691" s="2"/>
      <c r="W691" s="2"/>
      <c r="X691" s="2"/>
      <c r="Y691" s="2"/>
      <c r="Z691" s="2"/>
    </row>
    <row r="692" spans="1:26" ht="12.75" hidden="1" customHeight="1">
      <c r="A692" s="26" t="s">
        <v>2101</v>
      </c>
      <c r="B692" s="27"/>
      <c r="C692" s="28"/>
      <c r="D692" s="27"/>
      <c r="E692" s="27" t="s">
        <v>2102</v>
      </c>
      <c r="F692" s="29" t="s">
        <v>2103</v>
      </c>
      <c r="G692" s="27"/>
      <c r="H692" s="27"/>
      <c r="I692" s="27">
        <v>1</v>
      </c>
      <c r="J692" s="30"/>
      <c r="K692" s="26" t="s">
        <v>20</v>
      </c>
      <c r="L692" s="26" t="s">
        <v>295</v>
      </c>
      <c r="M692" s="31"/>
      <c r="N692" s="2"/>
      <c r="O692" s="2"/>
      <c r="P692" s="2"/>
      <c r="Q692" s="2"/>
      <c r="R692" s="2"/>
      <c r="S692" s="2"/>
      <c r="T692" s="2"/>
      <c r="U692" s="2"/>
      <c r="V692" s="2"/>
      <c r="W692" s="2"/>
      <c r="X692" s="2"/>
      <c r="Y692" s="2"/>
      <c r="Z692" s="2"/>
    </row>
    <row r="693" spans="1:26" ht="12.75" hidden="1" customHeight="1">
      <c r="A693" s="26" t="s">
        <v>2104</v>
      </c>
      <c r="B693" s="27"/>
      <c r="C693" s="28"/>
      <c r="D693" s="27"/>
      <c r="E693" s="27" t="s">
        <v>2105</v>
      </c>
      <c r="F693" s="29" t="s">
        <v>2089</v>
      </c>
      <c r="G693" s="27"/>
      <c r="H693" s="27"/>
      <c r="I693" s="27">
        <v>1</v>
      </c>
      <c r="J693" s="30"/>
      <c r="K693" s="26" t="s">
        <v>20</v>
      </c>
      <c r="L693" s="26" t="s">
        <v>295</v>
      </c>
      <c r="M693" s="31"/>
      <c r="N693" s="2"/>
      <c r="O693" s="2"/>
      <c r="P693" s="2"/>
      <c r="Q693" s="2"/>
      <c r="R693" s="2"/>
      <c r="S693" s="2"/>
      <c r="T693" s="2"/>
      <c r="U693" s="2"/>
      <c r="V693" s="2"/>
      <c r="W693" s="2"/>
      <c r="X693" s="2"/>
      <c r="Y693" s="2"/>
      <c r="Z693" s="2"/>
    </row>
    <row r="694" spans="1:26" ht="12.75" hidden="1" customHeight="1">
      <c r="A694" s="26" t="s">
        <v>2106</v>
      </c>
      <c r="B694" s="27"/>
      <c r="C694" s="28"/>
      <c r="D694" s="27"/>
      <c r="E694" s="27" t="s">
        <v>2107</v>
      </c>
      <c r="F694" s="29" t="s">
        <v>2092</v>
      </c>
      <c r="G694" s="27"/>
      <c r="H694" s="27"/>
      <c r="I694" s="27">
        <v>1</v>
      </c>
      <c r="J694" s="30"/>
      <c r="K694" s="26" t="s">
        <v>20</v>
      </c>
      <c r="L694" s="26" t="s">
        <v>295</v>
      </c>
      <c r="M694" s="31"/>
      <c r="N694" s="2"/>
      <c r="O694" s="2"/>
      <c r="P694" s="2"/>
      <c r="Q694" s="2"/>
      <c r="R694" s="2"/>
      <c r="S694" s="2"/>
      <c r="T694" s="2"/>
      <c r="U694" s="2"/>
      <c r="V694" s="2"/>
      <c r="W694" s="2"/>
      <c r="X694" s="2"/>
      <c r="Y694" s="2"/>
      <c r="Z694" s="2"/>
    </row>
    <row r="695" spans="1:26" ht="25.5" hidden="1" customHeight="1">
      <c r="A695" s="26">
        <v>393</v>
      </c>
      <c r="B695" s="27" t="s">
        <v>1198</v>
      </c>
      <c r="C695" s="28">
        <v>36160</v>
      </c>
      <c r="D695" s="27" t="s">
        <v>2081</v>
      </c>
      <c r="E695" s="27" t="s">
        <v>2108</v>
      </c>
      <c r="F695" s="29" t="s">
        <v>2083</v>
      </c>
      <c r="G695" s="27"/>
      <c r="H695" s="27" t="s">
        <v>249</v>
      </c>
      <c r="I695" s="27">
        <v>1</v>
      </c>
      <c r="J695" s="30">
        <v>42145125</v>
      </c>
      <c r="K695" s="26" t="s">
        <v>20</v>
      </c>
      <c r="L695" s="26" t="s">
        <v>5288</v>
      </c>
      <c r="M695" s="31" t="s">
        <v>3446</v>
      </c>
      <c r="N695" s="2"/>
      <c r="O695" s="2"/>
      <c r="P695" s="2"/>
      <c r="Q695" s="2"/>
      <c r="R695" s="2"/>
      <c r="S695" s="2"/>
      <c r="T695" s="2"/>
      <c r="U695" s="2"/>
      <c r="V695" s="2"/>
      <c r="W695" s="2"/>
      <c r="X695" s="2"/>
      <c r="Y695" s="2"/>
      <c r="Z695" s="2"/>
    </row>
    <row r="696" spans="1:26" ht="12.75" hidden="1" customHeight="1">
      <c r="A696" s="26" t="s">
        <v>2109</v>
      </c>
      <c r="B696" s="27"/>
      <c r="C696" s="28"/>
      <c r="D696" s="27"/>
      <c r="E696" s="27" t="s">
        <v>2110</v>
      </c>
      <c r="F696" s="29" t="s">
        <v>2103</v>
      </c>
      <c r="G696" s="27"/>
      <c r="H696" s="27"/>
      <c r="I696" s="27">
        <v>1</v>
      </c>
      <c r="J696" s="30"/>
      <c r="K696" s="26" t="s">
        <v>20</v>
      </c>
      <c r="L696" s="26" t="s">
        <v>5288</v>
      </c>
      <c r="M696" s="31"/>
      <c r="N696" s="2"/>
      <c r="O696" s="2"/>
      <c r="P696" s="2"/>
      <c r="Q696" s="2"/>
      <c r="R696" s="2"/>
      <c r="S696" s="2"/>
      <c r="T696" s="2"/>
      <c r="U696" s="2"/>
      <c r="V696" s="2"/>
      <c r="W696" s="2"/>
      <c r="X696" s="2"/>
      <c r="Y696" s="2"/>
      <c r="Z696" s="2"/>
    </row>
    <row r="697" spans="1:26" ht="12.75" hidden="1" customHeight="1">
      <c r="A697" s="26" t="s">
        <v>2111</v>
      </c>
      <c r="B697" s="27"/>
      <c r="C697" s="28"/>
      <c r="D697" s="27"/>
      <c r="E697" s="27" t="s">
        <v>2112</v>
      </c>
      <c r="F697" s="29" t="s">
        <v>2089</v>
      </c>
      <c r="G697" s="27"/>
      <c r="H697" s="27"/>
      <c r="I697" s="27">
        <v>1</v>
      </c>
      <c r="J697" s="30"/>
      <c r="K697" s="26" t="s">
        <v>20</v>
      </c>
      <c r="L697" s="26" t="s">
        <v>5288</v>
      </c>
      <c r="M697" s="31"/>
      <c r="N697" s="2"/>
      <c r="O697" s="2"/>
      <c r="P697" s="2"/>
      <c r="Q697" s="2"/>
      <c r="R697" s="2"/>
      <c r="S697" s="2"/>
      <c r="T697" s="2"/>
      <c r="U697" s="2"/>
      <c r="V697" s="2"/>
      <c r="W697" s="2"/>
      <c r="X697" s="2"/>
      <c r="Y697" s="2"/>
      <c r="Z697" s="2"/>
    </row>
    <row r="698" spans="1:26" ht="12.75" hidden="1" customHeight="1">
      <c r="A698" s="26" t="s">
        <v>2113</v>
      </c>
      <c r="B698" s="27"/>
      <c r="C698" s="28"/>
      <c r="D698" s="27"/>
      <c r="E698" s="27" t="s">
        <v>2114</v>
      </c>
      <c r="F698" s="29" t="s">
        <v>2092</v>
      </c>
      <c r="G698" s="27"/>
      <c r="H698" s="27"/>
      <c r="I698" s="27">
        <v>1</v>
      </c>
      <c r="J698" s="30"/>
      <c r="K698" s="26" t="s">
        <v>20</v>
      </c>
      <c r="L698" s="26" t="s">
        <v>5288</v>
      </c>
      <c r="M698" s="31"/>
      <c r="N698" s="2"/>
      <c r="O698" s="2"/>
      <c r="P698" s="2"/>
      <c r="Q698" s="2"/>
      <c r="R698" s="2"/>
      <c r="S698" s="2"/>
      <c r="T698" s="2"/>
      <c r="U698" s="2"/>
      <c r="V698" s="2"/>
      <c r="W698" s="2"/>
      <c r="X698" s="2"/>
      <c r="Y698" s="2"/>
      <c r="Z698" s="2"/>
    </row>
    <row r="699" spans="1:26" ht="12.75" hidden="1" customHeight="1">
      <c r="A699" s="26">
        <v>394</v>
      </c>
      <c r="B699" s="27" t="s">
        <v>2115</v>
      </c>
      <c r="C699" s="28">
        <v>39813</v>
      </c>
      <c r="D699" s="27"/>
      <c r="E699" s="27" t="s">
        <v>2116</v>
      </c>
      <c r="F699" s="29" t="s">
        <v>2117</v>
      </c>
      <c r="G699" s="27" t="s">
        <v>2070</v>
      </c>
      <c r="H699" s="27" t="s">
        <v>249</v>
      </c>
      <c r="I699" s="27">
        <v>1</v>
      </c>
      <c r="J699" s="30">
        <v>30833841</v>
      </c>
      <c r="K699" s="26" t="s">
        <v>20</v>
      </c>
      <c r="L699" s="26" t="s">
        <v>5288</v>
      </c>
      <c r="M699" s="31" t="s">
        <v>5378</v>
      </c>
      <c r="N699" s="2"/>
      <c r="O699" s="2"/>
      <c r="P699" s="2"/>
      <c r="Q699" s="2"/>
      <c r="R699" s="2"/>
      <c r="S699" s="2"/>
      <c r="T699" s="2"/>
      <c r="U699" s="2"/>
      <c r="V699" s="2"/>
      <c r="W699" s="2"/>
      <c r="X699" s="2"/>
      <c r="Y699" s="2"/>
      <c r="Z699" s="2"/>
    </row>
    <row r="700" spans="1:26" ht="12.75" hidden="1" customHeight="1">
      <c r="A700" s="26">
        <v>395</v>
      </c>
      <c r="B700" s="27" t="s">
        <v>2115</v>
      </c>
      <c r="C700" s="28">
        <v>39813</v>
      </c>
      <c r="D700" s="27"/>
      <c r="E700" s="27" t="s">
        <v>2118</v>
      </c>
      <c r="F700" s="29" t="s">
        <v>2119</v>
      </c>
      <c r="G700" s="27" t="s">
        <v>2070</v>
      </c>
      <c r="H700" s="27" t="s">
        <v>249</v>
      </c>
      <c r="I700" s="27">
        <v>1</v>
      </c>
      <c r="J700" s="30">
        <v>30833841</v>
      </c>
      <c r="K700" s="26" t="s">
        <v>20</v>
      </c>
      <c r="L700" s="26" t="s">
        <v>5288</v>
      </c>
      <c r="M700" s="31" t="s">
        <v>5379</v>
      </c>
      <c r="N700" s="2"/>
      <c r="O700" s="2"/>
      <c r="P700" s="2"/>
      <c r="Q700" s="2"/>
      <c r="R700" s="2"/>
      <c r="S700" s="2"/>
      <c r="T700" s="2"/>
      <c r="U700" s="2"/>
      <c r="V700" s="2"/>
      <c r="W700" s="2"/>
      <c r="X700" s="2"/>
      <c r="Y700" s="2"/>
      <c r="Z700" s="2"/>
    </row>
    <row r="701" spans="1:26" ht="25.5" hidden="1" customHeight="1">
      <c r="A701" s="26">
        <v>396</v>
      </c>
      <c r="B701" s="27" t="s">
        <v>1444</v>
      </c>
      <c r="C701" s="28">
        <v>39980</v>
      </c>
      <c r="D701" s="27"/>
      <c r="E701" s="27" t="s">
        <v>2120</v>
      </c>
      <c r="F701" s="29" t="s">
        <v>2121</v>
      </c>
      <c r="G701" s="27" t="s">
        <v>573</v>
      </c>
      <c r="H701" s="27" t="s">
        <v>249</v>
      </c>
      <c r="I701" s="27">
        <v>1</v>
      </c>
      <c r="J701" s="30">
        <v>44886906</v>
      </c>
      <c r="K701" s="26" t="s">
        <v>20</v>
      </c>
      <c r="L701" s="26" t="s">
        <v>5288</v>
      </c>
      <c r="M701" s="31" t="s">
        <v>2122</v>
      </c>
      <c r="N701" s="2"/>
      <c r="O701" s="2"/>
      <c r="P701" s="2"/>
      <c r="Q701" s="2"/>
      <c r="R701" s="2"/>
      <c r="S701" s="2"/>
      <c r="T701" s="2"/>
      <c r="U701" s="2"/>
      <c r="V701" s="2"/>
      <c r="W701" s="2"/>
      <c r="X701" s="2"/>
      <c r="Y701" s="2"/>
      <c r="Z701" s="2"/>
    </row>
    <row r="702" spans="1:26" ht="25.5" hidden="1" customHeight="1">
      <c r="A702" s="26">
        <v>397</v>
      </c>
      <c r="B702" s="27" t="s">
        <v>1444</v>
      </c>
      <c r="C702" s="28">
        <v>39980</v>
      </c>
      <c r="D702" s="27"/>
      <c r="E702" s="27" t="s">
        <v>2123</v>
      </c>
      <c r="F702" s="29" t="s">
        <v>2124</v>
      </c>
      <c r="G702" s="27" t="s">
        <v>573</v>
      </c>
      <c r="H702" s="27" t="s">
        <v>249</v>
      </c>
      <c r="I702" s="27">
        <v>1</v>
      </c>
      <c r="J702" s="30">
        <v>44886906</v>
      </c>
      <c r="K702" s="26" t="s">
        <v>20</v>
      </c>
      <c r="L702" s="26" t="s">
        <v>5288</v>
      </c>
      <c r="M702" s="31" t="s">
        <v>2122</v>
      </c>
      <c r="N702" s="2"/>
      <c r="O702" s="2"/>
      <c r="P702" s="2"/>
      <c r="Q702" s="2"/>
      <c r="R702" s="2"/>
      <c r="S702" s="2"/>
      <c r="T702" s="2"/>
      <c r="U702" s="2"/>
      <c r="V702" s="2"/>
      <c r="W702" s="2"/>
      <c r="X702" s="2"/>
      <c r="Y702" s="2"/>
      <c r="Z702" s="2"/>
    </row>
    <row r="703" spans="1:26" ht="25.5" hidden="1" customHeight="1">
      <c r="A703" s="26">
        <v>398</v>
      </c>
      <c r="B703" s="27" t="s">
        <v>1444</v>
      </c>
      <c r="C703" s="28">
        <v>39980</v>
      </c>
      <c r="D703" s="27"/>
      <c r="E703" s="27" t="s">
        <v>2125</v>
      </c>
      <c r="F703" s="29" t="s">
        <v>2126</v>
      </c>
      <c r="G703" s="27" t="s">
        <v>573</v>
      </c>
      <c r="H703" s="27" t="s">
        <v>249</v>
      </c>
      <c r="I703" s="27">
        <v>1</v>
      </c>
      <c r="J703" s="30">
        <v>44886906</v>
      </c>
      <c r="K703" s="26" t="s">
        <v>20</v>
      </c>
      <c r="L703" s="26" t="s">
        <v>5288</v>
      </c>
      <c r="M703" s="31" t="s">
        <v>2122</v>
      </c>
      <c r="N703" s="2"/>
      <c r="O703" s="2"/>
      <c r="P703" s="2"/>
      <c r="Q703" s="2"/>
      <c r="R703" s="2"/>
      <c r="S703" s="2"/>
      <c r="T703" s="2"/>
      <c r="U703" s="2"/>
      <c r="V703" s="2"/>
      <c r="W703" s="2"/>
      <c r="X703" s="2"/>
      <c r="Y703" s="2"/>
      <c r="Z703" s="2"/>
    </row>
    <row r="704" spans="1:26" ht="25.5" hidden="1" customHeight="1">
      <c r="A704" s="26">
        <v>399</v>
      </c>
      <c r="B704" s="27" t="s">
        <v>1444</v>
      </c>
      <c r="C704" s="28">
        <v>39980</v>
      </c>
      <c r="D704" s="27"/>
      <c r="E704" s="27" t="s">
        <v>2127</v>
      </c>
      <c r="F704" s="29" t="s">
        <v>2128</v>
      </c>
      <c r="G704" s="27" t="s">
        <v>573</v>
      </c>
      <c r="H704" s="27" t="s">
        <v>249</v>
      </c>
      <c r="I704" s="27">
        <v>1</v>
      </c>
      <c r="J704" s="30">
        <v>44886906</v>
      </c>
      <c r="K704" s="26" t="s">
        <v>20</v>
      </c>
      <c r="L704" s="26" t="s">
        <v>5288</v>
      </c>
      <c r="M704" s="31" t="s">
        <v>2122</v>
      </c>
      <c r="N704" s="2"/>
      <c r="O704" s="2"/>
      <c r="P704" s="2"/>
      <c r="Q704" s="2"/>
      <c r="R704" s="2"/>
      <c r="S704" s="2"/>
      <c r="T704" s="2"/>
      <c r="U704" s="2"/>
      <c r="V704" s="2"/>
      <c r="W704" s="2"/>
      <c r="X704" s="2"/>
      <c r="Y704" s="2"/>
      <c r="Z704" s="2"/>
    </row>
    <row r="705" spans="1:26" ht="25.5" hidden="1" customHeight="1">
      <c r="A705" s="26">
        <v>400</v>
      </c>
      <c r="B705" s="27" t="s">
        <v>1444</v>
      </c>
      <c r="C705" s="28">
        <v>39980</v>
      </c>
      <c r="D705" s="27"/>
      <c r="E705" s="27" t="s">
        <v>2129</v>
      </c>
      <c r="F705" s="29" t="s">
        <v>2130</v>
      </c>
      <c r="G705" s="27" t="s">
        <v>573</v>
      </c>
      <c r="H705" s="27" t="s">
        <v>249</v>
      </c>
      <c r="I705" s="27">
        <v>1</v>
      </c>
      <c r="J705" s="30">
        <v>44886906</v>
      </c>
      <c r="K705" s="26" t="s">
        <v>20</v>
      </c>
      <c r="L705" s="26" t="s">
        <v>5288</v>
      </c>
      <c r="M705" s="31" t="s">
        <v>2122</v>
      </c>
      <c r="N705" s="2"/>
      <c r="O705" s="2"/>
      <c r="P705" s="2"/>
      <c r="Q705" s="2"/>
      <c r="R705" s="2"/>
      <c r="S705" s="2"/>
      <c r="T705" s="2"/>
      <c r="U705" s="2"/>
      <c r="V705" s="2"/>
      <c r="W705" s="2"/>
      <c r="X705" s="2"/>
      <c r="Y705" s="2"/>
      <c r="Z705" s="2"/>
    </row>
    <row r="706" spans="1:26" ht="25.5" hidden="1" customHeight="1">
      <c r="A706" s="26">
        <v>401</v>
      </c>
      <c r="B706" s="27" t="s">
        <v>1444</v>
      </c>
      <c r="C706" s="28">
        <v>39980</v>
      </c>
      <c r="D706" s="27"/>
      <c r="E706" s="27" t="s">
        <v>2131</v>
      </c>
      <c r="F706" s="29" t="s">
        <v>2132</v>
      </c>
      <c r="G706" s="27" t="s">
        <v>573</v>
      </c>
      <c r="H706" s="27" t="s">
        <v>249</v>
      </c>
      <c r="I706" s="27">
        <v>1</v>
      </c>
      <c r="J706" s="30">
        <v>44886906</v>
      </c>
      <c r="K706" s="26" t="s">
        <v>20</v>
      </c>
      <c r="L706" s="26" t="s">
        <v>5288</v>
      </c>
      <c r="M706" s="31" t="s">
        <v>2122</v>
      </c>
      <c r="N706" s="2"/>
      <c r="O706" s="2"/>
      <c r="P706" s="2"/>
      <c r="Q706" s="2"/>
      <c r="R706" s="2"/>
      <c r="S706" s="2"/>
      <c r="T706" s="2"/>
      <c r="U706" s="2"/>
      <c r="V706" s="2"/>
      <c r="W706" s="2"/>
      <c r="X706" s="2"/>
      <c r="Y706" s="2"/>
      <c r="Z706" s="2"/>
    </row>
    <row r="707" spans="1:26" ht="25.5" hidden="1" customHeight="1">
      <c r="A707" s="26">
        <v>402</v>
      </c>
      <c r="B707" s="27" t="s">
        <v>1444</v>
      </c>
      <c r="C707" s="28">
        <v>39980</v>
      </c>
      <c r="D707" s="27"/>
      <c r="E707" s="27" t="s">
        <v>2133</v>
      </c>
      <c r="F707" s="29" t="s">
        <v>2134</v>
      </c>
      <c r="G707" s="27" t="s">
        <v>573</v>
      </c>
      <c r="H707" s="27" t="s">
        <v>249</v>
      </c>
      <c r="I707" s="27">
        <v>1</v>
      </c>
      <c r="J707" s="30">
        <v>44886906</v>
      </c>
      <c r="K707" s="26" t="s">
        <v>20</v>
      </c>
      <c r="L707" s="26" t="s">
        <v>5288</v>
      </c>
      <c r="M707" s="31" t="s">
        <v>2122</v>
      </c>
      <c r="N707" s="2"/>
      <c r="O707" s="2"/>
      <c r="P707" s="2"/>
      <c r="Q707" s="2"/>
      <c r="R707" s="2"/>
      <c r="S707" s="2"/>
      <c r="T707" s="2"/>
      <c r="U707" s="2"/>
      <c r="V707" s="2"/>
      <c r="W707" s="2"/>
      <c r="X707" s="2"/>
      <c r="Y707" s="2"/>
      <c r="Z707" s="2"/>
    </row>
    <row r="708" spans="1:26" ht="25.5" hidden="1" customHeight="1">
      <c r="A708" s="26">
        <v>403</v>
      </c>
      <c r="B708" s="27" t="s">
        <v>1444</v>
      </c>
      <c r="C708" s="28">
        <v>39980</v>
      </c>
      <c r="D708" s="27"/>
      <c r="E708" s="27" t="s">
        <v>2135</v>
      </c>
      <c r="F708" s="29" t="s">
        <v>2136</v>
      </c>
      <c r="G708" s="27" t="s">
        <v>573</v>
      </c>
      <c r="H708" s="27" t="s">
        <v>249</v>
      </c>
      <c r="I708" s="27">
        <v>1</v>
      </c>
      <c r="J708" s="30">
        <v>44886906</v>
      </c>
      <c r="K708" s="26" t="s">
        <v>20</v>
      </c>
      <c r="L708" s="26" t="s">
        <v>5288</v>
      </c>
      <c r="M708" s="31" t="s">
        <v>2122</v>
      </c>
      <c r="N708" s="2"/>
      <c r="O708" s="2"/>
      <c r="P708" s="2"/>
      <c r="Q708" s="2"/>
      <c r="R708" s="2"/>
      <c r="S708" s="2"/>
      <c r="T708" s="2"/>
      <c r="U708" s="2"/>
      <c r="V708" s="2"/>
      <c r="W708" s="2"/>
      <c r="X708" s="2"/>
      <c r="Y708" s="2"/>
      <c r="Z708" s="2"/>
    </row>
    <row r="709" spans="1:26" ht="25.5" hidden="1" customHeight="1">
      <c r="A709" s="26">
        <v>404</v>
      </c>
      <c r="B709" s="27" t="s">
        <v>1444</v>
      </c>
      <c r="C709" s="28">
        <v>39980</v>
      </c>
      <c r="D709" s="27"/>
      <c r="E709" s="27" t="s">
        <v>2137</v>
      </c>
      <c r="F709" s="29" t="s">
        <v>2138</v>
      </c>
      <c r="G709" s="27" t="s">
        <v>573</v>
      </c>
      <c r="H709" s="27" t="s">
        <v>249</v>
      </c>
      <c r="I709" s="27">
        <v>1</v>
      </c>
      <c r="J709" s="30">
        <v>44886906</v>
      </c>
      <c r="K709" s="26" t="s">
        <v>20</v>
      </c>
      <c r="L709" s="26" t="s">
        <v>5288</v>
      </c>
      <c r="M709" s="31" t="s">
        <v>2122</v>
      </c>
      <c r="N709" s="2"/>
      <c r="O709" s="2"/>
      <c r="P709" s="2"/>
      <c r="Q709" s="2"/>
      <c r="R709" s="2"/>
      <c r="S709" s="2"/>
      <c r="T709" s="2"/>
      <c r="U709" s="2"/>
      <c r="V709" s="2"/>
      <c r="W709" s="2"/>
      <c r="X709" s="2"/>
      <c r="Y709" s="2"/>
      <c r="Z709" s="2"/>
    </row>
    <row r="710" spans="1:26" ht="25.5" hidden="1" customHeight="1">
      <c r="A710" s="26">
        <v>405</v>
      </c>
      <c r="B710" s="27" t="s">
        <v>1444</v>
      </c>
      <c r="C710" s="28">
        <v>39980</v>
      </c>
      <c r="D710" s="27"/>
      <c r="E710" s="27" t="s">
        <v>2139</v>
      </c>
      <c r="F710" s="29" t="s">
        <v>2140</v>
      </c>
      <c r="G710" s="27" t="s">
        <v>573</v>
      </c>
      <c r="H710" s="27" t="s">
        <v>249</v>
      </c>
      <c r="I710" s="27">
        <v>1</v>
      </c>
      <c r="J710" s="30">
        <v>44886906</v>
      </c>
      <c r="K710" s="26" t="s">
        <v>20</v>
      </c>
      <c r="L710" s="26" t="s">
        <v>5288</v>
      </c>
      <c r="M710" s="31" t="s">
        <v>2122</v>
      </c>
      <c r="N710" s="2"/>
      <c r="O710" s="2"/>
      <c r="P710" s="2"/>
      <c r="Q710" s="2"/>
      <c r="R710" s="2"/>
      <c r="S710" s="2"/>
      <c r="T710" s="2"/>
      <c r="U710" s="2"/>
      <c r="V710" s="2"/>
      <c r="W710" s="2"/>
      <c r="X710" s="2"/>
      <c r="Y710" s="2"/>
      <c r="Z710" s="2"/>
    </row>
    <row r="711" spans="1:26" ht="12.75" hidden="1" customHeight="1">
      <c r="A711" s="26">
        <v>406</v>
      </c>
      <c r="B711" s="27" t="s">
        <v>1516</v>
      </c>
      <c r="C711" s="28">
        <v>40352</v>
      </c>
      <c r="D711" s="27"/>
      <c r="E711" s="27" t="s">
        <v>2141</v>
      </c>
      <c r="F711" s="29" t="s">
        <v>2142</v>
      </c>
      <c r="G711" s="27" t="s">
        <v>573</v>
      </c>
      <c r="H711" s="27" t="s">
        <v>19</v>
      </c>
      <c r="I711" s="27">
        <v>1</v>
      </c>
      <c r="J711" s="30">
        <v>47554119</v>
      </c>
      <c r="K711" s="26" t="s">
        <v>20</v>
      </c>
      <c r="L711" s="26" t="s">
        <v>5288</v>
      </c>
      <c r="M711" s="31" t="s">
        <v>2145</v>
      </c>
      <c r="N711" s="2"/>
      <c r="O711" s="2"/>
      <c r="P711" s="2"/>
      <c r="Q711" s="2"/>
      <c r="R711" s="2"/>
      <c r="S711" s="2"/>
      <c r="T711" s="2"/>
      <c r="U711" s="2"/>
      <c r="V711" s="2"/>
      <c r="W711" s="2"/>
      <c r="X711" s="2"/>
      <c r="Y711" s="2"/>
      <c r="Z711" s="2"/>
    </row>
    <row r="712" spans="1:26" ht="12.75" hidden="1" customHeight="1">
      <c r="A712" s="26">
        <v>407</v>
      </c>
      <c r="B712" s="27" t="s">
        <v>1516</v>
      </c>
      <c r="C712" s="28">
        <v>40352</v>
      </c>
      <c r="D712" s="27"/>
      <c r="E712" s="27" t="s">
        <v>2144</v>
      </c>
      <c r="F712" s="29" t="s">
        <v>2142</v>
      </c>
      <c r="G712" s="27" t="s">
        <v>573</v>
      </c>
      <c r="H712" s="27" t="s">
        <v>19</v>
      </c>
      <c r="I712" s="27">
        <v>1</v>
      </c>
      <c r="J712" s="30">
        <v>47554119</v>
      </c>
      <c r="K712" s="26" t="s">
        <v>20</v>
      </c>
      <c r="L712" s="26" t="s">
        <v>5288</v>
      </c>
      <c r="M712" s="31" t="s">
        <v>2145</v>
      </c>
      <c r="N712" s="2"/>
      <c r="O712" s="2"/>
      <c r="P712" s="2"/>
      <c r="Q712" s="2"/>
      <c r="R712" s="2"/>
      <c r="S712" s="2"/>
      <c r="T712" s="2"/>
      <c r="U712" s="2"/>
      <c r="V712" s="2"/>
      <c r="W712" s="2"/>
      <c r="X712" s="2"/>
      <c r="Y712" s="2"/>
      <c r="Z712" s="2"/>
    </row>
    <row r="713" spans="1:26" ht="12.75" hidden="1" customHeight="1">
      <c r="A713" s="26">
        <v>408</v>
      </c>
      <c r="B713" s="27" t="s">
        <v>1516</v>
      </c>
      <c r="C713" s="28">
        <v>40352</v>
      </c>
      <c r="D713" s="27"/>
      <c r="E713" s="27" t="s">
        <v>2146</v>
      </c>
      <c r="F713" s="29" t="s">
        <v>2142</v>
      </c>
      <c r="G713" s="27" t="s">
        <v>573</v>
      </c>
      <c r="H713" s="27" t="s">
        <v>19</v>
      </c>
      <c r="I713" s="27">
        <v>1</v>
      </c>
      <c r="J713" s="30">
        <v>47554119</v>
      </c>
      <c r="K713" s="26" t="s">
        <v>20</v>
      </c>
      <c r="L713" s="26" t="s">
        <v>5288</v>
      </c>
      <c r="M713" s="31" t="s">
        <v>2145</v>
      </c>
      <c r="N713" s="2"/>
      <c r="O713" s="2"/>
      <c r="P713" s="2"/>
      <c r="Q713" s="2"/>
      <c r="R713" s="2"/>
      <c r="S713" s="2"/>
      <c r="T713" s="2"/>
      <c r="U713" s="2"/>
      <c r="V713" s="2"/>
      <c r="W713" s="2"/>
      <c r="X713" s="2"/>
      <c r="Y713" s="2"/>
      <c r="Z713" s="2"/>
    </row>
    <row r="714" spans="1:26" ht="12.75" hidden="1" customHeight="1">
      <c r="A714" s="26">
        <v>409</v>
      </c>
      <c r="B714" s="27" t="s">
        <v>1516</v>
      </c>
      <c r="C714" s="28">
        <v>40352</v>
      </c>
      <c r="D714" s="27"/>
      <c r="E714" s="27" t="s">
        <v>2147</v>
      </c>
      <c r="F714" s="29" t="s">
        <v>2142</v>
      </c>
      <c r="G714" s="27" t="s">
        <v>573</v>
      </c>
      <c r="H714" s="27" t="s">
        <v>19</v>
      </c>
      <c r="I714" s="27">
        <v>1</v>
      </c>
      <c r="J714" s="30">
        <v>47554119</v>
      </c>
      <c r="K714" s="26" t="s">
        <v>20</v>
      </c>
      <c r="L714" s="26" t="s">
        <v>5288</v>
      </c>
      <c r="M714" s="31" t="s">
        <v>2145</v>
      </c>
      <c r="N714" s="2"/>
      <c r="O714" s="2"/>
      <c r="P714" s="2"/>
      <c r="Q714" s="2"/>
      <c r="R714" s="2"/>
      <c r="S714" s="2"/>
      <c r="T714" s="2"/>
      <c r="U714" s="2"/>
      <c r="V714" s="2"/>
      <c r="W714" s="2"/>
      <c r="X714" s="2"/>
      <c r="Y714" s="2"/>
      <c r="Z714" s="2"/>
    </row>
    <row r="715" spans="1:26" ht="12.75" hidden="1" customHeight="1">
      <c r="A715" s="26">
        <v>410</v>
      </c>
      <c r="B715" s="27" t="s">
        <v>1516</v>
      </c>
      <c r="C715" s="28">
        <v>40352</v>
      </c>
      <c r="D715" s="27"/>
      <c r="E715" s="27" t="s">
        <v>2148</v>
      </c>
      <c r="F715" s="29" t="s">
        <v>2142</v>
      </c>
      <c r="G715" s="27" t="s">
        <v>573</v>
      </c>
      <c r="H715" s="27" t="s">
        <v>19</v>
      </c>
      <c r="I715" s="27">
        <v>1</v>
      </c>
      <c r="J715" s="30">
        <v>47554119</v>
      </c>
      <c r="K715" s="26" t="s">
        <v>20</v>
      </c>
      <c r="L715" s="26" t="s">
        <v>5288</v>
      </c>
      <c r="M715" s="31" t="s">
        <v>2145</v>
      </c>
      <c r="N715" s="2"/>
      <c r="O715" s="2"/>
      <c r="P715" s="2"/>
      <c r="Q715" s="2"/>
      <c r="R715" s="2"/>
      <c r="S715" s="2"/>
      <c r="T715" s="2"/>
      <c r="U715" s="2"/>
      <c r="V715" s="2"/>
      <c r="W715" s="2"/>
      <c r="X715" s="2"/>
      <c r="Y715" s="2"/>
      <c r="Z715" s="2"/>
    </row>
    <row r="716" spans="1:26" ht="12.75" hidden="1" customHeight="1">
      <c r="A716" s="26">
        <v>411</v>
      </c>
      <c r="B716" s="27" t="s">
        <v>1516</v>
      </c>
      <c r="C716" s="28">
        <v>40352</v>
      </c>
      <c r="D716" s="27"/>
      <c r="E716" s="27" t="s">
        <v>2149</v>
      </c>
      <c r="F716" s="29" t="s">
        <v>2142</v>
      </c>
      <c r="G716" s="27" t="s">
        <v>573</v>
      </c>
      <c r="H716" s="27" t="s">
        <v>19</v>
      </c>
      <c r="I716" s="27">
        <v>1</v>
      </c>
      <c r="J716" s="30">
        <v>47554119</v>
      </c>
      <c r="K716" s="26" t="s">
        <v>20</v>
      </c>
      <c r="L716" s="26" t="s">
        <v>5288</v>
      </c>
      <c r="M716" s="31" t="s">
        <v>2145</v>
      </c>
      <c r="N716" s="2"/>
      <c r="O716" s="2"/>
      <c r="P716" s="2"/>
      <c r="Q716" s="2"/>
      <c r="R716" s="2"/>
      <c r="S716" s="2"/>
      <c r="T716" s="2"/>
      <c r="U716" s="2"/>
      <c r="V716" s="2"/>
      <c r="W716" s="2"/>
      <c r="X716" s="2"/>
      <c r="Y716" s="2"/>
      <c r="Z716" s="2"/>
    </row>
    <row r="717" spans="1:26" ht="12.75" hidden="1" customHeight="1">
      <c r="A717" s="26">
        <v>412</v>
      </c>
      <c r="B717" s="27" t="s">
        <v>1516</v>
      </c>
      <c r="C717" s="28">
        <v>40352</v>
      </c>
      <c r="D717" s="27"/>
      <c r="E717" s="27" t="s">
        <v>2150</v>
      </c>
      <c r="F717" s="29" t="s">
        <v>2142</v>
      </c>
      <c r="G717" s="27" t="s">
        <v>573</v>
      </c>
      <c r="H717" s="27" t="s">
        <v>19</v>
      </c>
      <c r="I717" s="27">
        <v>1</v>
      </c>
      <c r="J717" s="30">
        <v>47554119</v>
      </c>
      <c r="K717" s="26" t="s">
        <v>20</v>
      </c>
      <c r="L717" s="26" t="s">
        <v>5288</v>
      </c>
      <c r="M717" s="31" t="s">
        <v>2145</v>
      </c>
      <c r="N717" s="2"/>
      <c r="O717" s="2"/>
      <c r="P717" s="2"/>
      <c r="Q717" s="2"/>
      <c r="R717" s="2"/>
      <c r="S717" s="2"/>
      <c r="T717" s="2"/>
      <c r="U717" s="2"/>
      <c r="V717" s="2"/>
      <c r="W717" s="2"/>
      <c r="X717" s="2"/>
      <c r="Y717" s="2"/>
      <c r="Z717" s="2"/>
    </row>
    <row r="718" spans="1:26" ht="12.75" hidden="1" customHeight="1">
      <c r="A718" s="26">
        <v>413</v>
      </c>
      <c r="B718" s="27" t="s">
        <v>1516</v>
      </c>
      <c r="C718" s="28">
        <v>40352</v>
      </c>
      <c r="D718" s="27"/>
      <c r="E718" s="27" t="s">
        <v>2151</v>
      </c>
      <c r="F718" s="29" t="s">
        <v>2142</v>
      </c>
      <c r="G718" s="27" t="s">
        <v>573</v>
      </c>
      <c r="H718" s="27" t="s">
        <v>19</v>
      </c>
      <c r="I718" s="27">
        <v>1</v>
      </c>
      <c r="J718" s="30">
        <v>47554119</v>
      </c>
      <c r="K718" s="26" t="s">
        <v>20</v>
      </c>
      <c r="L718" s="26" t="s">
        <v>5288</v>
      </c>
      <c r="M718" s="31" t="s">
        <v>2145</v>
      </c>
      <c r="N718" s="2"/>
      <c r="O718" s="2"/>
      <c r="P718" s="2"/>
      <c r="Q718" s="2"/>
      <c r="R718" s="2"/>
      <c r="S718" s="2"/>
      <c r="T718" s="2"/>
      <c r="U718" s="2"/>
      <c r="V718" s="2"/>
      <c r="W718" s="2"/>
      <c r="X718" s="2"/>
      <c r="Y718" s="2"/>
      <c r="Z718" s="2"/>
    </row>
    <row r="719" spans="1:26" ht="12.75" hidden="1" customHeight="1">
      <c r="A719" s="26">
        <v>414</v>
      </c>
      <c r="B719" s="27" t="s">
        <v>1516</v>
      </c>
      <c r="C719" s="28">
        <v>40352</v>
      </c>
      <c r="D719" s="27"/>
      <c r="E719" s="27" t="s">
        <v>2152</v>
      </c>
      <c r="F719" s="29" t="s">
        <v>2142</v>
      </c>
      <c r="G719" s="27" t="s">
        <v>573</v>
      </c>
      <c r="H719" s="27" t="s">
        <v>19</v>
      </c>
      <c r="I719" s="27">
        <v>1</v>
      </c>
      <c r="J719" s="30">
        <v>47554119</v>
      </c>
      <c r="K719" s="26" t="s">
        <v>20</v>
      </c>
      <c r="L719" s="26" t="s">
        <v>5288</v>
      </c>
      <c r="M719" s="31" t="s">
        <v>2145</v>
      </c>
      <c r="N719" s="2"/>
      <c r="O719" s="2"/>
      <c r="P719" s="2"/>
      <c r="Q719" s="2"/>
      <c r="R719" s="2"/>
      <c r="S719" s="2"/>
      <c r="T719" s="2"/>
      <c r="U719" s="2"/>
      <c r="V719" s="2"/>
      <c r="W719" s="2"/>
      <c r="X719" s="2"/>
      <c r="Y719" s="2"/>
      <c r="Z719" s="2"/>
    </row>
    <row r="720" spans="1:26" ht="12.75" hidden="1" customHeight="1">
      <c r="A720" s="26">
        <v>415</v>
      </c>
      <c r="B720" s="27" t="s">
        <v>1516</v>
      </c>
      <c r="C720" s="28">
        <v>40352</v>
      </c>
      <c r="D720" s="27"/>
      <c r="E720" s="27" t="s">
        <v>2153</v>
      </c>
      <c r="F720" s="29" t="s">
        <v>2142</v>
      </c>
      <c r="G720" s="27" t="s">
        <v>573</v>
      </c>
      <c r="H720" s="27" t="s">
        <v>19</v>
      </c>
      <c r="I720" s="27">
        <v>1</v>
      </c>
      <c r="J720" s="30">
        <v>47554119</v>
      </c>
      <c r="K720" s="26" t="s">
        <v>20</v>
      </c>
      <c r="L720" s="26" t="s">
        <v>5288</v>
      </c>
      <c r="M720" s="31" t="s">
        <v>2145</v>
      </c>
      <c r="N720" s="2"/>
      <c r="O720" s="2"/>
      <c r="P720" s="2"/>
      <c r="Q720" s="2"/>
      <c r="R720" s="2"/>
      <c r="S720" s="2"/>
      <c r="T720" s="2"/>
      <c r="U720" s="2"/>
      <c r="V720" s="2"/>
      <c r="W720" s="2"/>
      <c r="X720" s="2"/>
      <c r="Y720" s="2"/>
      <c r="Z720" s="2"/>
    </row>
    <row r="721" spans="1:26" ht="12.75" hidden="1" customHeight="1">
      <c r="A721" s="26">
        <v>416</v>
      </c>
      <c r="B721" s="27" t="s">
        <v>1516</v>
      </c>
      <c r="C721" s="28">
        <v>40352</v>
      </c>
      <c r="D721" s="27"/>
      <c r="E721" s="27" t="s">
        <v>2154</v>
      </c>
      <c r="F721" s="29" t="s">
        <v>2142</v>
      </c>
      <c r="G721" s="27" t="s">
        <v>573</v>
      </c>
      <c r="H721" s="27" t="s">
        <v>19</v>
      </c>
      <c r="I721" s="27">
        <v>1</v>
      </c>
      <c r="J721" s="30">
        <v>47554119</v>
      </c>
      <c r="K721" s="26" t="s">
        <v>20</v>
      </c>
      <c r="L721" s="26" t="s">
        <v>5288</v>
      </c>
      <c r="M721" s="31" t="s">
        <v>2145</v>
      </c>
      <c r="N721" s="2"/>
      <c r="O721" s="2"/>
      <c r="P721" s="2"/>
      <c r="Q721" s="2"/>
      <c r="R721" s="2"/>
      <c r="S721" s="2"/>
      <c r="T721" s="2"/>
      <c r="U721" s="2"/>
      <c r="V721" s="2"/>
      <c r="W721" s="2"/>
      <c r="X721" s="2"/>
      <c r="Y721" s="2"/>
      <c r="Z721" s="2"/>
    </row>
    <row r="722" spans="1:26" ht="12.75" hidden="1" customHeight="1">
      <c r="A722" s="26">
        <v>417</v>
      </c>
      <c r="B722" s="27" t="s">
        <v>1516</v>
      </c>
      <c r="C722" s="28">
        <v>40352</v>
      </c>
      <c r="D722" s="27"/>
      <c r="E722" s="27" t="s">
        <v>2155</v>
      </c>
      <c r="F722" s="29" t="s">
        <v>2142</v>
      </c>
      <c r="G722" s="27" t="s">
        <v>573</v>
      </c>
      <c r="H722" s="27" t="s">
        <v>19</v>
      </c>
      <c r="I722" s="27">
        <v>1</v>
      </c>
      <c r="J722" s="30">
        <v>47554119</v>
      </c>
      <c r="K722" s="26" t="s">
        <v>20</v>
      </c>
      <c r="L722" s="26" t="s">
        <v>5288</v>
      </c>
      <c r="M722" s="31" t="s">
        <v>2145</v>
      </c>
      <c r="N722" s="2"/>
      <c r="O722" s="2"/>
      <c r="P722" s="2"/>
      <c r="Q722" s="2"/>
      <c r="R722" s="2"/>
      <c r="S722" s="2"/>
      <c r="T722" s="2"/>
      <c r="U722" s="2"/>
      <c r="V722" s="2"/>
      <c r="W722" s="2"/>
      <c r="X722" s="2"/>
      <c r="Y722" s="2"/>
      <c r="Z722" s="2"/>
    </row>
    <row r="723" spans="1:26" ht="12.75" hidden="1" customHeight="1">
      <c r="A723" s="26">
        <v>418</v>
      </c>
      <c r="B723" s="27" t="s">
        <v>1516</v>
      </c>
      <c r="C723" s="28">
        <v>40352</v>
      </c>
      <c r="D723" s="27"/>
      <c r="E723" s="27" t="s">
        <v>2156</v>
      </c>
      <c r="F723" s="29" t="s">
        <v>2142</v>
      </c>
      <c r="G723" s="27" t="s">
        <v>573</v>
      </c>
      <c r="H723" s="27" t="s">
        <v>19</v>
      </c>
      <c r="I723" s="27">
        <v>1</v>
      </c>
      <c r="J723" s="30">
        <v>47554119</v>
      </c>
      <c r="K723" s="26" t="s">
        <v>20</v>
      </c>
      <c r="L723" s="26" t="s">
        <v>5288</v>
      </c>
      <c r="M723" s="31" t="s">
        <v>2145</v>
      </c>
      <c r="N723" s="2"/>
      <c r="O723" s="2"/>
      <c r="P723" s="2"/>
      <c r="Q723" s="2"/>
      <c r="R723" s="2"/>
      <c r="S723" s="2"/>
      <c r="T723" s="2"/>
      <c r="U723" s="2"/>
      <c r="V723" s="2"/>
      <c r="W723" s="2"/>
      <c r="X723" s="2"/>
      <c r="Y723" s="2"/>
      <c r="Z723" s="2"/>
    </row>
    <row r="724" spans="1:26" ht="12.75" hidden="1" customHeight="1">
      <c r="A724" s="26">
        <v>419</v>
      </c>
      <c r="B724" s="27" t="s">
        <v>1516</v>
      </c>
      <c r="C724" s="28">
        <v>40352</v>
      </c>
      <c r="D724" s="27"/>
      <c r="E724" s="27" t="s">
        <v>2157</v>
      </c>
      <c r="F724" s="29" t="s">
        <v>2142</v>
      </c>
      <c r="G724" s="27" t="s">
        <v>573</v>
      </c>
      <c r="H724" s="27" t="s">
        <v>19</v>
      </c>
      <c r="I724" s="27">
        <v>1</v>
      </c>
      <c r="J724" s="30">
        <v>47554119</v>
      </c>
      <c r="K724" s="26" t="s">
        <v>20</v>
      </c>
      <c r="L724" s="26" t="s">
        <v>5288</v>
      </c>
      <c r="M724" s="31" t="s">
        <v>3446</v>
      </c>
      <c r="N724" s="2"/>
      <c r="O724" s="2"/>
      <c r="P724" s="2"/>
      <c r="Q724" s="2"/>
      <c r="R724" s="2"/>
      <c r="S724" s="2"/>
      <c r="T724" s="2"/>
      <c r="U724" s="2"/>
      <c r="V724" s="2"/>
      <c r="W724" s="2"/>
      <c r="X724" s="2"/>
      <c r="Y724" s="2"/>
      <c r="Z724" s="2"/>
    </row>
    <row r="725" spans="1:26" ht="12.75" hidden="1" customHeight="1">
      <c r="A725" s="26">
        <v>420</v>
      </c>
      <c r="B725" s="27" t="s">
        <v>1516</v>
      </c>
      <c r="C725" s="28">
        <v>40352</v>
      </c>
      <c r="D725" s="27"/>
      <c r="E725" s="27" t="s">
        <v>2158</v>
      </c>
      <c r="F725" s="29" t="s">
        <v>2159</v>
      </c>
      <c r="G725" s="27" t="s">
        <v>573</v>
      </c>
      <c r="H725" s="27" t="s">
        <v>19</v>
      </c>
      <c r="I725" s="27">
        <v>1</v>
      </c>
      <c r="J725" s="30">
        <v>41172398</v>
      </c>
      <c r="K725" s="26" t="s">
        <v>20</v>
      </c>
      <c r="L725" s="26" t="s">
        <v>5288</v>
      </c>
      <c r="M725" s="31" t="s">
        <v>2145</v>
      </c>
      <c r="N725" s="2"/>
      <c r="O725" s="2"/>
      <c r="P725" s="2"/>
      <c r="Q725" s="2"/>
      <c r="R725" s="2"/>
      <c r="S725" s="2"/>
      <c r="T725" s="2"/>
      <c r="U725" s="2"/>
      <c r="V725" s="2"/>
      <c r="W725" s="2"/>
      <c r="X725" s="2"/>
      <c r="Y725" s="2"/>
      <c r="Z725" s="2"/>
    </row>
    <row r="726" spans="1:26" ht="12.75" hidden="1" customHeight="1">
      <c r="A726" s="26">
        <v>421</v>
      </c>
      <c r="B726" s="27" t="s">
        <v>1516</v>
      </c>
      <c r="C726" s="28">
        <v>40352</v>
      </c>
      <c r="D726" s="27"/>
      <c r="E726" s="27" t="s">
        <v>2160</v>
      </c>
      <c r="F726" s="29" t="s">
        <v>2159</v>
      </c>
      <c r="G726" s="27" t="s">
        <v>573</v>
      </c>
      <c r="H726" s="27" t="s">
        <v>19</v>
      </c>
      <c r="I726" s="27">
        <v>1</v>
      </c>
      <c r="J726" s="30">
        <v>41172398</v>
      </c>
      <c r="K726" s="26" t="s">
        <v>20</v>
      </c>
      <c r="L726" s="26" t="s">
        <v>5288</v>
      </c>
      <c r="M726" s="31" t="s">
        <v>2145</v>
      </c>
      <c r="N726" s="2"/>
      <c r="O726" s="2"/>
      <c r="P726" s="2"/>
      <c r="Q726" s="2"/>
      <c r="R726" s="2"/>
      <c r="S726" s="2"/>
      <c r="T726" s="2"/>
      <c r="U726" s="2"/>
      <c r="V726" s="2"/>
      <c r="W726" s="2"/>
      <c r="X726" s="2"/>
      <c r="Y726" s="2"/>
      <c r="Z726" s="2"/>
    </row>
    <row r="727" spans="1:26" ht="12.75" hidden="1" customHeight="1">
      <c r="A727" s="26">
        <v>422</v>
      </c>
      <c r="B727" s="27" t="s">
        <v>1516</v>
      </c>
      <c r="C727" s="28">
        <v>40352</v>
      </c>
      <c r="D727" s="27"/>
      <c r="E727" s="27" t="s">
        <v>2161</v>
      </c>
      <c r="F727" s="29" t="s">
        <v>2159</v>
      </c>
      <c r="G727" s="27" t="s">
        <v>573</v>
      </c>
      <c r="H727" s="27" t="s">
        <v>19</v>
      </c>
      <c r="I727" s="27">
        <v>1</v>
      </c>
      <c r="J727" s="30">
        <v>41172398</v>
      </c>
      <c r="K727" s="26" t="s">
        <v>20</v>
      </c>
      <c r="L727" s="26" t="s">
        <v>5288</v>
      </c>
      <c r="M727" s="31" t="s">
        <v>2145</v>
      </c>
      <c r="N727" s="2"/>
      <c r="O727" s="2"/>
      <c r="P727" s="2"/>
      <c r="Q727" s="2"/>
      <c r="R727" s="2"/>
      <c r="S727" s="2"/>
      <c r="T727" s="2"/>
      <c r="U727" s="2"/>
      <c r="V727" s="2"/>
      <c r="W727" s="2"/>
      <c r="X727" s="2"/>
      <c r="Y727" s="2"/>
      <c r="Z727" s="2"/>
    </row>
    <row r="728" spans="1:26" ht="12.75" hidden="1" customHeight="1">
      <c r="A728" s="26">
        <v>423</v>
      </c>
      <c r="B728" s="27" t="s">
        <v>1516</v>
      </c>
      <c r="C728" s="28">
        <v>40352</v>
      </c>
      <c r="D728" s="27"/>
      <c r="E728" s="27" t="s">
        <v>2162</v>
      </c>
      <c r="F728" s="29" t="s">
        <v>2159</v>
      </c>
      <c r="G728" s="27" t="s">
        <v>573</v>
      </c>
      <c r="H728" s="27" t="s">
        <v>19</v>
      </c>
      <c r="I728" s="27">
        <v>1</v>
      </c>
      <c r="J728" s="30">
        <v>41172398</v>
      </c>
      <c r="K728" s="26" t="s">
        <v>20</v>
      </c>
      <c r="L728" s="26" t="s">
        <v>5288</v>
      </c>
      <c r="M728" s="31" t="s">
        <v>2145</v>
      </c>
      <c r="N728" s="2"/>
      <c r="O728" s="2"/>
      <c r="P728" s="2"/>
      <c r="Q728" s="2"/>
      <c r="R728" s="2"/>
      <c r="S728" s="2"/>
      <c r="T728" s="2"/>
      <c r="U728" s="2"/>
      <c r="V728" s="2"/>
      <c r="W728" s="2"/>
      <c r="X728" s="2"/>
      <c r="Y728" s="2"/>
      <c r="Z728" s="2"/>
    </row>
    <row r="729" spans="1:26" ht="12.75" hidden="1" customHeight="1">
      <c r="A729" s="26">
        <v>424</v>
      </c>
      <c r="B729" s="27" t="s">
        <v>1516</v>
      </c>
      <c r="C729" s="28">
        <v>40352</v>
      </c>
      <c r="D729" s="27"/>
      <c r="E729" s="27" t="s">
        <v>2163</v>
      </c>
      <c r="F729" s="29" t="s">
        <v>2159</v>
      </c>
      <c r="G729" s="27" t="s">
        <v>573</v>
      </c>
      <c r="H729" s="27" t="s">
        <v>19</v>
      </c>
      <c r="I729" s="27">
        <v>1</v>
      </c>
      <c r="J729" s="30">
        <v>41172398</v>
      </c>
      <c r="K729" s="26" t="s">
        <v>20</v>
      </c>
      <c r="L729" s="26" t="s">
        <v>5288</v>
      </c>
      <c r="M729" s="31" t="s">
        <v>2145</v>
      </c>
      <c r="N729" s="2"/>
      <c r="O729" s="2"/>
      <c r="P729" s="2"/>
      <c r="Q729" s="2"/>
      <c r="R729" s="2"/>
      <c r="S729" s="2"/>
      <c r="T729" s="2"/>
      <c r="U729" s="2"/>
      <c r="V729" s="2"/>
      <c r="W729" s="2"/>
      <c r="X729" s="2"/>
      <c r="Y729" s="2"/>
      <c r="Z729" s="2"/>
    </row>
    <row r="730" spans="1:26" ht="12.75" hidden="1" customHeight="1">
      <c r="A730" s="26">
        <v>425</v>
      </c>
      <c r="B730" s="27" t="s">
        <v>1516</v>
      </c>
      <c r="C730" s="28">
        <v>40352</v>
      </c>
      <c r="D730" s="27"/>
      <c r="E730" s="27" t="s">
        <v>2164</v>
      </c>
      <c r="F730" s="29" t="s">
        <v>2159</v>
      </c>
      <c r="G730" s="27" t="s">
        <v>573</v>
      </c>
      <c r="H730" s="27" t="s">
        <v>19</v>
      </c>
      <c r="I730" s="27">
        <v>1</v>
      </c>
      <c r="J730" s="30">
        <v>41172398</v>
      </c>
      <c r="K730" s="26" t="s">
        <v>20</v>
      </c>
      <c r="L730" s="26" t="s">
        <v>5288</v>
      </c>
      <c r="M730" s="31" t="s">
        <v>2145</v>
      </c>
      <c r="N730" s="2"/>
      <c r="O730" s="2"/>
      <c r="P730" s="2"/>
      <c r="Q730" s="2"/>
      <c r="R730" s="2"/>
      <c r="S730" s="2"/>
      <c r="T730" s="2"/>
      <c r="U730" s="2"/>
      <c r="V730" s="2"/>
      <c r="W730" s="2"/>
      <c r="X730" s="2"/>
      <c r="Y730" s="2"/>
      <c r="Z730" s="2"/>
    </row>
    <row r="731" spans="1:26" ht="12.75" hidden="1" customHeight="1">
      <c r="A731" s="26">
        <v>426</v>
      </c>
      <c r="B731" s="27" t="s">
        <v>1516</v>
      </c>
      <c r="C731" s="28">
        <v>40352</v>
      </c>
      <c r="D731" s="27"/>
      <c r="E731" s="27" t="s">
        <v>2165</v>
      </c>
      <c r="F731" s="29" t="s">
        <v>2159</v>
      </c>
      <c r="G731" s="27" t="s">
        <v>573</v>
      </c>
      <c r="H731" s="27" t="s">
        <v>19</v>
      </c>
      <c r="I731" s="27">
        <v>1</v>
      </c>
      <c r="J731" s="30">
        <v>41172398</v>
      </c>
      <c r="K731" s="26" t="s">
        <v>20</v>
      </c>
      <c r="L731" s="26" t="s">
        <v>5288</v>
      </c>
      <c r="M731" s="31" t="s">
        <v>2145</v>
      </c>
      <c r="N731" s="2"/>
      <c r="O731" s="2"/>
      <c r="P731" s="2"/>
      <c r="Q731" s="2"/>
      <c r="R731" s="2"/>
      <c r="S731" s="2"/>
      <c r="T731" s="2"/>
      <c r="U731" s="2"/>
      <c r="V731" s="2"/>
      <c r="W731" s="2"/>
      <c r="X731" s="2"/>
      <c r="Y731" s="2"/>
      <c r="Z731" s="2"/>
    </row>
    <row r="732" spans="1:26" ht="12.75" hidden="1" customHeight="1">
      <c r="A732" s="26">
        <v>427</v>
      </c>
      <c r="B732" s="27" t="s">
        <v>1516</v>
      </c>
      <c r="C732" s="28">
        <v>40352</v>
      </c>
      <c r="D732" s="27"/>
      <c r="E732" s="27" t="s">
        <v>2166</v>
      </c>
      <c r="F732" s="29" t="s">
        <v>2159</v>
      </c>
      <c r="G732" s="27" t="s">
        <v>573</v>
      </c>
      <c r="H732" s="27" t="s">
        <v>19</v>
      </c>
      <c r="I732" s="27">
        <v>1</v>
      </c>
      <c r="J732" s="30">
        <v>41172398</v>
      </c>
      <c r="K732" s="26" t="s">
        <v>20</v>
      </c>
      <c r="L732" s="26" t="s">
        <v>5288</v>
      </c>
      <c r="M732" s="31" t="s">
        <v>2145</v>
      </c>
      <c r="N732" s="2"/>
      <c r="O732" s="2"/>
      <c r="P732" s="2"/>
      <c r="Q732" s="2"/>
      <c r="R732" s="2"/>
      <c r="S732" s="2"/>
      <c r="T732" s="2"/>
      <c r="U732" s="2"/>
      <c r="V732" s="2"/>
      <c r="W732" s="2"/>
      <c r="X732" s="2"/>
      <c r="Y732" s="2"/>
      <c r="Z732" s="2"/>
    </row>
    <row r="733" spans="1:26" ht="12.75" hidden="1" customHeight="1">
      <c r="A733" s="26">
        <v>428</v>
      </c>
      <c r="B733" s="27" t="s">
        <v>1516</v>
      </c>
      <c r="C733" s="28">
        <v>40352</v>
      </c>
      <c r="D733" s="27"/>
      <c r="E733" s="27" t="s">
        <v>2167</v>
      </c>
      <c r="F733" s="29" t="s">
        <v>2159</v>
      </c>
      <c r="G733" s="27" t="s">
        <v>573</v>
      </c>
      <c r="H733" s="27" t="s">
        <v>19</v>
      </c>
      <c r="I733" s="27">
        <v>1</v>
      </c>
      <c r="J733" s="30">
        <v>41172398</v>
      </c>
      <c r="K733" s="26" t="s">
        <v>20</v>
      </c>
      <c r="L733" s="26" t="s">
        <v>5288</v>
      </c>
      <c r="M733" s="31" t="s">
        <v>2145</v>
      </c>
      <c r="N733" s="2"/>
      <c r="O733" s="2"/>
      <c r="P733" s="2"/>
      <c r="Q733" s="2"/>
      <c r="R733" s="2"/>
      <c r="S733" s="2"/>
      <c r="T733" s="2"/>
      <c r="U733" s="2"/>
      <c r="V733" s="2"/>
      <c r="W733" s="2"/>
      <c r="X733" s="2"/>
      <c r="Y733" s="2"/>
      <c r="Z733" s="2"/>
    </row>
    <row r="734" spans="1:26" ht="12.75" hidden="1" customHeight="1">
      <c r="A734" s="26">
        <v>429</v>
      </c>
      <c r="B734" s="27" t="s">
        <v>1516</v>
      </c>
      <c r="C734" s="28">
        <v>40352</v>
      </c>
      <c r="D734" s="27"/>
      <c r="E734" s="27" t="s">
        <v>2168</v>
      </c>
      <c r="F734" s="29" t="s">
        <v>2159</v>
      </c>
      <c r="G734" s="27" t="s">
        <v>573</v>
      </c>
      <c r="H734" s="27" t="s">
        <v>19</v>
      </c>
      <c r="I734" s="27">
        <v>1</v>
      </c>
      <c r="J734" s="30">
        <v>41172398</v>
      </c>
      <c r="K734" s="26" t="s">
        <v>20</v>
      </c>
      <c r="L734" s="26" t="s">
        <v>5288</v>
      </c>
      <c r="M734" s="31" t="s">
        <v>2145</v>
      </c>
      <c r="N734" s="2"/>
      <c r="O734" s="2"/>
      <c r="P734" s="2"/>
      <c r="Q734" s="2"/>
      <c r="R734" s="2"/>
      <c r="S734" s="2"/>
      <c r="T734" s="2"/>
      <c r="U734" s="2"/>
      <c r="V734" s="2"/>
      <c r="W734" s="2"/>
      <c r="X734" s="2"/>
      <c r="Y734" s="2"/>
      <c r="Z734" s="2"/>
    </row>
    <row r="735" spans="1:26" ht="12.75" hidden="1" customHeight="1">
      <c r="A735" s="26">
        <v>430</v>
      </c>
      <c r="B735" s="27" t="s">
        <v>1516</v>
      </c>
      <c r="C735" s="28">
        <v>40352</v>
      </c>
      <c r="D735" s="27"/>
      <c r="E735" s="27" t="s">
        <v>2169</v>
      </c>
      <c r="F735" s="29" t="s">
        <v>2159</v>
      </c>
      <c r="G735" s="27" t="s">
        <v>573</v>
      </c>
      <c r="H735" s="27" t="s">
        <v>19</v>
      </c>
      <c r="I735" s="27">
        <v>1</v>
      </c>
      <c r="J735" s="30">
        <v>41172398</v>
      </c>
      <c r="K735" s="26" t="s">
        <v>20</v>
      </c>
      <c r="L735" s="26" t="s">
        <v>5288</v>
      </c>
      <c r="M735" s="31" t="s">
        <v>2145</v>
      </c>
      <c r="N735" s="2"/>
      <c r="O735" s="2"/>
      <c r="P735" s="2"/>
      <c r="Q735" s="2"/>
      <c r="R735" s="2"/>
      <c r="S735" s="2"/>
      <c r="T735" s="2"/>
      <c r="U735" s="2"/>
      <c r="V735" s="2"/>
      <c r="W735" s="2"/>
      <c r="X735" s="2"/>
      <c r="Y735" s="2"/>
      <c r="Z735" s="2"/>
    </row>
    <row r="736" spans="1:26" ht="12.75" hidden="1" customHeight="1">
      <c r="A736" s="26">
        <v>431</v>
      </c>
      <c r="B736" s="27" t="s">
        <v>1516</v>
      </c>
      <c r="C736" s="28">
        <v>40352</v>
      </c>
      <c r="D736" s="27"/>
      <c r="E736" s="27" t="s">
        <v>2170</v>
      </c>
      <c r="F736" s="29" t="s">
        <v>2159</v>
      </c>
      <c r="G736" s="27" t="s">
        <v>573</v>
      </c>
      <c r="H736" s="27" t="s">
        <v>19</v>
      </c>
      <c r="I736" s="27">
        <v>1</v>
      </c>
      <c r="J736" s="30">
        <v>41172398</v>
      </c>
      <c r="K736" s="26" t="s">
        <v>20</v>
      </c>
      <c r="L736" s="26" t="s">
        <v>5288</v>
      </c>
      <c r="M736" s="31" t="s">
        <v>2145</v>
      </c>
      <c r="N736" s="2"/>
      <c r="O736" s="2"/>
      <c r="P736" s="2"/>
      <c r="Q736" s="2"/>
      <c r="R736" s="2"/>
      <c r="S736" s="2"/>
      <c r="T736" s="2"/>
      <c r="U736" s="2"/>
      <c r="V736" s="2"/>
      <c r="W736" s="2"/>
      <c r="X736" s="2"/>
      <c r="Y736" s="2"/>
      <c r="Z736" s="2"/>
    </row>
    <row r="737" spans="1:26" ht="25.5" hidden="1" customHeight="1">
      <c r="A737" s="26">
        <v>432</v>
      </c>
      <c r="B737" s="27" t="s">
        <v>1516</v>
      </c>
      <c r="C737" s="28">
        <v>40352</v>
      </c>
      <c r="D737" s="27"/>
      <c r="E737" s="27" t="s">
        <v>2171</v>
      </c>
      <c r="F737" s="29" t="s">
        <v>2172</v>
      </c>
      <c r="G737" s="27" t="s">
        <v>248</v>
      </c>
      <c r="H737" s="27" t="s">
        <v>19</v>
      </c>
      <c r="I737" s="27">
        <v>1</v>
      </c>
      <c r="J737" s="30">
        <v>120164584</v>
      </c>
      <c r="K737" s="26" t="s">
        <v>20</v>
      </c>
      <c r="L737" s="26" t="s">
        <v>5288</v>
      </c>
      <c r="M737" s="31" t="s">
        <v>2145</v>
      </c>
      <c r="N737" s="2"/>
      <c r="O737" s="2"/>
      <c r="P737" s="2"/>
      <c r="Q737" s="2"/>
      <c r="R737" s="2"/>
      <c r="S737" s="2"/>
      <c r="T737" s="2"/>
      <c r="U737" s="2"/>
      <c r="V737" s="2"/>
      <c r="W737" s="2"/>
      <c r="X737" s="2"/>
      <c r="Y737" s="2"/>
      <c r="Z737" s="2"/>
    </row>
    <row r="738" spans="1:26" ht="25.5" hidden="1" customHeight="1">
      <c r="A738" s="26">
        <v>433</v>
      </c>
      <c r="B738" s="27" t="s">
        <v>1516</v>
      </c>
      <c r="C738" s="28">
        <v>40352</v>
      </c>
      <c r="D738" s="27"/>
      <c r="E738" s="27" t="s">
        <v>2174</v>
      </c>
      <c r="F738" s="29" t="s">
        <v>2175</v>
      </c>
      <c r="G738" s="27" t="s">
        <v>248</v>
      </c>
      <c r="H738" s="27" t="s">
        <v>19</v>
      </c>
      <c r="I738" s="27">
        <v>1</v>
      </c>
      <c r="J738" s="30">
        <v>120164584</v>
      </c>
      <c r="K738" s="26" t="s">
        <v>20</v>
      </c>
      <c r="L738" s="26" t="s">
        <v>5288</v>
      </c>
      <c r="M738" s="31" t="s">
        <v>2145</v>
      </c>
      <c r="N738" s="2"/>
      <c r="O738" s="2"/>
      <c r="P738" s="2"/>
      <c r="Q738" s="2"/>
      <c r="R738" s="2"/>
      <c r="S738" s="2"/>
      <c r="T738" s="2"/>
      <c r="U738" s="2"/>
      <c r="V738" s="2"/>
      <c r="W738" s="2"/>
      <c r="X738" s="2"/>
      <c r="Y738" s="2"/>
      <c r="Z738" s="2"/>
    </row>
    <row r="739" spans="1:26" ht="25.5" hidden="1" customHeight="1">
      <c r="A739" s="26">
        <v>434</v>
      </c>
      <c r="B739" s="27" t="s">
        <v>1516</v>
      </c>
      <c r="C739" s="28">
        <v>40352</v>
      </c>
      <c r="D739" s="27"/>
      <c r="E739" s="27" t="s">
        <v>2177</v>
      </c>
      <c r="F739" s="29" t="s">
        <v>2178</v>
      </c>
      <c r="G739" s="27" t="s">
        <v>248</v>
      </c>
      <c r="H739" s="27" t="s">
        <v>19</v>
      </c>
      <c r="I739" s="27">
        <v>1</v>
      </c>
      <c r="J739" s="30">
        <v>120164585</v>
      </c>
      <c r="K739" s="26" t="s">
        <v>20</v>
      </c>
      <c r="L739" s="26" t="s">
        <v>5288</v>
      </c>
      <c r="M739" s="31" t="s">
        <v>2145</v>
      </c>
      <c r="N739" s="2"/>
      <c r="O739" s="2"/>
      <c r="P739" s="2"/>
      <c r="Q739" s="2"/>
      <c r="R739" s="2"/>
      <c r="S739" s="2"/>
      <c r="T739" s="2"/>
      <c r="U739" s="2"/>
      <c r="V739" s="2"/>
      <c r="W739" s="2"/>
      <c r="X739" s="2"/>
      <c r="Y739" s="2"/>
      <c r="Z739" s="2"/>
    </row>
    <row r="740" spans="1:26" ht="25.5" hidden="1" customHeight="1">
      <c r="A740" s="26">
        <v>435</v>
      </c>
      <c r="B740" s="27" t="s">
        <v>2180</v>
      </c>
      <c r="C740" s="28">
        <v>40408</v>
      </c>
      <c r="D740" s="27"/>
      <c r="E740" s="27" t="s">
        <v>2181</v>
      </c>
      <c r="F740" s="29" t="s">
        <v>2182</v>
      </c>
      <c r="G740" s="27"/>
      <c r="H740" s="27" t="s">
        <v>19</v>
      </c>
      <c r="I740" s="27">
        <v>1</v>
      </c>
      <c r="J740" s="30">
        <v>63956667</v>
      </c>
      <c r="K740" s="26" t="s">
        <v>20</v>
      </c>
      <c r="L740" s="26" t="s">
        <v>233</v>
      </c>
      <c r="M740" s="31" t="s">
        <v>2183</v>
      </c>
      <c r="N740" s="2"/>
      <c r="O740" s="2"/>
      <c r="P740" s="2"/>
      <c r="Q740" s="2"/>
      <c r="R740" s="2"/>
      <c r="S740" s="2"/>
      <c r="T740" s="2"/>
      <c r="U740" s="2"/>
      <c r="V740" s="2"/>
      <c r="W740" s="2"/>
      <c r="X740" s="2"/>
      <c r="Y740" s="2"/>
      <c r="Z740" s="2"/>
    </row>
    <row r="741" spans="1:26" ht="25.5" hidden="1" customHeight="1">
      <c r="A741" s="26">
        <v>436</v>
      </c>
      <c r="B741" s="27" t="s">
        <v>2180</v>
      </c>
      <c r="C741" s="28">
        <v>40408</v>
      </c>
      <c r="D741" s="27"/>
      <c r="E741" s="27" t="s">
        <v>2184</v>
      </c>
      <c r="F741" s="29" t="s">
        <v>2185</v>
      </c>
      <c r="G741" s="27"/>
      <c r="H741" s="27" t="s">
        <v>19</v>
      </c>
      <c r="I741" s="27">
        <v>1</v>
      </c>
      <c r="J741" s="30">
        <v>63956667</v>
      </c>
      <c r="K741" s="26" t="s">
        <v>20</v>
      </c>
      <c r="L741" s="26" t="s">
        <v>233</v>
      </c>
      <c r="M741" s="31" t="s">
        <v>2183</v>
      </c>
      <c r="N741" s="2"/>
      <c r="O741" s="2"/>
      <c r="P741" s="2"/>
      <c r="Q741" s="2"/>
      <c r="R741" s="2"/>
      <c r="S741" s="2"/>
      <c r="T741" s="2"/>
      <c r="U741" s="2"/>
      <c r="V741" s="2"/>
      <c r="W741" s="2"/>
      <c r="X741" s="2"/>
      <c r="Y741" s="2"/>
      <c r="Z741" s="2"/>
    </row>
    <row r="742" spans="1:26" ht="25.5" hidden="1" customHeight="1">
      <c r="A742" s="26">
        <v>437</v>
      </c>
      <c r="B742" s="27" t="s">
        <v>2180</v>
      </c>
      <c r="C742" s="28">
        <v>40408</v>
      </c>
      <c r="D742" s="27"/>
      <c r="E742" s="27" t="s">
        <v>2186</v>
      </c>
      <c r="F742" s="29" t="s">
        <v>2187</v>
      </c>
      <c r="G742" s="27"/>
      <c r="H742" s="27" t="s">
        <v>19</v>
      </c>
      <c r="I742" s="27">
        <v>1</v>
      </c>
      <c r="J742" s="30">
        <v>63956666</v>
      </c>
      <c r="K742" s="26" t="s">
        <v>20</v>
      </c>
      <c r="L742" s="26" t="s">
        <v>233</v>
      </c>
      <c r="M742" s="31" t="s">
        <v>5380</v>
      </c>
      <c r="N742" s="2"/>
      <c r="O742" s="2"/>
      <c r="P742" s="2"/>
      <c r="Q742" s="2"/>
      <c r="R742" s="2"/>
      <c r="S742" s="2"/>
      <c r="T742" s="2"/>
      <c r="U742" s="2"/>
      <c r="V742" s="2"/>
      <c r="W742" s="2"/>
      <c r="X742" s="2"/>
      <c r="Y742" s="2"/>
      <c r="Z742" s="2"/>
    </row>
    <row r="743" spans="1:26" ht="12.75" hidden="1" customHeight="1">
      <c r="A743" s="26">
        <v>438</v>
      </c>
      <c r="B743" s="27" t="s">
        <v>2188</v>
      </c>
      <c r="C743" s="28">
        <v>41411</v>
      </c>
      <c r="D743" s="27"/>
      <c r="E743" s="27" t="s">
        <v>2189</v>
      </c>
      <c r="F743" s="29" t="s">
        <v>2190</v>
      </c>
      <c r="G743" s="27" t="s">
        <v>55</v>
      </c>
      <c r="H743" s="27" t="s">
        <v>19</v>
      </c>
      <c r="I743" s="27">
        <v>1</v>
      </c>
      <c r="J743" s="30">
        <v>104228947</v>
      </c>
      <c r="K743" s="26" t="s">
        <v>20</v>
      </c>
      <c r="L743" s="26" t="s">
        <v>233</v>
      </c>
      <c r="M743" s="31" t="s">
        <v>2183</v>
      </c>
      <c r="N743" s="2"/>
      <c r="O743" s="2"/>
      <c r="P743" s="2"/>
      <c r="Q743" s="2"/>
      <c r="R743" s="2"/>
      <c r="S743" s="2"/>
      <c r="T743" s="2"/>
      <c r="U743" s="2"/>
      <c r="V743" s="2"/>
      <c r="W743" s="2"/>
      <c r="X743" s="2"/>
      <c r="Y743" s="2"/>
      <c r="Z743" s="2"/>
    </row>
    <row r="744" spans="1:26" ht="12.75" hidden="1" customHeight="1">
      <c r="A744" s="26">
        <v>439</v>
      </c>
      <c r="B744" s="27" t="s">
        <v>2188</v>
      </c>
      <c r="C744" s="28">
        <v>41411</v>
      </c>
      <c r="D744" s="27"/>
      <c r="E744" s="27" t="s">
        <v>2191</v>
      </c>
      <c r="F744" s="29" t="s">
        <v>2192</v>
      </c>
      <c r="G744" s="27" t="s">
        <v>55</v>
      </c>
      <c r="H744" s="27" t="s">
        <v>19</v>
      </c>
      <c r="I744" s="27">
        <v>1</v>
      </c>
      <c r="J744" s="30">
        <v>110438469</v>
      </c>
      <c r="K744" s="26" t="s">
        <v>20</v>
      </c>
      <c r="L744" s="26" t="s">
        <v>233</v>
      </c>
      <c r="M744" s="31" t="s">
        <v>2183</v>
      </c>
      <c r="N744" s="2"/>
      <c r="O744" s="2"/>
      <c r="P744" s="2"/>
      <c r="Q744" s="2"/>
      <c r="R744" s="2"/>
      <c r="S744" s="2"/>
      <c r="T744" s="2"/>
      <c r="U744" s="2"/>
      <c r="V744" s="2"/>
      <c r="W744" s="2"/>
      <c r="X744" s="2"/>
      <c r="Y744" s="2"/>
      <c r="Z744" s="2"/>
    </row>
    <row r="745" spans="1:26" ht="12.75" hidden="1" customHeight="1">
      <c r="A745" s="26">
        <v>440</v>
      </c>
      <c r="B745" s="27" t="s">
        <v>2188</v>
      </c>
      <c r="C745" s="28">
        <v>41411</v>
      </c>
      <c r="D745" s="27"/>
      <c r="E745" s="27" t="s">
        <v>2193</v>
      </c>
      <c r="F745" s="29" t="s">
        <v>2194</v>
      </c>
      <c r="G745" s="27" t="s">
        <v>55</v>
      </c>
      <c r="H745" s="27" t="s">
        <v>19</v>
      </c>
      <c r="I745" s="27">
        <v>1</v>
      </c>
      <c r="J745" s="30">
        <v>55853472</v>
      </c>
      <c r="K745" s="26" t="s">
        <v>20</v>
      </c>
      <c r="L745" s="26" t="s">
        <v>233</v>
      </c>
      <c r="M745" s="31" t="s">
        <v>2183</v>
      </c>
      <c r="N745" s="2"/>
      <c r="O745" s="2"/>
      <c r="P745" s="2"/>
      <c r="Q745" s="2"/>
      <c r="R745" s="2"/>
      <c r="S745" s="2"/>
      <c r="T745" s="2"/>
      <c r="U745" s="2"/>
      <c r="V745" s="2"/>
      <c r="W745" s="2"/>
      <c r="X745" s="2"/>
      <c r="Y745" s="2"/>
      <c r="Z745" s="2"/>
    </row>
    <row r="746" spans="1:26" ht="12.75" hidden="1" customHeight="1">
      <c r="A746" s="26">
        <v>441</v>
      </c>
      <c r="B746" s="27" t="s">
        <v>2188</v>
      </c>
      <c r="C746" s="28">
        <v>41411</v>
      </c>
      <c r="D746" s="27"/>
      <c r="E746" s="27" t="s">
        <v>2195</v>
      </c>
      <c r="F746" s="29" t="s">
        <v>2196</v>
      </c>
      <c r="G746" s="27" t="s">
        <v>55</v>
      </c>
      <c r="H746" s="27" t="s">
        <v>19</v>
      </c>
      <c r="I746" s="27">
        <v>1</v>
      </c>
      <c r="J746" s="30">
        <v>55853472</v>
      </c>
      <c r="K746" s="26" t="s">
        <v>20</v>
      </c>
      <c r="L746" s="26" t="s">
        <v>233</v>
      </c>
      <c r="M746" s="31" t="s">
        <v>2183</v>
      </c>
      <c r="N746" s="2"/>
      <c r="O746" s="2"/>
      <c r="P746" s="2"/>
      <c r="Q746" s="2"/>
      <c r="R746" s="2"/>
      <c r="S746" s="2"/>
      <c r="T746" s="2"/>
      <c r="U746" s="2"/>
      <c r="V746" s="2"/>
      <c r="W746" s="2"/>
      <c r="X746" s="2"/>
      <c r="Y746" s="2"/>
      <c r="Z746" s="2"/>
    </row>
    <row r="747" spans="1:26" ht="12.75" hidden="1" customHeight="1">
      <c r="A747" s="26">
        <v>442</v>
      </c>
      <c r="B747" s="27" t="s">
        <v>2188</v>
      </c>
      <c r="C747" s="28">
        <v>41411</v>
      </c>
      <c r="D747" s="27"/>
      <c r="E747" s="27" t="s">
        <v>2197</v>
      </c>
      <c r="F747" s="29" t="s">
        <v>2198</v>
      </c>
      <c r="G747" s="27" t="s">
        <v>55</v>
      </c>
      <c r="H747" s="27" t="s">
        <v>19</v>
      </c>
      <c r="I747" s="27">
        <v>1</v>
      </c>
      <c r="J747" s="30">
        <v>61869620</v>
      </c>
      <c r="K747" s="26" t="s">
        <v>20</v>
      </c>
      <c r="L747" s="26" t="s">
        <v>233</v>
      </c>
      <c r="M747" s="31" t="s">
        <v>2183</v>
      </c>
      <c r="N747" s="2"/>
      <c r="O747" s="2"/>
      <c r="P747" s="2"/>
      <c r="Q747" s="2"/>
      <c r="R747" s="2"/>
      <c r="S747" s="2"/>
      <c r="T747" s="2"/>
      <c r="U747" s="2"/>
      <c r="V747" s="2"/>
      <c r="W747" s="2"/>
      <c r="X747" s="2"/>
      <c r="Y747" s="2"/>
      <c r="Z747" s="2"/>
    </row>
    <row r="748" spans="1:26" ht="12.75" hidden="1" customHeight="1">
      <c r="A748" s="26">
        <v>443</v>
      </c>
      <c r="B748" s="27" t="s">
        <v>2188</v>
      </c>
      <c r="C748" s="28">
        <v>41411</v>
      </c>
      <c r="D748" s="27"/>
      <c r="E748" s="27" t="s">
        <v>2199</v>
      </c>
      <c r="F748" s="29" t="s">
        <v>2200</v>
      </c>
      <c r="G748" s="27" t="s">
        <v>55</v>
      </c>
      <c r="H748" s="27" t="s">
        <v>19</v>
      </c>
      <c r="I748" s="27">
        <v>1</v>
      </c>
      <c r="J748" s="30">
        <v>65103298</v>
      </c>
      <c r="K748" s="26" t="s">
        <v>20</v>
      </c>
      <c r="L748" s="26" t="s">
        <v>295</v>
      </c>
      <c r="M748" s="31" t="s">
        <v>2907</v>
      </c>
      <c r="N748" s="2"/>
      <c r="O748" s="2"/>
      <c r="P748" s="2"/>
      <c r="Q748" s="2"/>
      <c r="R748" s="2"/>
      <c r="S748" s="2"/>
      <c r="T748" s="2"/>
      <c r="U748" s="2"/>
      <c r="V748" s="2"/>
      <c r="W748" s="2"/>
      <c r="X748" s="2"/>
      <c r="Y748" s="2"/>
      <c r="Z748" s="2"/>
    </row>
    <row r="749" spans="1:26" ht="25.5" hidden="1" customHeight="1">
      <c r="A749" s="26">
        <v>444</v>
      </c>
      <c r="B749" s="27" t="s">
        <v>2188</v>
      </c>
      <c r="C749" s="28">
        <v>41411</v>
      </c>
      <c r="D749" s="27"/>
      <c r="E749" s="27" t="s">
        <v>2201</v>
      </c>
      <c r="F749" s="29" t="s">
        <v>2202</v>
      </c>
      <c r="G749" s="27" t="s">
        <v>55</v>
      </c>
      <c r="H749" s="27" t="s">
        <v>19</v>
      </c>
      <c r="I749" s="27">
        <v>1</v>
      </c>
      <c r="J749" s="30">
        <v>83395536</v>
      </c>
      <c r="K749" s="26" t="s">
        <v>20</v>
      </c>
      <c r="L749" s="26" t="s">
        <v>233</v>
      </c>
      <c r="M749" s="31" t="s">
        <v>2183</v>
      </c>
      <c r="N749" s="2"/>
      <c r="O749" s="2"/>
      <c r="P749" s="2"/>
      <c r="Q749" s="2"/>
      <c r="R749" s="2"/>
      <c r="S749" s="2"/>
      <c r="T749" s="2"/>
      <c r="U749" s="2"/>
      <c r="V749" s="2"/>
      <c r="W749" s="2"/>
      <c r="X749" s="2"/>
      <c r="Y749" s="2"/>
      <c r="Z749" s="2"/>
    </row>
    <row r="750" spans="1:26" ht="25.5" hidden="1" customHeight="1">
      <c r="A750" s="26">
        <v>445</v>
      </c>
      <c r="B750" s="27" t="s">
        <v>2188</v>
      </c>
      <c r="C750" s="28">
        <v>41411</v>
      </c>
      <c r="D750" s="27"/>
      <c r="E750" s="27" t="s">
        <v>2203</v>
      </c>
      <c r="F750" s="29" t="s">
        <v>2204</v>
      </c>
      <c r="G750" s="27" t="s">
        <v>55</v>
      </c>
      <c r="H750" s="27" t="s">
        <v>19</v>
      </c>
      <c r="I750" s="27">
        <v>1</v>
      </c>
      <c r="J750" s="30">
        <v>83395536</v>
      </c>
      <c r="K750" s="26" t="s">
        <v>20</v>
      </c>
      <c r="L750" s="26" t="s">
        <v>233</v>
      </c>
      <c r="M750" s="31" t="s">
        <v>2183</v>
      </c>
      <c r="N750" s="2"/>
      <c r="O750" s="2"/>
      <c r="P750" s="2"/>
      <c r="Q750" s="2"/>
      <c r="R750" s="2"/>
      <c r="S750" s="2"/>
      <c r="T750" s="2"/>
      <c r="U750" s="2"/>
      <c r="V750" s="2"/>
      <c r="W750" s="2"/>
      <c r="X750" s="2"/>
      <c r="Y750" s="2"/>
      <c r="Z750" s="2"/>
    </row>
    <row r="751" spans="1:26" ht="25.5" hidden="1" customHeight="1">
      <c r="A751" s="26">
        <v>446</v>
      </c>
      <c r="B751" s="27" t="s">
        <v>2188</v>
      </c>
      <c r="C751" s="28">
        <v>41411</v>
      </c>
      <c r="D751" s="27"/>
      <c r="E751" s="27" t="s">
        <v>2205</v>
      </c>
      <c r="F751" s="29" t="s">
        <v>2206</v>
      </c>
      <c r="G751" s="27" t="s">
        <v>55</v>
      </c>
      <c r="H751" s="27" t="s">
        <v>19</v>
      </c>
      <c r="I751" s="27">
        <v>1</v>
      </c>
      <c r="J751" s="30">
        <v>83395536</v>
      </c>
      <c r="K751" s="26" t="s">
        <v>20</v>
      </c>
      <c r="L751" s="26" t="s">
        <v>233</v>
      </c>
      <c r="M751" s="31" t="s">
        <v>2183</v>
      </c>
      <c r="N751" s="2"/>
      <c r="O751" s="2"/>
      <c r="P751" s="2"/>
      <c r="Q751" s="2"/>
      <c r="R751" s="2"/>
      <c r="S751" s="2"/>
      <c r="T751" s="2"/>
      <c r="U751" s="2"/>
      <c r="V751" s="2"/>
      <c r="W751" s="2"/>
      <c r="X751" s="2"/>
      <c r="Y751" s="2"/>
      <c r="Z751" s="2"/>
    </row>
    <row r="752" spans="1:26" ht="25.5" hidden="1" customHeight="1">
      <c r="A752" s="26">
        <v>447</v>
      </c>
      <c r="B752" s="27" t="s">
        <v>2188</v>
      </c>
      <c r="C752" s="28">
        <v>41411</v>
      </c>
      <c r="D752" s="27"/>
      <c r="E752" s="27" t="s">
        <v>2207</v>
      </c>
      <c r="F752" s="29" t="s">
        <v>2208</v>
      </c>
      <c r="G752" s="27" t="s">
        <v>55</v>
      </c>
      <c r="H752" s="27" t="s">
        <v>19</v>
      </c>
      <c r="I752" s="27">
        <v>1</v>
      </c>
      <c r="J752" s="30">
        <v>83395536</v>
      </c>
      <c r="K752" s="26" t="s">
        <v>20</v>
      </c>
      <c r="L752" s="26" t="s">
        <v>233</v>
      </c>
      <c r="M752" s="31" t="s">
        <v>2183</v>
      </c>
      <c r="N752" s="2"/>
      <c r="O752" s="2"/>
      <c r="P752" s="2"/>
      <c r="Q752" s="2"/>
      <c r="R752" s="2"/>
      <c r="S752" s="2"/>
      <c r="T752" s="2"/>
      <c r="U752" s="2"/>
      <c r="V752" s="2"/>
      <c r="W752" s="2"/>
      <c r="X752" s="2"/>
      <c r="Y752" s="2"/>
      <c r="Z752" s="2"/>
    </row>
    <row r="753" spans="1:26" ht="25.5" hidden="1" customHeight="1">
      <c r="A753" s="26">
        <v>448</v>
      </c>
      <c r="B753" s="27" t="s">
        <v>2188</v>
      </c>
      <c r="C753" s="28">
        <v>41411</v>
      </c>
      <c r="D753" s="27"/>
      <c r="E753" s="27" t="s">
        <v>2209</v>
      </c>
      <c r="F753" s="29" t="s">
        <v>2210</v>
      </c>
      <c r="G753" s="27" t="s">
        <v>55</v>
      </c>
      <c r="H753" s="27" t="s">
        <v>19</v>
      </c>
      <c r="I753" s="27">
        <v>1</v>
      </c>
      <c r="J753" s="30">
        <v>83395536</v>
      </c>
      <c r="K753" s="26" t="s">
        <v>20</v>
      </c>
      <c r="L753" s="26" t="s">
        <v>233</v>
      </c>
      <c r="M753" s="31" t="s">
        <v>2183</v>
      </c>
      <c r="N753" s="2"/>
      <c r="O753" s="2"/>
      <c r="P753" s="2"/>
      <c r="Q753" s="2"/>
      <c r="R753" s="2"/>
      <c r="S753" s="2"/>
      <c r="T753" s="2"/>
      <c r="U753" s="2"/>
      <c r="V753" s="2"/>
      <c r="W753" s="2"/>
      <c r="X753" s="2"/>
      <c r="Y753" s="2"/>
      <c r="Z753" s="2"/>
    </row>
    <row r="754" spans="1:26" ht="25.5" hidden="1" customHeight="1">
      <c r="A754" s="26">
        <v>449</v>
      </c>
      <c r="B754" s="27" t="s">
        <v>2188</v>
      </c>
      <c r="C754" s="28">
        <v>41411</v>
      </c>
      <c r="D754" s="27"/>
      <c r="E754" s="27" t="s">
        <v>2211</v>
      </c>
      <c r="F754" s="29" t="s">
        <v>2212</v>
      </c>
      <c r="G754" s="27" t="s">
        <v>55</v>
      </c>
      <c r="H754" s="27" t="s">
        <v>19</v>
      </c>
      <c r="I754" s="27">
        <v>1</v>
      </c>
      <c r="J754" s="30">
        <v>83395536</v>
      </c>
      <c r="K754" s="26" t="s">
        <v>20</v>
      </c>
      <c r="L754" s="26" t="s">
        <v>233</v>
      </c>
      <c r="M754" s="31" t="s">
        <v>2183</v>
      </c>
      <c r="N754" s="2"/>
      <c r="O754" s="2"/>
      <c r="P754" s="2"/>
      <c r="Q754" s="2"/>
      <c r="R754" s="2"/>
      <c r="S754" s="2"/>
      <c r="T754" s="2"/>
      <c r="U754" s="2"/>
      <c r="V754" s="2"/>
      <c r="W754" s="2"/>
      <c r="X754" s="2"/>
      <c r="Y754" s="2"/>
      <c r="Z754" s="2"/>
    </row>
    <row r="755" spans="1:26" ht="25.5" hidden="1" customHeight="1">
      <c r="A755" s="26">
        <v>450</v>
      </c>
      <c r="B755" s="27" t="s">
        <v>2188</v>
      </c>
      <c r="C755" s="28">
        <v>41411</v>
      </c>
      <c r="D755" s="27"/>
      <c r="E755" s="27" t="s">
        <v>2213</v>
      </c>
      <c r="F755" s="29" t="s">
        <v>2214</v>
      </c>
      <c r="G755" s="27" t="s">
        <v>55</v>
      </c>
      <c r="H755" s="27" t="s">
        <v>19</v>
      </c>
      <c r="I755" s="27">
        <v>1</v>
      </c>
      <c r="J755" s="30">
        <v>62095224</v>
      </c>
      <c r="K755" s="26" t="s">
        <v>20</v>
      </c>
      <c r="L755" s="26" t="s">
        <v>233</v>
      </c>
      <c r="M755" s="31" t="s">
        <v>2183</v>
      </c>
      <c r="N755" s="2"/>
      <c r="O755" s="2"/>
      <c r="P755" s="2"/>
      <c r="Q755" s="2"/>
      <c r="R755" s="2"/>
      <c r="S755" s="2"/>
      <c r="T755" s="2"/>
      <c r="U755" s="2"/>
      <c r="V755" s="2"/>
      <c r="W755" s="2"/>
      <c r="X755" s="2"/>
      <c r="Y755" s="2"/>
      <c r="Z755" s="2"/>
    </row>
    <row r="756" spans="1:26" ht="25.5" hidden="1" customHeight="1">
      <c r="A756" s="26">
        <v>451</v>
      </c>
      <c r="B756" s="27" t="s">
        <v>2188</v>
      </c>
      <c r="C756" s="28">
        <v>41411</v>
      </c>
      <c r="D756" s="27"/>
      <c r="E756" s="27" t="s">
        <v>2215</v>
      </c>
      <c r="F756" s="29" t="s">
        <v>2216</v>
      </c>
      <c r="G756" s="27" t="s">
        <v>55</v>
      </c>
      <c r="H756" s="27" t="s">
        <v>19</v>
      </c>
      <c r="I756" s="27">
        <v>1</v>
      </c>
      <c r="J756" s="30">
        <v>62095224</v>
      </c>
      <c r="K756" s="26" t="s">
        <v>20</v>
      </c>
      <c r="L756" s="26" t="s">
        <v>233</v>
      </c>
      <c r="M756" s="31" t="s">
        <v>2183</v>
      </c>
      <c r="N756" s="2"/>
      <c r="O756" s="2"/>
      <c r="P756" s="2"/>
      <c r="Q756" s="2"/>
      <c r="R756" s="2"/>
      <c r="S756" s="2"/>
      <c r="T756" s="2"/>
      <c r="U756" s="2"/>
      <c r="V756" s="2"/>
      <c r="W756" s="2"/>
      <c r="X756" s="2"/>
      <c r="Y756" s="2"/>
      <c r="Z756" s="2"/>
    </row>
    <row r="757" spans="1:26" ht="25.5" hidden="1" customHeight="1">
      <c r="A757" s="26">
        <v>452</v>
      </c>
      <c r="B757" s="27" t="s">
        <v>2188</v>
      </c>
      <c r="C757" s="28">
        <v>41411</v>
      </c>
      <c r="D757" s="27"/>
      <c r="E757" s="27" t="s">
        <v>2217</v>
      </c>
      <c r="F757" s="29" t="s">
        <v>2218</v>
      </c>
      <c r="G757" s="27" t="s">
        <v>55</v>
      </c>
      <c r="H757" s="27" t="s">
        <v>19</v>
      </c>
      <c r="I757" s="27">
        <v>1</v>
      </c>
      <c r="J757" s="30">
        <v>69379058</v>
      </c>
      <c r="K757" s="26" t="s">
        <v>20</v>
      </c>
      <c r="L757" s="26" t="s">
        <v>233</v>
      </c>
      <c r="M757" s="31" t="s">
        <v>2183</v>
      </c>
      <c r="N757" s="2"/>
      <c r="O757" s="2"/>
      <c r="P757" s="2"/>
      <c r="Q757" s="2"/>
      <c r="R757" s="2"/>
      <c r="S757" s="2"/>
      <c r="T757" s="2"/>
      <c r="U757" s="2"/>
      <c r="V757" s="2"/>
      <c r="W757" s="2"/>
      <c r="X757" s="2"/>
      <c r="Y757" s="2"/>
      <c r="Z757" s="2"/>
    </row>
    <row r="758" spans="1:26" ht="25.5" hidden="1" customHeight="1">
      <c r="A758" s="26">
        <v>453</v>
      </c>
      <c r="B758" s="27" t="s">
        <v>1690</v>
      </c>
      <c r="C758" s="28">
        <v>41982</v>
      </c>
      <c r="D758" s="27"/>
      <c r="E758" s="27" t="s">
        <v>2219</v>
      </c>
      <c r="F758" s="29" t="s">
        <v>2220</v>
      </c>
      <c r="G758" s="27" t="s">
        <v>407</v>
      </c>
      <c r="H758" s="27" t="s">
        <v>19</v>
      </c>
      <c r="I758" s="27">
        <v>1</v>
      </c>
      <c r="J758" s="30">
        <v>37978476</v>
      </c>
      <c r="K758" s="26" t="s">
        <v>20</v>
      </c>
      <c r="L758" s="26" t="s">
        <v>5288</v>
      </c>
      <c r="M758" s="31" t="s">
        <v>2145</v>
      </c>
      <c r="N758" s="2"/>
      <c r="O758" s="2"/>
      <c r="P758" s="2"/>
      <c r="Q758" s="2"/>
      <c r="R758" s="2"/>
      <c r="S758" s="2"/>
      <c r="T758" s="2"/>
      <c r="U758" s="2"/>
      <c r="V758" s="2"/>
      <c r="W758" s="2"/>
      <c r="X758" s="2"/>
      <c r="Y758" s="2"/>
      <c r="Z758" s="2"/>
    </row>
    <row r="759" spans="1:26" ht="25.5" hidden="1" customHeight="1">
      <c r="A759" s="26">
        <v>454</v>
      </c>
      <c r="B759" s="27" t="s">
        <v>1690</v>
      </c>
      <c r="C759" s="28">
        <v>41982</v>
      </c>
      <c r="D759" s="27"/>
      <c r="E759" s="27" t="s">
        <v>2221</v>
      </c>
      <c r="F759" s="29" t="s">
        <v>2222</v>
      </c>
      <c r="G759" s="27" t="s">
        <v>407</v>
      </c>
      <c r="H759" s="27" t="s">
        <v>19</v>
      </c>
      <c r="I759" s="27">
        <v>1</v>
      </c>
      <c r="J759" s="30">
        <v>37978476</v>
      </c>
      <c r="K759" s="26" t="s">
        <v>20</v>
      </c>
      <c r="L759" s="26" t="s">
        <v>5288</v>
      </c>
      <c r="M759" s="31" t="s">
        <v>5381</v>
      </c>
      <c r="N759" s="2"/>
      <c r="O759" s="2"/>
      <c r="P759" s="2"/>
      <c r="Q759" s="2"/>
      <c r="R759" s="2"/>
      <c r="S759" s="2"/>
      <c r="T759" s="2"/>
      <c r="U759" s="2"/>
      <c r="V759" s="2"/>
      <c r="W759" s="2"/>
      <c r="X759" s="2"/>
      <c r="Y759" s="2"/>
      <c r="Z759" s="2"/>
    </row>
    <row r="760" spans="1:26" ht="25.5" hidden="1" customHeight="1">
      <c r="A760" s="26">
        <v>455</v>
      </c>
      <c r="B760" s="27" t="s">
        <v>1690</v>
      </c>
      <c r="C760" s="28">
        <v>41982</v>
      </c>
      <c r="D760" s="27"/>
      <c r="E760" s="27" t="s">
        <v>2223</v>
      </c>
      <c r="F760" s="29" t="s">
        <v>2224</v>
      </c>
      <c r="G760" s="27" t="s">
        <v>407</v>
      </c>
      <c r="H760" s="27" t="s">
        <v>19</v>
      </c>
      <c r="I760" s="27">
        <v>1</v>
      </c>
      <c r="J760" s="30">
        <v>37978476</v>
      </c>
      <c r="K760" s="26" t="s">
        <v>20</v>
      </c>
      <c r="L760" s="26" t="s">
        <v>5288</v>
      </c>
      <c r="M760" s="31" t="s">
        <v>2145</v>
      </c>
      <c r="N760" s="2"/>
      <c r="O760" s="2"/>
      <c r="P760" s="2"/>
      <c r="Q760" s="2"/>
      <c r="R760" s="2"/>
      <c r="S760" s="2"/>
      <c r="T760" s="2"/>
      <c r="U760" s="2"/>
      <c r="V760" s="2"/>
      <c r="W760" s="2"/>
      <c r="X760" s="2"/>
      <c r="Y760" s="2"/>
      <c r="Z760" s="2"/>
    </row>
    <row r="761" spans="1:26" ht="25.5" hidden="1" customHeight="1">
      <c r="A761" s="26">
        <v>456</v>
      </c>
      <c r="B761" s="27" t="s">
        <v>1690</v>
      </c>
      <c r="C761" s="28">
        <v>41982</v>
      </c>
      <c r="D761" s="27"/>
      <c r="E761" s="27" t="s">
        <v>2225</v>
      </c>
      <c r="F761" s="29" t="s">
        <v>2226</v>
      </c>
      <c r="G761" s="27" t="s">
        <v>407</v>
      </c>
      <c r="H761" s="27" t="s">
        <v>19</v>
      </c>
      <c r="I761" s="27">
        <v>1</v>
      </c>
      <c r="J761" s="30">
        <v>37978476</v>
      </c>
      <c r="K761" s="26" t="s">
        <v>20</v>
      </c>
      <c r="L761" s="26" t="s">
        <v>5288</v>
      </c>
      <c r="M761" s="31" t="s">
        <v>5382</v>
      </c>
      <c r="N761" s="2"/>
      <c r="O761" s="2"/>
      <c r="P761" s="2"/>
      <c r="Q761" s="2"/>
      <c r="R761" s="2"/>
      <c r="S761" s="2"/>
      <c r="T761" s="2"/>
      <c r="U761" s="2"/>
      <c r="V761" s="2"/>
      <c r="W761" s="2"/>
      <c r="X761" s="2"/>
      <c r="Y761" s="2"/>
      <c r="Z761" s="2"/>
    </row>
    <row r="762" spans="1:26" ht="12.75" hidden="1" customHeight="1">
      <c r="A762" s="26">
        <v>457</v>
      </c>
      <c r="B762" s="27" t="s">
        <v>1690</v>
      </c>
      <c r="C762" s="28">
        <v>41982</v>
      </c>
      <c r="D762" s="27"/>
      <c r="E762" s="27" t="s">
        <v>2227</v>
      </c>
      <c r="F762" s="29" t="s">
        <v>2228</v>
      </c>
      <c r="G762" s="27" t="s">
        <v>1008</v>
      </c>
      <c r="H762" s="27" t="s">
        <v>249</v>
      </c>
      <c r="I762" s="27">
        <v>1</v>
      </c>
      <c r="J762" s="30">
        <v>36544867</v>
      </c>
      <c r="K762" s="26" t="s">
        <v>20</v>
      </c>
      <c r="L762" s="26" t="s">
        <v>5288</v>
      </c>
      <c r="M762" s="31" t="s">
        <v>2145</v>
      </c>
      <c r="N762" s="2"/>
      <c r="O762" s="2"/>
      <c r="P762" s="2"/>
      <c r="Q762" s="2"/>
      <c r="R762" s="2"/>
      <c r="S762" s="2"/>
      <c r="T762" s="2"/>
      <c r="U762" s="2"/>
      <c r="V762" s="2"/>
      <c r="W762" s="2"/>
      <c r="X762" s="2"/>
      <c r="Y762" s="2"/>
      <c r="Z762" s="2"/>
    </row>
    <row r="763" spans="1:26" ht="12.75" hidden="1" customHeight="1">
      <c r="A763" s="26">
        <v>458</v>
      </c>
      <c r="B763" s="27" t="s">
        <v>1690</v>
      </c>
      <c r="C763" s="28">
        <v>41982</v>
      </c>
      <c r="D763" s="27"/>
      <c r="E763" s="27" t="s">
        <v>2229</v>
      </c>
      <c r="F763" s="29" t="s">
        <v>2230</v>
      </c>
      <c r="G763" s="27" t="s">
        <v>1008</v>
      </c>
      <c r="H763" s="27" t="s">
        <v>249</v>
      </c>
      <c r="I763" s="27">
        <v>1</v>
      </c>
      <c r="J763" s="30">
        <v>36544867</v>
      </c>
      <c r="K763" s="26" t="s">
        <v>20</v>
      </c>
      <c r="L763" s="26" t="s">
        <v>5288</v>
      </c>
      <c r="M763" s="31" t="s">
        <v>2145</v>
      </c>
      <c r="N763" s="2"/>
      <c r="O763" s="2"/>
      <c r="P763" s="2"/>
      <c r="Q763" s="2"/>
      <c r="R763" s="2"/>
      <c r="S763" s="2"/>
      <c r="T763" s="2"/>
      <c r="U763" s="2"/>
      <c r="V763" s="2"/>
      <c r="W763" s="2"/>
      <c r="X763" s="2"/>
      <c r="Y763" s="2"/>
      <c r="Z763" s="2"/>
    </row>
    <row r="764" spans="1:26" ht="12.75" hidden="1" customHeight="1">
      <c r="A764" s="26">
        <v>459</v>
      </c>
      <c r="B764" s="27" t="s">
        <v>1690</v>
      </c>
      <c r="C764" s="28">
        <v>41982</v>
      </c>
      <c r="D764" s="27"/>
      <c r="E764" s="27" t="s">
        <v>2231</v>
      </c>
      <c r="F764" s="29" t="s">
        <v>2232</v>
      </c>
      <c r="G764" s="27" t="s">
        <v>1008</v>
      </c>
      <c r="H764" s="27" t="s">
        <v>249</v>
      </c>
      <c r="I764" s="27">
        <v>1</v>
      </c>
      <c r="J764" s="30">
        <v>36544867</v>
      </c>
      <c r="K764" s="26" t="s">
        <v>20</v>
      </c>
      <c r="L764" s="26" t="s">
        <v>5288</v>
      </c>
      <c r="M764" s="31" t="s">
        <v>2145</v>
      </c>
      <c r="N764" s="2"/>
      <c r="O764" s="2"/>
      <c r="P764" s="2"/>
      <c r="Q764" s="2"/>
      <c r="R764" s="2"/>
      <c r="S764" s="2"/>
      <c r="T764" s="2"/>
      <c r="U764" s="2"/>
      <c r="V764" s="2"/>
      <c r="W764" s="2"/>
      <c r="X764" s="2"/>
      <c r="Y764" s="2"/>
      <c r="Z764" s="2"/>
    </row>
    <row r="765" spans="1:26" ht="12.75" hidden="1" customHeight="1">
      <c r="A765" s="26">
        <v>460</v>
      </c>
      <c r="B765" s="27" t="s">
        <v>1690</v>
      </c>
      <c r="C765" s="28">
        <v>41982</v>
      </c>
      <c r="D765" s="27"/>
      <c r="E765" s="27" t="s">
        <v>2233</v>
      </c>
      <c r="F765" s="29" t="s">
        <v>2234</v>
      </c>
      <c r="G765" s="27" t="s">
        <v>1008</v>
      </c>
      <c r="H765" s="27" t="s">
        <v>249</v>
      </c>
      <c r="I765" s="27">
        <v>1</v>
      </c>
      <c r="J765" s="30">
        <v>36544867</v>
      </c>
      <c r="K765" s="26" t="s">
        <v>20</v>
      </c>
      <c r="L765" s="26" t="s">
        <v>5288</v>
      </c>
      <c r="M765" s="31" t="s">
        <v>2145</v>
      </c>
      <c r="N765" s="2"/>
      <c r="O765" s="2"/>
      <c r="P765" s="2"/>
      <c r="Q765" s="2"/>
      <c r="R765" s="2"/>
      <c r="S765" s="2"/>
      <c r="T765" s="2"/>
      <c r="U765" s="2"/>
      <c r="V765" s="2"/>
      <c r="W765" s="2"/>
      <c r="X765" s="2"/>
      <c r="Y765" s="2"/>
      <c r="Z765" s="2"/>
    </row>
    <row r="766" spans="1:26" ht="12.75" hidden="1" customHeight="1">
      <c r="A766" s="26">
        <v>461</v>
      </c>
      <c r="B766" s="27" t="s">
        <v>1690</v>
      </c>
      <c r="C766" s="28">
        <v>41982</v>
      </c>
      <c r="D766" s="27"/>
      <c r="E766" s="27" t="s">
        <v>2235</v>
      </c>
      <c r="F766" s="29" t="s">
        <v>2236</v>
      </c>
      <c r="G766" s="27" t="s">
        <v>1008</v>
      </c>
      <c r="H766" s="27" t="s">
        <v>249</v>
      </c>
      <c r="I766" s="27">
        <v>1</v>
      </c>
      <c r="J766" s="30">
        <v>36544867</v>
      </c>
      <c r="K766" s="26" t="s">
        <v>20</v>
      </c>
      <c r="L766" s="26" t="s">
        <v>5288</v>
      </c>
      <c r="M766" s="31" t="s">
        <v>2145</v>
      </c>
      <c r="N766" s="2"/>
      <c r="O766" s="2"/>
      <c r="P766" s="2"/>
      <c r="Q766" s="2"/>
      <c r="R766" s="2"/>
      <c r="S766" s="2"/>
      <c r="T766" s="2"/>
      <c r="U766" s="2"/>
      <c r="V766" s="2"/>
      <c r="W766" s="2"/>
      <c r="X766" s="2"/>
      <c r="Y766" s="2"/>
      <c r="Z766" s="2"/>
    </row>
    <row r="767" spans="1:26" ht="12.75" hidden="1" customHeight="1">
      <c r="A767" s="26">
        <v>462</v>
      </c>
      <c r="B767" s="27" t="s">
        <v>1690</v>
      </c>
      <c r="C767" s="28">
        <v>41982</v>
      </c>
      <c r="D767" s="27"/>
      <c r="E767" s="27" t="s">
        <v>2237</v>
      </c>
      <c r="F767" s="29" t="s">
        <v>2238</v>
      </c>
      <c r="G767" s="27" t="s">
        <v>1008</v>
      </c>
      <c r="H767" s="27" t="s">
        <v>249</v>
      </c>
      <c r="I767" s="27">
        <v>1</v>
      </c>
      <c r="J767" s="30">
        <v>36544867</v>
      </c>
      <c r="K767" s="26" t="s">
        <v>20</v>
      </c>
      <c r="L767" s="26" t="s">
        <v>5288</v>
      </c>
      <c r="M767" s="31" t="s">
        <v>2145</v>
      </c>
      <c r="N767" s="2"/>
      <c r="O767" s="2"/>
      <c r="P767" s="2"/>
      <c r="Q767" s="2"/>
      <c r="R767" s="2"/>
      <c r="S767" s="2"/>
      <c r="T767" s="2"/>
      <c r="U767" s="2"/>
      <c r="V767" s="2"/>
      <c r="W767" s="2"/>
      <c r="X767" s="2"/>
      <c r="Y767" s="2"/>
      <c r="Z767" s="2"/>
    </row>
    <row r="768" spans="1:26" ht="12.75" hidden="1" customHeight="1">
      <c r="A768" s="26">
        <v>463</v>
      </c>
      <c r="B768" s="27" t="s">
        <v>1690</v>
      </c>
      <c r="C768" s="28">
        <v>41982</v>
      </c>
      <c r="D768" s="27"/>
      <c r="E768" s="27" t="s">
        <v>2239</v>
      </c>
      <c r="F768" s="29" t="s">
        <v>2240</v>
      </c>
      <c r="G768" s="27" t="s">
        <v>1008</v>
      </c>
      <c r="H768" s="27" t="s">
        <v>249</v>
      </c>
      <c r="I768" s="27">
        <v>1</v>
      </c>
      <c r="J768" s="30">
        <v>36544867</v>
      </c>
      <c r="K768" s="26" t="s">
        <v>20</v>
      </c>
      <c r="L768" s="26" t="s">
        <v>5288</v>
      </c>
      <c r="M768" s="31" t="s">
        <v>2145</v>
      </c>
      <c r="N768" s="2"/>
      <c r="O768" s="2"/>
      <c r="P768" s="2"/>
      <c r="Q768" s="2"/>
      <c r="R768" s="2"/>
      <c r="S768" s="2"/>
      <c r="T768" s="2"/>
      <c r="U768" s="2"/>
      <c r="V768" s="2"/>
      <c r="W768" s="2"/>
      <c r="X768" s="2"/>
      <c r="Y768" s="2"/>
      <c r="Z768" s="2"/>
    </row>
    <row r="769" spans="1:26" ht="12.75" hidden="1" customHeight="1">
      <c r="A769" s="26">
        <v>464</v>
      </c>
      <c r="B769" s="27" t="s">
        <v>1690</v>
      </c>
      <c r="C769" s="28">
        <v>41982</v>
      </c>
      <c r="D769" s="27"/>
      <c r="E769" s="27" t="s">
        <v>2241</v>
      </c>
      <c r="F769" s="29" t="s">
        <v>2242</v>
      </c>
      <c r="G769" s="27" t="s">
        <v>1008</v>
      </c>
      <c r="H769" s="27" t="s">
        <v>249</v>
      </c>
      <c r="I769" s="27">
        <v>1</v>
      </c>
      <c r="J769" s="30">
        <v>36544867</v>
      </c>
      <c r="K769" s="26" t="s">
        <v>20</v>
      </c>
      <c r="L769" s="26" t="s">
        <v>5288</v>
      </c>
      <c r="M769" s="31" t="s">
        <v>2145</v>
      </c>
      <c r="N769" s="2"/>
      <c r="O769" s="2"/>
      <c r="P769" s="2"/>
      <c r="Q769" s="2"/>
      <c r="R769" s="2"/>
      <c r="S769" s="2"/>
      <c r="T769" s="2"/>
      <c r="U769" s="2"/>
      <c r="V769" s="2"/>
      <c r="W769" s="2"/>
      <c r="X769" s="2"/>
      <c r="Y769" s="2"/>
      <c r="Z769" s="2"/>
    </row>
    <row r="770" spans="1:26" ht="12.75" hidden="1" customHeight="1">
      <c r="A770" s="26">
        <v>465</v>
      </c>
      <c r="B770" s="27" t="s">
        <v>1690</v>
      </c>
      <c r="C770" s="28">
        <v>41982</v>
      </c>
      <c r="D770" s="27"/>
      <c r="E770" s="27" t="s">
        <v>2243</v>
      </c>
      <c r="F770" s="29" t="s">
        <v>2244</v>
      </c>
      <c r="G770" s="27" t="s">
        <v>55</v>
      </c>
      <c r="H770" s="27" t="s">
        <v>19</v>
      </c>
      <c r="I770" s="27">
        <v>1</v>
      </c>
      <c r="J770" s="30">
        <v>176467423</v>
      </c>
      <c r="K770" s="26" t="s">
        <v>20</v>
      </c>
      <c r="L770" s="26" t="s">
        <v>233</v>
      </c>
      <c r="M770" s="31" t="s">
        <v>2245</v>
      </c>
      <c r="N770" s="2"/>
      <c r="O770" s="2"/>
      <c r="P770" s="2"/>
      <c r="Q770" s="2"/>
      <c r="R770" s="2"/>
      <c r="S770" s="2"/>
      <c r="T770" s="2"/>
      <c r="U770" s="2"/>
      <c r="V770" s="2"/>
      <c r="W770" s="2"/>
      <c r="X770" s="2"/>
      <c r="Y770" s="2"/>
      <c r="Z770" s="2"/>
    </row>
    <row r="771" spans="1:26" ht="12.75" hidden="1" customHeight="1">
      <c r="A771" s="26">
        <v>466</v>
      </c>
      <c r="B771" s="27" t="s">
        <v>1690</v>
      </c>
      <c r="C771" s="28">
        <v>41982</v>
      </c>
      <c r="D771" s="27"/>
      <c r="E771" s="27" t="s">
        <v>2246</v>
      </c>
      <c r="F771" s="29" t="s">
        <v>2247</v>
      </c>
      <c r="G771" s="27" t="s">
        <v>55</v>
      </c>
      <c r="H771" s="27" t="s">
        <v>19</v>
      </c>
      <c r="I771" s="27">
        <v>1</v>
      </c>
      <c r="J771" s="30">
        <v>176467423</v>
      </c>
      <c r="K771" s="26" t="s">
        <v>20</v>
      </c>
      <c r="L771" s="26" t="s">
        <v>233</v>
      </c>
      <c r="M771" s="31" t="s">
        <v>2183</v>
      </c>
      <c r="N771" s="2"/>
      <c r="O771" s="2"/>
      <c r="P771" s="2"/>
      <c r="Q771" s="2"/>
      <c r="R771" s="2"/>
      <c r="S771" s="2"/>
      <c r="T771" s="2"/>
      <c r="U771" s="2"/>
      <c r="V771" s="2"/>
      <c r="W771" s="2"/>
      <c r="X771" s="2"/>
      <c r="Y771" s="2"/>
      <c r="Z771" s="2"/>
    </row>
    <row r="772" spans="1:26" ht="12.75" hidden="1" customHeight="1">
      <c r="A772" s="26">
        <v>467</v>
      </c>
      <c r="B772" s="27" t="s">
        <v>1690</v>
      </c>
      <c r="C772" s="28">
        <v>41982</v>
      </c>
      <c r="D772" s="27"/>
      <c r="E772" s="27" t="s">
        <v>2248</v>
      </c>
      <c r="F772" s="29" t="s">
        <v>2249</v>
      </c>
      <c r="G772" s="27" t="s">
        <v>55</v>
      </c>
      <c r="H772" s="27" t="s">
        <v>19</v>
      </c>
      <c r="I772" s="27">
        <v>1</v>
      </c>
      <c r="J772" s="30">
        <v>176467423</v>
      </c>
      <c r="K772" s="26" t="s">
        <v>20</v>
      </c>
      <c r="L772" s="26" t="s">
        <v>295</v>
      </c>
      <c r="M772" s="31" t="s">
        <v>5249</v>
      </c>
      <c r="N772" s="2"/>
      <c r="O772" s="2"/>
      <c r="P772" s="2"/>
      <c r="Q772" s="2"/>
      <c r="R772" s="2"/>
      <c r="S772" s="2"/>
      <c r="T772" s="2"/>
      <c r="U772" s="2"/>
      <c r="V772" s="2"/>
      <c r="W772" s="2"/>
      <c r="X772" s="2"/>
      <c r="Y772" s="2"/>
      <c r="Z772" s="2"/>
    </row>
    <row r="773" spans="1:26" ht="12.75" hidden="1" customHeight="1">
      <c r="A773" s="26">
        <v>468</v>
      </c>
      <c r="B773" s="27" t="s">
        <v>1690</v>
      </c>
      <c r="C773" s="28">
        <v>41982</v>
      </c>
      <c r="D773" s="27"/>
      <c r="E773" s="27" t="s">
        <v>2251</v>
      </c>
      <c r="F773" s="29" t="s">
        <v>2252</v>
      </c>
      <c r="G773" s="27" t="s">
        <v>55</v>
      </c>
      <c r="H773" s="27" t="s">
        <v>19</v>
      </c>
      <c r="I773" s="27">
        <v>1</v>
      </c>
      <c r="J773" s="30">
        <v>176467423</v>
      </c>
      <c r="K773" s="26" t="s">
        <v>20</v>
      </c>
      <c r="L773" s="26" t="s">
        <v>295</v>
      </c>
      <c r="M773" s="31" t="s">
        <v>5249</v>
      </c>
      <c r="N773" s="2"/>
      <c r="O773" s="2"/>
      <c r="P773" s="2"/>
      <c r="Q773" s="2"/>
      <c r="R773" s="2"/>
      <c r="S773" s="2"/>
      <c r="T773" s="2"/>
      <c r="U773" s="2"/>
      <c r="V773" s="2"/>
      <c r="W773" s="2"/>
      <c r="X773" s="2"/>
      <c r="Y773" s="2"/>
      <c r="Z773" s="2"/>
    </row>
    <row r="774" spans="1:26" ht="25.5" hidden="1" customHeight="1">
      <c r="A774" s="26">
        <v>469</v>
      </c>
      <c r="B774" s="27" t="s">
        <v>470</v>
      </c>
      <c r="C774" s="28">
        <v>41983</v>
      </c>
      <c r="D774" s="27"/>
      <c r="E774" s="27" t="s">
        <v>2253</v>
      </c>
      <c r="F774" s="29" t="s">
        <v>2254</v>
      </c>
      <c r="G774" s="27" t="s">
        <v>407</v>
      </c>
      <c r="H774" s="27" t="s">
        <v>19</v>
      </c>
      <c r="I774" s="27">
        <v>1</v>
      </c>
      <c r="J774" s="30">
        <v>53582816</v>
      </c>
      <c r="K774" s="26" t="s">
        <v>20</v>
      </c>
      <c r="L774" s="26" t="s">
        <v>5288</v>
      </c>
      <c r="M774" s="31" t="s">
        <v>2145</v>
      </c>
      <c r="N774" s="2"/>
      <c r="O774" s="2"/>
      <c r="P774" s="2"/>
      <c r="Q774" s="2"/>
      <c r="R774" s="2"/>
      <c r="S774" s="2"/>
      <c r="T774" s="2"/>
      <c r="U774" s="2"/>
      <c r="V774" s="2"/>
      <c r="W774" s="2"/>
      <c r="X774" s="2"/>
      <c r="Y774" s="2"/>
      <c r="Z774" s="2"/>
    </row>
    <row r="775" spans="1:26" ht="25.5" hidden="1" customHeight="1">
      <c r="A775" s="26">
        <v>470</v>
      </c>
      <c r="B775" s="27" t="s">
        <v>470</v>
      </c>
      <c r="C775" s="28">
        <v>41983</v>
      </c>
      <c r="D775" s="27"/>
      <c r="E775" s="27" t="s">
        <v>2255</v>
      </c>
      <c r="F775" s="29" t="s">
        <v>2256</v>
      </c>
      <c r="G775" s="27" t="s">
        <v>407</v>
      </c>
      <c r="H775" s="27" t="s">
        <v>19</v>
      </c>
      <c r="I775" s="27">
        <v>1</v>
      </c>
      <c r="J775" s="30">
        <v>53582816</v>
      </c>
      <c r="K775" s="26" t="s">
        <v>20</v>
      </c>
      <c r="L775" s="26" t="s">
        <v>5288</v>
      </c>
      <c r="M775" s="31" t="s">
        <v>2145</v>
      </c>
      <c r="N775" s="2"/>
      <c r="O775" s="2"/>
      <c r="P775" s="2"/>
      <c r="Q775" s="2"/>
      <c r="R775" s="2"/>
      <c r="S775" s="2"/>
      <c r="T775" s="2"/>
      <c r="U775" s="2"/>
      <c r="V775" s="2"/>
      <c r="W775" s="2"/>
      <c r="X775" s="2"/>
      <c r="Y775" s="2"/>
      <c r="Z775" s="2"/>
    </row>
    <row r="776" spans="1:26" ht="25.5" hidden="1" customHeight="1">
      <c r="A776" s="26">
        <v>471</v>
      </c>
      <c r="B776" s="27" t="s">
        <v>470</v>
      </c>
      <c r="C776" s="28">
        <v>41983</v>
      </c>
      <c r="D776" s="27"/>
      <c r="E776" s="27" t="s">
        <v>2257</v>
      </c>
      <c r="F776" s="29" t="s">
        <v>2258</v>
      </c>
      <c r="G776" s="27" t="s">
        <v>407</v>
      </c>
      <c r="H776" s="27" t="s">
        <v>19</v>
      </c>
      <c r="I776" s="27">
        <v>1</v>
      </c>
      <c r="J776" s="30">
        <v>53582816</v>
      </c>
      <c r="K776" s="26" t="s">
        <v>20</v>
      </c>
      <c r="L776" s="26" t="s">
        <v>5288</v>
      </c>
      <c r="M776" s="31" t="s">
        <v>2145</v>
      </c>
      <c r="N776" s="2"/>
      <c r="O776" s="2"/>
      <c r="P776" s="2"/>
      <c r="Q776" s="2"/>
      <c r="R776" s="2"/>
      <c r="S776" s="2"/>
      <c r="T776" s="2"/>
      <c r="U776" s="2"/>
      <c r="V776" s="2"/>
      <c r="W776" s="2"/>
      <c r="X776" s="2"/>
      <c r="Y776" s="2"/>
      <c r="Z776" s="2"/>
    </row>
    <row r="777" spans="1:26" ht="25.5" hidden="1" customHeight="1">
      <c r="A777" s="26">
        <v>472</v>
      </c>
      <c r="B777" s="27" t="s">
        <v>470</v>
      </c>
      <c r="C777" s="28">
        <v>41983</v>
      </c>
      <c r="D777" s="27"/>
      <c r="E777" s="27" t="s">
        <v>2259</v>
      </c>
      <c r="F777" s="29" t="s">
        <v>2260</v>
      </c>
      <c r="G777" s="27" t="s">
        <v>407</v>
      </c>
      <c r="H777" s="27" t="s">
        <v>19</v>
      </c>
      <c r="I777" s="27">
        <v>1</v>
      </c>
      <c r="J777" s="30">
        <v>53582816</v>
      </c>
      <c r="K777" s="26" t="s">
        <v>20</v>
      </c>
      <c r="L777" s="26" t="s">
        <v>5288</v>
      </c>
      <c r="M777" s="31" t="s">
        <v>2145</v>
      </c>
      <c r="N777" s="2"/>
      <c r="O777" s="2"/>
      <c r="P777" s="2"/>
      <c r="Q777" s="2"/>
      <c r="R777" s="2"/>
      <c r="S777" s="2"/>
      <c r="T777" s="2"/>
      <c r="U777" s="2"/>
      <c r="V777" s="2"/>
      <c r="W777" s="2"/>
      <c r="X777" s="2"/>
      <c r="Y777" s="2"/>
      <c r="Z777" s="2"/>
    </row>
    <row r="778" spans="1:26" ht="25.5" hidden="1" customHeight="1">
      <c r="A778" s="26">
        <v>473</v>
      </c>
      <c r="B778" s="27" t="s">
        <v>470</v>
      </c>
      <c r="C778" s="28">
        <v>41983</v>
      </c>
      <c r="D778" s="27"/>
      <c r="E778" s="27" t="s">
        <v>2261</v>
      </c>
      <c r="F778" s="29" t="s">
        <v>2262</v>
      </c>
      <c r="G778" s="27" t="s">
        <v>407</v>
      </c>
      <c r="H778" s="27" t="s">
        <v>19</v>
      </c>
      <c r="I778" s="27">
        <v>1</v>
      </c>
      <c r="J778" s="30">
        <v>53582816</v>
      </c>
      <c r="K778" s="26" t="s">
        <v>20</v>
      </c>
      <c r="L778" s="26" t="s">
        <v>5288</v>
      </c>
      <c r="M778" s="31" t="s">
        <v>2145</v>
      </c>
      <c r="N778" s="2"/>
      <c r="O778" s="2"/>
      <c r="P778" s="2"/>
      <c r="Q778" s="2"/>
      <c r="R778" s="2"/>
      <c r="S778" s="2"/>
      <c r="T778" s="2"/>
      <c r="U778" s="2"/>
      <c r="V778" s="2"/>
      <c r="W778" s="2"/>
      <c r="X778" s="2"/>
      <c r="Y778" s="2"/>
      <c r="Z778" s="2"/>
    </row>
    <row r="779" spans="1:26" ht="25.5" hidden="1" customHeight="1">
      <c r="A779" s="26">
        <v>474</v>
      </c>
      <c r="B779" s="27" t="s">
        <v>470</v>
      </c>
      <c r="C779" s="28">
        <v>41983</v>
      </c>
      <c r="D779" s="27"/>
      <c r="E779" s="27" t="s">
        <v>2263</v>
      </c>
      <c r="F779" s="29" t="s">
        <v>2264</v>
      </c>
      <c r="G779" s="27" t="s">
        <v>407</v>
      </c>
      <c r="H779" s="27" t="s">
        <v>19</v>
      </c>
      <c r="I779" s="27">
        <v>1</v>
      </c>
      <c r="J779" s="30">
        <v>53582816</v>
      </c>
      <c r="K779" s="26" t="s">
        <v>20</v>
      </c>
      <c r="L779" s="26" t="s">
        <v>5288</v>
      </c>
      <c r="M779" s="31" t="s">
        <v>2145</v>
      </c>
      <c r="N779" s="2"/>
      <c r="O779" s="2"/>
      <c r="P779" s="2"/>
      <c r="Q779" s="2"/>
      <c r="R779" s="2"/>
      <c r="S779" s="2"/>
      <c r="T779" s="2"/>
      <c r="U779" s="2"/>
      <c r="V779" s="2"/>
      <c r="W779" s="2"/>
      <c r="X779" s="2"/>
      <c r="Y779" s="2"/>
      <c r="Z779" s="2"/>
    </row>
    <row r="780" spans="1:26" ht="25.5" hidden="1" customHeight="1">
      <c r="A780" s="26">
        <v>475</v>
      </c>
      <c r="B780" s="27" t="s">
        <v>470</v>
      </c>
      <c r="C780" s="28">
        <v>41983</v>
      </c>
      <c r="D780" s="27"/>
      <c r="E780" s="27" t="s">
        <v>2265</v>
      </c>
      <c r="F780" s="29" t="s">
        <v>2266</v>
      </c>
      <c r="G780" s="27" t="s">
        <v>407</v>
      </c>
      <c r="H780" s="27" t="s">
        <v>19</v>
      </c>
      <c r="I780" s="27">
        <v>1</v>
      </c>
      <c r="J780" s="30">
        <v>53582816</v>
      </c>
      <c r="K780" s="26" t="s">
        <v>20</v>
      </c>
      <c r="L780" s="26" t="s">
        <v>5288</v>
      </c>
      <c r="M780" s="31" t="s">
        <v>2145</v>
      </c>
      <c r="N780" s="2"/>
      <c r="O780" s="2"/>
      <c r="P780" s="2"/>
      <c r="Q780" s="2"/>
      <c r="R780" s="2"/>
      <c r="S780" s="2"/>
      <c r="T780" s="2"/>
      <c r="U780" s="2"/>
      <c r="V780" s="2"/>
      <c r="W780" s="2"/>
      <c r="X780" s="2"/>
      <c r="Y780" s="2"/>
      <c r="Z780" s="2"/>
    </row>
    <row r="781" spans="1:26" ht="25.5" hidden="1" customHeight="1">
      <c r="A781" s="26">
        <v>476</v>
      </c>
      <c r="B781" s="27" t="s">
        <v>470</v>
      </c>
      <c r="C781" s="28">
        <v>41983</v>
      </c>
      <c r="D781" s="27"/>
      <c r="E781" s="27" t="s">
        <v>2267</v>
      </c>
      <c r="F781" s="29" t="s">
        <v>2268</v>
      </c>
      <c r="G781" s="27" t="s">
        <v>407</v>
      </c>
      <c r="H781" s="27" t="s">
        <v>19</v>
      </c>
      <c r="I781" s="27">
        <v>1</v>
      </c>
      <c r="J781" s="30">
        <v>53582816</v>
      </c>
      <c r="K781" s="26" t="s">
        <v>20</v>
      </c>
      <c r="L781" s="26" t="s">
        <v>5288</v>
      </c>
      <c r="M781" s="31" t="s">
        <v>2145</v>
      </c>
      <c r="N781" s="2"/>
      <c r="O781" s="2"/>
      <c r="P781" s="2"/>
      <c r="Q781" s="2"/>
      <c r="R781" s="2"/>
      <c r="S781" s="2"/>
      <c r="T781" s="2"/>
      <c r="U781" s="2"/>
      <c r="V781" s="2"/>
      <c r="W781" s="2"/>
      <c r="X781" s="2"/>
      <c r="Y781" s="2"/>
      <c r="Z781" s="2"/>
    </row>
    <row r="782" spans="1:26" ht="25.5" hidden="1" customHeight="1">
      <c r="A782" s="26">
        <v>477</v>
      </c>
      <c r="B782" s="27" t="s">
        <v>470</v>
      </c>
      <c r="C782" s="28">
        <v>41983</v>
      </c>
      <c r="D782" s="27"/>
      <c r="E782" s="27" t="s">
        <v>2269</v>
      </c>
      <c r="F782" s="29" t="s">
        <v>2270</v>
      </c>
      <c r="G782" s="27" t="s">
        <v>407</v>
      </c>
      <c r="H782" s="27" t="s">
        <v>19</v>
      </c>
      <c r="I782" s="27">
        <v>1</v>
      </c>
      <c r="J782" s="30">
        <v>53582816</v>
      </c>
      <c r="K782" s="26" t="s">
        <v>20</v>
      </c>
      <c r="L782" s="26" t="s">
        <v>5288</v>
      </c>
      <c r="M782" s="31" t="s">
        <v>2145</v>
      </c>
      <c r="N782" s="2"/>
      <c r="O782" s="2"/>
      <c r="P782" s="2"/>
      <c r="Q782" s="2"/>
      <c r="R782" s="2"/>
      <c r="S782" s="2"/>
      <c r="T782" s="2"/>
      <c r="U782" s="2"/>
      <c r="V782" s="2"/>
      <c r="W782" s="2"/>
      <c r="X782" s="2"/>
      <c r="Y782" s="2"/>
      <c r="Z782" s="2"/>
    </row>
    <row r="783" spans="1:26" ht="25.5" hidden="1" customHeight="1">
      <c r="A783" s="26">
        <v>478</v>
      </c>
      <c r="B783" s="27" t="s">
        <v>470</v>
      </c>
      <c r="C783" s="28">
        <v>41983</v>
      </c>
      <c r="D783" s="27"/>
      <c r="E783" s="27" t="s">
        <v>2271</v>
      </c>
      <c r="F783" s="29" t="s">
        <v>2272</v>
      </c>
      <c r="G783" s="27" t="s">
        <v>407</v>
      </c>
      <c r="H783" s="27" t="s">
        <v>19</v>
      </c>
      <c r="I783" s="27">
        <v>1</v>
      </c>
      <c r="J783" s="30">
        <v>53582816</v>
      </c>
      <c r="K783" s="26" t="s">
        <v>20</v>
      </c>
      <c r="L783" s="26" t="s">
        <v>5288</v>
      </c>
      <c r="M783" s="31" t="s">
        <v>2145</v>
      </c>
      <c r="N783" s="2"/>
      <c r="O783" s="2"/>
      <c r="P783" s="2"/>
      <c r="Q783" s="2"/>
      <c r="R783" s="2"/>
      <c r="S783" s="2"/>
      <c r="T783" s="2"/>
      <c r="U783" s="2"/>
      <c r="V783" s="2"/>
      <c r="W783" s="2"/>
      <c r="X783" s="2"/>
      <c r="Y783" s="2"/>
      <c r="Z783" s="2"/>
    </row>
    <row r="784" spans="1:26" ht="25.5" hidden="1" customHeight="1">
      <c r="A784" s="26">
        <v>479</v>
      </c>
      <c r="B784" s="27" t="s">
        <v>470</v>
      </c>
      <c r="C784" s="28">
        <v>41983</v>
      </c>
      <c r="D784" s="27"/>
      <c r="E784" s="27" t="s">
        <v>2273</v>
      </c>
      <c r="F784" s="29" t="s">
        <v>2274</v>
      </c>
      <c r="G784" s="27" t="s">
        <v>407</v>
      </c>
      <c r="H784" s="27" t="s">
        <v>19</v>
      </c>
      <c r="I784" s="27">
        <v>1</v>
      </c>
      <c r="J784" s="30">
        <v>53582816</v>
      </c>
      <c r="K784" s="26" t="s">
        <v>20</v>
      </c>
      <c r="L784" s="26" t="s">
        <v>5288</v>
      </c>
      <c r="M784" s="31" t="s">
        <v>2145</v>
      </c>
      <c r="N784" s="2"/>
      <c r="O784" s="2"/>
      <c r="P784" s="2"/>
      <c r="Q784" s="2"/>
      <c r="R784" s="2"/>
      <c r="S784" s="2"/>
      <c r="T784" s="2"/>
      <c r="U784" s="2"/>
      <c r="V784" s="2"/>
      <c r="W784" s="2"/>
      <c r="X784" s="2"/>
      <c r="Y784" s="2"/>
      <c r="Z784" s="2"/>
    </row>
    <row r="785" spans="1:26" ht="25.5" hidden="1" customHeight="1">
      <c r="A785" s="26">
        <v>480</v>
      </c>
      <c r="B785" s="27" t="s">
        <v>470</v>
      </c>
      <c r="C785" s="28">
        <v>41983</v>
      </c>
      <c r="D785" s="27"/>
      <c r="E785" s="27" t="s">
        <v>2275</v>
      </c>
      <c r="F785" s="29" t="s">
        <v>2276</v>
      </c>
      <c r="G785" s="27" t="s">
        <v>407</v>
      </c>
      <c r="H785" s="27" t="s">
        <v>19</v>
      </c>
      <c r="I785" s="27">
        <v>1</v>
      </c>
      <c r="J785" s="30">
        <v>53582816</v>
      </c>
      <c r="K785" s="26" t="s">
        <v>20</v>
      </c>
      <c r="L785" s="26" t="s">
        <v>5288</v>
      </c>
      <c r="M785" s="31" t="s">
        <v>2145</v>
      </c>
      <c r="N785" s="2"/>
      <c r="O785" s="2"/>
      <c r="P785" s="2"/>
      <c r="Q785" s="2"/>
      <c r="R785" s="2"/>
      <c r="S785" s="2"/>
      <c r="T785" s="2"/>
      <c r="U785" s="2"/>
      <c r="V785" s="2"/>
      <c r="W785" s="2"/>
      <c r="X785" s="2"/>
      <c r="Y785" s="2"/>
      <c r="Z785" s="2"/>
    </row>
    <row r="786" spans="1:26" ht="25.5" hidden="1" customHeight="1">
      <c r="A786" s="26">
        <v>481</v>
      </c>
      <c r="B786" s="27" t="s">
        <v>470</v>
      </c>
      <c r="C786" s="28">
        <v>41983</v>
      </c>
      <c r="D786" s="27"/>
      <c r="E786" s="27" t="s">
        <v>2277</v>
      </c>
      <c r="F786" s="29" t="s">
        <v>2278</v>
      </c>
      <c r="G786" s="27" t="s">
        <v>407</v>
      </c>
      <c r="H786" s="27" t="s">
        <v>19</v>
      </c>
      <c r="I786" s="27">
        <v>1</v>
      </c>
      <c r="J786" s="30">
        <v>35292528</v>
      </c>
      <c r="K786" s="26" t="s">
        <v>20</v>
      </c>
      <c r="L786" s="26" t="s">
        <v>295</v>
      </c>
      <c r="M786" s="31" t="s">
        <v>5383</v>
      </c>
      <c r="N786" s="2"/>
      <c r="O786" s="2"/>
      <c r="P786" s="2"/>
      <c r="Q786" s="2"/>
      <c r="R786" s="2"/>
      <c r="S786" s="2"/>
      <c r="T786" s="2"/>
      <c r="U786" s="2"/>
      <c r="V786" s="2"/>
      <c r="W786" s="2"/>
      <c r="X786" s="2"/>
      <c r="Y786" s="2"/>
      <c r="Z786" s="2"/>
    </row>
    <row r="787" spans="1:26" ht="25.5" hidden="1" customHeight="1">
      <c r="A787" s="26">
        <v>482</v>
      </c>
      <c r="B787" s="27" t="s">
        <v>470</v>
      </c>
      <c r="C787" s="28">
        <v>41983</v>
      </c>
      <c r="D787" s="27"/>
      <c r="E787" s="27" t="s">
        <v>2279</v>
      </c>
      <c r="F787" s="29" t="s">
        <v>2280</v>
      </c>
      <c r="G787" s="27" t="s">
        <v>407</v>
      </c>
      <c r="H787" s="27" t="s">
        <v>19</v>
      </c>
      <c r="I787" s="27">
        <v>1</v>
      </c>
      <c r="J787" s="30">
        <v>35292528</v>
      </c>
      <c r="K787" s="26" t="s">
        <v>20</v>
      </c>
      <c r="L787" s="26" t="s">
        <v>5288</v>
      </c>
      <c r="M787" s="31" t="s">
        <v>5250</v>
      </c>
      <c r="N787" s="2"/>
      <c r="O787" s="2"/>
      <c r="P787" s="2"/>
      <c r="Q787" s="2"/>
      <c r="R787" s="2"/>
      <c r="S787" s="2"/>
      <c r="T787" s="2"/>
      <c r="U787" s="2"/>
      <c r="V787" s="2"/>
      <c r="W787" s="2"/>
      <c r="X787" s="2"/>
      <c r="Y787" s="2"/>
      <c r="Z787" s="2"/>
    </row>
    <row r="788" spans="1:26" ht="25.5" hidden="1" customHeight="1">
      <c r="A788" s="26">
        <v>483</v>
      </c>
      <c r="B788" s="27" t="s">
        <v>470</v>
      </c>
      <c r="C788" s="28">
        <v>41983</v>
      </c>
      <c r="D788" s="27"/>
      <c r="E788" s="27" t="s">
        <v>2282</v>
      </c>
      <c r="F788" s="29" t="s">
        <v>2283</v>
      </c>
      <c r="G788" s="27" t="s">
        <v>407</v>
      </c>
      <c r="H788" s="27" t="s">
        <v>19</v>
      </c>
      <c r="I788" s="27">
        <v>1</v>
      </c>
      <c r="J788" s="30">
        <v>35292528</v>
      </c>
      <c r="K788" s="26" t="s">
        <v>20</v>
      </c>
      <c r="L788" s="26" t="s">
        <v>5288</v>
      </c>
      <c r="M788" s="31" t="s">
        <v>5250</v>
      </c>
      <c r="N788" s="2"/>
      <c r="O788" s="2"/>
      <c r="P788" s="2"/>
      <c r="Q788" s="2"/>
      <c r="R788" s="2"/>
      <c r="S788" s="2"/>
      <c r="T788" s="2"/>
      <c r="U788" s="2"/>
      <c r="V788" s="2"/>
      <c r="W788" s="2"/>
      <c r="X788" s="2"/>
      <c r="Y788" s="2"/>
      <c r="Z788" s="2"/>
    </row>
    <row r="789" spans="1:26" ht="25.5" hidden="1" customHeight="1">
      <c r="A789" s="26">
        <v>484</v>
      </c>
      <c r="B789" s="27" t="s">
        <v>470</v>
      </c>
      <c r="C789" s="28">
        <v>41983</v>
      </c>
      <c r="D789" s="27"/>
      <c r="E789" s="27" t="s">
        <v>2285</v>
      </c>
      <c r="F789" s="29" t="s">
        <v>2286</v>
      </c>
      <c r="G789" s="27" t="s">
        <v>407</v>
      </c>
      <c r="H789" s="27" t="s">
        <v>19</v>
      </c>
      <c r="I789" s="27">
        <v>1</v>
      </c>
      <c r="J789" s="30">
        <v>35292528</v>
      </c>
      <c r="K789" s="26" t="s">
        <v>20</v>
      </c>
      <c r="L789" s="26" t="s">
        <v>5288</v>
      </c>
      <c r="M789" s="31" t="s">
        <v>5383</v>
      </c>
      <c r="N789" s="2"/>
      <c r="O789" s="2"/>
      <c r="P789" s="2"/>
      <c r="Q789" s="2"/>
      <c r="R789" s="2"/>
      <c r="S789" s="2"/>
      <c r="T789" s="2"/>
      <c r="U789" s="2"/>
      <c r="V789" s="2"/>
      <c r="W789" s="2"/>
      <c r="X789" s="2"/>
      <c r="Y789" s="2"/>
      <c r="Z789" s="2"/>
    </row>
    <row r="790" spans="1:26" ht="25.5" hidden="1" customHeight="1">
      <c r="A790" s="26">
        <v>485</v>
      </c>
      <c r="B790" s="27" t="s">
        <v>470</v>
      </c>
      <c r="C790" s="28">
        <v>41983</v>
      </c>
      <c r="D790" s="27"/>
      <c r="E790" s="27" t="s">
        <v>2287</v>
      </c>
      <c r="F790" s="29" t="s">
        <v>2288</v>
      </c>
      <c r="G790" s="27" t="s">
        <v>407</v>
      </c>
      <c r="H790" s="27" t="s">
        <v>19</v>
      </c>
      <c r="I790" s="27">
        <v>1</v>
      </c>
      <c r="J790" s="30">
        <v>35292528</v>
      </c>
      <c r="K790" s="26" t="s">
        <v>20</v>
      </c>
      <c r="L790" s="26" t="s">
        <v>5288</v>
      </c>
      <c r="M790" s="31" t="s">
        <v>5383</v>
      </c>
      <c r="N790" s="2"/>
      <c r="O790" s="2"/>
      <c r="P790" s="2"/>
      <c r="Q790" s="2"/>
      <c r="R790" s="2"/>
      <c r="S790" s="2"/>
      <c r="T790" s="2"/>
      <c r="U790" s="2"/>
      <c r="V790" s="2"/>
      <c r="W790" s="2"/>
      <c r="X790" s="2"/>
      <c r="Y790" s="2"/>
      <c r="Z790" s="2"/>
    </row>
    <row r="791" spans="1:26" ht="25.5" hidden="1" customHeight="1">
      <c r="A791" s="26">
        <v>486</v>
      </c>
      <c r="B791" s="27" t="s">
        <v>470</v>
      </c>
      <c r="C791" s="28">
        <v>41983</v>
      </c>
      <c r="D791" s="27"/>
      <c r="E791" s="27" t="s">
        <v>2289</v>
      </c>
      <c r="F791" s="29" t="s">
        <v>2290</v>
      </c>
      <c r="G791" s="27" t="s">
        <v>407</v>
      </c>
      <c r="H791" s="27" t="s">
        <v>19</v>
      </c>
      <c r="I791" s="27">
        <v>1</v>
      </c>
      <c r="J791" s="30">
        <v>35292528</v>
      </c>
      <c r="K791" s="26" t="s">
        <v>20</v>
      </c>
      <c r="L791" s="26" t="s">
        <v>5288</v>
      </c>
      <c r="M791" s="31" t="s">
        <v>5250</v>
      </c>
      <c r="N791" s="2"/>
      <c r="O791" s="2"/>
      <c r="P791" s="2"/>
      <c r="Q791" s="2"/>
      <c r="R791" s="2"/>
      <c r="S791" s="2"/>
      <c r="T791" s="2"/>
      <c r="U791" s="2"/>
      <c r="V791" s="2"/>
      <c r="W791" s="2"/>
      <c r="X791" s="2"/>
      <c r="Y791" s="2"/>
      <c r="Z791" s="2"/>
    </row>
    <row r="792" spans="1:26" ht="25.5" hidden="1" customHeight="1">
      <c r="A792" s="26">
        <v>487</v>
      </c>
      <c r="B792" s="27" t="s">
        <v>470</v>
      </c>
      <c r="C792" s="28">
        <v>41983</v>
      </c>
      <c r="D792" s="27"/>
      <c r="E792" s="27" t="s">
        <v>2291</v>
      </c>
      <c r="F792" s="29" t="s">
        <v>2292</v>
      </c>
      <c r="G792" s="27" t="s">
        <v>407</v>
      </c>
      <c r="H792" s="27" t="s">
        <v>19</v>
      </c>
      <c r="I792" s="27">
        <v>1</v>
      </c>
      <c r="J792" s="30">
        <v>35292528</v>
      </c>
      <c r="K792" s="26" t="s">
        <v>20</v>
      </c>
      <c r="L792" s="26" t="s">
        <v>5288</v>
      </c>
      <c r="M792" s="31" t="s">
        <v>5384</v>
      </c>
      <c r="N792" s="2"/>
      <c r="O792" s="2"/>
      <c r="P792" s="2"/>
      <c r="Q792" s="2"/>
      <c r="R792" s="2"/>
      <c r="S792" s="2"/>
      <c r="T792" s="2"/>
      <c r="U792" s="2"/>
      <c r="V792" s="2"/>
      <c r="W792" s="2"/>
      <c r="X792" s="2"/>
      <c r="Y792" s="2"/>
      <c r="Z792" s="2"/>
    </row>
    <row r="793" spans="1:26" ht="25.5" hidden="1" customHeight="1">
      <c r="A793" s="26">
        <v>488</v>
      </c>
      <c r="B793" s="27" t="s">
        <v>470</v>
      </c>
      <c r="C793" s="28">
        <v>41983</v>
      </c>
      <c r="D793" s="27"/>
      <c r="E793" s="27" t="s">
        <v>2293</v>
      </c>
      <c r="F793" s="29" t="s">
        <v>2294</v>
      </c>
      <c r="G793" s="27" t="s">
        <v>407</v>
      </c>
      <c r="H793" s="27" t="s">
        <v>19</v>
      </c>
      <c r="I793" s="27">
        <v>1</v>
      </c>
      <c r="J793" s="30">
        <v>35292528</v>
      </c>
      <c r="K793" s="26" t="s">
        <v>20</v>
      </c>
      <c r="L793" s="26" t="s">
        <v>5288</v>
      </c>
      <c r="M793" s="31" t="s">
        <v>5383</v>
      </c>
      <c r="N793" s="2"/>
      <c r="O793" s="2"/>
      <c r="P793" s="2"/>
      <c r="Q793" s="2"/>
      <c r="R793" s="2"/>
      <c r="S793" s="2"/>
      <c r="T793" s="2"/>
      <c r="U793" s="2"/>
      <c r="V793" s="2"/>
      <c r="W793" s="2"/>
      <c r="X793" s="2"/>
      <c r="Y793" s="2"/>
      <c r="Z793" s="2"/>
    </row>
    <row r="794" spans="1:26" ht="12.75" hidden="1" customHeight="1">
      <c r="A794" s="26">
        <v>489</v>
      </c>
      <c r="B794" s="27" t="s">
        <v>470</v>
      </c>
      <c r="C794" s="28">
        <v>41983</v>
      </c>
      <c r="D794" s="27"/>
      <c r="E794" s="27" t="s">
        <v>2295</v>
      </c>
      <c r="F794" s="29" t="s">
        <v>2296</v>
      </c>
      <c r="G794" s="27" t="s">
        <v>55</v>
      </c>
      <c r="H794" s="27" t="s">
        <v>19</v>
      </c>
      <c r="I794" s="27">
        <v>1</v>
      </c>
      <c r="J794" s="30">
        <v>510608170</v>
      </c>
      <c r="K794" s="26" t="s">
        <v>20</v>
      </c>
      <c r="L794" s="26" t="s">
        <v>233</v>
      </c>
      <c r="M794" s="31" t="s">
        <v>5385</v>
      </c>
      <c r="N794" s="2"/>
      <c r="O794" s="2"/>
      <c r="P794" s="2"/>
      <c r="Q794" s="2"/>
      <c r="R794" s="2"/>
      <c r="S794" s="2"/>
      <c r="T794" s="2"/>
      <c r="U794" s="2"/>
      <c r="V794" s="2"/>
      <c r="W794" s="2"/>
      <c r="X794" s="2"/>
      <c r="Y794" s="2"/>
      <c r="Z794" s="2"/>
    </row>
    <row r="795" spans="1:26" ht="12.75" hidden="1" customHeight="1">
      <c r="A795" s="26">
        <v>490</v>
      </c>
      <c r="B795" s="27" t="s">
        <v>470</v>
      </c>
      <c r="C795" s="28">
        <v>41983</v>
      </c>
      <c r="D795" s="27"/>
      <c r="E795" s="27" t="s">
        <v>2298</v>
      </c>
      <c r="F795" s="29" t="s">
        <v>2299</v>
      </c>
      <c r="G795" s="27" t="s">
        <v>55</v>
      </c>
      <c r="H795" s="27" t="s">
        <v>249</v>
      </c>
      <c r="I795" s="27">
        <v>1</v>
      </c>
      <c r="J795" s="30">
        <v>98441868</v>
      </c>
      <c r="K795" s="26" t="s">
        <v>20</v>
      </c>
      <c r="L795" s="26" t="s">
        <v>233</v>
      </c>
      <c r="M795" s="31" t="s">
        <v>2183</v>
      </c>
      <c r="N795" s="2"/>
      <c r="O795" s="2"/>
      <c r="P795" s="2"/>
      <c r="Q795" s="2"/>
      <c r="R795" s="2"/>
      <c r="S795" s="2"/>
      <c r="T795" s="2"/>
      <c r="U795" s="2"/>
      <c r="V795" s="2"/>
      <c r="W795" s="2"/>
      <c r="X795" s="2"/>
      <c r="Y795" s="2"/>
      <c r="Z795" s="2"/>
    </row>
    <row r="796" spans="1:26" ht="12.75" hidden="1" customHeight="1">
      <c r="A796" s="26">
        <v>491</v>
      </c>
      <c r="B796" s="27" t="s">
        <v>470</v>
      </c>
      <c r="C796" s="28">
        <v>41983</v>
      </c>
      <c r="D796" s="27"/>
      <c r="E796" s="27" t="s">
        <v>2300</v>
      </c>
      <c r="F796" s="29" t="s">
        <v>2301</v>
      </c>
      <c r="G796" s="27" t="s">
        <v>55</v>
      </c>
      <c r="H796" s="27" t="s">
        <v>249</v>
      </c>
      <c r="I796" s="27">
        <v>1</v>
      </c>
      <c r="J796" s="30">
        <v>98441868</v>
      </c>
      <c r="K796" s="26" t="s">
        <v>20</v>
      </c>
      <c r="L796" s="26" t="s">
        <v>233</v>
      </c>
      <c r="M796" s="31" t="s">
        <v>2183</v>
      </c>
      <c r="N796" s="2"/>
      <c r="O796" s="2"/>
      <c r="P796" s="2"/>
      <c r="Q796" s="2"/>
      <c r="R796" s="2"/>
      <c r="S796" s="2"/>
      <c r="T796" s="2"/>
      <c r="U796" s="2"/>
      <c r="V796" s="2"/>
      <c r="W796" s="2"/>
      <c r="X796" s="2"/>
      <c r="Y796" s="2"/>
      <c r="Z796" s="2"/>
    </row>
    <row r="797" spans="1:26" ht="12.75" hidden="1" customHeight="1">
      <c r="A797" s="26">
        <v>492</v>
      </c>
      <c r="B797" s="27" t="s">
        <v>470</v>
      </c>
      <c r="C797" s="28">
        <v>41983</v>
      </c>
      <c r="D797" s="27"/>
      <c r="E797" s="27" t="s">
        <v>2302</v>
      </c>
      <c r="F797" s="29" t="s">
        <v>2303</v>
      </c>
      <c r="G797" s="27" t="s">
        <v>55</v>
      </c>
      <c r="H797" s="27" t="s">
        <v>249</v>
      </c>
      <c r="I797" s="27">
        <v>1</v>
      </c>
      <c r="J797" s="30">
        <v>98441868</v>
      </c>
      <c r="K797" s="26" t="s">
        <v>20</v>
      </c>
      <c r="L797" s="26" t="s">
        <v>233</v>
      </c>
      <c r="M797" s="31" t="s">
        <v>2183</v>
      </c>
      <c r="N797" s="2"/>
      <c r="O797" s="2"/>
      <c r="P797" s="2"/>
      <c r="Q797" s="2"/>
      <c r="R797" s="2"/>
      <c r="S797" s="2"/>
      <c r="T797" s="2"/>
      <c r="U797" s="2"/>
      <c r="V797" s="2"/>
      <c r="W797" s="2"/>
      <c r="X797" s="2"/>
      <c r="Y797" s="2"/>
      <c r="Z797" s="2"/>
    </row>
    <row r="798" spans="1:26" ht="12.75" hidden="1" customHeight="1">
      <c r="A798" s="26">
        <v>493</v>
      </c>
      <c r="B798" s="27" t="s">
        <v>470</v>
      </c>
      <c r="C798" s="28">
        <v>41983</v>
      </c>
      <c r="D798" s="27"/>
      <c r="E798" s="27" t="s">
        <v>2304</v>
      </c>
      <c r="F798" s="29" t="s">
        <v>2305</v>
      </c>
      <c r="G798" s="27" t="s">
        <v>55</v>
      </c>
      <c r="H798" s="27" t="s">
        <v>19</v>
      </c>
      <c r="I798" s="27">
        <v>1</v>
      </c>
      <c r="J798" s="30">
        <v>53657104</v>
      </c>
      <c r="K798" s="26" t="s">
        <v>20</v>
      </c>
      <c r="L798" s="26" t="s">
        <v>233</v>
      </c>
      <c r="M798" s="31" t="s">
        <v>2183</v>
      </c>
      <c r="N798" s="2"/>
      <c r="O798" s="2"/>
      <c r="P798" s="2"/>
      <c r="Q798" s="2"/>
      <c r="R798" s="2"/>
      <c r="S798" s="2"/>
      <c r="T798" s="2"/>
      <c r="U798" s="2"/>
      <c r="V798" s="2"/>
      <c r="W798" s="2"/>
      <c r="X798" s="2"/>
      <c r="Y798" s="2"/>
      <c r="Z798" s="2"/>
    </row>
    <row r="799" spans="1:26" ht="12.75" hidden="1" customHeight="1">
      <c r="A799" s="26">
        <v>494</v>
      </c>
      <c r="B799" s="27" t="s">
        <v>470</v>
      </c>
      <c r="C799" s="28">
        <v>41983</v>
      </c>
      <c r="D799" s="27"/>
      <c r="E799" s="27" t="s">
        <v>2306</v>
      </c>
      <c r="F799" s="29" t="s">
        <v>2307</v>
      </c>
      <c r="G799" s="27" t="s">
        <v>55</v>
      </c>
      <c r="H799" s="27" t="s">
        <v>19</v>
      </c>
      <c r="I799" s="27">
        <v>1</v>
      </c>
      <c r="J799" s="30">
        <v>53657104</v>
      </c>
      <c r="K799" s="26" t="s">
        <v>20</v>
      </c>
      <c r="L799" s="26" t="s">
        <v>233</v>
      </c>
      <c r="M799" s="31" t="s">
        <v>2183</v>
      </c>
      <c r="N799" s="2"/>
      <c r="O799" s="2"/>
      <c r="P799" s="2"/>
      <c r="Q799" s="2"/>
      <c r="R799" s="2"/>
      <c r="S799" s="2"/>
      <c r="T799" s="2"/>
      <c r="U799" s="2"/>
      <c r="V799" s="2"/>
      <c r="W799" s="2"/>
      <c r="X799" s="2"/>
      <c r="Y799" s="2"/>
      <c r="Z799" s="2"/>
    </row>
    <row r="800" spans="1:26" ht="12.75" hidden="1" customHeight="1">
      <c r="A800" s="26">
        <v>495</v>
      </c>
      <c r="B800" s="27" t="s">
        <v>470</v>
      </c>
      <c r="C800" s="28">
        <v>41983</v>
      </c>
      <c r="D800" s="27"/>
      <c r="E800" s="27" t="s">
        <v>2308</v>
      </c>
      <c r="F800" s="29" t="s">
        <v>2309</v>
      </c>
      <c r="G800" s="27" t="s">
        <v>55</v>
      </c>
      <c r="H800" s="27" t="s">
        <v>19</v>
      </c>
      <c r="I800" s="27">
        <v>1</v>
      </c>
      <c r="J800" s="30">
        <v>53657104</v>
      </c>
      <c r="K800" s="26" t="s">
        <v>20</v>
      </c>
      <c r="L800" s="26" t="s">
        <v>233</v>
      </c>
      <c r="M800" s="31" t="s">
        <v>2183</v>
      </c>
      <c r="N800" s="2"/>
      <c r="O800" s="2"/>
      <c r="P800" s="2"/>
      <c r="Q800" s="2"/>
      <c r="R800" s="2"/>
      <c r="S800" s="2"/>
      <c r="T800" s="2"/>
      <c r="U800" s="2"/>
      <c r="V800" s="2"/>
      <c r="W800" s="2"/>
      <c r="X800" s="2"/>
      <c r="Y800" s="2"/>
      <c r="Z800" s="2"/>
    </row>
    <row r="801" spans="1:26" ht="12.75" hidden="1" customHeight="1">
      <c r="A801" s="26">
        <v>496</v>
      </c>
      <c r="B801" s="27" t="s">
        <v>470</v>
      </c>
      <c r="C801" s="28">
        <v>41983</v>
      </c>
      <c r="D801" s="27"/>
      <c r="E801" s="27" t="s">
        <v>2310</v>
      </c>
      <c r="F801" s="29" t="s">
        <v>2311</v>
      </c>
      <c r="G801" s="27" t="s">
        <v>55</v>
      </c>
      <c r="H801" s="27" t="s">
        <v>19</v>
      </c>
      <c r="I801" s="27">
        <v>1</v>
      </c>
      <c r="J801" s="30">
        <v>53657104</v>
      </c>
      <c r="K801" s="26" t="s">
        <v>20</v>
      </c>
      <c r="L801" s="26" t="s">
        <v>233</v>
      </c>
      <c r="M801" s="31" t="s">
        <v>2183</v>
      </c>
      <c r="N801" s="2"/>
      <c r="O801" s="2"/>
      <c r="P801" s="2"/>
      <c r="Q801" s="2"/>
      <c r="R801" s="2"/>
      <c r="S801" s="2"/>
      <c r="T801" s="2"/>
      <c r="U801" s="2"/>
      <c r="V801" s="2"/>
      <c r="W801" s="2"/>
      <c r="X801" s="2"/>
      <c r="Y801" s="2"/>
      <c r="Z801" s="2"/>
    </row>
    <row r="802" spans="1:26" ht="12.75" hidden="1" customHeight="1">
      <c r="A802" s="26">
        <v>497</v>
      </c>
      <c r="B802" s="27" t="s">
        <v>470</v>
      </c>
      <c r="C802" s="28">
        <v>41983</v>
      </c>
      <c r="D802" s="27"/>
      <c r="E802" s="27" t="s">
        <v>2312</v>
      </c>
      <c r="F802" s="29" t="s">
        <v>2313</v>
      </c>
      <c r="G802" s="27" t="s">
        <v>55</v>
      </c>
      <c r="H802" s="27" t="s">
        <v>19</v>
      </c>
      <c r="I802" s="27">
        <v>1</v>
      </c>
      <c r="J802" s="30">
        <v>77288471</v>
      </c>
      <c r="K802" s="26" t="s">
        <v>20</v>
      </c>
      <c r="L802" s="26" t="s">
        <v>233</v>
      </c>
      <c r="M802" s="31" t="s">
        <v>2183</v>
      </c>
      <c r="N802" s="2"/>
      <c r="O802" s="2"/>
      <c r="P802" s="2"/>
      <c r="Q802" s="2"/>
      <c r="R802" s="2"/>
      <c r="S802" s="2"/>
      <c r="T802" s="2"/>
      <c r="U802" s="2"/>
      <c r="V802" s="2"/>
      <c r="W802" s="2"/>
      <c r="X802" s="2"/>
      <c r="Y802" s="2"/>
      <c r="Z802" s="2"/>
    </row>
    <row r="803" spans="1:26" ht="12.75" hidden="1" customHeight="1">
      <c r="A803" s="26">
        <v>498</v>
      </c>
      <c r="B803" s="27" t="s">
        <v>470</v>
      </c>
      <c r="C803" s="28">
        <v>41983</v>
      </c>
      <c r="D803" s="27"/>
      <c r="E803" s="27" t="s">
        <v>2314</v>
      </c>
      <c r="F803" s="29" t="s">
        <v>2315</v>
      </c>
      <c r="G803" s="27" t="s">
        <v>55</v>
      </c>
      <c r="H803" s="27" t="s">
        <v>19</v>
      </c>
      <c r="I803" s="27">
        <v>1</v>
      </c>
      <c r="J803" s="30">
        <v>77288471</v>
      </c>
      <c r="K803" s="26" t="s">
        <v>20</v>
      </c>
      <c r="L803" s="26" t="s">
        <v>233</v>
      </c>
      <c r="M803" s="31" t="s">
        <v>2183</v>
      </c>
      <c r="N803" s="2"/>
      <c r="O803" s="2"/>
      <c r="P803" s="2"/>
      <c r="Q803" s="2"/>
      <c r="R803" s="2"/>
      <c r="S803" s="2"/>
      <c r="T803" s="2"/>
      <c r="U803" s="2"/>
      <c r="V803" s="2"/>
      <c r="W803" s="2"/>
      <c r="X803" s="2"/>
      <c r="Y803" s="2"/>
      <c r="Z803" s="2"/>
    </row>
    <row r="804" spans="1:26" ht="12.75" hidden="1" customHeight="1">
      <c r="A804" s="26">
        <v>499</v>
      </c>
      <c r="B804" s="27" t="s">
        <v>470</v>
      </c>
      <c r="C804" s="28">
        <v>41983</v>
      </c>
      <c r="D804" s="27"/>
      <c r="E804" s="27" t="s">
        <v>2316</v>
      </c>
      <c r="F804" s="29" t="s">
        <v>2317</v>
      </c>
      <c r="G804" s="27" t="s">
        <v>55</v>
      </c>
      <c r="H804" s="27" t="s">
        <v>19</v>
      </c>
      <c r="I804" s="27">
        <v>1</v>
      </c>
      <c r="J804" s="30">
        <v>77288471</v>
      </c>
      <c r="K804" s="26" t="s">
        <v>20</v>
      </c>
      <c r="L804" s="26" t="s">
        <v>233</v>
      </c>
      <c r="M804" s="31" t="s">
        <v>2245</v>
      </c>
      <c r="N804" s="2"/>
      <c r="O804" s="2"/>
      <c r="P804" s="2"/>
      <c r="Q804" s="2"/>
      <c r="R804" s="2"/>
      <c r="S804" s="2"/>
      <c r="T804" s="2"/>
      <c r="U804" s="2"/>
      <c r="V804" s="2"/>
      <c r="W804" s="2"/>
      <c r="X804" s="2"/>
      <c r="Y804" s="2"/>
      <c r="Z804" s="2"/>
    </row>
    <row r="805" spans="1:26" ht="12.75" hidden="1" customHeight="1">
      <c r="A805" s="26">
        <v>500</v>
      </c>
      <c r="B805" s="27" t="s">
        <v>470</v>
      </c>
      <c r="C805" s="28">
        <v>41983</v>
      </c>
      <c r="D805" s="27"/>
      <c r="E805" s="27" t="s">
        <v>2318</v>
      </c>
      <c r="F805" s="29" t="s">
        <v>2319</v>
      </c>
      <c r="G805" s="27" t="s">
        <v>55</v>
      </c>
      <c r="H805" s="27" t="s">
        <v>19</v>
      </c>
      <c r="I805" s="27">
        <v>1</v>
      </c>
      <c r="J805" s="30">
        <v>77288471</v>
      </c>
      <c r="K805" s="26" t="s">
        <v>20</v>
      </c>
      <c r="L805" s="26" t="s">
        <v>233</v>
      </c>
      <c r="M805" s="31" t="s">
        <v>2183</v>
      </c>
      <c r="N805" s="2"/>
      <c r="O805" s="2"/>
      <c r="P805" s="2"/>
      <c r="Q805" s="2"/>
      <c r="R805" s="2"/>
      <c r="S805" s="2"/>
      <c r="T805" s="2"/>
      <c r="U805" s="2"/>
      <c r="V805" s="2"/>
      <c r="W805" s="2"/>
      <c r="X805" s="2"/>
      <c r="Y805" s="2"/>
      <c r="Z805" s="2"/>
    </row>
    <row r="806" spans="1:26" ht="12.75" hidden="1" customHeight="1">
      <c r="A806" s="26">
        <v>501</v>
      </c>
      <c r="B806" s="27" t="s">
        <v>470</v>
      </c>
      <c r="C806" s="28">
        <v>41983</v>
      </c>
      <c r="D806" s="27"/>
      <c r="E806" s="27" t="s">
        <v>2320</v>
      </c>
      <c r="F806" s="29" t="s">
        <v>2321</v>
      </c>
      <c r="G806" s="27" t="s">
        <v>55</v>
      </c>
      <c r="H806" s="27" t="s">
        <v>19</v>
      </c>
      <c r="I806" s="27">
        <v>1</v>
      </c>
      <c r="J806" s="30">
        <v>77288471</v>
      </c>
      <c r="K806" s="26" t="s">
        <v>20</v>
      </c>
      <c r="L806" s="26" t="s">
        <v>233</v>
      </c>
      <c r="M806" s="31" t="s">
        <v>2245</v>
      </c>
      <c r="N806" s="2"/>
      <c r="O806" s="2"/>
      <c r="P806" s="2"/>
      <c r="Q806" s="2"/>
      <c r="R806" s="2"/>
      <c r="S806" s="2"/>
      <c r="T806" s="2"/>
      <c r="U806" s="2"/>
      <c r="V806" s="2"/>
      <c r="W806" s="2"/>
      <c r="X806" s="2"/>
      <c r="Y806" s="2"/>
      <c r="Z806" s="2"/>
    </row>
    <row r="807" spans="1:26" ht="12.75" hidden="1" customHeight="1">
      <c r="A807" s="26">
        <v>502</v>
      </c>
      <c r="B807" s="27" t="s">
        <v>470</v>
      </c>
      <c r="C807" s="28">
        <v>41983</v>
      </c>
      <c r="D807" s="27"/>
      <c r="E807" s="27" t="s">
        <v>2322</v>
      </c>
      <c r="F807" s="29" t="s">
        <v>2323</v>
      </c>
      <c r="G807" s="27" t="s">
        <v>55</v>
      </c>
      <c r="H807" s="27" t="s">
        <v>19</v>
      </c>
      <c r="I807" s="27">
        <v>1</v>
      </c>
      <c r="J807" s="30">
        <v>77288471</v>
      </c>
      <c r="K807" s="26" t="s">
        <v>20</v>
      </c>
      <c r="L807" s="26" t="s">
        <v>233</v>
      </c>
      <c r="M807" s="31" t="s">
        <v>2183</v>
      </c>
      <c r="N807" s="2"/>
      <c r="O807" s="2"/>
      <c r="P807" s="2"/>
      <c r="Q807" s="2"/>
      <c r="R807" s="2"/>
      <c r="S807" s="2"/>
      <c r="T807" s="2"/>
      <c r="U807" s="2"/>
      <c r="V807" s="2"/>
      <c r="W807" s="2"/>
      <c r="X807" s="2"/>
      <c r="Y807" s="2"/>
      <c r="Z807" s="2"/>
    </row>
    <row r="808" spans="1:26" ht="12.75" hidden="1" customHeight="1">
      <c r="A808" s="26">
        <v>503</v>
      </c>
      <c r="B808" s="27" t="s">
        <v>470</v>
      </c>
      <c r="C808" s="28">
        <v>41983</v>
      </c>
      <c r="D808" s="27"/>
      <c r="E808" s="27" t="s">
        <v>2324</v>
      </c>
      <c r="F808" s="29" t="s">
        <v>2325</v>
      </c>
      <c r="G808" s="27" t="s">
        <v>55</v>
      </c>
      <c r="H808" s="27" t="s">
        <v>19</v>
      </c>
      <c r="I808" s="27">
        <v>1</v>
      </c>
      <c r="J808" s="30">
        <v>77288471</v>
      </c>
      <c r="K808" s="26" t="s">
        <v>20</v>
      </c>
      <c r="L808" s="26" t="s">
        <v>233</v>
      </c>
      <c r="M808" s="31" t="s">
        <v>2183</v>
      </c>
      <c r="N808" s="2"/>
      <c r="O808" s="2"/>
      <c r="P808" s="2"/>
      <c r="Q808" s="2"/>
      <c r="R808" s="2"/>
      <c r="S808" s="2"/>
      <c r="T808" s="2"/>
      <c r="U808" s="2"/>
      <c r="V808" s="2"/>
      <c r="W808" s="2"/>
      <c r="X808" s="2"/>
      <c r="Y808" s="2"/>
      <c r="Z808" s="2"/>
    </row>
    <row r="809" spans="1:26" ht="12.75" hidden="1" customHeight="1">
      <c r="A809" s="26">
        <v>504</v>
      </c>
      <c r="B809" s="27" t="s">
        <v>470</v>
      </c>
      <c r="C809" s="28">
        <v>41983</v>
      </c>
      <c r="D809" s="27"/>
      <c r="E809" s="27" t="s">
        <v>2326</v>
      </c>
      <c r="F809" s="29" t="s">
        <v>2327</v>
      </c>
      <c r="G809" s="27" t="s">
        <v>55</v>
      </c>
      <c r="H809" s="27" t="s">
        <v>19</v>
      </c>
      <c r="I809" s="27">
        <v>1</v>
      </c>
      <c r="J809" s="30">
        <v>77288471</v>
      </c>
      <c r="K809" s="26" t="s">
        <v>20</v>
      </c>
      <c r="L809" s="26" t="s">
        <v>233</v>
      </c>
      <c r="M809" s="31" t="s">
        <v>2183</v>
      </c>
      <c r="N809" s="2"/>
      <c r="O809" s="2"/>
      <c r="P809" s="2"/>
      <c r="Q809" s="2"/>
      <c r="R809" s="2"/>
      <c r="S809" s="2"/>
      <c r="T809" s="2"/>
      <c r="U809" s="2"/>
      <c r="V809" s="2"/>
      <c r="W809" s="2"/>
      <c r="X809" s="2"/>
      <c r="Y809" s="2"/>
      <c r="Z809" s="2"/>
    </row>
    <row r="810" spans="1:26" ht="12.75" hidden="1" customHeight="1">
      <c r="A810" s="26">
        <v>505</v>
      </c>
      <c r="B810" s="27" t="s">
        <v>470</v>
      </c>
      <c r="C810" s="28">
        <v>41983</v>
      </c>
      <c r="D810" s="27"/>
      <c r="E810" s="27" t="s">
        <v>2328</v>
      </c>
      <c r="F810" s="29" t="s">
        <v>2329</v>
      </c>
      <c r="G810" s="27" t="s">
        <v>55</v>
      </c>
      <c r="H810" s="27" t="s">
        <v>19</v>
      </c>
      <c r="I810" s="27">
        <v>1</v>
      </c>
      <c r="J810" s="30">
        <v>70120491</v>
      </c>
      <c r="K810" s="26" t="s">
        <v>20</v>
      </c>
      <c r="L810" s="26" t="s">
        <v>233</v>
      </c>
      <c r="M810" s="31" t="s">
        <v>2183</v>
      </c>
      <c r="N810" s="2"/>
      <c r="O810" s="2"/>
      <c r="P810" s="2"/>
      <c r="Q810" s="2"/>
      <c r="R810" s="2"/>
      <c r="S810" s="2"/>
      <c r="T810" s="2"/>
      <c r="U810" s="2"/>
      <c r="V810" s="2"/>
      <c r="W810" s="2"/>
      <c r="X810" s="2"/>
      <c r="Y810" s="2"/>
      <c r="Z810" s="2"/>
    </row>
    <row r="811" spans="1:26" ht="12.75" hidden="1" customHeight="1">
      <c r="A811" s="26">
        <v>506</v>
      </c>
      <c r="B811" s="27" t="s">
        <v>470</v>
      </c>
      <c r="C811" s="28">
        <v>41983</v>
      </c>
      <c r="D811" s="27"/>
      <c r="E811" s="27" t="s">
        <v>2330</v>
      </c>
      <c r="F811" s="29" t="s">
        <v>2331</v>
      </c>
      <c r="G811" s="27" t="s">
        <v>55</v>
      </c>
      <c r="H811" s="27" t="s">
        <v>19</v>
      </c>
      <c r="I811" s="27">
        <v>1</v>
      </c>
      <c r="J811" s="30">
        <v>70120491</v>
      </c>
      <c r="K811" s="26" t="s">
        <v>20</v>
      </c>
      <c r="L811" s="26" t="s">
        <v>233</v>
      </c>
      <c r="M811" s="31" t="s">
        <v>2183</v>
      </c>
      <c r="N811" s="2"/>
      <c r="O811" s="2"/>
      <c r="P811" s="2"/>
      <c r="Q811" s="2"/>
      <c r="R811" s="2"/>
      <c r="S811" s="2"/>
      <c r="T811" s="2"/>
      <c r="U811" s="2"/>
      <c r="V811" s="2"/>
      <c r="W811" s="2"/>
      <c r="X811" s="2"/>
      <c r="Y811" s="2"/>
      <c r="Z811" s="2"/>
    </row>
    <row r="812" spans="1:26" ht="12.75" hidden="1" customHeight="1">
      <c r="A812" s="26">
        <v>507</v>
      </c>
      <c r="B812" s="27" t="s">
        <v>470</v>
      </c>
      <c r="C812" s="28">
        <v>41983</v>
      </c>
      <c r="D812" s="27"/>
      <c r="E812" s="27" t="s">
        <v>2332</v>
      </c>
      <c r="F812" s="29" t="s">
        <v>2333</v>
      </c>
      <c r="G812" s="27" t="s">
        <v>55</v>
      </c>
      <c r="H812" s="27" t="s">
        <v>19</v>
      </c>
      <c r="I812" s="27">
        <v>1</v>
      </c>
      <c r="J812" s="30">
        <v>70120491</v>
      </c>
      <c r="K812" s="26" t="s">
        <v>20</v>
      </c>
      <c r="L812" s="26" t="s">
        <v>233</v>
      </c>
      <c r="M812" s="31" t="s">
        <v>2183</v>
      </c>
      <c r="N812" s="2"/>
      <c r="O812" s="2"/>
      <c r="P812" s="2"/>
      <c r="Q812" s="2"/>
      <c r="R812" s="2"/>
      <c r="S812" s="2"/>
      <c r="T812" s="2"/>
      <c r="U812" s="2"/>
      <c r="V812" s="2"/>
      <c r="W812" s="2"/>
      <c r="X812" s="2"/>
      <c r="Y812" s="2"/>
      <c r="Z812" s="2"/>
    </row>
    <row r="813" spans="1:26" ht="12.75" hidden="1" customHeight="1">
      <c r="A813" s="26">
        <v>508</v>
      </c>
      <c r="B813" s="27" t="s">
        <v>470</v>
      </c>
      <c r="C813" s="28">
        <v>41983</v>
      </c>
      <c r="D813" s="27"/>
      <c r="E813" s="27" t="s">
        <v>2334</v>
      </c>
      <c r="F813" s="29" t="s">
        <v>2335</v>
      </c>
      <c r="G813" s="27" t="s">
        <v>55</v>
      </c>
      <c r="H813" s="27" t="s">
        <v>19</v>
      </c>
      <c r="I813" s="27">
        <v>1</v>
      </c>
      <c r="J813" s="30">
        <v>70120491</v>
      </c>
      <c r="K813" s="26" t="s">
        <v>20</v>
      </c>
      <c r="L813" s="26" t="s">
        <v>233</v>
      </c>
      <c r="M813" s="31" t="s">
        <v>2183</v>
      </c>
      <c r="N813" s="2"/>
      <c r="O813" s="2"/>
      <c r="P813" s="2"/>
      <c r="Q813" s="2"/>
      <c r="R813" s="2"/>
      <c r="S813" s="2"/>
      <c r="T813" s="2"/>
      <c r="U813" s="2"/>
      <c r="V813" s="2"/>
      <c r="W813" s="2"/>
      <c r="X813" s="2"/>
      <c r="Y813" s="2"/>
      <c r="Z813" s="2"/>
    </row>
    <row r="814" spans="1:26" ht="12.75" hidden="1" customHeight="1">
      <c r="A814" s="26">
        <v>509</v>
      </c>
      <c r="B814" s="27" t="s">
        <v>470</v>
      </c>
      <c r="C814" s="28">
        <v>41983</v>
      </c>
      <c r="D814" s="27"/>
      <c r="E814" s="27" t="s">
        <v>2336</v>
      </c>
      <c r="F814" s="29" t="s">
        <v>2337</v>
      </c>
      <c r="G814" s="27" t="s">
        <v>55</v>
      </c>
      <c r="H814" s="27" t="s">
        <v>19</v>
      </c>
      <c r="I814" s="27">
        <v>1</v>
      </c>
      <c r="J814" s="30">
        <v>70120491</v>
      </c>
      <c r="K814" s="26" t="s">
        <v>20</v>
      </c>
      <c r="L814" s="26" t="s">
        <v>233</v>
      </c>
      <c r="M814" s="31" t="s">
        <v>2183</v>
      </c>
      <c r="N814" s="2"/>
      <c r="O814" s="2"/>
      <c r="P814" s="2"/>
      <c r="Q814" s="2"/>
      <c r="R814" s="2"/>
      <c r="S814" s="2"/>
      <c r="T814" s="2"/>
      <c r="U814" s="2"/>
      <c r="V814" s="2"/>
      <c r="W814" s="2"/>
      <c r="X814" s="2"/>
      <c r="Y814" s="2"/>
      <c r="Z814" s="2"/>
    </row>
    <row r="815" spans="1:26" ht="12.75" hidden="1" customHeight="1">
      <c r="A815" s="26">
        <v>510</v>
      </c>
      <c r="B815" s="27" t="s">
        <v>470</v>
      </c>
      <c r="C815" s="28">
        <v>41983</v>
      </c>
      <c r="D815" s="27"/>
      <c r="E815" s="27" t="s">
        <v>2338</v>
      </c>
      <c r="F815" s="29" t="s">
        <v>2339</v>
      </c>
      <c r="G815" s="27" t="s">
        <v>55</v>
      </c>
      <c r="H815" s="27" t="s">
        <v>19</v>
      </c>
      <c r="I815" s="27">
        <v>1</v>
      </c>
      <c r="J815" s="30">
        <v>70120491</v>
      </c>
      <c r="K815" s="26" t="s">
        <v>20</v>
      </c>
      <c r="L815" s="26" t="s">
        <v>233</v>
      </c>
      <c r="M815" s="31" t="s">
        <v>2183</v>
      </c>
      <c r="N815" s="2"/>
      <c r="O815" s="2"/>
      <c r="P815" s="2"/>
      <c r="Q815" s="2"/>
      <c r="R815" s="2"/>
      <c r="S815" s="2"/>
      <c r="T815" s="2"/>
      <c r="U815" s="2"/>
      <c r="V815" s="2"/>
      <c r="W815" s="2"/>
      <c r="X815" s="2"/>
      <c r="Y815" s="2"/>
      <c r="Z815" s="2"/>
    </row>
    <row r="816" spans="1:26" ht="25.5" hidden="1" customHeight="1">
      <c r="A816" s="26">
        <v>511</v>
      </c>
      <c r="B816" s="27" t="s">
        <v>2340</v>
      </c>
      <c r="C816" s="28">
        <v>37986</v>
      </c>
      <c r="D816" s="27" t="s">
        <v>2341</v>
      </c>
      <c r="E816" s="27" t="s">
        <v>2342</v>
      </c>
      <c r="F816" s="29" t="s">
        <v>2343</v>
      </c>
      <c r="G816" s="27"/>
      <c r="H816" s="27" t="s">
        <v>19</v>
      </c>
      <c r="I816" s="27">
        <v>1</v>
      </c>
      <c r="J816" s="30">
        <v>52462406</v>
      </c>
      <c r="K816" s="26" t="s">
        <v>206</v>
      </c>
      <c r="L816" s="26" t="s">
        <v>1514</v>
      </c>
      <c r="M816" s="31" t="s">
        <v>2067</v>
      </c>
      <c r="N816" s="2"/>
      <c r="O816" s="2"/>
      <c r="P816" s="2"/>
      <c r="Q816" s="2"/>
      <c r="R816" s="2"/>
      <c r="S816" s="2"/>
      <c r="T816" s="2"/>
      <c r="U816" s="2"/>
      <c r="V816" s="2"/>
      <c r="W816" s="2"/>
      <c r="X816" s="2"/>
      <c r="Y816" s="2"/>
      <c r="Z816" s="2"/>
    </row>
    <row r="817" spans="1:26" ht="12.75" hidden="1" customHeight="1">
      <c r="A817" s="26" t="s">
        <v>2344</v>
      </c>
      <c r="B817" s="27"/>
      <c r="C817" s="28"/>
      <c r="D817" s="27"/>
      <c r="E817" s="27" t="s">
        <v>2345</v>
      </c>
      <c r="F817" s="29" t="s">
        <v>2346</v>
      </c>
      <c r="G817" s="27"/>
      <c r="H817" s="27"/>
      <c r="I817" s="27">
        <v>1</v>
      </c>
      <c r="J817" s="30"/>
      <c r="K817" s="26" t="s">
        <v>206</v>
      </c>
      <c r="L817" s="26" t="s">
        <v>1514</v>
      </c>
      <c r="M817" s="31"/>
      <c r="N817" s="2"/>
      <c r="O817" s="2"/>
      <c r="P817" s="2"/>
      <c r="Q817" s="2"/>
      <c r="R817" s="2"/>
      <c r="S817" s="2"/>
      <c r="T817" s="2"/>
      <c r="U817" s="2"/>
      <c r="V817" s="2"/>
      <c r="W817" s="2"/>
      <c r="X817" s="2"/>
      <c r="Y817" s="2"/>
      <c r="Z817" s="2"/>
    </row>
    <row r="818" spans="1:26" ht="12.75" hidden="1" customHeight="1">
      <c r="A818" s="26" t="s">
        <v>2347</v>
      </c>
      <c r="B818" s="27"/>
      <c r="C818" s="28"/>
      <c r="D818" s="27"/>
      <c r="E818" s="27" t="s">
        <v>2348</v>
      </c>
      <c r="F818" s="29" t="s">
        <v>2349</v>
      </c>
      <c r="G818" s="27"/>
      <c r="H818" s="27"/>
      <c r="I818" s="27">
        <v>1</v>
      </c>
      <c r="J818" s="30">
        <v>0</v>
      </c>
      <c r="K818" s="26" t="s">
        <v>206</v>
      </c>
      <c r="L818" s="26" t="s">
        <v>1514</v>
      </c>
      <c r="M818" s="31"/>
      <c r="N818" s="2"/>
      <c r="O818" s="2"/>
      <c r="P818" s="2"/>
      <c r="Q818" s="2"/>
      <c r="R818" s="2"/>
      <c r="S818" s="2"/>
      <c r="T818" s="2"/>
      <c r="U818" s="2"/>
      <c r="V818" s="2"/>
      <c r="W818" s="2"/>
      <c r="X818" s="2"/>
      <c r="Y818" s="2"/>
      <c r="Z818" s="2"/>
    </row>
    <row r="819" spans="1:26" ht="12.75" hidden="1" customHeight="1">
      <c r="A819" s="26">
        <v>512</v>
      </c>
      <c r="B819" s="27" t="s">
        <v>2350</v>
      </c>
      <c r="C819" s="28">
        <v>39945</v>
      </c>
      <c r="D819" s="27"/>
      <c r="E819" s="27" t="s">
        <v>2351</v>
      </c>
      <c r="F819" s="29" t="s">
        <v>2352</v>
      </c>
      <c r="G819" s="27" t="s">
        <v>55</v>
      </c>
      <c r="H819" s="27" t="s">
        <v>249</v>
      </c>
      <c r="I819" s="27">
        <v>1</v>
      </c>
      <c r="J819" s="30">
        <v>167046265</v>
      </c>
      <c r="K819" s="26" t="s">
        <v>20</v>
      </c>
      <c r="L819" s="26" t="s">
        <v>233</v>
      </c>
      <c r="M819" s="31" t="s">
        <v>2353</v>
      </c>
      <c r="N819" s="2"/>
      <c r="O819" s="2"/>
      <c r="P819" s="2"/>
      <c r="Q819" s="2"/>
      <c r="R819" s="2"/>
      <c r="S819" s="2"/>
      <c r="T819" s="2"/>
      <c r="U819" s="2"/>
      <c r="V819" s="2"/>
      <c r="W819" s="2"/>
      <c r="X819" s="2"/>
      <c r="Y819" s="2"/>
      <c r="Z819" s="2"/>
    </row>
    <row r="820" spans="1:26" ht="12.75" hidden="1" customHeight="1">
      <c r="A820" s="26">
        <v>513</v>
      </c>
      <c r="B820" s="27" t="s">
        <v>2354</v>
      </c>
      <c r="C820" s="28">
        <v>40045</v>
      </c>
      <c r="D820" s="27"/>
      <c r="E820" s="27" t="s">
        <v>2355</v>
      </c>
      <c r="F820" s="29" t="s">
        <v>2356</v>
      </c>
      <c r="G820" s="27" t="s">
        <v>55</v>
      </c>
      <c r="H820" s="27" t="s">
        <v>249</v>
      </c>
      <c r="I820" s="27">
        <v>1</v>
      </c>
      <c r="J820" s="30">
        <v>169640260</v>
      </c>
      <c r="K820" s="26" t="s">
        <v>20</v>
      </c>
      <c r="L820" s="36" t="s">
        <v>229</v>
      </c>
      <c r="M820" s="31" t="s">
        <v>5386</v>
      </c>
      <c r="N820" s="2"/>
      <c r="O820" s="2"/>
      <c r="P820" s="2"/>
      <c r="Q820" s="2"/>
      <c r="R820" s="2"/>
      <c r="S820" s="2"/>
      <c r="T820" s="2"/>
      <c r="U820" s="2"/>
      <c r="V820" s="2"/>
      <c r="W820" s="2"/>
      <c r="X820" s="2"/>
      <c r="Y820" s="2"/>
      <c r="Z820" s="2"/>
    </row>
    <row r="821" spans="1:26" ht="25.5" hidden="1" customHeight="1">
      <c r="A821" s="38">
        <v>514</v>
      </c>
      <c r="B821" s="27" t="s">
        <v>1064</v>
      </c>
      <c r="C821" s="40">
        <v>39963</v>
      </c>
      <c r="D821" s="27"/>
      <c r="E821" s="39" t="s">
        <v>2357</v>
      </c>
      <c r="F821" s="41" t="s">
        <v>2358</v>
      </c>
      <c r="G821" s="27" t="s">
        <v>55</v>
      </c>
      <c r="H821" s="27" t="s">
        <v>249</v>
      </c>
      <c r="I821" s="27">
        <v>1</v>
      </c>
      <c r="J821" s="42">
        <v>168900954</v>
      </c>
      <c r="K821" s="38" t="s">
        <v>206</v>
      </c>
      <c r="L821" s="38" t="s">
        <v>1040</v>
      </c>
      <c r="M821" s="43" t="s">
        <v>2067</v>
      </c>
      <c r="N821" s="2"/>
      <c r="O821" s="2"/>
      <c r="P821" s="2"/>
      <c r="Q821" s="2"/>
      <c r="R821" s="2"/>
      <c r="S821" s="2"/>
      <c r="T821" s="2"/>
      <c r="U821" s="2"/>
      <c r="V821" s="2"/>
      <c r="W821" s="2"/>
      <c r="X821" s="2"/>
      <c r="Y821" s="2"/>
      <c r="Z821" s="2"/>
    </row>
    <row r="822" spans="1:26" ht="25.5" hidden="1" customHeight="1">
      <c r="A822" s="38">
        <v>515</v>
      </c>
      <c r="B822" s="27" t="s">
        <v>1064</v>
      </c>
      <c r="C822" s="40">
        <v>39963</v>
      </c>
      <c r="D822" s="27"/>
      <c r="E822" s="39" t="s">
        <v>2359</v>
      </c>
      <c r="F822" s="41" t="s">
        <v>2360</v>
      </c>
      <c r="G822" s="27" t="s">
        <v>55</v>
      </c>
      <c r="H822" s="27" t="s">
        <v>249</v>
      </c>
      <c r="I822" s="27">
        <v>1</v>
      </c>
      <c r="J822" s="42">
        <v>168900954</v>
      </c>
      <c r="K822" s="38" t="s">
        <v>206</v>
      </c>
      <c r="L822" s="38" t="s">
        <v>1040</v>
      </c>
      <c r="M822" s="43" t="s">
        <v>2067</v>
      </c>
      <c r="N822" s="2"/>
      <c r="O822" s="2"/>
      <c r="P822" s="2"/>
      <c r="Q822" s="2"/>
      <c r="R822" s="2"/>
      <c r="S822" s="2"/>
      <c r="T822" s="2"/>
      <c r="U822" s="2"/>
      <c r="V822" s="2"/>
      <c r="W822" s="2"/>
      <c r="X822" s="2"/>
      <c r="Y822" s="2"/>
      <c r="Z822" s="2"/>
    </row>
    <row r="823" spans="1:26" ht="25.5" hidden="1" customHeight="1">
      <c r="A823" s="38">
        <v>516</v>
      </c>
      <c r="B823" s="27" t="s">
        <v>1064</v>
      </c>
      <c r="C823" s="40">
        <v>39963</v>
      </c>
      <c r="D823" s="27"/>
      <c r="E823" s="39" t="s">
        <v>2361</v>
      </c>
      <c r="F823" s="41" t="s">
        <v>2362</v>
      </c>
      <c r="G823" s="27" t="s">
        <v>55</v>
      </c>
      <c r="H823" s="27" t="s">
        <v>249</v>
      </c>
      <c r="I823" s="27">
        <v>1</v>
      </c>
      <c r="J823" s="42">
        <v>168900955</v>
      </c>
      <c r="K823" s="38" t="s">
        <v>206</v>
      </c>
      <c r="L823" s="38" t="s">
        <v>1040</v>
      </c>
      <c r="M823" s="43" t="s">
        <v>2067</v>
      </c>
      <c r="N823" s="2"/>
      <c r="O823" s="2"/>
      <c r="P823" s="2"/>
      <c r="Q823" s="2"/>
      <c r="R823" s="2"/>
      <c r="S823" s="2"/>
      <c r="T823" s="2"/>
      <c r="U823" s="2"/>
      <c r="V823" s="2"/>
      <c r="W823" s="2"/>
      <c r="X823" s="2"/>
      <c r="Y823" s="2"/>
      <c r="Z823" s="2"/>
    </row>
    <row r="824" spans="1:26" ht="12.75" hidden="1" customHeight="1">
      <c r="A824" s="26">
        <v>517</v>
      </c>
      <c r="B824" s="27" t="s">
        <v>1064</v>
      </c>
      <c r="C824" s="28">
        <v>39963</v>
      </c>
      <c r="D824" s="27"/>
      <c r="E824" s="27" t="s">
        <v>2363</v>
      </c>
      <c r="F824" s="29" t="s">
        <v>2364</v>
      </c>
      <c r="G824" s="27"/>
      <c r="H824" s="27" t="s">
        <v>249</v>
      </c>
      <c r="I824" s="27">
        <v>1</v>
      </c>
      <c r="J824" s="30">
        <v>184289407</v>
      </c>
      <c r="K824" s="26" t="s">
        <v>206</v>
      </c>
      <c r="L824" s="26" t="s">
        <v>1040</v>
      </c>
      <c r="M824" s="31" t="s">
        <v>2067</v>
      </c>
      <c r="N824" s="2"/>
      <c r="O824" s="2"/>
      <c r="P824" s="2"/>
      <c r="Q824" s="2"/>
      <c r="R824" s="2"/>
      <c r="S824" s="2"/>
      <c r="T824" s="2"/>
      <c r="U824" s="2"/>
      <c r="V824" s="2"/>
      <c r="W824" s="2"/>
      <c r="X824" s="2"/>
      <c r="Y824" s="2"/>
      <c r="Z824" s="2"/>
    </row>
    <row r="825" spans="1:26" ht="38.25" hidden="1" customHeight="1">
      <c r="A825" s="26">
        <v>518</v>
      </c>
      <c r="B825" s="27" t="s">
        <v>1005</v>
      </c>
      <c r="C825" s="28">
        <v>39994</v>
      </c>
      <c r="D825" s="27"/>
      <c r="E825" s="27" t="s">
        <v>2365</v>
      </c>
      <c r="F825" s="29" t="s">
        <v>2366</v>
      </c>
      <c r="G825" s="27"/>
      <c r="H825" s="27" t="s">
        <v>249</v>
      </c>
      <c r="I825" s="27">
        <v>1</v>
      </c>
      <c r="J825" s="30">
        <v>231548036</v>
      </c>
      <c r="K825" s="26" t="s">
        <v>206</v>
      </c>
      <c r="L825" s="26" t="s">
        <v>1040</v>
      </c>
      <c r="M825" s="31" t="s">
        <v>1954</v>
      </c>
      <c r="N825" s="2"/>
      <c r="O825" s="2"/>
      <c r="P825" s="2"/>
      <c r="Q825" s="2"/>
      <c r="R825" s="2"/>
      <c r="S825" s="2"/>
      <c r="T825" s="2"/>
      <c r="U825" s="2"/>
      <c r="V825" s="2"/>
      <c r="W825" s="2"/>
      <c r="X825" s="2"/>
      <c r="Y825" s="2"/>
      <c r="Z825" s="2"/>
    </row>
    <row r="826" spans="1:26" ht="38.25" hidden="1" customHeight="1">
      <c r="A826" s="38">
        <v>519</v>
      </c>
      <c r="B826" s="27" t="s">
        <v>1005</v>
      </c>
      <c r="C826" s="40">
        <v>39994</v>
      </c>
      <c r="D826" s="27"/>
      <c r="E826" s="39" t="s">
        <v>2367</v>
      </c>
      <c r="F826" s="41" t="s">
        <v>2368</v>
      </c>
      <c r="G826" s="27"/>
      <c r="H826" s="27" t="s">
        <v>249</v>
      </c>
      <c r="I826" s="27">
        <v>1</v>
      </c>
      <c r="J826" s="42">
        <v>231548036</v>
      </c>
      <c r="K826" s="38" t="s">
        <v>206</v>
      </c>
      <c r="L826" s="38" t="s">
        <v>1040</v>
      </c>
      <c r="M826" s="43" t="s">
        <v>1954</v>
      </c>
      <c r="N826" s="2"/>
      <c r="O826" s="2"/>
      <c r="P826" s="2"/>
      <c r="Q826" s="2"/>
      <c r="R826" s="2"/>
      <c r="S826" s="2"/>
      <c r="T826" s="2"/>
      <c r="U826" s="2"/>
      <c r="V826" s="2"/>
      <c r="W826" s="2"/>
      <c r="X826" s="2"/>
      <c r="Y826" s="2"/>
      <c r="Z826" s="2"/>
    </row>
    <row r="827" spans="1:26" ht="38.25" hidden="1" customHeight="1">
      <c r="A827" s="26">
        <v>520</v>
      </c>
      <c r="B827" s="27" t="s">
        <v>1005</v>
      </c>
      <c r="C827" s="28">
        <v>39994</v>
      </c>
      <c r="D827" s="27"/>
      <c r="E827" s="27" t="s">
        <v>2369</v>
      </c>
      <c r="F827" s="29" t="s">
        <v>2370</v>
      </c>
      <c r="G827" s="27"/>
      <c r="H827" s="27" t="s">
        <v>249</v>
      </c>
      <c r="I827" s="27">
        <v>1</v>
      </c>
      <c r="J827" s="30">
        <v>231548036</v>
      </c>
      <c r="K827" s="26" t="s">
        <v>206</v>
      </c>
      <c r="L827" s="26" t="s">
        <v>1040</v>
      </c>
      <c r="M827" s="31" t="s">
        <v>1954</v>
      </c>
      <c r="N827" s="2"/>
      <c r="O827" s="2"/>
      <c r="P827" s="2"/>
      <c r="Q827" s="2"/>
      <c r="R827" s="2"/>
      <c r="S827" s="2"/>
      <c r="T827" s="2"/>
      <c r="U827" s="2"/>
      <c r="V827" s="2"/>
      <c r="W827" s="2"/>
      <c r="X827" s="2"/>
      <c r="Y827" s="2"/>
      <c r="Z827" s="2"/>
    </row>
    <row r="828" spans="1:26" ht="38.25" hidden="1" customHeight="1">
      <c r="A828" s="38">
        <v>521</v>
      </c>
      <c r="B828" s="27" t="s">
        <v>1005</v>
      </c>
      <c r="C828" s="40">
        <v>39994</v>
      </c>
      <c r="D828" s="27"/>
      <c r="E828" s="39" t="s">
        <v>2371</v>
      </c>
      <c r="F828" s="41" t="s">
        <v>2372</v>
      </c>
      <c r="G828" s="27"/>
      <c r="H828" s="27" t="s">
        <v>249</v>
      </c>
      <c r="I828" s="27">
        <v>1</v>
      </c>
      <c r="J828" s="42">
        <v>231548034</v>
      </c>
      <c r="K828" s="38" t="s">
        <v>206</v>
      </c>
      <c r="L828" s="38" t="s">
        <v>1040</v>
      </c>
      <c r="M828" s="43" t="s">
        <v>1954</v>
      </c>
      <c r="N828" s="2"/>
      <c r="O828" s="2"/>
      <c r="P828" s="2"/>
      <c r="Q828" s="2"/>
      <c r="R828" s="2"/>
      <c r="S828" s="2"/>
      <c r="T828" s="2"/>
      <c r="U828" s="2"/>
      <c r="V828" s="2"/>
      <c r="W828" s="2"/>
      <c r="X828" s="2"/>
      <c r="Y828" s="2"/>
      <c r="Z828" s="2"/>
    </row>
    <row r="829" spans="1:26" ht="38.25" hidden="1" customHeight="1">
      <c r="A829" s="38">
        <v>522</v>
      </c>
      <c r="B829" s="27" t="s">
        <v>1005</v>
      </c>
      <c r="C829" s="40">
        <v>39994</v>
      </c>
      <c r="D829" s="27"/>
      <c r="E829" s="39" t="s">
        <v>2373</v>
      </c>
      <c r="F829" s="41" t="s">
        <v>2374</v>
      </c>
      <c r="G829" s="27"/>
      <c r="H829" s="27" t="s">
        <v>249</v>
      </c>
      <c r="I829" s="27">
        <v>1</v>
      </c>
      <c r="J829" s="42">
        <v>316607946</v>
      </c>
      <c r="K829" s="38" t="s">
        <v>206</v>
      </c>
      <c r="L829" s="38" t="s">
        <v>1040</v>
      </c>
      <c r="M829" s="43" t="s">
        <v>1954</v>
      </c>
      <c r="N829" s="2"/>
      <c r="O829" s="2"/>
      <c r="P829" s="2"/>
      <c r="Q829" s="2"/>
      <c r="R829" s="2"/>
      <c r="S829" s="2"/>
      <c r="T829" s="2"/>
      <c r="U829" s="2"/>
      <c r="V829" s="2"/>
      <c r="W829" s="2"/>
      <c r="X829" s="2"/>
      <c r="Y829" s="2"/>
      <c r="Z829" s="2"/>
    </row>
    <row r="830" spans="1:26" ht="25.5" hidden="1" customHeight="1">
      <c r="A830" s="26">
        <v>523</v>
      </c>
      <c r="B830" s="27" t="s">
        <v>470</v>
      </c>
      <c r="C830" s="28">
        <v>41983</v>
      </c>
      <c r="D830" s="27"/>
      <c r="E830" s="27" t="s">
        <v>2375</v>
      </c>
      <c r="F830" s="29" t="s">
        <v>2376</v>
      </c>
      <c r="G830" s="27" t="s">
        <v>55</v>
      </c>
      <c r="H830" s="27" t="s">
        <v>19</v>
      </c>
      <c r="I830" s="27">
        <v>1</v>
      </c>
      <c r="J830" s="30">
        <v>613626286</v>
      </c>
      <c r="K830" s="26" t="s">
        <v>20</v>
      </c>
      <c r="L830" s="26" t="s">
        <v>3375</v>
      </c>
      <c r="M830" s="31" t="s">
        <v>5387</v>
      </c>
      <c r="N830" s="2"/>
      <c r="O830" s="2"/>
      <c r="P830" s="2"/>
      <c r="Q830" s="2"/>
      <c r="R830" s="2"/>
      <c r="S830" s="2"/>
      <c r="T830" s="2"/>
      <c r="U830" s="2"/>
      <c r="V830" s="2"/>
      <c r="W830" s="2"/>
      <c r="X830" s="2"/>
      <c r="Y830" s="2"/>
      <c r="Z830" s="2"/>
    </row>
    <row r="831" spans="1:26" ht="25.5" hidden="1" customHeight="1">
      <c r="A831" s="26">
        <v>524</v>
      </c>
      <c r="B831" s="27" t="s">
        <v>909</v>
      </c>
      <c r="C831" s="28">
        <v>41999</v>
      </c>
      <c r="D831" s="27"/>
      <c r="E831" s="27" t="s">
        <v>2377</v>
      </c>
      <c r="F831" s="29" t="s">
        <v>2378</v>
      </c>
      <c r="G831" s="27" t="s">
        <v>55</v>
      </c>
      <c r="H831" s="27" t="s">
        <v>19</v>
      </c>
      <c r="I831" s="27">
        <v>1</v>
      </c>
      <c r="J831" s="30">
        <v>621895482</v>
      </c>
      <c r="K831" s="26" t="s">
        <v>20</v>
      </c>
      <c r="L831" s="26" t="s">
        <v>233</v>
      </c>
      <c r="M831" s="31" t="s">
        <v>5388</v>
      </c>
      <c r="N831" s="2"/>
      <c r="O831" s="2"/>
      <c r="P831" s="2"/>
      <c r="Q831" s="2"/>
      <c r="R831" s="2"/>
      <c r="S831" s="2"/>
      <c r="T831" s="2"/>
      <c r="U831" s="2"/>
      <c r="V831" s="2"/>
      <c r="W831" s="2"/>
      <c r="X831" s="2"/>
      <c r="Y831" s="2"/>
      <c r="Z831" s="2"/>
    </row>
    <row r="832" spans="1:26" ht="12.75" hidden="1" customHeight="1">
      <c r="A832" s="26">
        <v>525</v>
      </c>
      <c r="B832" s="27" t="s">
        <v>470</v>
      </c>
      <c r="C832" s="28">
        <v>41983</v>
      </c>
      <c r="D832" s="27"/>
      <c r="E832" s="27" t="s">
        <v>2380</v>
      </c>
      <c r="F832" s="29" t="s">
        <v>2381</v>
      </c>
      <c r="G832" s="27" t="s">
        <v>55</v>
      </c>
      <c r="H832" s="27" t="s">
        <v>19</v>
      </c>
      <c r="I832" s="27">
        <v>1</v>
      </c>
      <c r="J832" s="30">
        <v>652010131</v>
      </c>
      <c r="K832" s="26" t="s">
        <v>20</v>
      </c>
      <c r="L832" s="26" t="s">
        <v>423</v>
      </c>
      <c r="M832" s="31" t="s">
        <v>5221</v>
      </c>
      <c r="N832" s="2"/>
      <c r="O832" s="2"/>
      <c r="P832" s="2"/>
      <c r="Q832" s="2"/>
      <c r="R832" s="2"/>
      <c r="S832" s="2"/>
      <c r="T832" s="2"/>
      <c r="U832" s="2"/>
      <c r="V832" s="2"/>
      <c r="W832" s="2"/>
      <c r="X832" s="2"/>
      <c r="Y832" s="2"/>
      <c r="Z832" s="2"/>
    </row>
    <row r="833" spans="1:26" ht="12.75" hidden="1" customHeight="1">
      <c r="A833" s="26" t="s">
        <v>2383</v>
      </c>
      <c r="B833" s="27"/>
      <c r="C833" s="28"/>
      <c r="D833" s="27"/>
      <c r="E833" s="27" t="s">
        <v>2384</v>
      </c>
      <c r="F833" s="29" t="s">
        <v>2385</v>
      </c>
      <c r="G833" s="27" t="s">
        <v>248</v>
      </c>
      <c r="H833" s="27" t="s">
        <v>249</v>
      </c>
      <c r="I833" s="27">
        <v>1</v>
      </c>
      <c r="J833" s="30">
        <v>0</v>
      </c>
      <c r="K833" s="26" t="s">
        <v>20</v>
      </c>
      <c r="L833" s="26" t="s">
        <v>423</v>
      </c>
      <c r="M833" s="31"/>
      <c r="N833" s="2"/>
      <c r="O833" s="2"/>
      <c r="P833" s="2"/>
      <c r="Q833" s="2"/>
      <c r="R833" s="2"/>
      <c r="S833" s="2"/>
      <c r="T833" s="2"/>
      <c r="U833" s="2"/>
      <c r="V833" s="2"/>
      <c r="W833" s="2"/>
      <c r="X833" s="2"/>
      <c r="Y833" s="2"/>
      <c r="Z833" s="2"/>
    </row>
    <row r="834" spans="1:26" ht="12.75" hidden="1" customHeight="1">
      <c r="A834" s="26">
        <v>526</v>
      </c>
      <c r="B834" s="27" t="s">
        <v>470</v>
      </c>
      <c r="C834" s="28">
        <v>41983</v>
      </c>
      <c r="D834" s="27"/>
      <c r="E834" s="27" t="s">
        <v>2387</v>
      </c>
      <c r="F834" s="29" t="s">
        <v>2381</v>
      </c>
      <c r="G834" s="27" t="s">
        <v>55</v>
      </c>
      <c r="H834" s="27" t="s">
        <v>19</v>
      </c>
      <c r="I834" s="27">
        <v>1</v>
      </c>
      <c r="J834" s="30">
        <v>652010131</v>
      </c>
      <c r="K834" s="26" t="s">
        <v>20</v>
      </c>
      <c r="L834" s="26" t="s">
        <v>423</v>
      </c>
      <c r="M834" s="31" t="s">
        <v>5253</v>
      </c>
      <c r="N834" s="2"/>
      <c r="O834" s="2"/>
      <c r="P834" s="2"/>
      <c r="Q834" s="2"/>
      <c r="R834" s="2"/>
      <c r="S834" s="2"/>
      <c r="T834" s="2"/>
      <c r="U834" s="2"/>
      <c r="V834" s="2"/>
      <c r="W834" s="2"/>
      <c r="X834" s="2"/>
      <c r="Y834" s="2"/>
      <c r="Z834" s="2"/>
    </row>
    <row r="835" spans="1:26" ht="25.5" hidden="1" customHeight="1">
      <c r="A835" s="26" t="s">
        <v>2389</v>
      </c>
      <c r="B835" s="27"/>
      <c r="C835" s="28"/>
      <c r="D835" s="27"/>
      <c r="E835" s="27" t="s">
        <v>2390</v>
      </c>
      <c r="F835" s="29" t="s">
        <v>2391</v>
      </c>
      <c r="G835" s="27" t="s">
        <v>248</v>
      </c>
      <c r="H835" s="27" t="s">
        <v>249</v>
      </c>
      <c r="I835" s="27">
        <v>1</v>
      </c>
      <c r="J835" s="30">
        <v>0</v>
      </c>
      <c r="K835" s="26" t="s">
        <v>20</v>
      </c>
      <c r="L835" s="26" t="s">
        <v>423</v>
      </c>
      <c r="M835" s="31" t="s">
        <v>5389</v>
      </c>
      <c r="N835" s="2"/>
      <c r="O835" s="2"/>
      <c r="P835" s="2"/>
      <c r="Q835" s="2"/>
      <c r="R835" s="2"/>
      <c r="S835" s="2"/>
      <c r="T835" s="2"/>
      <c r="U835" s="2"/>
      <c r="V835" s="2"/>
      <c r="W835" s="2"/>
      <c r="X835" s="2"/>
      <c r="Y835" s="2"/>
      <c r="Z835" s="2"/>
    </row>
    <row r="836" spans="1:26" ht="25.5" hidden="1" customHeight="1">
      <c r="A836" s="26">
        <v>527</v>
      </c>
      <c r="B836" s="27" t="s">
        <v>909</v>
      </c>
      <c r="C836" s="28">
        <v>41999</v>
      </c>
      <c r="D836" s="27"/>
      <c r="E836" s="27" t="s">
        <v>2392</v>
      </c>
      <c r="F836" s="29" t="s">
        <v>2393</v>
      </c>
      <c r="G836" s="27" t="s">
        <v>55</v>
      </c>
      <c r="H836" s="27" t="s">
        <v>19</v>
      </c>
      <c r="I836" s="27">
        <v>1</v>
      </c>
      <c r="J836" s="30">
        <v>113853059</v>
      </c>
      <c r="K836" s="26" t="s">
        <v>20</v>
      </c>
      <c r="L836" s="26" t="s">
        <v>233</v>
      </c>
      <c r="M836" s="31" t="s">
        <v>2353</v>
      </c>
      <c r="N836" s="2"/>
      <c r="O836" s="2"/>
      <c r="P836" s="2"/>
      <c r="Q836" s="2"/>
      <c r="R836" s="2"/>
      <c r="S836" s="2"/>
      <c r="T836" s="2"/>
      <c r="U836" s="2"/>
      <c r="V836" s="2"/>
      <c r="W836" s="2"/>
      <c r="X836" s="2"/>
      <c r="Y836" s="2"/>
      <c r="Z836" s="2"/>
    </row>
    <row r="837" spans="1:26" ht="12.75" hidden="1" customHeight="1">
      <c r="A837" s="26">
        <v>528</v>
      </c>
      <c r="B837" s="27" t="s">
        <v>2041</v>
      </c>
      <c r="C837" s="28">
        <v>42184</v>
      </c>
      <c r="D837" s="27"/>
      <c r="E837" s="27" t="s">
        <v>2394</v>
      </c>
      <c r="F837" s="29" t="s">
        <v>2395</v>
      </c>
      <c r="G837" s="27" t="s">
        <v>1008</v>
      </c>
      <c r="H837" s="27" t="s">
        <v>249</v>
      </c>
      <c r="I837" s="27">
        <v>1</v>
      </c>
      <c r="J837" s="30">
        <v>65579017</v>
      </c>
      <c r="K837" s="26" t="s">
        <v>20</v>
      </c>
      <c r="L837" s="26" t="s">
        <v>295</v>
      </c>
      <c r="M837" s="31" t="s">
        <v>5255</v>
      </c>
      <c r="N837" s="2"/>
      <c r="O837" s="2"/>
      <c r="P837" s="2"/>
      <c r="Q837" s="2"/>
      <c r="R837" s="2"/>
      <c r="S837" s="2"/>
      <c r="T837" s="2"/>
      <c r="U837" s="2"/>
      <c r="V837" s="2"/>
      <c r="W837" s="2"/>
      <c r="X837" s="2"/>
      <c r="Y837" s="2"/>
      <c r="Z837" s="2"/>
    </row>
    <row r="838" spans="1:26" ht="25.5" hidden="1" customHeight="1">
      <c r="A838" s="26">
        <v>529</v>
      </c>
      <c r="B838" s="27" t="s">
        <v>1763</v>
      </c>
      <c r="C838" s="28">
        <v>42368</v>
      </c>
      <c r="D838" s="27"/>
      <c r="E838" s="27" t="s">
        <v>2396</v>
      </c>
      <c r="F838" s="29" t="s">
        <v>2397</v>
      </c>
      <c r="G838" s="27" t="s">
        <v>2398</v>
      </c>
      <c r="H838" s="27" t="s">
        <v>19</v>
      </c>
      <c r="I838" s="27">
        <v>1</v>
      </c>
      <c r="J838" s="30">
        <v>328338602</v>
      </c>
      <c r="K838" s="26" t="s">
        <v>36</v>
      </c>
      <c r="L838" s="26" t="s">
        <v>37</v>
      </c>
      <c r="M838" s="31" t="s">
        <v>2399</v>
      </c>
      <c r="N838" s="2"/>
      <c r="O838" s="2"/>
      <c r="P838" s="2"/>
      <c r="Q838" s="2"/>
      <c r="R838" s="2"/>
      <c r="S838" s="2"/>
      <c r="T838" s="2"/>
      <c r="U838" s="2"/>
      <c r="V838" s="2"/>
      <c r="W838" s="2"/>
      <c r="X838" s="2"/>
      <c r="Y838" s="2"/>
      <c r="Z838" s="2"/>
    </row>
    <row r="839" spans="1:26" ht="25.5" hidden="1" customHeight="1">
      <c r="A839" s="26">
        <v>530</v>
      </c>
      <c r="B839" s="27" t="s">
        <v>1763</v>
      </c>
      <c r="C839" s="28">
        <v>42368</v>
      </c>
      <c r="D839" s="27"/>
      <c r="E839" s="27" t="s">
        <v>2400</v>
      </c>
      <c r="F839" s="29" t="s">
        <v>2401</v>
      </c>
      <c r="G839" s="27" t="s">
        <v>2398</v>
      </c>
      <c r="H839" s="27" t="s">
        <v>19</v>
      </c>
      <c r="I839" s="27">
        <v>1</v>
      </c>
      <c r="J839" s="30">
        <v>328338602</v>
      </c>
      <c r="K839" s="26" t="s">
        <v>36</v>
      </c>
      <c r="L839" s="26" t="s">
        <v>1542</v>
      </c>
      <c r="M839" s="31" t="s">
        <v>1900</v>
      </c>
      <c r="N839" s="2"/>
      <c r="O839" s="2"/>
      <c r="P839" s="2"/>
      <c r="Q839" s="2"/>
      <c r="R839" s="2"/>
      <c r="S839" s="2"/>
      <c r="T839" s="2"/>
      <c r="U839" s="2"/>
      <c r="V839" s="2"/>
      <c r="W839" s="2"/>
      <c r="X839" s="2"/>
      <c r="Y839" s="2"/>
      <c r="Z839" s="2"/>
    </row>
    <row r="840" spans="1:26" ht="51" hidden="1" customHeight="1">
      <c r="A840" s="26">
        <v>531</v>
      </c>
      <c r="B840" s="27" t="s">
        <v>599</v>
      </c>
      <c r="C840" s="28">
        <v>42671</v>
      </c>
      <c r="D840" s="27"/>
      <c r="E840" s="27" t="s">
        <v>2402</v>
      </c>
      <c r="F840" s="29" t="s">
        <v>2403</v>
      </c>
      <c r="G840" s="27" t="s">
        <v>338</v>
      </c>
      <c r="H840" s="27" t="s">
        <v>157</v>
      </c>
      <c r="I840" s="27">
        <v>1</v>
      </c>
      <c r="J840" s="30">
        <v>644887478</v>
      </c>
      <c r="K840" s="26" t="s">
        <v>36</v>
      </c>
      <c r="L840" s="26" t="s">
        <v>1542</v>
      </c>
      <c r="M840" s="31" t="s">
        <v>1900</v>
      </c>
      <c r="N840" s="2"/>
      <c r="O840" s="2"/>
      <c r="P840" s="2"/>
      <c r="Q840" s="2"/>
      <c r="R840" s="2"/>
      <c r="S840" s="2"/>
      <c r="T840" s="2"/>
      <c r="U840" s="2"/>
      <c r="V840" s="2"/>
      <c r="W840" s="2"/>
      <c r="X840" s="2"/>
      <c r="Y840" s="2"/>
      <c r="Z840" s="2"/>
    </row>
    <row r="841" spans="1:26" ht="51" hidden="1" customHeight="1">
      <c r="A841" s="26">
        <v>532</v>
      </c>
      <c r="B841" s="27" t="s">
        <v>599</v>
      </c>
      <c r="C841" s="28">
        <v>42671</v>
      </c>
      <c r="D841" s="27"/>
      <c r="E841" s="27" t="s">
        <v>2404</v>
      </c>
      <c r="F841" s="29" t="s">
        <v>2405</v>
      </c>
      <c r="G841" s="27" t="s">
        <v>338</v>
      </c>
      <c r="H841" s="27" t="s">
        <v>157</v>
      </c>
      <c r="I841" s="27">
        <v>1</v>
      </c>
      <c r="J841" s="30">
        <v>644887478</v>
      </c>
      <c r="K841" s="26" t="s">
        <v>36</v>
      </c>
      <c r="L841" s="26" t="s">
        <v>1542</v>
      </c>
      <c r="M841" s="31" t="s">
        <v>1909</v>
      </c>
      <c r="N841" s="2"/>
      <c r="O841" s="2"/>
      <c r="P841" s="2"/>
      <c r="Q841" s="2"/>
      <c r="R841" s="2"/>
      <c r="S841" s="2"/>
      <c r="T841" s="2"/>
      <c r="U841" s="2"/>
      <c r="V841" s="2"/>
      <c r="W841" s="2"/>
      <c r="X841" s="2"/>
      <c r="Y841" s="2"/>
      <c r="Z841" s="2"/>
    </row>
    <row r="842" spans="1:26" ht="25.5" hidden="1" customHeight="1">
      <c r="A842" s="26">
        <v>533</v>
      </c>
      <c r="B842" s="27" t="s">
        <v>599</v>
      </c>
      <c r="C842" s="28">
        <v>42671</v>
      </c>
      <c r="D842" s="27"/>
      <c r="E842" s="27" t="s">
        <v>2406</v>
      </c>
      <c r="F842" s="29" t="s">
        <v>2407</v>
      </c>
      <c r="G842" s="27" t="s">
        <v>248</v>
      </c>
      <c r="H842" s="27" t="s">
        <v>19</v>
      </c>
      <c r="I842" s="27">
        <v>1</v>
      </c>
      <c r="J842" s="30">
        <v>341201513</v>
      </c>
      <c r="K842" s="26" t="s">
        <v>36</v>
      </c>
      <c r="L842" s="45" t="s">
        <v>169</v>
      </c>
      <c r="M842" s="46" t="s">
        <v>2408</v>
      </c>
      <c r="N842" s="2"/>
      <c r="O842" s="2"/>
      <c r="P842" s="2"/>
      <c r="Q842" s="2"/>
      <c r="R842" s="2"/>
      <c r="S842" s="2"/>
      <c r="T842" s="2"/>
      <c r="U842" s="2"/>
      <c r="V842" s="2"/>
      <c r="W842" s="2"/>
      <c r="X842" s="2"/>
      <c r="Y842" s="2"/>
      <c r="Z842" s="2"/>
    </row>
    <row r="843" spans="1:26" ht="25.5" hidden="1" customHeight="1">
      <c r="A843" s="26">
        <v>534</v>
      </c>
      <c r="B843" s="27" t="s">
        <v>599</v>
      </c>
      <c r="C843" s="28">
        <v>42671</v>
      </c>
      <c r="D843" s="27"/>
      <c r="E843" s="27" t="s">
        <v>2409</v>
      </c>
      <c r="F843" s="29" t="s">
        <v>2410</v>
      </c>
      <c r="G843" s="27" t="s">
        <v>248</v>
      </c>
      <c r="H843" s="27" t="s">
        <v>19</v>
      </c>
      <c r="I843" s="27">
        <v>1</v>
      </c>
      <c r="J843" s="30">
        <v>341201513</v>
      </c>
      <c r="K843" s="26" t="s">
        <v>36</v>
      </c>
      <c r="L843" s="26" t="s">
        <v>169</v>
      </c>
      <c r="M843" s="31" t="s">
        <v>2411</v>
      </c>
      <c r="N843" s="2"/>
      <c r="O843" s="2"/>
      <c r="P843" s="2"/>
      <c r="Q843" s="2"/>
      <c r="R843" s="2"/>
      <c r="S843" s="2"/>
      <c r="T843" s="2"/>
      <c r="U843" s="2"/>
      <c r="V843" s="2"/>
      <c r="W843" s="2"/>
      <c r="X843" s="2"/>
      <c r="Y843" s="2"/>
      <c r="Z843" s="2"/>
    </row>
    <row r="844" spans="1:26" ht="25.5" hidden="1" customHeight="1">
      <c r="A844" s="26">
        <v>535</v>
      </c>
      <c r="B844" s="27" t="s">
        <v>599</v>
      </c>
      <c r="C844" s="28">
        <v>42671</v>
      </c>
      <c r="D844" s="27"/>
      <c r="E844" s="27" t="s">
        <v>2412</v>
      </c>
      <c r="F844" s="29" t="s">
        <v>2413</v>
      </c>
      <c r="G844" s="27" t="s">
        <v>307</v>
      </c>
      <c r="H844" s="27" t="s">
        <v>19</v>
      </c>
      <c r="I844" s="27">
        <v>1</v>
      </c>
      <c r="J844" s="30">
        <v>34674284</v>
      </c>
      <c r="K844" s="26" t="s">
        <v>36</v>
      </c>
      <c r="L844" s="26" t="s">
        <v>169</v>
      </c>
      <c r="M844" s="31" t="s">
        <v>2414</v>
      </c>
      <c r="N844" s="2"/>
      <c r="O844" s="2"/>
      <c r="P844" s="2"/>
      <c r="Q844" s="2"/>
      <c r="R844" s="2"/>
      <c r="S844" s="2"/>
      <c r="T844" s="2"/>
      <c r="U844" s="2"/>
      <c r="V844" s="2"/>
      <c r="W844" s="2"/>
      <c r="X844" s="2"/>
      <c r="Y844" s="2"/>
      <c r="Z844" s="2"/>
    </row>
    <row r="845" spans="1:26" ht="25.5" hidden="1" customHeight="1">
      <c r="A845" s="26">
        <v>536</v>
      </c>
      <c r="B845" s="27" t="s">
        <v>599</v>
      </c>
      <c r="C845" s="28">
        <v>42671</v>
      </c>
      <c r="D845" s="27"/>
      <c r="E845" s="27" t="s">
        <v>2415</v>
      </c>
      <c r="F845" s="29" t="s">
        <v>2416</v>
      </c>
      <c r="G845" s="27" t="s">
        <v>307</v>
      </c>
      <c r="H845" s="27" t="s">
        <v>19</v>
      </c>
      <c r="I845" s="27">
        <v>1</v>
      </c>
      <c r="J845" s="30">
        <v>34674284</v>
      </c>
      <c r="K845" s="26" t="s">
        <v>36</v>
      </c>
      <c r="L845" s="26" t="s">
        <v>169</v>
      </c>
      <c r="M845" s="31" t="s">
        <v>2414</v>
      </c>
      <c r="N845" s="2"/>
      <c r="O845" s="2"/>
      <c r="P845" s="2"/>
      <c r="Q845" s="2"/>
      <c r="R845" s="2"/>
      <c r="S845" s="2"/>
      <c r="T845" s="2"/>
      <c r="U845" s="2"/>
      <c r="V845" s="2"/>
      <c r="W845" s="2"/>
      <c r="X845" s="2"/>
      <c r="Y845" s="2"/>
      <c r="Z845" s="2"/>
    </row>
    <row r="846" spans="1:26" ht="25.5" hidden="1" customHeight="1">
      <c r="A846" s="26">
        <v>537</v>
      </c>
      <c r="B846" s="27" t="s">
        <v>797</v>
      </c>
      <c r="C846" s="28">
        <v>42671</v>
      </c>
      <c r="D846" s="27"/>
      <c r="E846" s="27" t="s">
        <v>2417</v>
      </c>
      <c r="F846" s="29" t="s">
        <v>2418</v>
      </c>
      <c r="G846" s="27" t="s">
        <v>248</v>
      </c>
      <c r="H846" s="27" t="s">
        <v>19</v>
      </c>
      <c r="I846" s="27">
        <v>1</v>
      </c>
      <c r="J846" s="30">
        <v>337056305</v>
      </c>
      <c r="K846" s="26" t="s">
        <v>206</v>
      </c>
      <c r="L846" s="26" t="s">
        <v>1040</v>
      </c>
      <c r="M846" s="31" t="s">
        <v>2067</v>
      </c>
      <c r="N846" s="2"/>
      <c r="O846" s="2"/>
      <c r="P846" s="2"/>
      <c r="Q846" s="2"/>
      <c r="R846" s="2"/>
      <c r="S846" s="2"/>
      <c r="T846" s="2"/>
      <c r="U846" s="2"/>
      <c r="V846" s="2"/>
      <c r="W846" s="2"/>
      <c r="X846" s="2"/>
      <c r="Y846" s="2"/>
      <c r="Z846" s="2"/>
    </row>
    <row r="847" spans="1:26" ht="25.5" hidden="1" customHeight="1">
      <c r="A847" s="26">
        <v>538</v>
      </c>
      <c r="B847" s="27" t="s">
        <v>797</v>
      </c>
      <c r="C847" s="28">
        <v>42671</v>
      </c>
      <c r="D847" s="27"/>
      <c r="E847" s="27" t="s">
        <v>2419</v>
      </c>
      <c r="F847" s="29" t="s">
        <v>2420</v>
      </c>
      <c r="G847" s="27" t="s">
        <v>248</v>
      </c>
      <c r="H847" s="27" t="s">
        <v>19</v>
      </c>
      <c r="I847" s="27">
        <v>1</v>
      </c>
      <c r="J847" s="30">
        <v>337056305</v>
      </c>
      <c r="K847" s="26" t="s">
        <v>206</v>
      </c>
      <c r="L847" s="26" t="s">
        <v>1040</v>
      </c>
      <c r="M847" s="31" t="s">
        <v>2067</v>
      </c>
      <c r="N847" s="2"/>
      <c r="O847" s="2"/>
      <c r="P847" s="2"/>
      <c r="Q847" s="2"/>
      <c r="R847" s="2"/>
      <c r="S847" s="2"/>
      <c r="T847" s="2"/>
      <c r="U847" s="2"/>
      <c r="V847" s="2"/>
      <c r="W847" s="2"/>
      <c r="X847" s="2"/>
      <c r="Y847" s="2"/>
      <c r="Z847" s="2"/>
    </row>
    <row r="848" spans="1:26" ht="12.75" hidden="1" customHeight="1">
      <c r="A848" s="26">
        <v>539</v>
      </c>
      <c r="B848" s="27" t="s">
        <v>973</v>
      </c>
      <c r="C848" s="28">
        <v>43799</v>
      </c>
      <c r="D848" s="27"/>
      <c r="E848" s="27" t="s">
        <v>2421</v>
      </c>
      <c r="F848" s="29" t="s">
        <v>2422</v>
      </c>
      <c r="G848" s="27" t="s">
        <v>338</v>
      </c>
      <c r="H848" s="27" t="s">
        <v>19</v>
      </c>
      <c r="I848" s="27">
        <v>1</v>
      </c>
      <c r="J848" s="30">
        <v>293404434</v>
      </c>
      <c r="K848" s="26" t="s">
        <v>20</v>
      </c>
      <c r="L848" s="26" t="s">
        <v>295</v>
      </c>
      <c r="M848" s="31" t="s">
        <v>5390</v>
      </c>
      <c r="N848" s="2"/>
      <c r="O848" s="2"/>
      <c r="P848" s="2"/>
      <c r="Q848" s="2"/>
      <c r="R848" s="2"/>
      <c r="S848" s="2"/>
      <c r="T848" s="2"/>
      <c r="U848" s="2"/>
      <c r="V848" s="2"/>
      <c r="W848" s="2"/>
      <c r="X848" s="2"/>
      <c r="Y848" s="2"/>
      <c r="Z848" s="2"/>
    </row>
    <row r="849" spans="1:26" ht="25.5" hidden="1" customHeight="1">
      <c r="A849" s="26">
        <v>540</v>
      </c>
      <c r="B849" s="27" t="s">
        <v>1989</v>
      </c>
      <c r="C849" s="28">
        <v>43827</v>
      </c>
      <c r="D849" s="27"/>
      <c r="E849" s="27" t="s">
        <v>2424</v>
      </c>
      <c r="F849" s="29" t="s">
        <v>2425</v>
      </c>
      <c r="G849" s="27" t="s">
        <v>2426</v>
      </c>
      <c r="H849" s="27" t="s">
        <v>19</v>
      </c>
      <c r="I849" s="27">
        <v>1</v>
      </c>
      <c r="J849" s="30">
        <v>73500000</v>
      </c>
      <c r="K849" s="26" t="s">
        <v>206</v>
      </c>
      <c r="L849" s="26" t="s">
        <v>2427</v>
      </c>
      <c r="M849" s="31" t="s">
        <v>2428</v>
      </c>
      <c r="N849" s="2"/>
      <c r="O849" s="2"/>
      <c r="P849" s="2"/>
      <c r="Q849" s="2"/>
      <c r="R849" s="2"/>
      <c r="S849" s="2"/>
      <c r="T849" s="2"/>
      <c r="U849" s="2"/>
      <c r="V849" s="2"/>
      <c r="W849" s="2"/>
      <c r="X849" s="2"/>
      <c r="Y849" s="2"/>
      <c r="Z849" s="2"/>
    </row>
    <row r="850" spans="1:26" ht="12.75" hidden="1" customHeight="1">
      <c r="A850" s="26">
        <v>541</v>
      </c>
      <c r="B850" s="27" t="s">
        <v>52</v>
      </c>
      <c r="C850" s="28">
        <v>40875</v>
      </c>
      <c r="D850" s="27"/>
      <c r="E850" s="27" t="s">
        <v>2429</v>
      </c>
      <c r="F850" s="29" t="s">
        <v>2430</v>
      </c>
      <c r="G850" s="27" t="s">
        <v>338</v>
      </c>
      <c r="H850" s="27" t="s">
        <v>19</v>
      </c>
      <c r="I850" s="27">
        <v>1</v>
      </c>
      <c r="J850" s="30">
        <v>352228733</v>
      </c>
      <c r="K850" s="26" t="s">
        <v>36</v>
      </c>
      <c r="L850" s="26" t="s">
        <v>169</v>
      </c>
      <c r="M850" s="31" t="s">
        <v>178</v>
      </c>
      <c r="N850" s="2"/>
      <c r="O850" s="2"/>
      <c r="P850" s="2"/>
      <c r="Q850" s="2"/>
      <c r="R850" s="2"/>
      <c r="S850" s="2"/>
      <c r="T850" s="2"/>
      <c r="U850" s="2"/>
      <c r="V850" s="2"/>
      <c r="W850" s="2"/>
      <c r="X850" s="2"/>
      <c r="Y850" s="2"/>
      <c r="Z850" s="2"/>
    </row>
    <row r="851" spans="1:26" ht="25.5" hidden="1" customHeight="1">
      <c r="A851" s="26" t="s">
        <v>2431</v>
      </c>
      <c r="B851" s="27"/>
      <c r="C851" s="28"/>
      <c r="D851" s="27"/>
      <c r="E851" s="27" t="s">
        <v>2432</v>
      </c>
      <c r="F851" s="29" t="s">
        <v>2433</v>
      </c>
      <c r="G851" s="27"/>
      <c r="H851" s="27"/>
      <c r="I851" s="27">
        <v>1</v>
      </c>
      <c r="J851" s="30">
        <v>330704890</v>
      </c>
      <c r="K851" s="26" t="s">
        <v>36</v>
      </c>
      <c r="L851" s="26" t="s">
        <v>169</v>
      </c>
      <c r="M851" s="31"/>
      <c r="N851" s="2"/>
      <c r="O851" s="2"/>
      <c r="P851" s="2"/>
      <c r="Q851" s="2"/>
      <c r="R851" s="2"/>
      <c r="S851" s="2"/>
      <c r="T851" s="2"/>
      <c r="U851" s="2"/>
      <c r="V851" s="2"/>
      <c r="W851" s="2"/>
      <c r="X851" s="2"/>
      <c r="Y851" s="2"/>
      <c r="Z851" s="2"/>
    </row>
    <row r="852" spans="1:26" ht="12.75" hidden="1" customHeight="1">
      <c r="A852" s="26" t="s">
        <v>2434</v>
      </c>
      <c r="B852" s="27"/>
      <c r="C852" s="28"/>
      <c r="D852" s="27"/>
      <c r="E852" s="27" t="s">
        <v>2435</v>
      </c>
      <c r="F852" s="29" t="s">
        <v>2436</v>
      </c>
      <c r="G852" s="27"/>
      <c r="H852" s="27"/>
      <c r="I852" s="27">
        <v>1</v>
      </c>
      <c r="J852" s="30">
        <v>16142883</v>
      </c>
      <c r="K852" s="26" t="s">
        <v>36</v>
      </c>
      <c r="L852" s="26" t="s">
        <v>169</v>
      </c>
      <c r="M852" s="31"/>
      <c r="N852" s="2"/>
      <c r="O852" s="2"/>
      <c r="P852" s="2"/>
      <c r="Q852" s="2"/>
      <c r="R852" s="2"/>
      <c r="S852" s="2"/>
      <c r="T852" s="2"/>
      <c r="U852" s="2"/>
      <c r="V852" s="2"/>
      <c r="W852" s="2"/>
      <c r="X852" s="2"/>
      <c r="Y852" s="2"/>
      <c r="Z852" s="2"/>
    </row>
    <row r="853" spans="1:26" ht="12.75" hidden="1" customHeight="1">
      <c r="A853" s="26">
        <v>542</v>
      </c>
      <c r="B853" s="27" t="s">
        <v>52</v>
      </c>
      <c r="C853" s="28">
        <v>40875</v>
      </c>
      <c r="D853" s="27"/>
      <c r="E853" s="27" t="s">
        <v>2437</v>
      </c>
      <c r="F853" s="29" t="s">
        <v>2430</v>
      </c>
      <c r="G853" s="27" t="s">
        <v>338</v>
      </c>
      <c r="H853" s="27" t="s">
        <v>19</v>
      </c>
      <c r="I853" s="27">
        <v>1</v>
      </c>
      <c r="J853" s="30">
        <v>352228733</v>
      </c>
      <c r="K853" s="26" t="s">
        <v>36</v>
      </c>
      <c r="L853" s="26" t="s">
        <v>169</v>
      </c>
      <c r="M853" s="31" t="s">
        <v>178</v>
      </c>
      <c r="N853" s="2"/>
      <c r="O853" s="2"/>
      <c r="P853" s="2"/>
      <c r="Q853" s="2"/>
      <c r="R853" s="2"/>
      <c r="S853" s="2"/>
      <c r="T853" s="2"/>
      <c r="U853" s="2"/>
      <c r="V853" s="2"/>
      <c r="W853" s="2"/>
      <c r="X853" s="2"/>
      <c r="Y853" s="2"/>
      <c r="Z853" s="2"/>
    </row>
    <row r="854" spans="1:26" ht="25.5" hidden="1" customHeight="1">
      <c r="A854" s="26" t="s">
        <v>2438</v>
      </c>
      <c r="B854" s="27"/>
      <c r="C854" s="28"/>
      <c r="D854" s="27"/>
      <c r="E854" s="27" t="s">
        <v>2439</v>
      </c>
      <c r="F854" s="29" t="s">
        <v>2440</v>
      </c>
      <c r="G854" s="27"/>
      <c r="H854" s="27"/>
      <c r="I854" s="27">
        <v>1</v>
      </c>
      <c r="J854" s="30">
        <v>330704890</v>
      </c>
      <c r="K854" s="26" t="s">
        <v>36</v>
      </c>
      <c r="L854" s="26" t="s">
        <v>169</v>
      </c>
      <c r="M854" s="31"/>
      <c r="N854" s="2"/>
      <c r="O854" s="2"/>
      <c r="P854" s="2"/>
      <c r="Q854" s="2"/>
      <c r="R854" s="2"/>
      <c r="S854" s="2"/>
      <c r="T854" s="2"/>
      <c r="U854" s="2"/>
      <c r="V854" s="2"/>
      <c r="W854" s="2"/>
      <c r="X854" s="2"/>
      <c r="Y854" s="2"/>
      <c r="Z854" s="2"/>
    </row>
    <row r="855" spans="1:26" ht="12.75" hidden="1" customHeight="1">
      <c r="A855" s="26" t="s">
        <v>2441</v>
      </c>
      <c r="B855" s="27"/>
      <c r="C855" s="28"/>
      <c r="D855" s="27"/>
      <c r="E855" s="27" t="s">
        <v>2442</v>
      </c>
      <c r="F855" s="29" t="s">
        <v>2443</v>
      </c>
      <c r="G855" s="27"/>
      <c r="H855" s="27"/>
      <c r="I855" s="27">
        <v>1</v>
      </c>
      <c r="J855" s="30">
        <v>16142883</v>
      </c>
      <c r="K855" s="26" t="s">
        <v>36</v>
      </c>
      <c r="L855" s="26" t="s">
        <v>169</v>
      </c>
      <c r="M855" s="31"/>
      <c r="N855" s="2"/>
      <c r="O855" s="2"/>
      <c r="P855" s="2"/>
      <c r="Q855" s="2"/>
      <c r="R855" s="2"/>
      <c r="S855" s="2"/>
      <c r="T855" s="2"/>
      <c r="U855" s="2"/>
      <c r="V855" s="2"/>
      <c r="W855" s="2"/>
      <c r="X855" s="2"/>
      <c r="Y855" s="2"/>
      <c r="Z855" s="2"/>
    </row>
    <row r="856" spans="1:26" ht="12.75" hidden="1" customHeight="1">
      <c r="A856" s="26">
        <v>543</v>
      </c>
      <c r="B856" s="27" t="s">
        <v>197</v>
      </c>
      <c r="C856" s="28">
        <v>40948</v>
      </c>
      <c r="D856" s="27"/>
      <c r="E856" s="27" t="s">
        <v>2444</v>
      </c>
      <c r="F856" s="29" t="s">
        <v>2445</v>
      </c>
      <c r="G856" s="27" t="s">
        <v>248</v>
      </c>
      <c r="H856" s="27" t="s">
        <v>19</v>
      </c>
      <c r="I856" s="27">
        <v>1</v>
      </c>
      <c r="J856" s="30">
        <v>227859998</v>
      </c>
      <c r="K856" s="26" t="s">
        <v>206</v>
      </c>
      <c r="L856" s="26" t="s">
        <v>2446</v>
      </c>
      <c r="M856" s="31" t="s">
        <v>2447</v>
      </c>
      <c r="N856" s="2"/>
      <c r="O856" s="2"/>
      <c r="P856" s="2"/>
      <c r="Q856" s="2"/>
      <c r="R856" s="2"/>
      <c r="S856" s="2"/>
      <c r="T856" s="2"/>
      <c r="U856" s="2"/>
      <c r="V856" s="2"/>
      <c r="W856" s="2"/>
      <c r="X856" s="2"/>
      <c r="Y856" s="2"/>
      <c r="Z856" s="2"/>
    </row>
    <row r="857" spans="1:26" ht="12.75" hidden="1" customHeight="1">
      <c r="A857" s="26">
        <v>544</v>
      </c>
      <c r="B857" s="27" t="s">
        <v>197</v>
      </c>
      <c r="C857" s="28">
        <v>40948</v>
      </c>
      <c r="D857" s="27"/>
      <c r="E857" s="27" t="s">
        <v>2448</v>
      </c>
      <c r="F857" s="29" t="s">
        <v>2449</v>
      </c>
      <c r="G857" s="27" t="s">
        <v>248</v>
      </c>
      <c r="H857" s="27" t="s">
        <v>19</v>
      </c>
      <c r="I857" s="27">
        <v>1</v>
      </c>
      <c r="J857" s="30">
        <v>227859998</v>
      </c>
      <c r="K857" s="26" t="s">
        <v>206</v>
      </c>
      <c r="L857" s="26" t="s">
        <v>1040</v>
      </c>
      <c r="M857" s="31" t="s">
        <v>2450</v>
      </c>
      <c r="N857" s="2"/>
      <c r="O857" s="2"/>
      <c r="P857" s="2"/>
      <c r="Q857" s="2"/>
      <c r="R857" s="2"/>
      <c r="S857" s="2"/>
      <c r="T857" s="2"/>
      <c r="U857" s="2"/>
      <c r="V857" s="2"/>
      <c r="W857" s="2"/>
      <c r="X857" s="2"/>
      <c r="Y857" s="2"/>
      <c r="Z857" s="2"/>
    </row>
    <row r="858" spans="1:26" ht="25.5" hidden="1" customHeight="1">
      <c r="A858" s="26">
        <v>545</v>
      </c>
      <c r="B858" s="27" t="s">
        <v>197</v>
      </c>
      <c r="C858" s="28">
        <v>40948</v>
      </c>
      <c r="D858" s="27"/>
      <c r="E858" s="27" t="s">
        <v>2451</v>
      </c>
      <c r="F858" s="29" t="s">
        <v>2452</v>
      </c>
      <c r="G858" s="27" t="s">
        <v>248</v>
      </c>
      <c r="H858" s="27" t="s">
        <v>19</v>
      </c>
      <c r="I858" s="27">
        <v>1</v>
      </c>
      <c r="J858" s="30">
        <v>227859998</v>
      </c>
      <c r="K858" s="26" t="s">
        <v>36</v>
      </c>
      <c r="L858" s="26" t="s">
        <v>3801</v>
      </c>
      <c r="M858" s="31" t="s">
        <v>2453</v>
      </c>
      <c r="N858" s="2"/>
      <c r="O858" s="2"/>
      <c r="P858" s="2"/>
      <c r="Q858" s="2"/>
      <c r="R858" s="2"/>
      <c r="S858" s="2"/>
      <c r="T858" s="2"/>
      <c r="U858" s="2"/>
      <c r="V858" s="2"/>
      <c r="W858" s="2"/>
      <c r="X858" s="2"/>
      <c r="Y858" s="2"/>
      <c r="Z858" s="2"/>
    </row>
    <row r="859" spans="1:26" ht="25.5" hidden="1" customHeight="1">
      <c r="A859" s="26">
        <v>546</v>
      </c>
      <c r="B859" s="27" t="s">
        <v>197</v>
      </c>
      <c r="C859" s="28">
        <v>40948</v>
      </c>
      <c r="D859" s="27"/>
      <c r="E859" s="27" t="s">
        <v>2454</v>
      </c>
      <c r="F859" s="29" t="s">
        <v>2455</v>
      </c>
      <c r="G859" s="27" t="s">
        <v>248</v>
      </c>
      <c r="H859" s="27" t="s">
        <v>19</v>
      </c>
      <c r="I859" s="27">
        <v>1</v>
      </c>
      <c r="J859" s="30">
        <v>227859999</v>
      </c>
      <c r="K859" s="26" t="s">
        <v>36</v>
      </c>
      <c r="L859" s="26" t="s">
        <v>3801</v>
      </c>
      <c r="M859" s="31" t="s">
        <v>2456</v>
      </c>
      <c r="N859" s="2"/>
      <c r="O859" s="2"/>
      <c r="P859" s="2"/>
      <c r="Q859" s="2"/>
      <c r="R859" s="2"/>
      <c r="S859" s="2"/>
      <c r="T859" s="2"/>
      <c r="U859" s="2"/>
      <c r="V859" s="2"/>
      <c r="W859" s="2"/>
      <c r="X859" s="2"/>
      <c r="Y859" s="2"/>
      <c r="Z859" s="2"/>
    </row>
    <row r="860" spans="1:26" ht="25.5" hidden="1" customHeight="1">
      <c r="A860" s="38">
        <v>547</v>
      </c>
      <c r="B860" s="27" t="s">
        <v>197</v>
      </c>
      <c r="C860" s="40">
        <v>40948</v>
      </c>
      <c r="D860" s="27"/>
      <c r="E860" s="39" t="s">
        <v>2457</v>
      </c>
      <c r="F860" s="41" t="s">
        <v>2458</v>
      </c>
      <c r="G860" s="27" t="s">
        <v>2459</v>
      </c>
      <c r="H860" s="27" t="s">
        <v>19</v>
      </c>
      <c r="I860" s="27">
        <v>1</v>
      </c>
      <c r="J860" s="42">
        <v>659537414</v>
      </c>
      <c r="K860" s="38" t="s">
        <v>206</v>
      </c>
      <c r="L860" s="38" t="s">
        <v>1040</v>
      </c>
      <c r="M860" s="43" t="s">
        <v>2023</v>
      </c>
      <c r="N860" s="2"/>
      <c r="O860" s="2"/>
      <c r="P860" s="2"/>
      <c r="Q860" s="2"/>
      <c r="R860" s="2"/>
      <c r="S860" s="2"/>
      <c r="T860" s="2"/>
      <c r="U860" s="2"/>
      <c r="V860" s="2"/>
      <c r="W860" s="2"/>
      <c r="X860" s="2"/>
      <c r="Y860" s="2"/>
      <c r="Z860" s="2"/>
    </row>
    <row r="861" spans="1:26" ht="25.5" hidden="1" customHeight="1">
      <c r="A861" s="26">
        <v>548</v>
      </c>
      <c r="B861" s="27" t="s">
        <v>281</v>
      </c>
      <c r="C861" s="28">
        <v>41044</v>
      </c>
      <c r="D861" s="27"/>
      <c r="E861" s="27" t="s">
        <v>2460</v>
      </c>
      <c r="F861" s="29" t="s">
        <v>2461</v>
      </c>
      <c r="G861" s="27" t="s">
        <v>2459</v>
      </c>
      <c r="H861" s="27" t="s">
        <v>19</v>
      </c>
      <c r="I861" s="27">
        <v>1</v>
      </c>
      <c r="J861" s="30">
        <v>637907000</v>
      </c>
      <c r="K861" s="26" t="s">
        <v>20</v>
      </c>
      <c r="L861" s="26" t="s">
        <v>423</v>
      </c>
      <c r="M861" s="31" t="s">
        <v>5391</v>
      </c>
      <c r="N861" s="2"/>
      <c r="O861" s="2"/>
      <c r="P861" s="2"/>
      <c r="Q861" s="2"/>
      <c r="R861" s="2"/>
      <c r="S861" s="2"/>
      <c r="T861" s="2"/>
      <c r="U861" s="2"/>
      <c r="V861" s="2"/>
      <c r="W861" s="2"/>
      <c r="X861" s="2"/>
      <c r="Y861" s="2"/>
      <c r="Z861" s="2"/>
    </row>
    <row r="862" spans="1:26" ht="51" hidden="1" customHeight="1">
      <c r="A862" s="26">
        <v>549</v>
      </c>
      <c r="B862" s="27" t="s">
        <v>2463</v>
      </c>
      <c r="C862" s="28">
        <v>41635</v>
      </c>
      <c r="D862" s="27"/>
      <c r="E862" s="27" t="s">
        <v>2464</v>
      </c>
      <c r="F862" s="29" t="s">
        <v>2465</v>
      </c>
      <c r="G862" s="27" t="s">
        <v>1635</v>
      </c>
      <c r="H862" s="27" t="s">
        <v>19</v>
      </c>
      <c r="I862" s="27">
        <v>1</v>
      </c>
      <c r="J862" s="30">
        <v>703956316</v>
      </c>
      <c r="K862" s="26" t="s">
        <v>20</v>
      </c>
      <c r="L862" s="26" t="s">
        <v>233</v>
      </c>
      <c r="M862" s="31" t="s">
        <v>1847</v>
      </c>
      <c r="N862" s="2"/>
      <c r="O862" s="2"/>
      <c r="P862" s="2"/>
      <c r="Q862" s="2"/>
      <c r="R862" s="2"/>
      <c r="S862" s="2"/>
      <c r="T862" s="2"/>
      <c r="U862" s="2"/>
      <c r="V862" s="2"/>
      <c r="W862" s="2"/>
      <c r="X862" s="2"/>
      <c r="Y862" s="2"/>
      <c r="Z862" s="2"/>
    </row>
    <row r="863" spans="1:26" ht="25.5" hidden="1" customHeight="1">
      <c r="A863" s="38">
        <v>550</v>
      </c>
      <c r="B863" s="27" t="s">
        <v>1377</v>
      </c>
      <c r="C863" s="40">
        <v>37986</v>
      </c>
      <c r="D863" s="27" t="s">
        <v>2467</v>
      </c>
      <c r="E863" s="39" t="s">
        <v>2468</v>
      </c>
      <c r="F863" s="41" t="s">
        <v>2469</v>
      </c>
      <c r="G863" s="27"/>
      <c r="H863" s="27"/>
      <c r="I863" s="27">
        <v>1</v>
      </c>
      <c r="J863" s="42">
        <v>40281204</v>
      </c>
      <c r="K863" s="38" t="s">
        <v>206</v>
      </c>
      <c r="L863" s="38" t="s">
        <v>1040</v>
      </c>
      <c r="M863" s="78" t="s">
        <v>2470</v>
      </c>
      <c r="N863" s="2"/>
      <c r="O863" s="2"/>
      <c r="P863" s="2"/>
      <c r="Q863" s="2"/>
      <c r="R863" s="2"/>
      <c r="S863" s="2"/>
      <c r="T863" s="2"/>
      <c r="U863" s="2"/>
      <c r="V863" s="2"/>
      <c r="W863" s="2"/>
      <c r="X863" s="2"/>
      <c r="Y863" s="2"/>
      <c r="Z863" s="2"/>
    </row>
    <row r="864" spans="1:26" ht="12.75" hidden="1" customHeight="1">
      <c r="A864" s="26">
        <v>551</v>
      </c>
      <c r="B864" s="27" t="s">
        <v>2471</v>
      </c>
      <c r="C864" s="28">
        <v>35430</v>
      </c>
      <c r="D864" s="27" t="s">
        <v>2472</v>
      </c>
      <c r="E864" s="27" t="s">
        <v>2473</v>
      </c>
      <c r="F864" s="29" t="s">
        <v>2474</v>
      </c>
      <c r="G864" s="27"/>
      <c r="H864" s="27" t="s">
        <v>19</v>
      </c>
      <c r="I864" s="27">
        <v>1</v>
      </c>
      <c r="J864" s="30">
        <v>30059830</v>
      </c>
      <c r="K864" s="26" t="s">
        <v>206</v>
      </c>
      <c r="L864" s="26" t="s">
        <v>1040</v>
      </c>
      <c r="M864" s="31" t="s">
        <v>2475</v>
      </c>
      <c r="N864" s="2"/>
      <c r="O864" s="2"/>
      <c r="P864" s="2"/>
      <c r="Q864" s="2"/>
      <c r="R864" s="2"/>
      <c r="S864" s="2"/>
      <c r="T864" s="2"/>
      <c r="U864" s="2"/>
      <c r="V864" s="2"/>
      <c r="W864" s="2"/>
      <c r="X864" s="2"/>
      <c r="Y864" s="2"/>
      <c r="Z864" s="2"/>
    </row>
    <row r="865" spans="1:26" ht="38.25" hidden="1" customHeight="1">
      <c r="A865" s="26">
        <v>552</v>
      </c>
      <c r="B865" s="27" t="s">
        <v>2476</v>
      </c>
      <c r="C865" s="28">
        <v>36891</v>
      </c>
      <c r="D865" s="27" t="s">
        <v>2477</v>
      </c>
      <c r="E865" s="27" t="s">
        <v>2478</v>
      </c>
      <c r="F865" s="29" t="s">
        <v>2479</v>
      </c>
      <c r="G865" s="27"/>
      <c r="H865" s="27" t="s">
        <v>19</v>
      </c>
      <c r="I865" s="27">
        <v>1</v>
      </c>
      <c r="J865" s="30">
        <v>276630986</v>
      </c>
      <c r="K865" s="26" t="s">
        <v>206</v>
      </c>
      <c r="L865" s="26" t="s">
        <v>1040</v>
      </c>
      <c r="M865" s="31" t="s">
        <v>2475</v>
      </c>
      <c r="N865" s="2"/>
      <c r="O865" s="2"/>
      <c r="P865" s="2"/>
      <c r="Q865" s="2"/>
      <c r="R865" s="2"/>
      <c r="S865" s="2"/>
      <c r="T865" s="2"/>
      <c r="U865" s="2"/>
      <c r="V865" s="2"/>
      <c r="W865" s="2"/>
      <c r="X865" s="2"/>
      <c r="Y865" s="2"/>
      <c r="Z865" s="2"/>
    </row>
    <row r="866" spans="1:26" ht="25.5" hidden="1" customHeight="1">
      <c r="A866" s="38">
        <v>553</v>
      </c>
      <c r="B866" s="27" t="s">
        <v>2480</v>
      </c>
      <c r="C866" s="40">
        <v>37256</v>
      </c>
      <c r="D866" s="27" t="s">
        <v>2481</v>
      </c>
      <c r="E866" s="39" t="s">
        <v>2482</v>
      </c>
      <c r="F866" s="41" t="s">
        <v>2483</v>
      </c>
      <c r="G866" s="27"/>
      <c r="H866" s="27" t="s">
        <v>249</v>
      </c>
      <c r="I866" s="27">
        <v>1</v>
      </c>
      <c r="J866" s="42">
        <v>32713372</v>
      </c>
      <c r="K866" s="38" t="s">
        <v>206</v>
      </c>
      <c r="L866" s="38" t="s">
        <v>1040</v>
      </c>
      <c r="M866" s="43" t="s">
        <v>2067</v>
      </c>
      <c r="N866" s="2"/>
      <c r="O866" s="2"/>
      <c r="P866" s="2"/>
      <c r="Q866" s="2"/>
      <c r="R866" s="2"/>
      <c r="S866" s="2"/>
      <c r="T866" s="2"/>
      <c r="U866" s="2"/>
      <c r="V866" s="2"/>
      <c r="W866" s="2"/>
      <c r="X866" s="2"/>
      <c r="Y866" s="2"/>
      <c r="Z866" s="2"/>
    </row>
    <row r="867" spans="1:26" ht="12.75" hidden="1" customHeight="1">
      <c r="A867" s="38">
        <v>554</v>
      </c>
      <c r="B867" s="27" t="s">
        <v>2484</v>
      </c>
      <c r="C867" s="40">
        <v>37256</v>
      </c>
      <c r="D867" s="27" t="s">
        <v>2485</v>
      </c>
      <c r="E867" s="39" t="s">
        <v>2486</v>
      </c>
      <c r="F867" s="41" t="s">
        <v>2487</v>
      </c>
      <c r="G867" s="27"/>
      <c r="H867" s="27" t="s">
        <v>19</v>
      </c>
      <c r="I867" s="27">
        <v>1</v>
      </c>
      <c r="J867" s="42">
        <v>49068643</v>
      </c>
      <c r="K867" s="38" t="s">
        <v>206</v>
      </c>
      <c r="L867" s="38" t="s">
        <v>1040</v>
      </c>
      <c r="M867" s="43" t="s">
        <v>1136</v>
      </c>
      <c r="N867" s="2"/>
      <c r="O867" s="2"/>
      <c r="P867" s="2"/>
      <c r="Q867" s="2"/>
      <c r="R867" s="2"/>
      <c r="S867" s="2"/>
      <c r="T867" s="2"/>
      <c r="U867" s="2"/>
      <c r="V867" s="2"/>
      <c r="W867" s="2"/>
      <c r="X867" s="2"/>
      <c r="Y867" s="2"/>
      <c r="Z867" s="2"/>
    </row>
    <row r="868" spans="1:26" ht="25.5" hidden="1" customHeight="1">
      <c r="A868" s="38" t="s">
        <v>2488</v>
      </c>
      <c r="B868" s="27"/>
      <c r="C868" s="40"/>
      <c r="D868" s="27"/>
      <c r="E868" s="39" t="s">
        <v>2489</v>
      </c>
      <c r="F868" s="41" t="s">
        <v>2490</v>
      </c>
      <c r="G868" s="27"/>
      <c r="H868" s="27"/>
      <c r="I868" s="27">
        <v>1</v>
      </c>
      <c r="J868" s="42">
        <v>0</v>
      </c>
      <c r="K868" s="38" t="s">
        <v>206</v>
      </c>
      <c r="L868" s="38" t="s">
        <v>1040</v>
      </c>
      <c r="M868" s="43"/>
      <c r="N868" s="2"/>
      <c r="O868" s="2"/>
      <c r="P868" s="2"/>
      <c r="Q868" s="2"/>
      <c r="R868" s="2"/>
      <c r="S868" s="2"/>
      <c r="T868" s="2"/>
      <c r="U868" s="2"/>
      <c r="V868" s="2"/>
      <c r="W868" s="2"/>
      <c r="X868" s="2"/>
      <c r="Y868" s="2"/>
      <c r="Z868" s="2"/>
    </row>
    <row r="869" spans="1:26" ht="25.5" hidden="1" customHeight="1">
      <c r="A869" s="38" t="s">
        <v>2491</v>
      </c>
      <c r="B869" s="27"/>
      <c r="C869" s="40"/>
      <c r="D869" s="27"/>
      <c r="E869" s="39" t="s">
        <v>2492</v>
      </c>
      <c r="F869" s="41" t="s">
        <v>2493</v>
      </c>
      <c r="G869" s="27"/>
      <c r="H869" s="27"/>
      <c r="I869" s="27">
        <v>1</v>
      </c>
      <c r="J869" s="42">
        <v>0</v>
      </c>
      <c r="K869" s="38" t="s">
        <v>206</v>
      </c>
      <c r="L869" s="38" t="s">
        <v>1040</v>
      </c>
      <c r="M869" s="43"/>
      <c r="N869" s="2"/>
      <c r="O869" s="2"/>
      <c r="P869" s="2"/>
      <c r="Q869" s="2"/>
      <c r="R869" s="2"/>
      <c r="S869" s="2"/>
      <c r="T869" s="2"/>
      <c r="U869" s="2"/>
      <c r="V869" s="2"/>
      <c r="W869" s="2"/>
      <c r="X869" s="2"/>
      <c r="Y869" s="2"/>
      <c r="Z869" s="2"/>
    </row>
    <row r="870" spans="1:26" ht="25.5" hidden="1" customHeight="1">
      <c r="A870" s="38" t="s">
        <v>2494</v>
      </c>
      <c r="B870" s="27"/>
      <c r="C870" s="40"/>
      <c r="D870" s="27"/>
      <c r="E870" s="39" t="s">
        <v>2495</v>
      </c>
      <c r="F870" s="41" t="s">
        <v>2496</v>
      </c>
      <c r="G870" s="27"/>
      <c r="H870" s="27"/>
      <c r="I870" s="27">
        <v>1</v>
      </c>
      <c r="J870" s="42">
        <v>0</v>
      </c>
      <c r="K870" s="38" t="s">
        <v>206</v>
      </c>
      <c r="L870" s="38" t="s">
        <v>1040</v>
      </c>
      <c r="M870" s="43"/>
      <c r="N870" s="2"/>
      <c r="O870" s="2"/>
      <c r="P870" s="2"/>
      <c r="Q870" s="2"/>
      <c r="R870" s="2"/>
      <c r="S870" s="2"/>
      <c r="T870" s="2"/>
      <c r="U870" s="2"/>
      <c r="V870" s="2"/>
      <c r="W870" s="2"/>
      <c r="X870" s="2"/>
      <c r="Y870" s="2"/>
      <c r="Z870" s="2"/>
    </row>
    <row r="871" spans="1:26" ht="12.75" hidden="1" customHeight="1">
      <c r="A871" s="26">
        <v>555</v>
      </c>
      <c r="B871" s="27" t="s">
        <v>1198</v>
      </c>
      <c r="C871" s="28">
        <v>36160</v>
      </c>
      <c r="D871" s="27" t="s">
        <v>2497</v>
      </c>
      <c r="E871" s="27" t="s">
        <v>2498</v>
      </c>
      <c r="F871" s="29" t="s">
        <v>2499</v>
      </c>
      <c r="G871" s="27"/>
      <c r="H871" s="27" t="s">
        <v>19</v>
      </c>
      <c r="I871" s="27">
        <v>1</v>
      </c>
      <c r="J871" s="30">
        <v>249252300</v>
      </c>
      <c r="K871" s="26" t="s">
        <v>20</v>
      </c>
      <c r="L871" s="36" t="s">
        <v>229</v>
      </c>
      <c r="M871" s="31" t="s">
        <v>5392</v>
      </c>
      <c r="N871" s="2"/>
      <c r="O871" s="2"/>
      <c r="P871" s="2"/>
      <c r="Q871" s="2"/>
      <c r="R871" s="2"/>
      <c r="S871" s="2"/>
      <c r="T871" s="2"/>
      <c r="U871" s="2"/>
      <c r="V871" s="2"/>
      <c r="W871" s="2"/>
      <c r="X871" s="2"/>
      <c r="Y871" s="2"/>
      <c r="Z871" s="2"/>
    </row>
    <row r="872" spans="1:26" ht="12.75" hidden="1" customHeight="1">
      <c r="A872" s="26" t="s">
        <v>2500</v>
      </c>
      <c r="B872" s="27"/>
      <c r="C872" s="28"/>
      <c r="D872" s="27"/>
      <c r="E872" s="27" t="s">
        <v>2501</v>
      </c>
      <c r="F872" s="29" t="s">
        <v>2502</v>
      </c>
      <c r="G872" s="27"/>
      <c r="H872" s="27"/>
      <c r="I872" s="27">
        <v>1</v>
      </c>
      <c r="J872" s="30"/>
      <c r="K872" s="26" t="s">
        <v>20</v>
      </c>
      <c r="L872" s="36" t="s">
        <v>229</v>
      </c>
      <c r="M872" s="31"/>
      <c r="N872" s="2"/>
      <c r="O872" s="2"/>
      <c r="P872" s="2"/>
      <c r="Q872" s="2"/>
      <c r="R872" s="2"/>
      <c r="S872" s="2"/>
      <c r="T872" s="2"/>
      <c r="U872" s="2"/>
      <c r="V872" s="2"/>
      <c r="W872" s="2"/>
      <c r="X872" s="2"/>
      <c r="Y872" s="2"/>
      <c r="Z872" s="2"/>
    </row>
    <row r="873" spans="1:26" ht="12.75" hidden="1" customHeight="1">
      <c r="A873" s="26">
        <v>556</v>
      </c>
      <c r="B873" s="27" t="s">
        <v>1377</v>
      </c>
      <c r="C873" s="28">
        <v>37986</v>
      </c>
      <c r="D873" s="27" t="s">
        <v>2503</v>
      </c>
      <c r="E873" s="27" t="s">
        <v>2504</v>
      </c>
      <c r="F873" s="29" t="s">
        <v>2505</v>
      </c>
      <c r="G873" s="27"/>
      <c r="H873" s="27"/>
      <c r="I873" s="27">
        <v>1</v>
      </c>
      <c r="J873" s="30">
        <v>79367230</v>
      </c>
      <c r="K873" s="26" t="s">
        <v>206</v>
      </c>
      <c r="L873" s="26" t="s">
        <v>1040</v>
      </c>
      <c r="M873" s="31" t="s">
        <v>2506</v>
      </c>
      <c r="N873" s="2"/>
      <c r="O873" s="2"/>
      <c r="P873" s="2"/>
      <c r="Q873" s="2"/>
      <c r="R873" s="2"/>
      <c r="S873" s="2"/>
      <c r="T873" s="2"/>
      <c r="U873" s="2"/>
      <c r="V873" s="2"/>
      <c r="W873" s="2"/>
      <c r="X873" s="2"/>
      <c r="Y873" s="2"/>
      <c r="Z873" s="2"/>
    </row>
    <row r="874" spans="1:26" ht="12.75" hidden="1" customHeight="1">
      <c r="A874" s="26" t="s">
        <v>2507</v>
      </c>
      <c r="B874" s="27"/>
      <c r="C874" s="28"/>
      <c r="D874" s="27"/>
      <c r="E874" s="27" t="s">
        <v>2508</v>
      </c>
      <c r="F874" s="29" t="s">
        <v>2509</v>
      </c>
      <c r="G874" s="27"/>
      <c r="H874" s="27"/>
      <c r="I874" s="27">
        <v>1</v>
      </c>
      <c r="J874" s="30"/>
      <c r="K874" s="26" t="s">
        <v>206</v>
      </c>
      <c r="L874" s="26" t="s">
        <v>1040</v>
      </c>
      <c r="M874" s="31"/>
      <c r="N874" s="2"/>
      <c r="O874" s="2"/>
      <c r="P874" s="2"/>
      <c r="Q874" s="2"/>
      <c r="R874" s="2"/>
      <c r="S874" s="2"/>
      <c r="T874" s="2"/>
      <c r="U874" s="2"/>
      <c r="V874" s="2"/>
      <c r="W874" s="2"/>
      <c r="X874" s="2"/>
      <c r="Y874" s="2"/>
      <c r="Z874" s="2"/>
    </row>
    <row r="875" spans="1:26" ht="12.75" hidden="1" customHeight="1">
      <c r="A875" s="26" t="s">
        <v>2510</v>
      </c>
      <c r="B875" s="27"/>
      <c r="C875" s="28"/>
      <c r="D875" s="27"/>
      <c r="E875" s="27" t="s">
        <v>2511</v>
      </c>
      <c r="F875" s="29" t="s">
        <v>2512</v>
      </c>
      <c r="G875" s="27"/>
      <c r="H875" s="27"/>
      <c r="I875" s="27">
        <v>1</v>
      </c>
      <c r="J875" s="30"/>
      <c r="K875" s="26" t="s">
        <v>206</v>
      </c>
      <c r="L875" s="26" t="s">
        <v>1040</v>
      </c>
      <c r="M875" s="31"/>
      <c r="N875" s="2"/>
      <c r="O875" s="2"/>
      <c r="P875" s="2"/>
      <c r="Q875" s="2"/>
      <c r="R875" s="2"/>
      <c r="S875" s="2"/>
      <c r="T875" s="2"/>
      <c r="U875" s="2"/>
      <c r="V875" s="2"/>
      <c r="W875" s="2"/>
      <c r="X875" s="2"/>
      <c r="Y875" s="2"/>
      <c r="Z875" s="2"/>
    </row>
    <row r="876" spans="1:26" ht="12.75" hidden="1" customHeight="1">
      <c r="A876" s="26">
        <v>557</v>
      </c>
      <c r="B876" s="27" t="s">
        <v>2513</v>
      </c>
      <c r="C876" s="28">
        <v>36993</v>
      </c>
      <c r="D876" s="27" t="s">
        <v>2514</v>
      </c>
      <c r="E876" s="27" t="s">
        <v>2515</v>
      </c>
      <c r="F876" s="29" t="s">
        <v>2516</v>
      </c>
      <c r="G876" s="27"/>
      <c r="H876" s="27"/>
      <c r="I876" s="27">
        <v>1</v>
      </c>
      <c r="J876" s="30">
        <v>35000000</v>
      </c>
      <c r="K876" s="26" t="s">
        <v>206</v>
      </c>
      <c r="L876" s="26" t="s">
        <v>1040</v>
      </c>
      <c r="M876" s="31" t="s">
        <v>2475</v>
      </c>
      <c r="N876" s="2"/>
      <c r="O876" s="2"/>
      <c r="P876" s="2"/>
      <c r="Q876" s="2"/>
      <c r="R876" s="2"/>
      <c r="S876" s="2"/>
      <c r="T876" s="2"/>
      <c r="U876" s="2"/>
      <c r="V876" s="2"/>
      <c r="W876" s="2"/>
      <c r="X876" s="2"/>
      <c r="Y876" s="2"/>
      <c r="Z876" s="2"/>
    </row>
    <row r="877" spans="1:26" ht="12.75" hidden="1" customHeight="1">
      <c r="A877" s="38">
        <v>558</v>
      </c>
      <c r="B877" s="27" t="s">
        <v>2517</v>
      </c>
      <c r="C877" s="40">
        <v>39263</v>
      </c>
      <c r="D877" s="27"/>
      <c r="E877" s="39" t="s">
        <v>2518</v>
      </c>
      <c r="F877" s="41" t="s">
        <v>2519</v>
      </c>
      <c r="G877" s="27"/>
      <c r="H877" s="27" t="s">
        <v>19</v>
      </c>
      <c r="I877" s="27">
        <v>1</v>
      </c>
      <c r="J877" s="42">
        <v>66819933</v>
      </c>
      <c r="K877" s="38" t="s">
        <v>206</v>
      </c>
      <c r="L877" s="38" t="s">
        <v>1040</v>
      </c>
      <c r="M877" s="43" t="s">
        <v>2067</v>
      </c>
      <c r="N877" s="2"/>
      <c r="O877" s="2"/>
      <c r="P877" s="2"/>
      <c r="Q877" s="2"/>
      <c r="R877" s="2"/>
      <c r="S877" s="2"/>
      <c r="T877" s="2"/>
      <c r="U877" s="2"/>
      <c r="V877" s="2"/>
      <c r="W877" s="2"/>
      <c r="X877" s="2"/>
      <c r="Y877" s="2"/>
      <c r="Z877" s="2"/>
    </row>
    <row r="878" spans="1:26" ht="12.75" hidden="1" customHeight="1">
      <c r="A878" s="38" t="s">
        <v>2520</v>
      </c>
      <c r="B878" s="27"/>
      <c r="C878" s="40"/>
      <c r="D878" s="27"/>
      <c r="E878" s="39" t="s">
        <v>2521</v>
      </c>
      <c r="F878" s="41" t="s">
        <v>2522</v>
      </c>
      <c r="G878" s="27"/>
      <c r="H878" s="27"/>
      <c r="I878" s="27">
        <v>1</v>
      </c>
      <c r="J878" s="42">
        <v>0</v>
      </c>
      <c r="K878" s="38" t="s">
        <v>206</v>
      </c>
      <c r="L878" s="38" t="s">
        <v>1040</v>
      </c>
      <c r="M878" s="43"/>
      <c r="N878" s="2"/>
      <c r="O878" s="2"/>
      <c r="P878" s="2"/>
      <c r="Q878" s="2"/>
      <c r="R878" s="2"/>
      <c r="S878" s="2"/>
      <c r="T878" s="2"/>
      <c r="U878" s="2"/>
      <c r="V878" s="2"/>
      <c r="W878" s="2"/>
      <c r="X878" s="2"/>
      <c r="Y878" s="2"/>
      <c r="Z878" s="2"/>
    </row>
    <row r="879" spans="1:26" ht="12.75" hidden="1" customHeight="1">
      <c r="A879" s="38" t="s">
        <v>2523</v>
      </c>
      <c r="B879" s="27"/>
      <c r="C879" s="40"/>
      <c r="D879" s="27"/>
      <c r="E879" s="39" t="s">
        <v>2524</v>
      </c>
      <c r="F879" s="41" t="s">
        <v>2525</v>
      </c>
      <c r="G879" s="27"/>
      <c r="H879" s="27"/>
      <c r="I879" s="27">
        <v>1</v>
      </c>
      <c r="J879" s="42">
        <v>0</v>
      </c>
      <c r="K879" s="38" t="s">
        <v>206</v>
      </c>
      <c r="L879" s="38" t="s">
        <v>1040</v>
      </c>
      <c r="M879" s="43"/>
      <c r="N879" s="2"/>
      <c r="O879" s="2"/>
      <c r="P879" s="2"/>
      <c r="Q879" s="2"/>
      <c r="R879" s="2"/>
      <c r="S879" s="2"/>
      <c r="T879" s="2"/>
      <c r="U879" s="2"/>
      <c r="V879" s="2"/>
      <c r="W879" s="2"/>
      <c r="X879" s="2"/>
      <c r="Y879" s="2"/>
      <c r="Z879" s="2"/>
    </row>
    <row r="880" spans="1:26" ht="12.75" hidden="1" customHeight="1">
      <c r="A880" s="26">
        <v>559</v>
      </c>
      <c r="B880" s="27" t="s">
        <v>2517</v>
      </c>
      <c r="C880" s="28">
        <v>39263</v>
      </c>
      <c r="D880" s="27"/>
      <c r="E880" s="27" t="s">
        <v>2526</v>
      </c>
      <c r="F880" s="29" t="s">
        <v>2527</v>
      </c>
      <c r="G880" s="27"/>
      <c r="H880" s="27" t="s">
        <v>19</v>
      </c>
      <c r="I880" s="27">
        <v>1</v>
      </c>
      <c r="J880" s="30">
        <v>55917733</v>
      </c>
      <c r="K880" s="26" t="s">
        <v>20</v>
      </c>
      <c r="L880" s="26" t="s">
        <v>423</v>
      </c>
      <c r="M880" s="31" t="s">
        <v>5393</v>
      </c>
      <c r="N880" s="2"/>
      <c r="O880" s="2"/>
      <c r="P880" s="2"/>
      <c r="Q880" s="2"/>
      <c r="R880" s="2"/>
      <c r="S880" s="2"/>
      <c r="T880" s="2"/>
      <c r="U880" s="2"/>
      <c r="V880" s="2"/>
      <c r="W880" s="2"/>
      <c r="X880" s="2"/>
      <c r="Y880" s="2"/>
      <c r="Z880" s="2"/>
    </row>
    <row r="881" spans="1:26" ht="12.75" hidden="1" customHeight="1">
      <c r="A881" s="26" t="s">
        <v>2529</v>
      </c>
      <c r="B881" s="27"/>
      <c r="C881" s="28"/>
      <c r="D881" s="27"/>
      <c r="E881" s="27" t="s">
        <v>2530</v>
      </c>
      <c r="F881" s="29" t="s">
        <v>2531</v>
      </c>
      <c r="G881" s="27"/>
      <c r="H881" s="27"/>
      <c r="I881" s="27">
        <v>1</v>
      </c>
      <c r="J881" s="30">
        <v>0</v>
      </c>
      <c r="K881" s="26" t="s">
        <v>20</v>
      </c>
      <c r="L881" s="26" t="s">
        <v>423</v>
      </c>
      <c r="M881" s="31"/>
      <c r="N881" s="2"/>
      <c r="O881" s="2"/>
      <c r="P881" s="2"/>
      <c r="Q881" s="2"/>
      <c r="R881" s="2"/>
      <c r="S881" s="2"/>
      <c r="T881" s="2"/>
      <c r="U881" s="2"/>
      <c r="V881" s="2"/>
      <c r="W881" s="2"/>
      <c r="X881" s="2"/>
      <c r="Y881" s="2"/>
      <c r="Z881" s="2"/>
    </row>
    <row r="882" spans="1:26" ht="12.75" hidden="1" customHeight="1">
      <c r="A882" s="26" t="s">
        <v>2532</v>
      </c>
      <c r="B882" s="27"/>
      <c r="C882" s="28"/>
      <c r="D882" s="27"/>
      <c r="E882" s="27" t="s">
        <v>2533</v>
      </c>
      <c r="F882" s="29" t="s">
        <v>2534</v>
      </c>
      <c r="G882" s="27"/>
      <c r="H882" s="27"/>
      <c r="I882" s="27">
        <v>1</v>
      </c>
      <c r="J882" s="30">
        <v>0</v>
      </c>
      <c r="K882" s="26" t="s">
        <v>20</v>
      </c>
      <c r="L882" s="26" t="s">
        <v>423</v>
      </c>
      <c r="M882" s="31"/>
      <c r="N882" s="2"/>
      <c r="O882" s="2"/>
      <c r="P882" s="2"/>
      <c r="Q882" s="2"/>
      <c r="R882" s="2"/>
      <c r="S882" s="2"/>
      <c r="T882" s="2"/>
      <c r="U882" s="2"/>
      <c r="V882" s="2"/>
      <c r="W882" s="2"/>
      <c r="X882" s="2"/>
      <c r="Y882" s="2"/>
      <c r="Z882" s="2"/>
    </row>
    <row r="883" spans="1:26" ht="12.75" hidden="1" customHeight="1">
      <c r="A883" s="26" t="s">
        <v>2535</v>
      </c>
      <c r="B883" s="27"/>
      <c r="C883" s="28"/>
      <c r="D883" s="27"/>
      <c r="E883" s="27" t="s">
        <v>2536</v>
      </c>
      <c r="F883" s="29" t="s">
        <v>2525</v>
      </c>
      <c r="G883" s="27"/>
      <c r="H883" s="27"/>
      <c r="I883" s="27">
        <v>1</v>
      </c>
      <c r="J883" s="30">
        <v>0</v>
      </c>
      <c r="K883" s="26" t="s">
        <v>20</v>
      </c>
      <c r="L883" s="26" t="s">
        <v>423</v>
      </c>
      <c r="M883" s="31"/>
      <c r="N883" s="2"/>
      <c r="O883" s="2"/>
      <c r="P883" s="2"/>
      <c r="Q883" s="2"/>
      <c r="R883" s="2"/>
      <c r="S883" s="2"/>
      <c r="T883" s="2"/>
      <c r="U883" s="2"/>
      <c r="V883" s="2"/>
      <c r="W883" s="2"/>
      <c r="X883" s="2"/>
      <c r="Y883" s="2"/>
      <c r="Z883" s="2"/>
    </row>
    <row r="884" spans="1:26" ht="12.75" hidden="1" customHeight="1">
      <c r="A884" s="38">
        <v>560</v>
      </c>
      <c r="B884" s="27" t="s">
        <v>2517</v>
      </c>
      <c r="C884" s="40">
        <v>39263</v>
      </c>
      <c r="D884" s="27"/>
      <c r="E884" s="39" t="s">
        <v>2537</v>
      </c>
      <c r="F884" s="41" t="s">
        <v>2538</v>
      </c>
      <c r="G884" s="27"/>
      <c r="H884" s="27" t="s">
        <v>19</v>
      </c>
      <c r="I884" s="27">
        <v>1</v>
      </c>
      <c r="J884" s="42">
        <v>55917733</v>
      </c>
      <c r="K884" s="38" t="s">
        <v>206</v>
      </c>
      <c r="L884" s="38" t="s">
        <v>1040</v>
      </c>
      <c r="M884" s="43" t="s">
        <v>2539</v>
      </c>
      <c r="N884" s="2"/>
      <c r="O884" s="2"/>
      <c r="P884" s="2"/>
      <c r="Q884" s="2"/>
      <c r="R884" s="2"/>
      <c r="S884" s="2"/>
      <c r="T884" s="2"/>
      <c r="U884" s="2"/>
      <c r="V884" s="2"/>
      <c r="W884" s="2"/>
      <c r="X884" s="2"/>
      <c r="Y884" s="2"/>
      <c r="Z884" s="2"/>
    </row>
    <row r="885" spans="1:26" ht="12.75" hidden="1" customHeight="1">
      <c r="A885" s="38" t="s">
        <v>2540</v>
      </c>
      <c r="B885" s="27"/>
      <c r="C885" s="40"/>
      <c r="D885" s="27"/>
      <c r="E885" s="39" t="s">
        <v>2541</v>
      </c>
      <c r="F885" s="41" t="s">
        <v>2531</v>
      </c>
      <c r="G885" s="27"/>
      <c r="H885" s="27"/>
      <c r="I885" s="27">
        <v>1</v>
      </c>
      <c r="J885" s="42">
        <v>0</v>
      </c>
      <c r="K885" s="38" t="s">
        <v>206</v>
      </c>
      <c r="L885" s="38" t="s">
        <v>1040</v>
      </c>
      <c r="M885" s="43"/>
      <c r="N885" s="2"/>
      <c r="O885" s="2"/>
      <c r="P885" s="2"/>
      <c r="Q885" s="2"/>
      <c r="R885" s="2"/>
      <c r="S885" s="2"/>
      <c r="T885" s="2"/>
      <c r="U885" s="2"/>
      <c r="V885" s="2"/>
      <c r="W885" s="2"/>
      <c r="X885" s="2"/>
      <c r="Y885" s="2"/>
      <c r="Z885" s="2"/>
    </row>
    <row r="886" spans="1:26" ht="12.75" hidden="1" customHeight="1">
      <c r="A886" s="38" t="s">
        <v>2542</v>
      </c>
      <c r="B886" s="27"/>
      <c r="C886" s="40"/>
      <c r="D886" s="27"/>
      <c r="E886" s="39" t="s">
        <v>2543</v>
      </c>
      <c r="F886" s="41" t="s">
        <v>2534</v>
      </c>
      <c r="G886" s="27"/>
      <c r="H886" s="27"/>
      <c r="I886" s="27">
        <v>1</v>
      </c>
      <c r="J886" s="42">
        <v>0</v>
      </c>
      <c r="K886" s="38" t="s">
        <v>206</v>
      </c>
      <c r="L886" s="38" t="s">
        <v>1040</v>
      </c>
      <c r="M886" s="43"/>
      <c r="N886" s="2"/>
      <c r="O886" s="2"/>
      <c r="P886" s="2"/>
      <c r="Q886" s="2"/>
      <c r="R886" s="2"/>
      <c r="S886" s="2"/>
      <c r="T886" s="2"/>
      <c r="U886" s="2"/>
      <c r="V886" s="2"/>
      <c r="W886" s="2"/>
      <c r="X886" s="2"/>
      <c r="Y886" s="2"/>
      <c r="Z886" s="2"/>
    </row>
    <row r="887" spans="1:26" ht="12.75" hidden="1" customHeight="1">
      <c r="A887" s="38" t="s">
        <v>2544</v>
      </c>
      <c r="B887" s="27"/>
      <c r="C887" s="40"/>
      <c r="D887" s="27"/>
      <c r="E887" s="39" t="s">
        <v>2545</v>
      </c>
      <c r="F887" s="41" t="s">
        <v>2525</v>
      </c>
      <c r="G887" s="27"/>
      <c r="H887" s="27"/>
      <c r="I887" s="27">
        <v>1</v>
      </c>
      <c r="J887" s="42">
        <v>0</v>
      </c>
      <c r="K887" s="38" t="s">
        <v>206</v>
      </c>
      <c r="L887" s="38" t="s">
        <v>1040</v>
      </c>
      <c r="M887" s="43"/>
      <c r="N887" s="2"/>
      <c r="O887" s="2"/>
      <c r="P887" s="2"/>
      <c r="Q887" s="2"/>
      <c r="R887" s="2"/>
      <c r="S887" s="2"/>
      <c r="T887" s="2"/>
      <c r="U887" s="2"/>
      <c r="V887" s="2"/>
      <c r="W887" s="2"/>
      <c r="X887" s="2"/>
      <c r="Y887" s="2"/>
      <c r="Z887" s="2"/>
    </row>
    <row r="888" spans="1:26" ht="12.75" hidden="1" customHeight="1">
      <c r="A888" s="38">
        <v>561</v>
      </c>
      <c r="B888" s="27" t="s">
        <v>2546</v>
      </c>
      <c r="C888" s="40">
        <v>39436</v>
      </c>
      <c r="D888" s="27"/>
      <c r="E888" s="39" t="s">
        <v>2547</v>
      </c>
      <c r="F888" s="41" t="s">
        <v>2548</v>
      </c>
      <c r="G888" s="27"/>
      <c r="H888" s="27" t="s">
        <v>19</v>
      </c>
      <c r="I888" s="27">
        <v>1</v>
      </c>
      <c r="J888" s="42">
        <v>660632399</v>
      </c>
      <c r="K888" s="38" t="s">
        <v>206</v>
      </c>
      <c r="L888" s="38" t="s">
        <v>1040</v>
      </c>
      <c r="M888" s="43" t="s">
        <v>2549</v>
      </c>
      <c r="N888" s="2"/>
      <c r="O888" s="2"/>
      <c r="P888" s="2"/>
      <c r="Q888" s="2"/>
      <c r="R888" s="2"/>
      <c r="S888" s="2"/>
      <c r="T888" s="2"/>
      <c r="U888" s="2"/>
      <c r="V888" s="2"/>
      <c r="W888" s="2"/>
      <c r="X888" s="2"/>
      <c r="Y888" s="2"/>
      <c r="Z888" s="2"/>
    </row>
    <row r="889" spans="1:26" ht="25.5" hidden="1" customHeight="1">
      <c r="A889" s="26">
        <v>562</v>
      </c>
      <c r="B889" s="27" t="s">
        <v>1064</v>
      </c>
      <c r="C889" s="28">
        <v>39963</v>
      </c>
      <c r="D889" s="27"/>
      <c r="E889" s="27" t="s">
        <v>2550</v>
      </c>
      <c r="F889" s="29" t="s">
        <v>2551</v>
      </c>
      <c r="G889" s="27" t="s">
        <v>338</v>
      </c>
      <c r="H889" s="27" t="s">
        <v>249</v>
      </c>
      <c r="I889" s="27">
        <v>1</v>
      </c>
      <c r="J889" s="30">
        <v>53234130</v>
      </c>
      <c r="K889" s="26" t="s">
        <v>206</v>
      </c>
      <c r="L889" s="26" t="s">
        <v>1040</v>
      </c>
      <c r="M889" s="31" t="s">
        <v>1954</v>
      </c>
      <c r="N889" s="2"/>
      <c r="O889" s="2"/>
      <c r="P889" s="2"/>
      <c r="Q889" s="2"/>
      <c r="R889" s="2"/>
      <c r="S889" s="2"/>
      <c r="T889" s="2"/>
      <c r="U889" s="2"/>
      <c r="V889" s="2"/>
      <c r="W889" s="2"/>
      <c r="X889" s="2"/>
      <c r="Y889" s="2"/>
      <c r="Z889" s="2"/>
    </row>
    <row r="890" spans="1:26" ht="25.5" hidden="1" customHeight="1">
      <c r="A890" s="38">
        <v>563</v>
      </c>
      <c r="B890" s="27" t="s">
        <v>1064</v>
      </c>
      <c r="C890" s="40">
        <v>39963</v>
      </c>
      <c r="D890" s="27"/>
      <c r="E890" s="39" t="s">
        <v>2552</v>
      </c>
      <c r="F890" s="41" t="s">
        <v>2553</v>
      </c>
      <c r="G890" s="27" t="s">
        <v>338</v>
      </c>
      <c r="H890" s="27" t="s">
        <v>249</v>
      </c>
      <c r="I890" s="27">
        <v>1</v>
      </c>
      <c r="J890" s="42">
        <v>53234130</v>
      </c>
      <c r="K890" s="38" t="s">
        <v>206</v>
      </c>
      <c r="L890" s="38" t="s">
        <v>1040</v>
      </c>
      <c r="M890" s="43" t="s">
        <v>2023</v>
      </c>
      <c r="N890" s="2"/>
      <c r="O890" s="2"/>
      <c r="P890" s="2"/>
      <c r="Q890" s="2"/>
      <c r="R890" s="2"/>
      <c r="S890" s="2"/>
      <c r="T890" s="2"/>
      <c r="U890" s="2"/>
      <c r="V890" s="2"/>
      <c r="W890" s="2"/>
      <c r="X890" s="2"/>
      <c r="Y890" s="2"/>
      <c r="Z890" s="2"/>
    </row>
    <row r="891" spans="1:26" ht="12.75" hidden="1" customHeight="1">
      <c r="A891" s="38">
        <v>564</v>
      </c>
      <c r="B891" s="27" t="s">
        <v>16</v>
      </c>
      <c r="C891" s="40">
        <v>40024</v>
      </c>
      <c r="D891" s="27"/>
      <c r="E891" s="39" t="s">
        <v>2554</v>
      </c>
      <c r="F891" s="41" t="s">
        <v>2555</v>
      </c>
      <c r="G891" s="27" t="s">
        <v>1088</v>
      </c>
      <c r="H891" s="27" t="s">
        <v>19</v>
      </c>
      <c r="I891" s="27">
        <v>1</v>
      </c>
      <c r="J891" s="42">
        <v>42989915</v>
      </c>
      <c r="K891" s="38" t="s">
        <v>206</v>
      </c>
      <c r="L891" s="38" t="s">
        <v>1040</v>
      </c>
      <c r="M891" s="43" t="s">
        <v>2539</v>
      </c>
      <c r="N891" s="2"/>
      <c r="O891" s="2"/>
      <c r="P891" s="2"/>
      <c r="Q891" s="2"/>
      <c r="R891" s="2"/>
      <c r="S891" s="2"/>
      <c r="T891" s="2"/>
      <c r="U891" s="2"/>
      <c r="V891" s="2"/>
      <c r="W891" s="2"/>
      <c r="X891" s="2"/>
      <c r="Y891" s="2"/>
      <c r="Z891" s="2"/>
    </row>
    <row r="892" spans="1:26" ht="12.75" hidden="1" customHeight="1">
      <c r="A892" s="26" t="s">
        <v>2556</v>
      </c>
      <c r="B892" s="27"/>
      <c r="C892" s="28"/>
      <c r="D892" s="27"/>
      <c r="E892" s="27" t="s">
        <v>2557</v>
      </c>
      <c r="F892" s="29" t="s">
        <v>2558</v>
      </c>
      <c r="G892" s="27"/>
      <c r="H892" s="27"/>
      <c r="I892" s="27">
        <v>1</v>
      </c>
      <c r="J892" s="30">
        <v>41887609</v>
      </c>
      <c r="K892" s="26" t="s">
        <v>206</v>
      </c>
      <c r="L892" s="26" t="s">
        <v>1040</v>
      </c>
      <c r="M892" s="31"/>
      <c r="N892" s="2"/>
      <c r="O892" s="2"/>
      <c r="P892" s="2"/>
      <c r="Q892" s="2"/>
      <c r="R892" s="2"/>
      <c r="S892" s="2"/>
      <c r="T892" s="2"/>
      <c r="U892" s="2"/>
      <c r="V892" s="2"/>
      <c r="W892" s="2"/>
      <c r="X892" s="2"/>
      <c r="Y892" s="2"/>
      <c r="Z892" s="2"/>
    </row>
    <row r="893" spans="1:26" ht="12.75" customHeight="1">
      <c r="A893" s="26">
        <v>565</v>
      </c>
      <c r="B893" s="27" t="s">
        <v>2559</v>
      </c>
      <c r="C893" s="28">
        <v>40178</v>
      </c>
      <c r="D893" s="27"/>
      <c r="E893" s="27" t="s">
        <v>2560</v>
      </c>
      <c r="F893" s="29" t="s">
        <v>2561</v>
      </c>
      <c r="G893" s="27"/>
      <c r="H893" s="27" t="s">
        <v>19</v>
      </c>
      <c r="I893" s="27">
        <v>1</v>
      </c>
      <c r="J893" s="30">
        <v>327075322</v>
      </c>
      <c r="K893" s="26" t="s">
        <v>206</v>
      </c>
      <c r="L893" s="26" t="s">
        <v>2562</v>
      </c>
      <c r="M893" s="31" t="s">
        <v>2563</v>
      </c>
      <c r="N893" s="2"/>
      <c r="O893" s="2"/>
      <c r="P893" s="2"/>
      <c r="Q893" s="2"/>
      <c r="R893" s="2"/>
      <c r="S893" s="2"/>
      <c r="T893" s="2"/>
      <c r="U893" s="2"/>
      <c r="V893" s="2"/>
      <c r="W893" s="2"/>
      <c r="X893" s="2"/>
      <c r="Y893" s="2"/>
      <c r="Z893" s="2"/>
    </row>
    <row r="894" spans="1:26" ht="12.75" customHeight="1">
      <c r="A894" s="26">
        <v>566</v>
      </c>
      <c r="B894" s="27" t="s">
        <v>846</v>
      </c>
      <c r="C894" s="28">
        <v>40743</v>
      </c>
      <c r="D894" s="27"/>
      <c r="E894" s="27" t="s">
        <v>2564</v>
      </c>
      <c r="F894" s="29" t="s">
        <v>2565</v>
      </c>
      <c r="G894" s="27" t="s">
        <v>2566</v>
      </c>
      <c r="H894" s="27" t="s">
        <v>249</v>
      </c>
      <c r="I894" s="27">
        <v>1</v>
      </c>
      <c r="J894" s="30">
        <v>210617748</v>
      </c>
      <c r="K894" s="26" t="s">
        <v>206</v>
      </c>
      <c r="L894" s="26" t="s">
        <v>2562</v>
      </c>
      <c r="M894" s="31" t="s">
        <v>1041</v>
      </c>
      <c r="N894" s="2"/>
      <c r="O894" s="2"/>
      <c r="P894" s="2"/>
      <c r="Q894" s="2"/>
      <c r="R894" s="2"/>
      <c r="S894" s="2"/>
      <c r="T894" s="2"/>
      <c r="U894" s="2"/>
      <c r="V894" s="2"/>
      <c r="W894" s="2"/>
      <c r="X894" s="2"/>
      <c r="Y894" s="2"/>
      <c r="Z894" s="2"/>
    </row>
    <row r="895" spans="1:26" ht="12.75" customHeight="1">
      <c r="A895" s="26">
        <v>567</v>
      </c>
      <c r="B895" s="27" t="s">
        <v>846</v>
      </c>
      <c r="C895" s="28">
        <v>40743</v>
      </c>
      <c r="D895" s="27"/>
      <c r="E895" s="27" t="s">
        <v>2567</v>
      </c>
      <c r="F895" s="29" t="s">
        <v>2568</v>
      </c>
      <c r="G895" s="27" t="s">
        <v>2566</v>
      </c>
      <c r="H895" s="27" t="s">
        <v>249</v>
      </c>
      <c r="I895" s="27">
        <v>1</v>
      </c>
      <c r="J895" s="30">
        <v>210617748</v>
      </c>
      <c r="K895" s="26" t="s">
        <v>206</v>
      </c>
      <c r="L895" s="26" t="s">
        <v>2562</v>
      </c>
      <c r="M895" s="31" t="s">
        <v>1041</v>
      </c>
      <c r="N895" s="2"/>
      <c r="O895" s="2"/>
      <c r="P895" s="2"/>
      <c r="Q895" s="2"/>
      <c r="R895" s="2"/>
      <c r="S895" s="2"/>
      <c r="T895" s="2"/>
      <c r="U895" s="2"/>
      <c r="V895" s="2"/>
      <c r="W895" s="2"/>
      <c r="X895" s="2"/>
      <c r="Y895" s="2"/>
      <c r="Z895" s="2"/>
    </row>
    <row r="896" spans="1:26" ht="25.5" customHeight="1">
      <c r="A896" s="26">
        <v>568</v>
      </c>
      <c r="B896" s="27" t="s">
        <v>281</v>
      </c>
      <c r="C896" s="28">
        <v>41044</v>
      </c>
      <c r="D896" s="27"/>
      <c r="E896" s="27" t="s">
        <v>2569</v>
      </c>
      <c r="F896" s="29" t="s">
        <v>2570</v>
      </c>
      <c r="G896" s="27"/>
      <c r="H896" s="27" t="s">
        <v>19</v>
      </c>
      <c r="I896" s="27">
        <v>1</v>
      </c>
      <c r="J896" s="30">
        <v>80549000</v>
      </c>
      <c r="K896" s="26" t="s">
        <v>206</v>
      </c>
      <c r="L896" s="26" t="s">
        <v>2562</v>
      </c>
      <c r="M896" s="31" t="s">
        <v>2571</v>
      </c>
      <c r="N896" s="2"/>
      <c r="O896" s="2"/>
      <c r="P896" s="2"/>
      <c r="Q896" s="2"/>
      <c r="R896" s="2"/>
      <c r="S896" s="2"/>
      <c r="T896" s="2"/>
      <c r="U896" s="2"/>
      <c r="V896" s="2"/>
      <c r="W896" s="2"/>
      <c r="X896" s="2"/>
      <c r="Y896" s="2"/>
      <c r="Z896" s="2"/>
    </row>
    <row r="897" spans="1:26" ht="25.5" customHeight="1">
      <c r="A897" s="26">
        <v>569</v>
      </c>
      <c r="B897" s="27" t="s">
        <v>281</v>
      </c>
      <c r="C897" s="28">
        <v>41044</v>
      </c>
      <c r="D897" s="27"/>
      <c r="E897" s="27" t="s">
        <v>2572</v>
      </c>
      <c r="F897" s="29" t="s">
        <v>2573</v>
      </c>
      <c r="G897" s="27"/>
      <c r="H897" s="27" t="s">
        <v>19</v>
      </c>
      <c r="I897" s="27">
        <v>1</v>
      </c>
      <c r="J897" s="30">
        <v>80549000</v>
      </c>
      <c r="K897" s="26" t="s">
        <v>206</v>
      </c>
      <c r="L897" s="26" t="s">
        <v>2562</v>
      </c>
      <c r="M897" s="31" t="s">
        <v>2574</v>
      </c>
      <c r="N897" s="2"/>
      <c r="O897" s="2"/>
      <c r="P897" s="2"/>
      <c r="Q897" s="2"/>
      <c r="R897" s="2"/>
      <c r="S897" s="2"/>
      <c r="T897" s="2"/>
      <c r="U897" s="2"/>
      <c r="V897" s="2"/>
      <c r="W897" s="2"/>
      <c r="X897" s="2"/>
      <c r="Y897" s="2"/>
      <c r="Z897" s="2"/>
    </row>
    <row r="898" spans="1:26" ht="25.5" customHeight="1">
      <c r="A898" s="26">
        <v>570</v>
      </c>
      <c r="B898" s="27" t="s">
        <v>281</v>
      </c>
      <c r="C898" s="28">
        <v>41044</v>
      </c>
      <c r="D898" s="27"/>
      <c r="E898" s="27" t="s">
        <v>2575</v>
      </c>
      <c r="F898" s="29" t="s">
        <v>2576</v>
      </c>
      <c r="G898" s="27"/>
      <c r="H898" s="27" t="s">
        <v>19</v>
      </c>
      <c r="I898" s="27">
        <v>1</v>
      </c>
      <c r="J898" s="30">
        <v>80549000</v>
      </c>
      <c r="K898" s="26" t="s">
        <v>206</v>
      </c>
      <c r="L898" s="26" t="s">
        <v>2562</v>
      </c>
      <c r="M898" s="31" t="s">
        <v>2574</v>
      </c>
      <c r="N898" s="2"/>
      <c r="O898" s="2"/>
      <c r="P898" s="2"/>
      <c r="Q898" s="2"/>
      <c r="R898" s="2"/>
      <c r="S898" s="2"/>
      <c r="T898" s="2"/>
      <c r="U898" s="2"/>
      <c r="V898" s="2"/>
      <c r="W898" s="2"/>
      <c r="X898" s="2"/>
      <c r="Y898" s="2"/>
      <c r="Z898" s="2"/>
    </row>
    <row r="899" spans="1:26" ht="25.5" customHeight="1">
      <c r="A899" s="26">
        <v>571</v>
      </c>
      <c r="B899" s="27" t="s">
        <v>281</v>
      </c>
      <c r="C899" s="28">
        <v>41044</v>
      </c>
      <c r="D899" s="27"/>
      <c r="E899" s="27" t="s">
        <v>2577</v>
      </c>
      <c r="F899" s="29" t="s">
        <v>2578</v>
      </c>
      <c r="G899" s="27"/>
      <c r="H899" s="27" t="s">
        <v>19</v>
      </c>
      <c r="I899" s="27">
        <v>1</v>
      </c>
      <c r="J899" s="30">
        <v>80549000</v>
      </c>
      <c r="K899" s="26" t="s">
        <v>206</v>
      </c>
      <c r="L899" s="26" t="s">
        <v>2562</v>
      </c>
      <c r="M899" s="31" t="s">
        <v>2574</v>
      </c>
      <c r="N899" s="2"/>
      <c r="O899" s="2"/>
      <c r="P899" s="2"/>
      <c r="Q899" s="2"/>
      <c r="R899" s="2"/>
      <c r="S899" s="2"/>
      <c r="T899" s="2"/>
      <c r="U899" s="2"/>
      <c r="V899" s="2"/>
      <c r="W899" s="2"/>
      <c r="X899" s="2"/>
      <c r="Y899" s="2"/>
      <c r="Z899" s="2"/>
    </row>
    <row r="900" spans="1:26" ht="25.5" customHeight="1">
      <c r="A900" s="26">
        <v>572</v>
      </c>
      <c r="B900" s="27" t="s">
        <v>281</v>
      </c>
      <c r="C900" s="28">
        <v>41044</v>
      </c>
      <c r="D900" s="27"/>
      <c r="E900" s="27" t="s">
        <v>2579</v>
      </c>
      <c r="F900" s="29" t="s">
        <v>2580</v>
      </c>
      <c r="G900" s="27"/>
      <c r="H900" s="27" t="s">
        <v>19</v>
      </c>
      <c r="I900" s="27">
        <v>1</v>
      </c>
      <c r="J900" s="30">
        <v>262570000</v>
      </c>
      <c r="K900" s="26" t="s">
        <v>206</v>
      </c>
      <c r="L900" s="26" t="s">
        <v>2562</v>
      </c>
      <c r="M900" s="31" t="s">
        <v>2581</v>
      </c>
      <c r="N900" s="2"/>
      <c r="O900" s="2"/>
      <c r="P900" s="2"/>
      <c r="Q900" s="2"/>
      <c r="R900" s="2"/>
      <c r="S900" s="2"/>
      <c r="T900" s="2"/>
      <c r="U900" s="2"/>
      <c r="V900" s="2"/>
      <c r="W900" s="2"/>
      <c r="X900" s="2"/>
      <c r="Y900" s="2"/>
      <c r="Z900" s="2"/>
    </row>
    <row r="901" spans="1:26" ht="25.5" customHeight="1">
      <c r="A901" s="26">
        <v>573</v>
      </c>
      <c r="B901" s="27" t="s">
        <v>281</v>
      </c>
      <c r="C901" s="28">
        <v>41044</v>
      </c>
      <c r="D901" s="27"/>
      <c r="E901" s="27" t="s">
        <v>2582</v>
      </c>
      <c r="F901" s="29" t="s">
        <v>2583</v>
      </c>
      <c r="G901" s="27"/>
      <c r="H901" s="27" t="s">
        <v>19</v>
      </c>
      <c r="I901" s="27">
        <v>1</v>
      </c>
      <c r="J901" s="30">
        <v>262570000</v>
      </c>
      <c r="K901" s="26" t="s">
        <v>206</v>
      </c>
      <c r="L901" s="26" t="s">
        <v>2562</v>
      </c>
      <c r="M901" s="31" t="s">
        <v>2584</v>
      </c>
      <c r="N901" s="2"/>
      <c r="O901" s="2"/>
      <c r="P901" s="2"/>
      <c r="Q901" s="2"/>
      <c r="R901" s="2"/>
      <c r="S901" s="2"/>
      <c r="T901" s="2"/>
      <c r="U901" s="2"/>
      <c r="V901" s="2"/>
      <c r="W901" s="2"/>
      <c r="X901" s="2"/>
      <c r="Y901" s="2"/>
      <c r="Z901" s="2"/>
    </row>
    <row r="902" spans="1:26" ht="12.75" customHeight="1">
      <c r="A902" s="26">
        <v>574</v>
      </c>
      <c r="B902" s="27" t="s">
        <v>1271</v>
      </c>
      <c r="C902" s="28">
        <v>41626</v>
      </c>
      <c r="D902" s="27"/>
      <c r="E902" s="27" t="s">
        <v>2585</v>
      </c>
      <c r="F902" s="29" t="s">
        <v>2586</v>
      </c>
      <c r="G902" s="27" t="s">
        <v>1635</v>
      </c>
      <c r="H902" s="27" t="s">
        <v>19</v>
      </c>
      <c r="I902" s="27">
        <v>1</v>
      </c>
      <c r="J902" s="30">
        <v>103971921</v>
      </c>
      <c r="K902" s="26" t="s">
        <v>206</v>
      </c>
      <c r="L902" s="26" t="s">
        <v>2562</v>
      </c>
      <c r="M902" s="31" t="s">
        <v>1041</v>
      </c>
      <c r="N902" s="2"/>
      <c r="O902" s="2"/>
      <c r="P902" s="2"/>
      <c r="Q902" s="2"/>
      <c r="R902" s="2"/>
      <c r="S902" s="2"/>
      <c r="T902" s="2"/>
      <c r="U902" s="2"/>
      <c r="V902" s="2"/>
      <c r="W902" s="2"/>
      <c r="X902" s="2"/>
      <c r="Y902" s="2"/>
      <c r="Z902" s="2"/>
    </row>
    <row r="903" spans="1:26" ht="12.75" customHeight="1">
      <c r="A903" s="26">
        <v>575</v>
      </c>
      <c r="B903" s="27" t="s">
        <v>1271</v>
      </c>
      <c r="C903" s="28">
        <v>41626</v>
      </c>
      <c r="D903" s="27"/>
      <c r="E903" s="27" t="s">
        <v>2587</v>
      </c>
      <c r="F903" s="29" t="s">
        <v>2588</v>
      </c>
      <c r="G903" s="27" t="s">
        <v>1635</v>
      </c>
      <c r="H903" s="27" t="s">
        <v>19</v>
      </c>
      <c r="I903" s="27">
        <v>1</v>
      </c>
      <c r="J903" s="30">
        <v>103971921</v>
      </c>
      <c r="K903" s="26" t="s">
        <v>206</v>
      </c>
      <c r="L903" s="26" t="s">
        <v>2562</v>
      </c>
      <c r="M903" s="31" t="s">
        <v>1041</v>
      </c>
      <c r="N903" s="2"/>
      <c r="O903" s="2"/>
      <c r="P903" s="2"/>
      <c r="Q903" s="2"/>
      <c r="R903" s="2"/>
      <c r="S903" s="2"/>
      <c r="T903" s="2"/>
      <c r="U903" s="2"/>
      <c r="V903" s="2"/>
      <c r="W903" s="2"/>
      <c r="X903" s="2"/>
      <c r="Y903" s="2"/>
      <c r="Z903" s="2"/>
    </row>
    <row r="904" spans="1:26" ht="12.75" customHeight="1">
      <c r="A904" s="26">
        <v>576</v>
      </c>
      <c r="B904" s="27" t="s">
        <v>1271</v>
      </c>
      <c r="C904" s="28">
        <v>41626</v>
      </c>
      <c r="D904" s="27"/>
      <c r="E904" s="27" t="s">
        <v>2589</v>
      </c>
      <c r="F904" s="29" t="s">
        <v>2590</v>
      </c>
      <c r="G904" s="27" t="s">
        <v>1635</v>
      </c>
      <c r="H904" s="27" t="s">
        <v>19</v>
      </c>
      <c r="I904" s="27">
        <v>1</v>
      </c>
      <c r="J904" s="30">
        <v>103971921</v>
      </c>
      <c r="K904" s="26" t="s">
        <v>206</v>
      </c>
      <c r="L904" s="26" t="s">
        <v>2562</v>
      </c>
      <c r="M904" s="31" t="s">
        <v>1041</v>
      </c>
      <c r="N904" s="2"/>
      <c r="O904" s="2"/>
      <c r="P904" s="2"/>
      <c r="Q904" s="2"/>
      <c r="R904" s="2"/>
      <c r="S904" s="2"/>
      <c r="T904" s="2"/>
      <c r="U904" s="2"/>
      <c r="V904" s="2"/>
      <c r="W904" s="2"/>
      <c r="X904" s="2"/>
      <c r="Y904" s="2"/>
      <c r="Z904" s="2"/>
    </row>
    <row r="905" spans="1:26" ht="12.75" customHeight="1">
      <c r="A905" s="26">
        <v>577</v>
      </c>
      <c r="B905" s="27" t="s">
        <v>1271</v>
      </c>
      <c r="C905" s="28">
        <v>41626</v>
      </c>
      <c r="D905" s="27"/>
      <c r="E905" s="27" t="s">
        <v>2591</v>
      </c>
      <c r="F905" s="29" t="s">
        <v>2592</v>
      </c>
      <c r="G905" s="27" t="s">
        <v>1635</v>
      </c>
      <c r="H905" s="27" t="s">
        <v>19</v>
      </c>
      <c r="I905" s="27">
        <v>1</v>
      </c>
      <c r="J905" s="30">
        <v>103971921</v>
      </c>
      <c r="K905" s="26" t="s">
        <v>206</v>
      </c>
      <c r="L905" s="26" t="s">
        <v>2562</v>
      </c>
      <c r="M905" s="31" t="s">
        <v>1041</v>
      </c>
      <c r="N905" s="2"/>
      <c r="O905" s="2"/>
      <c r="P905" s="2"/>
      <c r="Q905" s="2"/>
      <c r="R905" s="2"/>
      <c r="S905" s="2"/>
      <c r="T905" s="2"/>
      <c r="U905" s="2"/>
      <c r="V905" s="2"/>
      <c r="W905" s="2"/>
      <c r="X905" s="2"/>
      <c r="Y905" s="2"/>
      <c r="Z905" s="2"/>
    </row>
    <row r="906" spans="1:26" ht="12.75" customHeight="1">
      <c r="A906" s="26">
        <v>578</v>
      </c>
      <c r="B906" s="27" t="s">
        <v>1271</v>
      </c>
      <c r="C906" s="28">
        <v>41626</v>
      </c>
      <c r="D906" s="27"/>
      <c r="E906" s="27" t="s">
        <v>2593</v>
      </c>
      <c r="F906" s="29" t="s">
        <v>2594</v>
      </c>
      <c r="G906" s="27" t="s">
        <v>1635</v>
      </c>
      <c r="H906" s="27" t="s">
        <v>19</v>
      </c>
      <c r="I906" s="27">
        <v>1</v>
      </c>
      <c r="J906" s="30">
        <v>103971921</v>
      </c>
      <c r="K906" s="26" t="s">
        <v>206</v>
      </c>
      <c r="L906" s="26" t="s">
        <v>2562</v>
      </c>
      <c r="M906" s="31" t="s">
        <v>2595</v>
      </c>
      <c r="N906" s="2"/>
      <c r="O906" s="2"/>
      <c r="P906" s="2"/>
      <c r="Q906" s="2"/>
      <c r="R906" s="2"/>
      <c r="S906" s="2"/>
      <c r="T906" s="2"/>
      <c r="U906" s="2"/>
      <c r="V906" s="2"/>
      <c r="W906" s="2"/>
      <c r="X906" s="2"/>
      <c r="Y906" s="2"/>
      <c r="Z906" s="2"/>
    </row>
    <row r="907" spans="1:26" ht="12.75" customHeight="1">
      <c r="A907" s="26">
        <v>579</v>
      </c>
      <c r="B907" s="27" t="s">
        <v>2041</v>
      </c>
      <c r="C907" s="28">
        <v>42184</v>
      </c>
      <c r="D907" s="27"/>
      <c r="E907" s="27" t="s">
        <v>2596</v>
      </c>
      <c r="F907" s="29" t="s">
        <v>2597</v>
      </c>
      <c r="G907" s="27" t="s">
        <v>55</v>
      </c>
      <c r="H907" s="27" t="s">
        <v>19</v>
      </c>
      <c r="I907" s="27">
        <v>1</v>
      </c>
      <c r="J907" s="30">
        <v>128353668</v>
      </c>
      <c r="K907" s="26" t="s">
        <v>206</v>
      </c>
      <c r="L907" s="26" t="s">
        <v>2562</v>
      </c>
      <c r="M907" s="31" t="s">
        <v>1041</v>
      </c>
      <c r="N907" s="2"/>
      <c r="O907" s="2"/>
      <c r="P907" s="2"/>
      <c r="Q907" s="2"/>
      <c r="R907" s="2"/>
      <c r="S907" s="2"/>
      <c r="T907" s="2"/>
      <c r="U907" s="2"/>
      <c r="V907" s="2"/>
      <c r="W907" s="2"/>
      <c r="X907" s="2"/>
      <c r="Y907" s="2"/>
      <c r="Z907" s="2"/>
    </row>
    <row r="908" spans="1:26" ht="12.75" customHeight="1">
      <c r="A908" s="26" t="s">
        <v>2598</v>
      </c>
      <c r="B908" s="27"/>
      <c r="C908" s="28"/>
      <c r="D908" s="27"/>
      <c r="E908" s="27" t="s">
        <v>2599</v>
      </c>
      <c r="F908" s="29" t="s">
        <v>2600</v>
      </c>
      <c r="G908" s="27" t="s">
        <v>55</v>
      </c>
      <c r="H908" s="27" t="s">
        <v>249</v>
      </c>
      <c r="I908" s="27">
        <v>1</v>
      </c>
      <c r="J908" s="30">
        <v>0</v>
      </c>
      <c r="K908" s="26" t="s">
        <v>206</v>
      </c>
      <c r="L908" s="26" t="s">
        <v>2562</v>
      </c>
      <c r="M908" s="31"/>
      <c r="N908" s="2"/>
      <c r="O908" s="2"/>
      <c r="P908" s="2"/>
      <c r="Q908" s="2"/>
      <c r="R908" s="2"/>
      <c r="S908" s="2"/>
      <c r="T908" s="2"/>
      <c r="U908" s="2"/>
      <c r="V908" s="2"/>
      <c r="W908" s="2"/>
      <c r="X908" s="2"/>
      <c r="Y908" s="2"/>
      <c r="Z908" s="2"/>
    </row>
    <row r="909" spans="1:26" ht="12.75" customHeight="1">
      <c r="A909" s="26">
        <v>580</v>
      </c>
      <c r="B909" s="27" t="s">
        <v>2041</v>
      </c>
      <c r="C909" s="28">
        <v>42184</v>
      </c>
      <c r="D909" s="27"/>
      <c r="E909" s="27" t="s">
        <v>2601</v>
      </c>
      <c r="F909" s="29" t="s">
        <v>2602</v>
      </c>
      <c r="G909" s="27" t="s">
        <v>55</v>
      </c>
      <c r="H909" s="27" t="s">
        <v>19</v>
      </c>
      <c r="I909" s="27">
        <v>1</v>
      </c>
      <c r="J909" s="30">
        <v>128353668</v>
      </c>
      <c r="K909" s="26" t="s">
        <v>206</v>
      </c>
      <c r="L909" s="26" t="s">
        <v>2562</v>
      </c>
      <c r="M909" s="31" t="s">
        <v>1041</v>
      </c>
      <c r="N909" s="2"/>
      <c r="O909" s="2"/>
      <c r="P909" s="2"/>
      <c r="Q909" s="2"/>
      <c r="R909" s="2"/>
      <c r="S909" s="2"/>
      <c r="T909" s="2"/>
      <c r="U909" s="2"/>
      <c r="V909" s="2"/>
      <c r="W909" s="2"/>
      <c r="X909" s="2"/>
      <c r="Y909" s="2"/>
      <c r="Z909" s="2"/>
    </row>
    <row r="910" spans="1:26" ht="12.75" customHeight="1">
      <c r="A910" s="26" t="s">
        <v>2603</v>
      </c>
      <c r="B910" s="27"/>
      <c r="C910" s="28"/>
      <c r="D910" s="27"/>
      <c r="E910" s="27" t="s">
        <v>2604</v>
      </c>
      <c r="F910" s="29" t="s">
        <v>2605</v>
      </c>
      <c r="G910" s="27" t="s">
        <v>55</v>
      </c>
      <c r="H910" s="27" t="s">
        <v>249</v>
      </c>
      <c r="I910" s="27">
        <v>1</v>
      </c>
      <c r="J910" s="30">
        <v>0</v>
      </c>
      <c r="K910" s="26" t="s">
        <v>206</v>
      </c>
      <c r="L910" s="26" t="s">
        <v>2562</v>
      </c>
      <c r="M910" s="31"/>
      <c r="N910" s="2"/>
      <c r="O910" s="2"/>
      <c r="P910" s="2"/>
      <c r="Q910" s="2"/>
      <c r="R910" s="2"/>
      <c r="S910" s="2"/>
      <c r="T910" s="2"/>
      <c r="U910" s="2"/>
      <c r="V910" s="2"/>
      <c r="W910" s="2"/>
      <c r="X910" s="2"/>
      <c r="Y910" s="2"/>
      <c r="Z910" s="2"/>
    </row>
    <row r="911" spans="1:26" ht="25.5" customHeight="1">
      <c r="A911" s="26">
        <v>581</v>
      </c>
      <c r="B911" s="27" t="s">
        <v>877</v>
      </c>
      <c r="C911" s="28">
        <v>41981</v>
      </c>
      <c r="D911" s="27"/>
      <c r="E911" s="27" t="s">
        <v>2606</v>
      </c>
      <c r="F911" s="29" t="s">
        <v>2607</v>
      </c>
      <c r="G911" s="27" t="s">
        <v>2608</v>
      </c>
      <c r="H911" s="27" t="s">
        <v>19</v>
      </c>
      <c r="I911" s="27">
        <v>1</v>
      </c>
      <c r="J911" s="30">
        <v>324722690</v>
      </c>
      <c r="K911" s="26" t="s">
        <v>206</v>
      </c>
      <c r="L911" s="26" t="s">
        <v>2562</v>
      </c>
      <c r="M911" s="31" t="s">
        <v>1041</v>
      </c>
      <c r="N911" s="2"/>
      <c r="O911" s="2"/>
      <c r="P911" s="2"/>
      <c r="Q911" s="2"/>
      <c r="R911" s="2"/>
      <c r="S911" s="2"/>
      <c r="T911" s="2"/>
      <c r="U911" s="2"/>
      <c r="V911" s="2"/>
      <c r="W911" s="2"/>
      <c r="X911" s="2"/>
      <c r="Y911" s="2"/>
      <c r="Z911" s="2"/>
    </row>
    <row r="912" spans="1:26" ht="25.5" customHeight="1">
      <c r="A912" s="26">
        <v>582</v>
      </c>
      <c r="B912" s="27" t="s">
        <v>877</v>
      </c>
      <c r="C912" s="28">
        <v>41981</v>
      </c>
      <c r="D912" s="27"/>
      <c r="E912" s="27" t="s">
        <v>2609</v>
      </c>
      <c r="F912" s="29" t="s">
        <v>2610</v>
      </c>
      <c r="G912" s="27" t="s">
        <v>1868</v>
      </c>
      <c r="H912" s="27" t="s">
        <v>19</v>
      </c>
      <c r="I912" s="27">
        <v>1</v>
      </c>
      <c r="J912" s="30">
        <v>134699783</v>
      </c>
      <c r="K912" s="26" t="s">
        <v>206</v>
      </c>
      <c r="L912" s="26" t="s">
        <v>2562</v>
      </c>
      <c r="M912" s="31" t="s">
        <v>1041</v>
      </c>
      <c r="N912" s="2"/>
      <c r="O912" s="2"/>
      <c r="P912" s="2"/>
      <c r="Q912" s="2"/>
      <c r="R912" s="2"/>
      <c r="S912" s="2"/>
      <c r="T912" s="2"/>
      <c r="U912" s="2"/>
      <c r="V912" s="2"/>
      <c r="W912" s="2"/>
      <c r="X912" s="2"/>
      <c r="Y912" s="2"/>
      <c r="Z912" s="2"/>
    </row>
    <row r="913" spans="1:26" ht="25.5" customHeight="1">
      <c r="A913" s="26">
        <v>583</v>
      </c>
      <c r="B913" s="27" t="s">
        <v>877</v>
      </c>
      <c r="C913" s="28">
        <v>41981</v>
      </c>
      <c r="D913" s="27"/>
      <c r="E913" s="27" t="s">
        <v>2611</v>
      </c>
      <c r="F913" s="29" t="s">
        <v>2612</v>
      </c>
      <c r="G913" s="27" t="s">
        <v>248</v>
      </c>
      <c r="H913" s="27" t="s">
        <v>19</v>
      </c>
      <c r="I913" s="27">
        <v>1</v>
      </c>
      <c r="J913" s="30">
        <v>1038416305</v>
      </c>
      <c r="K913" s="26" t="s">
        <v>206</v>
      </c>
      <c r="L913" s="26" t="s">
        <v>2562</v>
      </c>
      <c r="M913" s="31" t="s">
        <v>2613</v>
      </c>
      <c r="N913" s="2"/>
      <c r="O913" s="2"/>
      <c r="P913" s="2"/>
      <c r="Q913" s="2"/>
      <c r="R913" s="2"/>
      <c r="S913" s="2"/>
      <c r="T913" s="2"/>
      <c r="U913" s="2"/>
      <c r="V913" s="2"/>
      <c r="W913" s="2"/>
      <c r="X913" s="2"/>
      <c r="Y913" s="2"/>
      <c r="Z913" s="2"/>
    </row>
    <row r="914" spans="1:26" ht="12.75" customHeight="1">
      <c r="A914" s="26">
        <v>584</v>
      </c>
      <c r="B914" s="27" t="s">
        <v>1763</v>
      </c>
      <c r="C914" s="28">
        <v>42368</v>
      </c>
      <c r="D914" s="27"/>
      <c r="E914" s="27" t="s">
        <v>2614</v>
      </c>
      <c r="F914" s="29" t="s">
        <v>2615</v>
      </c>
      <c r="G914" s="27" t="s">
        <v>1435</v>
      </c>
      <c r="H914" s="27" t="s">
        <v>19</v>
      </c>
      <c r="I914" s="27">
        <v>1</v>
      </c>
      <c r="J914" s="30">
        <v>210308386</v>
      </c>
      <c r="K914" s="26" t="s">
        <v>206</v>
      </c>
      <c r="L914" s="26" t="s">
        <v>2562</v>
      </c>
      <c r="M914" s="31" t="s">
        <v>1041</v>
      </c>
      <c r="N914" s="2"/>
      <c r="O914" s="2"/>
      <c r="P914" s="2"/>
      <c r="Q914" s="2"/>
      <c r="R914" s="2"/>
      <c r="S914" s="2"/>
      <c r="T914" s="2"/>
      <c r="U914" s="2"/>
      <c r="V914" s="2"/>
      <c r="W914" s="2"/>
      <c r="X914" s="2"/>
      <c r="Y914" s="2"/>
      <c r="Z914" s="2"/>
    </row>
    <row r="915" spans="1:26" ht="12.75" customHeight="1">
      <c r="A915" s="26">
        <v>585</v>
      </c>
      <c r="B915" s="27" t="s">
        <v>1763</v>
      </c>
      <c r="C915" s="28">
        <v>42368</v>
      </c>
      <c r="D915" s="27"/>
      <c r="E915" s="27" t="s">
        <v>2616</v>
      </c>
      <c r="F915" s="29" t="s">
        <v>2617</v>
      </c>
      <c r="G915" s="27" t="s">
        <v>1435</v>
      </c>
      <c r="H915" s="27" t="s">
        <v>19</v>
      </c>
      <c r="I915" s="27">
        <v>1</v>
      </c>
      <c r="J915" s="30">
        <v>210308386</v>
      </c>
      <c r="K915" s="26" t="s">
        <v>206</v>
      </c>
      <c r="L915" s="26" t="s">
        <v>2562</v>
      </c>
      <c r="M915" s="31" t="s">
        <v>1041</v>
      </c>
      <c r="N915" s="2"/>
      <c r="O915" s="2"/>
      <c r="P915" s="2"/>
      <c r="Q915" s="2"/>
      <c r="R915" s="2"/>
      <c r="S915" s="2"/>
      <c r="T915" s="2"/>
      <c r="U915" s="2"/>
      <c r="V915" s="2"/>
      <c r="W915" s="2"/>
      <c r="X915" s="2"/>
      <c r="Y915" s="2"/>
      <c r="Z915" s="2"/>
    </row>
    <row r="916" spans="1:26" ht="12.75" customHeight="1">
      <c r="A916" s="26">
        <v>586</v>
      </c>
      <c r="B916" s="27" t="s">
        <v>1993</v>
      </c>
      <c r="C916" s="28">
        <v>42956</v>
      </c>
      <c r="D916" s="27"/>
      <c r="E916" s="27" t="s">
        <v>2618</v>
      </c>
      <c r="F916" s="29" t="s">
        <v>2619</v>
      </c>
      <c r="G916" s="27" t="s">
        <v>1435</v>
      </c>
      <c r="H916" s="27" t="s">
        <v>19</v>
      </c>
      <c r="I916" s="27">
        <v>1</v>
      </c>
      <c r="J916" s="30">
        <v>189800000</v>
      </c>
      <c r="K916" s="26" t="s">
        <v>206</v>
      </c>
      <c r="L916" s="26" t="s">
        <v>2562</v>
      </c>
      <c r="M916" s="31" t="s">
        <v>1041</v>
      </c>
      <c r="N916" s="2"/>
      <c r="O916" s="2"/>
      <c r="P916" s="2"/>
      <c r="Q916" s="2"/>
      <c r="R916" s="2"/>
      <c r="S916" s="2"/>
      <c r="T916" s="2"/>
      <c r="U916" s="2"/>
      <c r="V916" s="2"/>
      <c r="W916" s="2"/>
      <c r="X916" s="2"/>
      <c r="Y916" s="2"/>
      <c r="Z916" s="2"/>
    </row>
    <row r="917" spans="1:26" ht="12.75" customHeight="1">
      <c r="A917" s="26">
        <v>587</v>
      </c>
      <c r="B917" s="27" t="s">
        <v>1143</v>
      </c>
      <c r="C917" s="28">
        <v>43343</v>
      </c>
      <c r="D917" s="27"/>
      <c r="E917" s="27" t="s">
        <v>2620</v>
      </c>
      <c r="F917" s="29" t="s">
        <v>2621</v>
      </c>
      <c r="G917" s="27" t="s">
        <v>1435</v>
      </c>
      <c r="H917" s="27" t="s">
        <v>19</v>
      </c>
      <c r="I917" s="27">
        <v>1</v>
      </c>
      <c r="J917" s="30">
        <v>206950000</v>
      </c>
      <c r="K917" s="59" t="s">
        <v>206</v>
      </c>
      <c r="L917" s="59" t="s">
        <v>2622</v>
      </c>
      <c r="M917" s="79" t="s">
        <v>1041</v>
      </c>
      <c r="N917" s="2"/>
      <c r="O917" s="2"/>
      <c r="P917" s="2"/>
      <c r="Q917" s="2"/>
      <c r="R917" s="2"/>
      <c r="S917" s="2"/>
      <c r="T917" s="2"/>
      <c r="U917" s="2"/>
      <c r="V917" s="2"/>
      <c r="W917" s="2"/>
      <c r="X917" s="2"/>
      <c r="Y917" s="2"/>
      <c r="Z917" s="2"/>
    </row>
    <row r="918" spans="1:26" ht="25.5" hidden="1" customHeight="1">
      <c r="A918" s="26">
        <v>588</v>
      </c>
      <c r="B918" s="27" t="s">
        <v>797</v>
      </c>
      <c r="C918" s="28">
        <v>42671</v>
      </c>
      <c r="D918" s="27"/>
      <c r="E918" s="27" t="s">
        <v>2623</v>
      </c>
      <c r="F918" s="29" t="s">
        <v>2624</v>
      </c>
      <c r="G918" s="27" t="s">
        <v>1088</v>
      </c>
      <c r="H918" s="27" t="s">
        <v>157</v>
      </c>
      <c r="I918" s="27">
        <v>1</v>
      </c>
      <c r="J918" s="30">
        <v>115172656</v>
      </c>
      <c r="K918" s="26" t="s">
        <v>206</v>
      </c>
      <c r="L918" s="26" t="s">
        <v>2427</v>
      </c>
      <c r="M918" s="31" t="s">
        <v>2625</v>
      </c>
      <c r="N918" s="2"/>
      <c r="O918" s="2"/>
      <c r="P918" s="2"/>
      <c r="Q918" s="2"/>
      <c r="R918" s="2"/>
      <c r="S918" s="2"/>
      <c r="T918" s="2"/>
      <c r="U918" s="2"/>
      <c r="V918" s="2"/>
      <c r="W918" s="2"/>
      <c r="X918" s="2"/>
      <c r="Y918" s="2"/>
      <c r="Z918" s="2"/>
    </row>
    <row r="919" spans="1:26" ht="25.5" hidden="1" customHeight="1">
      <c r="A919" s="26">
        <v>589</v>
      </c>
      <c r="B919" s="27" t="s">
        <v>797</v>
      </c>
      <c r="C919" s="28">
        <v>42671</v>
      </c>
      <c r="D919" s="27"/>
      <c r="E919" s="27" t="s">
        <v>2626</v>
      </c>
      <c r="F919" s="29" t="s">
        <v>2627</v>
      </c>
      <c r="G919" s="27" t="s">
        <v>1088</v>
      </c>
      <c r="H919" s="27" t="s">
        <v>157</v>
      </c>
      <c r="I919" s="27">
        <v>1</v>
      </c>
      <c r="J919" s="30">
        <v>115172656</v>
      </c>
      <c r="K919" s="26" t="s">
        <v>206</v>
      </c>
      <c r="L919" s="26" t="s">
        <v>2427</v>
      </c>
      <c r="M919" s="31" t="s">
        <v>2625</v>
      </c>
      <c r="N919" s="2"/>
      <c r="O919" s="2"/>
      <c r="P919" s="2"/>
      <c r="Q919" s="2"/>
      <c r="R919" s="2"/>
      <c r="S919" s="2"/>
      <c r="T919" s="2"/>
      <c r="U919" s="2"/>
      <c r="V919" s="2"/>
      <c r="W919" s="2"/>
      <c r="X919" s="2"/>
      <c r="Y919" s="2"/>
      <c r="Z919" s="2"/>
    </row>
    <row r="920" spans="1:26" ht="25.5" hidden="1" customHeight="1">
      <c r="A920" s="26">
        <v>590</v>
      </c>
      <c r="B920" s="27" t="s">
        <v>797</v>
      </c>
      <c r="C920" s="28">
        <v>42671</v>
      </c>
      <c r="D920" s="27"/>
      <c r="E920" s="27" t="s">
        <v>2628</v>
      </c>
      <c r="F920" s="29" t="s">
        <v>2629</v>
      </c>
      <c r="G920" s="27" t="s">
        <v>1088</v>
      </c>
      <c r="H920" s="27" t="s">
        <v>157</v>
      </c>
      <c r="I920" s="27">
        <v>1</v>
      </c>
      <c r="J920" s="30">
        <v>115172656</v>
      </c>
      <c r="K920" s="26" t="s">
        <v>206</v>
      </c>
      <c r="L920" s="26" t="s">
        <v>2427</v>
      </c>
      <c r="M920" s="31" t="s">
        <v>2630</v>
      </c>
      <c r="N920" s="2"/>
      <c r="O920" s="2"/>
      <c r="P920" s="2"/>
      <c r="Q920" s="2"/>
      <c r="R920" s="2"/>
      <c r="S920" s="2"/>
      <c r="T920" s="2"/>
      <c r="U920" s="2"/>
      <c r="V920" s="2"/>
      <c r="W920" s="2"/>
      <c r="X920" s="2"/>
      <c r="Y920" s="2"/>
      <c r="Z920" s="2"/>
    </row>
    <row r="921" spans="1:26" ht="25.5" hidden="1" customHeight="1">
      <c r="A921" s="26">
        <v>591</v>
      </c>
      <c r="B921" s="27" t="s">
        <v>797</v>
      </c>
      <c r="C921" s="28">
        <v>42671</v>
      </c>
      <c r="D921" s="27"/>
      <c r="E921" s="27" t="s">
        <v>2631</v>
      </c>
      <c r="F921" s="29" t="s">
        <v>2632</v>
      </c>
      <c r="G921" s="27" t="s">
        <v>1088</v>
      </c>
      <c r="H921" s="27" t="s">
        <v>157</v>
      </c>
      <c r="I921" s="27">
        <v>1</v>
      </c>
      <c r="J921" s="30">
        <v>115172656</v>
      </c>
      <c r="K921" s="26" t="s">
        <v>206</v>
      </c>
      <c r="L921" s="26" t="s">
        <v>2427</v>
      </c>
      <c r="M921" s="31" t="s">
        <v>2625</v>
      </c>
      <c r="N921" s="2"/>
      <c r="O921" s="2"/>
      <c r="P921" s="2"/>
      <c r="Q921" s="2"/>
      <c r="R921" s="2"/>
      <c r="S921" s="2"/>
      <c r="T921" s="2"/>
      <c r="U921" s="2"/>
      <c r="V921" s="2"/>
      <c r="W921" s="2"/>
      <c r="X921" s="2"/>
      <c r="Y921" s="2"/>
      <c r="Z921" s="2"/>
    </row>
    <row r="922" spans="1:26" ht="25.5" hidden="1" customHeight="1">
      <c r="A922" s="26">
        <v>592</v>
      </c>
      <c r="B922" s="27" t="s">
        <v>797</v>
      </c>
      <c r="C922" s="28">
        <v>42671</v>
      </c>
      <c r="D922" s="27"/>
      <c r="E922" s="27" t="s">
        <v>2633</v>
      </c>
      <c r="F922" s="29" t="s">
        <v>2634</v>
      </c>
      <c r="G922" s="27" t="s">
        <v>1088</v>
      </c>
      <c r="H922" s="27" t="s">
        <v>157</v>
      </c>
      <c r="I922" s="27">
        <v>1</v>
      </c>
      <c r="J922" s="30">
        <v>115172656</v>
      </c>
      <c r="K922" s="26" t="s">
        <v>206</v>
      </c>
      <c r="L922" s="26" t="s">
        <v>2427</v>
      </c>
      <c r="M922" s="31" t="s">
        <v>2625</v>
      </c>
      <c r="N922" s="2"/>
      <c r="O922" s="2"/>
      <c r="P922" s="2"/>
      <c r="Q922" s="2"/>
      <c r="R922" s="2"/>
      <c r="S922" s="2"/>
      <c r="T922" s="2"/>
      <c r="U922" s="2"/>
      <c r="V922" s="2"/>
      <c r="W922" s="2"/>
      <c r="X922" s="2"/>
      <c r="Y922" s="2"/>
      <c r="Z922" s="2"/>
    </row>
    <row r="923" spans="1:26" ht="25.5" hidden="1" customHeight="1">
      <c r="A923" s="26">
        <v>593</v>
      </c>
      <c r="B923" s="27" t="s">
        <v>797</v>
      </c>
      <c r="C923" s="28">
        <v>42671</v>
      </c>
      <c r="D923" s="27"/>
      <c r="E923" s="27" t="s">
        <v>2635</v>
      </c>
      <c r="F923" s="29" t="s">
        <v>2636</v>
      </c>
      <c r="G923" s="27" t="s">
        <v>1088</v>
      </c>
      <c r="H923" s="27" t="s">
        <v>157</v>
      </c>
      <c r="I923" s="27">
        <v>1</v>
      </c>
      <c r="J923" s="30">
        <v>115172656</v>
      </c>
      <c r="K923" s="26" t="s">
        <v>206</v>
      </c>
      <c r="L923" s="26" t="s">
        <v>2427</v>
      </c>
      <c r="M923" s="31" t="s">
        <v>2625</v>
      </c>
      <c r="N923" s="2"/>
      <c r="O923" s="2"/>
      <c r="P923" s="2"/>
      <c r="Q923" s="2"/>
      <c r="R923" s="2"/>
      <c r="S923" s="2"/>
      <c r="T923" s="2"/>
      <c r="U923" s="2"/>
      <c r="V923" s="2"/>
      <c r="W923" s="2"/>
      <c r="X923" s="2"/>
      <c r="Y923" s="2"/>
      <c r="Z923" s="2"/>
    </row>
    <row r="924" spans="1:26" ht="25.5" hidden="1" customHeight="1">
      <c r="A924" s="26">
        <v>594</v>
      </c>
      <c r="B924" s="27" t="s">
        <v>797</v>
      </c>
      <c r="C924" s="28">
        <v>42671</v>
      </c>
      <c r="D924" s="27"/>
      <c r="E924" s="27" t="s">
        <v>2637</v>
      </c>
      <c r="F924" s="29" t="s">
        <v>2638</v>
      </c>
      <c r="G924" s="27" t="s">
        <v>1088</v>
      </c>
      <c r="H924" s="27" t="s">
        <v>157</v>
      </c>
      <c r="I924" s="27">
        <v>1</v>
      </c>
      <c r="J924" s="30">
        <v>115172656</v>
      </c>
      <c r="K924" s="26" t="s">
        <v>206</v>
      </c>
      <c r="L924" s="26" t="s">
        <v>2427</v>
      </c>
      <c r="M924" s="31" t="s">
        <v>2625</v>
      </c>
      <c r="N924" s="2"/>
      <c r="O924" s="2"/>
      <c r="P924" s="2"/>
      <c r="Q924" s="2"/>
      <c r="R924" s="2"/>
      <c r="S924" s="2"/>
      <c r="T924" s="2"/>
      <c r="U924" s="2"/>
      <c r="V924" s="2"/>
      <c r="W924" s="2"/>
      <c r="X924" s="2"/>
      <c r="Y924" s="2"/>
      <c r="Z924" s="2"/>
    </row>
    <row r="925" spans="1:26" ht="25.5" hidden="1" customHeight="1">
      <c r="A925" s="26">
        <v>595</v>
      </c>
      <c r="B925" s="27" t="s">
        <v>797</v>
      </c>
      <c r="C925" s="28">
        <v>42671</v>
      </c>
      <c r="D925" s="27"/>
      <c r="E925" s="27" t="s">
        <v>2639</v>
      </c>
      <c r="F925" s="29" t="s">
        <v>2640</v>
      </c>
      <c r="G925" s="27" t="s">
        <v>1088</v>
      </c>
      <c r="H925" s="27" t="s">
        <v>157</v>
      </c>
      <c r="I925" s="27">
        <v>1</v>
      </c>
      <c r="J925" s="30">
        <v>115172656</v>
      </c>
      <c r="K925" s="26" t="s">
        <v>206</v>
      </c>
      <c r="L925" s="26" t="s">
        <v>2427</v>
      </c>
      <c r="M925" s="31" t="s">
        <v>2625</v>
      </c>
      <c r="N925" s="2"/>
      <c r="O925" s="2"/>
      <c r="P925" s="2"/>
      <c r="Q925" s="2"/>
      <c r="R925" s="2"/>
      <c r="S925" s="2"/>
      <c r="T925" s="2"/>
      <c r="U925" s="2"/>
      <c r="V925" s="2"/>
      <c r="W925" s="2"/>
      <c r="X925" s="2"/>
      <c r="Y925" s="2"/>
      <c r="Z925" s="2"/>
    </row>
    <row r="926" spans="1:26" ht="25.5" hidden="1" customHeight="1">
      <c r="A926" s="26">
        <v>596</v>
      </c>
      <c r="B926" s="27" t="s">
        <v>797</v>
      </c>
      <c r="C926" s="28">
        <v>42671</v>
      </c>
      <c r="D926" s="27"/>
      <c r="E926" s="27" t="s">
        <v>2641</v>
      </c>
      <c r="F926" s="29" t="s">
        <v>2642</v>
      </c>
      <c r="G926" s="27" t="s">
        <v>1088</v>
      </c>
      <c r="H926" s="27" t="s">
        <v>157</v>
      </c>
      <c r="I926" s="27">
        <v>1</v>
      </c>
      <c r="J926" s="30">
        <v>115172656</v>
      </c>
      <c r="K926" s="26" t="s">
        <v>206</v>
      </c>
      <c r="L926" s="26" t="s">
        <v>2427</v>
      </c>
      <c r="M926" s="31" t="s">
        <v>2625</v>
      </c>
      <c r="N926" s="2"/>
      <c r="O926" s="2"/>
      <c r="P926" s="2"/>
      <c r="Q926" s="2"/>
      <c r="R926" s="2"/>
      <c r="S926" s="2"/>
      <c r="T926" s="2"/>
      <c r="U926" s="2"/>
      <c r="V926" s="2"/>
      <c r="W926" s="2"/>
      <c r="X926" s="2"/>
      <c r="Y926" s="2"/>
      <c r="Z926" s="2"/>
    </row>
    <row r="927" spans="1:26" ht="25.5" hidden="1" customHeight="1">
      <c r="A927" s="26">
        <v>597</v>
      </c>
      <c r="B927" s="27" t="s">
        <v>797</v>
      </c>
      <c r="C927" s="28">
        <v>42671</v>
      </c>
      <c r="D927" s="27"/>
      <c r="E927" s="27" t="s">
        <v>2643</v>
      </c>
      <c r="F927" s="29" t="s">
        <v>2644</v>
      </c>
      <c r="G927" s="27" t="s">
        <v>1088</v>
      </c>
      <c r="H927" s="27" t="s">
        <v>157</v>
      </c>
      <c r="I927" s="27">
        <v>1</v>
      </c>
      <c r="J927" s="30">
        <v>115172656</v>
      </c>
      <c r="K927" s="26" t="s">
        <v>206</v>
      </c>
      <c r="L927" s="26" t="s">
        <v>2427</v>
      </c>
      <c r="M927" s="31" t="s">
        <v>2625</v>
      </c>
      <c r="N927" s="2"/>
      <c r="O927" s="2"/>
      <c r="P927" s="2"/>
      <c r="Q927" s="2"/>
      <c r="R927" s="2"/>
      <c r="S927" s="2"/>
      <c r="T927" s="2"/>
      <c r="U927" s="2"/>
      <c r="V927" s="2"/>
      <c r="W927" s="2"/>
      <c r="X927" s="2"/>
      <c r="Y927" s="2"/>
      <c r="Z927" s="2"/>
    </row>
    <row r="928" spans="1:26" ht="25.5" hidden="1" customHeight="1">
      <c r="A928" s="26">
        <v>598</v>
      </c>
      <c r="B928" s="27" t="s">
        <v>797</v>
      </c>
      <c r="C928" s="28">
        <v>42671</v>
      </c>
      <c r="D928" s="27"/>
      <c r="E928" s="27" t="s">
        <v>2645</v>
      </c>
      <c r="F928" s="29" t="s">
        <v>2646</v>
      </c>
      <c r="G928" s="27" t="s">
        <v>1088</v>
      </c>
      <c r="H928" s="27" t="s">
        <v>157</v>
      </c>
      <c r="I928" s="27">
        <v>1</v>
      </c>
      <c r="J928" s="30">
        <v>115172656</v>
      </c>
      <c r="K928" s="26" t="s">
        <v>206</v>
      </c>
      <c r="L928" s="26" t="s">
        <v>2427</v>
      </c>
      <c r="M928" s="31" t="s">
        <v>2625</v>
      </c>
      <c r="N928" s="2"/>
      <c r="O928" s="2"/>
      <c r="P928" s="2"/>
      <c r="Q928" s="2"/>
      <c r="R928" s="2"/>
      <c r="S928" s="2"/>
      <c r="T928" s="2"/>
      <c r="U928" s="2"/>
      <c r="V928" s="2"/>
      <c r="W928" s="2"/>
      <c r="X928" s="2"/>
      <c r="Y928" s="2"/>
      <c r="Z928" s="2"/>
    </row>
    <row r="929" spans="1:26" ht="25.5" hidden="1" customHeight="1">
      <c r="A929" s="26">
        <v>599</v>
      </c>
      <c r="B929" s="27" t="s">
        <v>797</v>
      </c>
      <c r="C929" s="28">
        <v>42671</v>
      </c>
      <c r="D929" s="27"/>
      <c r="E929" s="27" t="s">
        <v>2647</v>
      </c>
      <c r="F929" s="29" t="s">
        <v>2648</v>
      </c>
      <c r="G929" s="27" t="s">
        <v>1088</v>
      </c>
      <c r="H929" s="27" t="s">
        <v>157</v>
      </c>
      <c r="I929" s="27">
        <v>1</v>
      </c>
      <c r="J929" s="30">
        <v>115172656</v>
      </c>
      <c r="K929" s="26" t="s">
        <v>206</v>
      </c>
      <c r="L929" s="26" t="s">
        <v>2427</v>
      </c>
      <c r="M929" s="31" t="s">
        <v>2625</v>
      </c>
      <c r="N929" s="2"/>
      <c r="O929" s="2"/>
      <c r="P929" s="2"/>
      <c r="Q929" s="2"/>
      <c r="R929" s="2"/>
      <c r="S929" s="2"/>
      <c r="T929" s="2"/>
      <c r="U929" s="2"/>
      <c r="V929" s="2"/>
      <c r="W929" s="2"/>
      <c r="X929" s="2"/>
      <c r="Y929" s="2"/>
      <c r="Z929" s="2"/>
    </row>
    <row r="930" spans="1:26" ht="25.5" hidden="1" customHeight="1">
      <c r="A930" s="26">
        <v>600</v>
      </c>
      <c r="B930" s="27" t="s">
        <v>797</v>
      </c>
      <c r="C930" s="28">
        <v>42671</v>
      </c>
      <c r="D930" s="27"/>
      <c r="E930" s="27" t="s">
        <v>2649</v>
      </c>
      <c r="F930" s="29" t="s">
        <v>2650</v>
      </c>
      <c r="G930" s="27" t="s">
        <v>1088</v>
      </c>
      <c r="H930" s="27" t="s">
        <v>157</v>
      </c>
      <c r="I930" s="27">
        <v>1</v>
      </c>
      <c r="J930" s="30">
        <v>465626595</v>
      </c>
      <c r="K930" s="26" t="s">
        <v>206</v>
      </c>
      <c r="L930" s="26" t="s">
        <v>2427</v>
      </c>
      <c r="M930" s="31" t="s">
        <v>2651</v>
      </c>
      <c r="N930" s="2"/>
      <c r="O930" s="2"/>
      <c r="P930" s="2"/>
      <c r="Q930" s="2"/>
      <c r="R930" s="2"/>
      <c r="S930" s="2"/>
      <c r="T930" s="2"/>
      <c r="U930" s="2"/>
      <c r="V930" s="2"/>
      <c r="W930" s="2"/>
      <c r="X930" s="2"/>
      <c r="Y930" s="2"/>
      <c r="Z930" s="2"/>
    </row>
    <row r="931" spans="1:26" ht="25.5" hidden="1" customHeight="1">
      <c r="A931" s="26">
        <v>601</v>
      </c>
      <c r="B931" s="27" t="s">
        <v>797</v>
      </c>
      <c r="C931" s="28">
        <v>42671</v>
      </c>
      <c r="D931" s="27"/>
      <c r="E931" s="27" t="s">
        <v>2652</v>
      </c>
      <c r="F931" s="29" t="s">
        <v>2653</v>
      </c>
      <c r="G931" s="27" t="s">
        <v>1088</v>
      </c>
      <c r="H931" s="27" t="s">
        <v>157</v>
      </c>
      <c r="I931" s="27">
        <v>1</v>
      </c>
      <c r="J931" s="30">
        <v>367612315</v>
      </c>
      <c r="K931" s="26" t="s">
        <v>206</v>
      </c>
      <c r="L931" s="45" t="s">
        <v>2427</v>
      </c>
      <c r="M931" s="46" t="s">
        <v>2654</v>
      </c>
      <c r="N931" s="2"/>
      <c r="O931" s="2"/>
      <c r="P931" s="2"/>
      <c r="Q931" s="2"/>
      <c r="R931" s="2"/>
      <c r="S931" s="2"/>
      <c r="T931" s="2"/>
      <c r="U931" s="2"/>
      <c r="V931" s="2"/>
      <c r="W931" s="2"/>
      <c r="X931" s="2"/>
      <c r="Y931" s="2"/>
      <c r="Z931" s="2"/>
    </row>
    <row r="932" spans="1:26" ht="25.5" hidden="1" customHeight="1">
      <c r="A932" s="26">
        <v>602</v>
      </c>
      <c r="B932" s="27" t="s">
        <v>797</v>
      </c>
      <c r="C932" s="28">
        <v>42671</v>
      </c>
      <c r="D932" s="27"/>
      <c r="E932" s="27" t="s">
        <v>2655</v>
      </c>
      <c r="F932" s="29" t="s">
        <v>2656</v>
      </c>
      <c r="G932" s="27" t="s">
        <v>1088</v>
      </c>
      <c r="H932" s="27" t="s">
        <v>157</v>
      </c>
      <c r="I932" s="27">
        <v>1</v>
      </c>
      <c r="J932" s="30">
        <v>367612315</v>
      </c>
      <c r="K932" s="26" t="s">
        <v>206</v>
      </c>
      <c r="L932" s="26" t="s">
        <v>2427</v>
      </c>
      <c r="M932" s="31" t="s">
        <v>2651</v>
      </c>
      <c r="N932" s="2"/>
      <c r="O932" s="2"/>
      <c r="P932" s="2"/>
      <c r="Q932" s="2"/>
      <c r="R932" s="2"/>
      <c r="S932" s="2"/>
      <c r="T932" s="2"/>
      <c r="U932" s="2"/>
      <c r="V932" s="2"/>
      <c r="W932" s="2"/>
      <c r="X932" s="2"/>
      <c r="Y932" s="2"/>
      <c r="Z932" s="2"/>
    </row>
    <row r="933" spans="1:26" ht="38.25" hidden="1" customHeight="1">
      <c r="A933" s="26">
        <v>603</v>
      </c>
      <c r="B933" s="27" t="s">
        <v>797</v>
      </c>
      <c r="C933" s="28">
        <v>42671</v>
      </c>
      <c r="D933" s="27"/>
      <c r="E933" s="27" t="s">
        <v>2657</v>
      </c>
      <c r="F933" s="29" t="s">
        <v>2658</v>
      </c>
      <c r="G933" s="27" t="s">
        <v>338</v>
      </c>
      <c r="H933" s="27" t="s">
        <v>157</v>
      </c>
      <c r="I933" s="27">
        <v>1</v>
      </c>
      <c r="J933" s="30">
        <v>436245817</v>
      </c>
      <c r="K933" s="26" t="s">
        <v>206</v>
      </c>
      <c r="L933" s="26" t="s">
        <v>2427</v>
      </c>
      <c r="M933" s="31" t="s">
        <v>2659</v>
      </c>
      <c r="N933" s="2"/>
      <c r="O933" s="2"/>
      <c r="P933" s="2"/>
      <c r="Q933" s="2"/>
      <c r="R933" s="2"/>
      <c r="S933" s="2"/>
      <c r="T933" s="2"/>
      <c r="U933" s="2"/>
      <c r="V933" s="2"/>
      <c r="W933" s="2"/>
      <c r="X933" s="2"/>
      <c r="Y933" s="2"/>
      <c r="Z933" s="2"/>
    </row>
    <row r="934" spans="1:26" ht="38.25" hidden="1" customHeight="1">
      <c r="A934" s="26">
        <v>604</v>
      </c>
      <c r="B934" s="27" t="s">
        <v>797</v>
      </c>
      <c r="C934" s="28">
        <v>42671</v>
      </c>
      <c r="D934" s="27"/>
      <c r="E934" s="27" t="s">
        <v>2660</v>
      </c>
      <c r="F934" s="29" t="s">
        <v>2661</v>
      </c>
      <c r="G934" s="27" t="s">
        <v>338</v>
      </c>
      <c r="H934" s="27" t="s">
        <v>157</v>
      </c>
      <c r="I934" s="27">
        <v>1</v>
      </c>
      <c r="J934" s="30">
        <v>436245817</v>
      </c>
      <c r="K934" s="26" t="s">
        <v>206</v>
      </c>
      <c r="L934" s="26" t="s">
        <v>2427</v>
      </c>
      <c r="M934" s="31" t="s">
        <v>2662</v>
      </c>
      <c r="N934" s="2"/>
      <c r="O934" s="2"/>
      <c r="P934" s="2"/>
      <c r="Q934" s="2"/>
      <c r="R934" s="2"/>
      <c r="S934" s="2"/>
      <c r="T934" s="2"/>
      <c r="U934" s="2"/>
      <c r="V934" s="2"/>
      <c r="W934" s="2"/>
      <c r="X934" s="2"/>
      <c r="Y934" s="2"/>
      <c r="Z934" s="2"/>
    </row>
    <row r="935" spans="1:26" ht="38.25" hidden="1" customHeight="1">
      <c r="A935" s="26">
        <v>605</v>
      </c>
      <c r="B935" s="27" t="s">
        <v>797</v>
      </c>
      <c r="C935" s="28">
        <v>42671</v>
      </c>
      <c r="D935" s="27"/>
      <c r="E935" s="27" t="s">
        <v>2663</v>
      </c>
      <c r="F935" s="29" t="s">
        <v>2664</v>
      </c>
      <c r="G935" s="27" t="s">
        <v>338</v>
      </c>
      <c r="H935" s="27" t="s">
        <v>157</v>
      </c>
      <c r="I935" s="27">
        <v>1</v>
      </c>
      <c r="J935" s="30">
        <v>436245817</v>
      </c>
      <c r="K935" s="26" t="s">
        <v>206</v>
      </c>
      <c r="L935" s="26" t="s">
        <v>2427</v>
      </c>
      <c r="M935" s="31" t="s">
        <v>2662</v>
      </c>
      <c r="N935" s="2"/>
      <c r="O935" s="2"/>
      <c r="P935" s="2"/>
      <c r="Q935" s="2"/>
      <c r="R935" s="2"/>
      <c r="S935" s="2"/>
      <c r="T935" s="2"/>
      <c r="U935" s="2"/>
      <c r="V935" s="2"/>
      <c r="W935" s="2"/>
      <c r="X935" s="2"/>
      <c r="Y935" s="2"/>
      <c r="Z935" s="2"/>
    </row>
    <row r="936" spans="1:26" ht="25.5" hidden="1" customHeight="1">
      <c r="A936" s="26">
        <v>606</v>
      </c>
      <c r="B936" s="27" t="s">
        <v>797</v>
      </c>
      <c r="C936" s="28">
        <v>42671</v>
      </c>
      <c r="D936" s="27"/>
      <c r="E936" s="27" t="s">
        <v>2665</v>
      </c>
      <c r="F936" s="29" t="s">
        <v>2666</v>
      </c>
      <c r="G936" s="27" t="s">
        <v>55</v>
      </c>
      <c r="H936" s="27" t="s">
        <v>249</v>
      </c>
      <c r="I936" s="27">
        <v>1</v>
      </c>
      <c r="J936" s="30">
        <v>179399041</v>
      </c>
      <c r="K936" s="26" t="s">
        <v>206</v>
      </c>
      <c r="L936" s="45" t="s">
        <v>2427</v>
      </c>
      <c r="M936" s="46" t="s">
        <v>2667</v>
      </c>
      <c r="N936" s="2"/>
      <c r="O936" s="2"/>
      <c r="P936" s="2"/>
      <c r="Q936" s="2"/>
      <c r="R936" s="2"/>
      <c r="S936" s="2"/>
      <c r="T936" s="2"/>
      <c r="U936" s="2"/>
      <c r="V936" s="2"/>
      <c r="W936" s="2"/>
      <c r="X936" s="2"/>
      <c r="Y936" s="2"/>
      <c r="Z936" s="2"/>
    </row>
    <row r="937" spans="1:26" ht="25.5" hidden="1" customHeight="1">
      <c r="A937" s="26">
        <v>607</v>
      </c>
      <c r="B937" s="27" t="s">
        <v>797</v>
      </c>
      <c r="C937" s="28">
        <v>42671</v>
      </c>
      <c r="D937" s="27"/>
      <c r="E937" s="27" t="s">
        <v>2668</v>
      </c>
      <c r="F937" s="29" t="s">
        <v>2669</v>
      </c>
      <c r="G937" s="27" t="s">
        <v>55</v>
      </c>
      <c r="H937" s="27" t="s">
        <v>249</v>
      </c>
      <c r="I937" s="27">
        <v>1</v>
      </c>
      <c r="J937" s="30">
        <v>179399042</v>
      </c>
      <c r="K937" s="26" t="s">
        <v>206</v>
      </c>
      <c r="L937" s="26" t="s">
        <v>2427</v>
      </c>
      <c r="M937" s="31" t="s">
        <v>2651</v>
      </c>
      <c r="N937" s="2"/>
      <c r="O937" s="2"/>
      <c r="P937" s="2"/>
      <c r="Q937" s="2"/>
      <c r="R937" s="2"/>
      <c r="S937" s="2"/>
      <c r="T937" s="2"/>
      <c r="U937" s="2"/>
      <c r="V937" s="2"/>
      <c r="W937" s="2"/>
      <c r="X937" s="2"/>
      <c r="Y937" s="2"/>
      <c r="Z937" s="2"/>
    </row>
    <row r="938" spans="1:26" ht="25.5" hidden="1" customHeight="1">
      <c r="A938" s="26">
        <v>608</v>
      </c>
      <c r="B938" s="27" t="s">
        <v>797</v>
      </c>
      <c r="C938" s="28">
        <v>42671</v>
      </c>
      <c r="D938" s="27"/>
      <c r="E938" s="27" t="s">
        <v>2670</v>
      </c>
      <c r="F938" s="29" t="s">
        <v>2671</v>
      </c>
      <c r="G938" s="27" t="s">
        <v>55</v>
      </c>
      <c r="H938" s="27" t="s">
        <v>249</v>
      </c>
      <c r="I938" s="27">
        <v>1</v>
      </c>
      <c r="J938" s="30">
        <v>179399042</v>
      </c>
      <c r="K938" s="26" t="s">
        <v>206</v>
      </c>
      <c r="L938" s="45" t="s">
        <v>2427</v>
      </c>
      <c r="M938" s="46" t="s">
        <v>2672</v>
      </c>
      <c r="N938" s="2"/>
      <c r="O938" s="2"/>
      <c r="P938" s="2"/>
      <c r="Q938" s="2"/>
      <c r="R938" s="2"/>
      <c r="S938" s="2"/>
      <c r="T938" s="2"/>
      <c r="U938" s="2"/>
      <c r="V938" s="2"/>
      <c r="W938" s="2"/>
      <c r="X938" s="2"/>
      <c r="Y938" s="2"/>
      <c r="Z938" s="2"/>
    </row>
    <row r="939" spans="1:26" ht="25.5" hidden="1" customHeight="1">
      <c r="A939" s="26">
        <v>609</v>
      </c>
      <c r="B939" s="27" t="s">
        <v>797</v>
      </c>
      <c r="C939" s="28">
        <v>42671</v>
      </c>
      <c r="D939" s="27"/>
      <c r="E939" s="27" t="s">
        <v>2673</v>
      </c>
      <c r="F939" s="29" t="s">
        <v>2674</v>
      </c>
      <c r="G939" s="27" t="s">
        <v>55</v>
      </c>
      <c r="H939" s="27" t="s">
        <v>249</v>
      </c>
      <c r="I939" s="27">
        <v>1</v>
      </c>
      <c r="J939" s="30">
        <v>179399042</v>
      </c>
      <c r="K939" s="26" t="s">
        <v>206</v>
      </c>
      <c r="L939" s="26" t="s">
        <v>2427</v>
      </c>
      <c r="M939" s="31" t="s">
        <v>2675</v>
      </c>
      <c r="N939" s="2"/>
      <c r="O939" s="2"/>
      <c r="P939" s="2"/>
      <c r="Q939" s="2"/>
      <c r="R939" s="2"/>
      <c r="S939" s="2"/>
      <c r="T939" s="2"/>
      <c r="U939" s="2"/>
      <c r="V939" s="2"/>
      <c r="W939" s="2"/>
      <c r="X939" s="2"/>
      <c r="Y939" s="2"/>
      <c r="Z939" s="2"/>
    </row>
    <row r="940" spans="1:26" ht="25.5" hidden="1" customHeight="1">
      <c r="A940" s="26">
        <v>610</v>
      </c>
      <c r="B940" s="27" t="s">
        <v>797</v>
      </c>
      <c r="C940" s="28">
        <v>42671</v>
      </c>
      <c r="D940" s="27"/>
      <c r="E940" s="27" t="s">
        <v>2676</v>
      </c>
      <c r="F940" s="29" t="s">
        <v>2677</v>
      </c>
      <c r="G940" s="27" t="s">
        <v>55</v>
      </c>
      <c r="H940" s="27" t="s">
        <v>249</v>
      </c>
      <c r="I940" s="27">
        <v>1</v>
      </c>
      <c r="J940" s="30">
        <v>179399044</v>
      </c>
      <c r="K940" s="26" t="s">
        <v>206</v>
      </c>
      <c r="L940" s="26" t="s">
        <v>2427</v>
      </c>
      <c r="M940" s="31" t="s">
        <v>2675</v>
      </c>
      <c r="N940" s="2"/>
      <c r="O940" s="2"/>
      <c r="P940" s="2"/>
      <c r="Q940" s="2"/>
      <c r="R940" s="2"/>
      <c r="S940" s="2"/>
      <c r="T940" s="2"/>
      <c r="U940" s="2"/>
      <c r="V940" s="2"/>
      <c r="W940" s="2"/>
      <c r="X940" s="2"/>
      <c r="Y940" s="2"/>
      <c r="Z940" s="2"/>
    </row>
    <row r="941" spans="1:26" ht="12.75" customHeight="1">
      <c r="A941" s="26">
        <v>611</v>
      </c>
      <c r="B941" s="27" t="s">
        <v>2678</v>
      </c>
      <c r="C941" s="28">
        <v>43434</v>
      </c>
      <c r="D941" s="27"/>
      <c r="E941" s="27" t="s">
        <v>2679</v>
      </c>
      <c r="F941" s="29" t="s">
        <v>2680</v>
      </c>
      <c r="G941" s="27" t="s">
        <v>1868</v>
      </c>
      <c r="H941" s="27" t="s">
        <v>19</v>
      </c>
      <c r="I941" s="27">
        <v>1</v>
      </c>
      <c r="J941" s="30">
        <v>366000000</v>
      </c>
      <c r="K941" s="26" t="s">
        <v>206</v>
      </c>
      <c r="L941" s="26" t="s">
        <v>2562</v>
      </c>
      <c r="M941" s="31" t="s">
        <v>1041</v>
      </c>
      <c r="N941" s="2"/>
      <c r="O941" s="2"/>
      <c r="P941" s="2"/>
      <c r="Q941" s="2"/>
      <c r="R941" s="2"/>
      <c r="S941" s="2"/>
      <c r="T941" s="2"/>
      <c r="U941" s="2"/>
      <c r="V941" s="2"/>
      <c r="W941" s="2"/>
      <c r="X941" s="2"/>
      <c r="Y941" s="2"/>
      <c r="Z941" s="2"/>
    </row>
    <row r="942" spans="1:26" ht="12.75" hidden="1" customHeight="1">
      <c r="A942" s="26">
        <v>612</v>
      </c>
      <c r="B942" s="27" t="s">
        <v>2681</v>
      </c>
      <c r="C942" s="28">
        <v>35430</v>
      </c>
      <c r="D942" s="27" t="s">
        <v>2682</v>
      </c>
      <c r="E942" s="27" t="s">
        <v>2683</v>
      </c>
      <c r="F942" s="29" t="s">
        <v>2684</v>
      </c>
      <c r="G942" s="27"/>
      <c r="H942" s="27" t="s">
        <v>2685</v>
      </c>
      <c r="I942" s="27">
        <v>1</v>
      </c>
      <c r="J942" s="30">
        <v>133770332</v>
      </c>
      <c r="K942" s="26" t="s">
        <v>20</v>
      </c>
      <c r="L942" s="36" t="s">
        <v>229</v>
      </c>
      <c r="M942" s="31" t="s">
        <v>5394</v>
      </c>
      <c r="N942" s="2"/>
      <c r="O942" s="2"/>
      <c r="P942" s="2"/>
      <c r="Q942" s="2"/>
      <c r="R942" s="2"/>
      <c r="S942" s="2"/>
      <c r="T942" s="2"/>
      <c r="U942" s="2"/>
      <c r="V942" s="2"/>
      <c r="W942" s="2"/>
      <c r="X942" s="2"/>
      <c r="Y942" s="2"/>
      <c r="Z942" s="2"/>
    </row>
    <row r="943" spans="1:26" ht="12.75" hidden="1" customHeight="1">
      <c r="A943" s="26" t="s">
        <v>2686</v>
      </c>
      <c r="B943" s="27"/>
      <c r="C943" s="28"/>
      <c r="D943" s="27"/>
      <c r="E943" s="27" t="s">
        <v>2687</v>
      </c>
      <c r="F943" s="29" t="s">
        <v>2688</v>
      </c>
      <c r="G943" s="27"/>
      <c r="H943" s="27"/>
      <c r="I943" s="27">
        <v>1</v>
      </c>
      <c r="J943" s="30"/>
      <c r="K943" s="26" t="s">
        <v>20</v>
      </c>
      <c r="L943" s="36" t="s">
        <v>229</v>
      </c>
      <c r="M943" s="31"/>
      <c r="N943" s="2"/>
      <c r="O943" s="2"/>
      <c r="P943" s="2"/>
      <c r="Q943" s="2"/>
      <c r="R943" s="2"/>
      <c r="S943" s="2"/>
      <c r="T943" s="2"/>
      <c r="U943" s="2"/>
      <c r="V943" s="2"/>
      <c r="W943" s="2"/>
      <c r="X943" s="2"/>
      <c r="Y943" s="2"/>
      <c r="Z943" s="2"/>
    </row>
    <row r="944" spans="1:26" ht="12.75" hidden="1" customHeight="1">
      <c r="A944" s="26" t="s">
        <v>2689</v>
      </c>
      <c r="B944" s="27"/>
      <c r="C944" s="28"/>
      <c r="D944" s="27"/>
      <c r="E944" s="27" t="s">
        <v>2690</v>
      </c>
      <c r="F944" s="29" t="s">
        <v>2691</v>
      </c>
      <c r="G944" s="27"/>
      <c r="H944" s="27"/>
      <c r="I944" s="27">
        <v>1</v>
      </c>
      <c r="J944" s="30"/>
      <c r="K944" s="26" t="s">
        <v>20</v>
      </c>
      <c r="L944" s="36" t="s">
        <v>229</v>
      </c>
      <c r="M944" s="31"/>
      <c r="N944" s="2"/>
      <c r="O944" s="2"/>
      <c r="P944" s="2"/>
      <c r="Q944" s="2"/>
      <c r="R944" s="2"/>
      <c r="S944" s="2"/>
      <c r="T944" s="2"/>
      <c r="U944" s="2"/>
      <c r="V944" s="2"/>
      <c r="W944" s="2"/>
      <c r="X944" s="2"/>
      <c r="Y944" s="2"/>
      <c r="Z944" s="2"/>
    </row>
    <row r="945" spans="1:26" ht="12.75" hidden="1" customHeight="1">
      <c r="A945" s="26" t="s">
        <v>2692</v>
      </c>
      <c r="B945" s="27"/>
      <c r="C945" s="28"/>
      <c r="D945" s="27"/>
      <c r="E945" s="27" t="s">
        <v>2693</v>
      </c>
      <c r="F945" s="29" t="s">
        <v>2694</v>
      </c>
      <c r="G945" s="27"/>
      <c r="H945" s="27"/>
      <c r="I945" s="27">
        <v>1</v>
      </c>
      <c r="J945" s="30"/>
      <c r="K945" s="26" t="s">
        <v>20</v>
      </c>
      <c r="L945" s="36" t="s">
        <v>229</v>
      </c>
      <c r="M945" s="31"/>
      <c r="N945" s="2"/>
      <c r="O945" s="2"/>
      <c r="P945" s="2"/>
      <c r="Q945" s="2"/>
      <c r="R945" s="2"/>
      <c r="S945" s="2"/>
      <c r="T945" s="2"/>
      <c r="U945" s="2"/>
      <c r="V945" s="2"/>
      <c r="W945" s="2"/>
      <c r="X945" s="2"/>
      <c r="Y945" s="2"/>
      <c r="Z945" s="2"/>
    </row>
    <row r="946" spans="1:26" ht="12.75" hidden="1" customHeight="1">
      <c r="A946" s="26" t="s">
        <v>2695</v>
      </c>
      <c r="B946" s="27"/>
      <c r="C946" s="28"/>
      <c r="D946" s="27"/>
      <c r="E946" s="27" t="s">
        <v>2696</v>
      </c>
      <c r="F946" s="29" t="s">
        <v>2697</v>
      </c>
      <c r="G946" s="27"/>
      <c r="H946" s="27"/>
      <c r="I946" s="27">
        <v>1</v>
      </c>
      <c r="J946" s="30"/>
      <c r="K946" s="26" t="s">
        <v>20</v>
      </c>
      <c r="L946" s="36" t="s">
        <v>229</v>
      </c>
      <c r="M946" s="31"/>
      <c r="N946" s="2"/>
      <c r="O946" s="2"/>
      <c r="P946" s="2"/>
      <c r="Q946" s="2"/>
      <c r="R946" s="2"/>
      <c r="S946" s="2"/>
      <c r="T946" s="2"/>
      <c r="U946" s="2"/>
      <c r="V946" s="2"/>
      <c r="W946" s="2"/>
      <c r="X946" s="2"/>
      <c r="Y946" s="2"/>
      <c r="Z946" s="2"/>
    </row>
    <row r="947" spans="1:26" ht="12.75" hidden="1" customHeight="1">
      <c r="A947" s="26" t="s">
        <v>2698</v>
      </c>
      <c r="B947" s="27"/>
      <c r="C947" s="28"/>
      <c r="D947" s="27"/>
      <c r="E947" s="27" t="s">
        <v>2699</v>
      </c>
      <c r="F947" s="29" t="s">
        <v>2700</v>
      </c>
      <c r="G947" s="27"/>
      <c r="H947" s="27"/>
      <c r="I947" s="27">
        <v>1</v>
      </c>
      <c r="J947" s="30"/>
      <c r="K947" s="26" t="s">
        <v>20</v>
      </c>
      <c r="L947" s="36" t="s">
        <v>229</v>
      </c>
      <c r="M947" s="31"/>
      <c r="N947" s="2"/>
      <c r="O947" s="2"/>
      <c r="P947" s="2"/>
      <c r="Q947" s="2"/>
      <c r="R947" s="2"/>
      <c r="S947" s="2"/>
      <c r="T947" s="2"/>
      <c r="U947" s="2"/>
      <c r="V947" s="2"/>
      <c r="W947" s="2"/>
      <c r="X947" s="2"/>
      <c r="Y947" s="2"/>
      <c r="Z947" s="2"/>
    </row>
    <row r="948" spans="1:26" ht="12.75" hidden="1" customHeight="1">
      <c r="A948" s="26" t="s">
        <v>2701</v>
      </c>
      <c r="B948" s="27"/>
      <c r="C948" s="28"/>
      <c r="D948" s="27"/>
      <c r="E948" s="27" t="s">
        <v>2702</v>
      </c>
      <c r="F948" s="29" t="s">
        <v>2703</v>
      </c>
      <c r="G948" s="27"/>
      <c r="H948" s="27"/>
      <c r="I948" s="27">
        <v>1</v>
      </c>
      <c r="J948" s="30"/>
      <c r="K948" s="26" t="s">
        <v>20</v>
      </c>
      <c r="L948" s="36" t="s">
        <v>229</v>
      </c>
      <c r="M948" s="31"/>
      <c r="N948" s="2"/>
      <c r="O948" s="2"/>
      <c r="P948" s="2"/>
      <c r="Q948" s="2"/>
      <c r="R948" s="2"/>
      <c r="S948" s="2"/>
      <c r="T948" s="2"/>
      <c r="U948" s="2"/>
      <c r="V948" s="2"/>
      <c r="W948" s="2"/>
      <c r="X948" s="2"/>
      <c r="Y948" s="2"/>
      <c r="Z948" s="2"/>
    </row>
    <row r="949" spans="1:26" ht="25.5" hidden="1" customHeight="1">
      <c r="A949" s="26">
        <v>613</v>
      </c>
      <c r="B949" s="27" t="s">
        <v>2704</v>
      </c>
      <c r="C949" s="28">
        <v>39813</v>
      </c>
      <c r="D949" s="27"/>
      <c r="E949" s="27" t="s">
        <v>2705</v>
      </c>
      <c r="F949" s="29" t="s">
        <v>2706</v>
      </c>
      <c r="G949" s="27" t="s">
        <v>1008</v>
      </c>
      <c r="H949" s="27" t="s">
        <v>19</v>
      </c>
      <c r="I949" s="27">
        <v>1</v>
      </c>
      <c r="J949" s="30">
        <v>343111191</v>
      </c>
      <c r="K949" s="26" t="s">
        <v>20</v>
      </c>
      <c r="L949" s="26" t="s">
        <v>423</v>
      </c>
      <c r="M949" s="31" t="s">
        <v>5395</v>
      </c>
      <c r="N949" s="2"/>
      <c r="O949" s="2"/>
      <c r="P949" s="2"/>
      <c r="Q949" s="2"/>
      <c r="R949" s="2"/>
      <c r="S949" s="2"/>
      <c r="T949" s="2"/>
      <c r="U949" s="2"/>
      <c r="V949" s="2"/>
      <c r="W949" s="2"/>
      <c r="X949" s="2"/>
      <c r="Y949" s="2"/>
      <c r="Z949" s="2"/>
    </row>
    <row r="950" spans="1:26" ht="12.75" hidden="1" customHeight="1">
      <c r="A950" s="26" t="s">
        <v>2707</v>
      </c>
      <c r="B950" s="27"/>
      <c r="C950" s="28"/>
      <c r="D950" s="27"/>
      <c r="E950" s="27" t="s">
        <v>2708</v>
      </c>
      <c r="F950" s="29" t="s">
        <v>2709</v>
      </c>
      <c r="G950" s="27"/>
      <c r="H950" s="27"/>
      <c r="I950" s="27">
        <v>1</v>
      </c>
      <c r="J950" s="30">
        <v>0</v>
      </c>
      <c r="K950" s="26" t="s">
        <v>20</v>
      </c>
      <c r="L950" s="26" t="s">
        <v>423</v>
      </c>
      <c r="M950" s="31"/>
      <c r="N950" s="2"/>
      <c r="O950" s="2"/>
      <c r="P950" s="2"/>
      <c r="Q950" s="2"/>
      <c r="R950" s="2"/>
      <c r="S950" s="2"/>
      <c r="T950" s="2"/>
      <c r="U950" s="2"/>
      <c r="V950" s="2"/>
      <c r="W950" s="2"/>
      <c r="X950" s="2"/>
      <c r="Y950" s="2"/>
      <c r="Z950" s="2"/>
    </row>
    <row r="951" spans="1:26" ht="12.75" hidden="1" customHeight="1">
      <c r="A951" s="26" t="s">
        <v>2710</v>
      </c>
      <c r="B951" s="27"/>
      <c r="C951" s="28"/>
      <c r="D951" s="27"/>
      <c r="E951" s="27" t="s">
        <v>2711</v>
      </c>
      <c r="F951" s="29" t="s">
        <v>2712</v>
      </c>
      <c r="G951" s="27"/>
      <c r="H951" s="27"/>
      <c r="I951" s="27">
        <v>1</v>
      </c>
      <c r="J951" s="30">
        <v>0</v>
      </c>
      <c r="K951" s="26" t="s">
        <v>20</v>
      </c>
      <c r="L951" s="26" t="s">
        <v>423</v>
      </c>
      <c r="M951" s="31"/>
      <c r="N951" s="2"/>
      <c r="O951" s="2"/>
      <c r="P951" s="2"/>
      <c r="Q951" s="2"/>
      <c r="R951" s="2"/>
      <c r="S951" s="2"/>
      <c r="T951" s="2"/>
      <c r="U951" s="2"/>
      <c r="V951" s="2"/>
      <c r="W951" s="2"/>
      <c r="X951" s="2"/>
      <c r="Y951" s="2"/>
      <c r="Z951" s="2"/>
    </row>
    <row r="952" spans="1:26" ht="12.75" hidden="1" customHeight="1">
      <c r="A952" s="26" t="s">
        <v>2713</v>
      </c>
      <c r="B952" s="27"/>
      <c r="C952" s="28"/>
      <c r="D952" s="27"/>
      <c r="E952" s="27" t="s">
        <v>2714</v>
      </c>
      <c r="F952" s="29" t="s">
        <v>2715</v>
      </c>
      <c r="G952" s="27"/>
      <c r="H952" s="27"/>
      <c r="I952" s="27">
        <v>1</v>
      </c>
      <c r="J952" s="30">
        <v>34785253</v>
      </c>
      <c r="K952" s="26" t="s">
        <v>20</v>
      </c>
      <c r="L952" s="26" t="s">
        <v>423</v>
      </c>
      <c r="M952" s="31"/>
      <c r="N952" s="2"/>
      <c r="O952" s="2"/>
      <c r="P952" s="2"/>
      <c r="Q952" s="2"/>
      <c r="R952" s="2"/>
      <c r="S952" s="2"/>
      <c r="T952" s="2"/>
      <c r="U952" s="2"/>
      <c r="V952" s="2"/>
      <c r="W952" s="2"/>
      <c r="X952" s="2"/>
      <c r="Y952" s="2"/>
      <c r="Z952" s="2"/>
    </row>
    <row r="953" spans="1:26" ht="12.75" hidden="1" customHeight="1">
      <c r="A953" s="26" t="s">
        <v>2716</v>
      </c>
      <c r="B953" s="27"/>
      <c r="C953" s="28"/>
      <c r="D953" s="27"/>
      <c r="E953" s="27" t="s">
        <v>2717</v>
      </c>
      <c r="F953" s="29" t="s">
        <v>2718</v>
      </c>
      <c r="G953" s="27"/>
      <c r="H953" s="27"/>
      <c r="I953" s="27">
        <v>1</v>
      </c>
      <c r="J953" s="30">
        <v>0</v>
      </c>
      <c r="K953" s="26" t="s">
        <v>20</v>
      </c>
      <c r="L953" s="26" t="s">
        <v>423</v>
      </c>
      <c r="M953" s="31"/>
      <c r="N953" s="2"/>
      <c r="O953" s="2"/>
      <c r="P953" s="2"/>
      <c r="Q953" s="2"/>
      <c r="R953" s="2"/>
      <c r="S953" s="2"/>
      <c r="T953" s="2"/>
      <c r="U953" s="2"/>
      <c r="V953" s="2"/>
      <c r="W953" s="2"/>
      <c r="X953" s="2"/>
      <c r="Y953" s="2"/>
      <c r="Z953" s="2"/>
    </row>
    <row r="954" spans="1:26" ht="12.75" hidden="1" customHeight="1">
      <c r="A954" s="26">
        <v>614</v>
      </c>
      <c r="B954" s="27" t="s">
        <v>3646</v>
      </c>
      <c r="C954" s="28">
        <v>40543</v>
      </c>
      <c r="D954" s="27"/>
      <c r="E954" s="27" t="s">
        <v>5396</v>
      </c>
      <c r="F954" s="29" t="s">
        <v>5397</v>
      </c>
      <c r="G954" s="27" t="s">
        <v>1008</v>
      </c>
      <c r="H954" s="27" t="s">
        <v>19</v>
      </c>
      <c r="I954" s="27">
        <v>1</v>
      </c>
      <c r="J954" s="30">
        <v>168110993</v>
      </c>
      <c r="K954" s="26" t="s">
        <v>20</v>
      </c>
      <c r="L954" s="36" t="s">
        <v>229</v>
      </c>
      <c r="M954" s="31" t="s">
        <v>5398</v>
      </c>
      <c r="N954" s="2"/>
      <c r="O954" s="2"/>
      <c r="P954" s="2"/>
      <c r="Q954" s="2"/>
      <c r="R954" s="2"/>
      <c r="S954" s="2"/>
      <c r="T954" s="2"/>
      <c r="U954" s="2"/>
      <c r="V954" s="2"/>
      <c r="W954" s="2"/>
      <c r="X954" s="2"/>
      <c r="Y954" s="2"/>
      <c r="Z954" s="2"/>
    </row>
    <row r="955" spans="1:26" ht="12.75" hidden="1" customHeight="1">
      <c r="A955" s="26" t="s">
        <v>5399</v>
      </c>
      <c r="B955" s="27"/>
      <c r="C955" s="28"/>
      <c r="D955" s="27"/>
      <c r="E955" s="27" t="s">
        <v>5400</v>
      </c>
      <c r="F955" s="29" t="s">
        <v>5401</v>
      </c>
      <c r="G955" s="27"/>
      <c r="H955" s="27"/>
      <c r="I955" s="27">
        <v>1</v>
      </c>
      <c r="J955" s="30">
        <v>10102957</v>
      </c>
      <c r="K955" s="26" t="s">
        <v>20</v>
      </c>
      <c r="L955" s="36" t="s">
        <v>229</v>
      </c>
      <c r="M955" s="31"/>
      <c r="N955" s="2"/>
      <c r="O955" s="2"/>
      <c r="P955" s="2"/>
      <c r="Q955" s="2"/>
      <c r="R955" s="2"/>
      <c r="S955" s="2"/>
      <c r="T955" s="2"/>
      <c r="U955" s="2"/>
      <c r="V955" s="2"/>
      <c r="W955" s="2"/>
      <c r="X955" s="2"/>
      <c r="Y955" s="2"/>
      <c r="Z955" s="2"/>
    </row>
    <row r="956" spans="1:26" ht="12.75" hidden="1" customHeight="1">
      <c r="A956" s="26" t="s">
        <v>5402</v>
      </c>
      <c r="B956" s="27"/>
      <c r="C956" s="28"/>
      <c r="D956" s="27"/>
      <c r="E956" s="27" t="s">
        <v>5403</v>
      </c>
      <c r="F956" s="29" t="s">
        <v>5404</v>
      </c>
      <c r="G956" s="27"/>
      <c r="H956" s="27"/>
      <c r="I956" s="27">
        <v>1</v>
      </c>
      <c r="J956" s="30">
        <v>11113156</v>
      </c>
      <c r="K956" s="26" t="s">
        <v>20</v>
      </c>
      <c r="L956" s="36" t="s">
        <v>229</v>
      </c>
      <c r="M956" s="31"/>
      <c r="N956" s="2"/>
      <c r="O956" s="2"/>
      <c r="P956" s="2"/>
      <c r="Q956" s="2"/>
      <c r="R956" s="2"/>
      <c r="S956" s="2"/>
      <c r="T956" s="2"/>
      <c r="U956" s="2"/>
      <c r="V956" s="2"/>
      <c r="W956" s="2"/>
      <c r="X956" s="2"/>
      <c r="Y956" s="2"/>
      <c r="Z956" s="2"/>
    </row>
    <row r="957" spans="1:26" ht="12.75" hidden="1" customHeight="1">
      <c r="A957" s="26">
        <v>615</v>
      </c>
      <c r="B957" s="27" t="s">
        <v>3646</v>
      </c>
      <c r="C957" s="28">
        <v>40543</v>
      </c>
      <c r="D957" s="27"/>
      <c r="E957" s="27" t="s">
        <v>5405</v>
      </c>
      <c r="F957" s="29" t="s">
        <v>5406</v>
      </c>
      <c r="G957" s="27" t="s">
        <v>1008</v>
      </c>
      <c r="H957" s="27" t="s">
        <v>19</v>
      </c>
      <c r="I957" s="27">
        <v>1</v>
      </c>
      <c r="J957" s="30">
        <v>168110993</v>
      </c>
      <c r="K957" s="26" t="s">
        <v>20</v>
      </c>
      <c r="L957" s="36" t="s">
        <v>229</v>
      </c>
      <c r="M957" s="31" t="s">
        <v>5407</v>
      </c>
      <c r="N957" s="2"/>
      <c r="O957" s="2"/>
      <c r="P957" s="2"/>
      <c r="Q957" s="2"/>
      <c r="R957" s="2"/>
      <c r="S957" s="2"/>
      <c r="T957" s="2"/>
      <c r="U957" s="2"/>
      <c r="V957" s="2"/>
      <c r="W957" s="2"/>
      <c r="X957" s="2"/>
      <c r="Y957" s="2"/>
      <c r="Z957" s="2"/>
    </row>
    <row r="958" spans="1:26" ht="12.75" hidden="1" customHeight="1">
      <c r="A958" s="26" t="s">
        <v>5408</v>
      </c>
      <c r="B958" s="27"/>
      <c r="C958" s="28"/>
      <c r="D958" s="27"/>
      <c r="E958" s="27" t="s">
        <v>5409</v>
      </c>
      <c r="F958" s="29" t="s">
        <v>5410</v>
      </c>
      <c r="G958" s="27"/>
      <c r="H958" s="27"/>
      <c r="I958" s="27">
        <v>1</v>
      </c>
      <c r="J958" s="30">
        <v>10102957</v>
      </c>
      <c r="K958" s="26" t="s">
        <v>20</v>
      </c>
      <c r="L958" s="36" t="s">
        <v>229</v>
      </c>
      <c r="M958" s="31"/>
      <c r="N958" s="2"/>
      <c r="O958" s="2"/>
      <c r="P958" s="2"/>
      <c r="Q958" s="2"/>
      <c r="R958" s="2"/>
      <c r="S958" s="2"/>
      <c r="T958" s="2"/>
      <c r="U958" s="2"/>
      <c r="V958" s="2"/>
      <c r="W958" s="2"/>
      <c r="X958" s="2"/>
      <c r="Y958" s="2"/>
      <c r="Z958" s="2"/>
    </row>
    <row r="959" spans="1:26" ht="12.75" hidden="1" customHeight="1">
      <c r="A959" s="26" t="s">
        <v>5411</v>
      </c>
      <c r="B959" s="27"/>
      <c r="C959" s="28"/>
      <c r="D959" s="27"/>
      <c r="E959" s="27" t="s">
        <v>5412</v>
      </c>
      <c r="F959" s="29" t="s">
        <v>5413</v>
      </c>
      <c r="G959" s="27"/>
      <c r="H959" s="27"/>
      <c r="I959" s="27">
        <v>1</v>
      </c>
      <c r="J959" s="30">
        <v>11113156</v>
      </c>
      <c r="K959" s="26" t="s">
        <v>20</v>
      </c>
      <c r="L959" s="36" t="s">
        <v>229</v>
      </c>
      <c r="M959" s="31"/>
      <c r="N959" s="2"/>
      <c r="O959" s="2"/>
      <c r="P959" s="2"/>
      <c r="Q959" s="2"/>
      <c r="R959" s="2"/>
      <c r="S959" s="2"/>
      <c r="T959" s="2"/>
      <c r="U959" s="2"/>
      <c r="V959" s="2"/>
      <c r="W959" s="2"/>
      <c r="X959" s="2"/>
      <c r="Y959" s="2"/>
      <c r="Z959" s="2"/>
    </row>
    <row r="960" spans="1:26" ht="25.5" hidden="1" customHeight="1">
      <c r="A960" s="26">
        <v>616</v>
      </c>
      <c r="B960" s="27" t="s">
        <v>2719</v>
      </c>
      <c r="C960" s="28">
        <v>41008</v>
      </c>
      <c r="D960" s="27"/>
      <c r="E960" s="27" t="s">
        <v>2720</v>
      </c>
      <c r="F960" s="29" t="s">
        <v>2721</v>
      </c>
      <c r="G960" s="27" t="s">
        <v>1008</v>
      </c>
      <c r="H960" s="27" t="s">
        <v>19</v>
      </c>
      <c r="I960" s="27">
        <v>1</v>
      </c>
      <c r="J960" s="30">
        <v>479440000</v>
      </c>
      <c r="K960" s="26" t="s">
        <v>20</v>
      </c>
      <c r="L960" s="26" t="s">
        <v>423</v>
      </c>
      <c r="M960" s="31" t="s">
        <v>5258</v>
      </c>
      <c r="N960" s="2"/>
      <c r="O960" s="2"/>
      <c r="P960" s="2"/>
      <c r="Q960" s="2"/>
      <c r="R960" s="2"/>
      <c r="S960" s="2"/>
      <c r="T960" s="2"/>
      <c r="U960" s="2"/>
      <c r="V960" s="2"/>
      <c r="W960" s="2"/>
      <c r="X960" s="2"/>
      <c r="Y960" s="2"/>
      <c r="Z960" s="2"/>
    </row>
    <row r="961" spans="1:26" ht="12.75" hidden="1" customHeight="1">
      <c r="A961" s="26">
        <v>617</v>
      </c>
      <c r="B961" s="27" t="s">
        <v>2723</v>
      </c>
      <c r="C961" s="28">
        <v>41502</v>
      </c>
      <c r="D961" s="27"/>
      <c r="E961" s="27" t="s">
        <v>2724</v>
      </c>
      <c r="F961" s="29" t="s">
        <v>2725</v>
      </c>
      <c r="G961" s="27" t="s">
        <v>2726</v>
      </c>
      <c r="H961" s="27" t="s">
        <v>19</v>
      </c>
      <c r="I961" s="27">
        <v>1</v>
      </c>
      <c r="J961" s="30">
        <v>252759345</v>
      </c>
      <c r="K961" s="26" t="s">
        <v>20</v>
      </c>
      <c r="L961" s="26" t="s">
        <v>423</v>
      </c>
      <c r="M961" s="31" t="s">
        <v>3692</v>
      </c>
      <c r="N961" s="2"/>
      <c r="O961" s="2"/>
      <c r="P961" s="2"/>
      <c r="Q961" s="2"/>
      <c r="R961" s="2"/>
      <c r="S961" s="2"/>
      <c r="T961" s="2"/>
      <c r="U961" s="2"/>
      <c r="V961" s="2"/>
      <c r="W961" s="2"/>
      <c r="X961" s="2"/>
      <c r="Y961" s="2"/>
      <c r="Z961" s="2"/>
    </row>
    <row r="962" spans="1:26" ht="12.75" hidden="1" customHeight="1">
      <c r="A962" s="26">
        <v>618</v>
      </c>
      <c r="B962" s="27" t="s">
        <v>909</v>
      </c>
      <c r="C962" s="28">
        <v>41999</v>
      </c>
      <c r="D962" s="27"/>
      <c r="E962" s="27" t="s">
        <v>2728</v>
      </c>
      <c r="F962" s="29" t="s">
        <v>2729</v>
      </c>
      <c r="G962" s="27" t="s">
        <v>1008</v>
      </c>
      <c r="H962" s="27" t="s">
        <v>19</v>
      </c>
      <c r="I962" s="27">
        <v>1</v>
      </c>
      <c r="J962" s="30">
        <v>954504165</v>
      </c>
      <c r="K962" s="26" t="s">
        <v>20</v>
      </c>
      <c r="L962" s="26" t="s">
        <v>233</v>
      </c>
      <c r="M962" s="31" t="s">
        <v>2183</v>
      </c>
      <c r="N962" s="2"/>
      <c r="O962" s="2"/>
      <c r="P962" s="2"/>
      <c r="Q962" s="2"/>
      <c r="R962" s="2"/>
      <c r="S962" s="2"/>
      <c r="T962" s="2"/>
      <c r="U962" s="2"/>
      <c r="V962" s="2"/>
      <c r="W962" s="2"/>
      <c r="X962" s="2"/>
      <c r="Y962" s="2"/>
      <c r="Z962" s="2"/>
    </row>
    <row r="963" spans="1:26" ht="12.75" hidden="1" customHeight="1">
      <c r="A963" s="26" t="s">
        <v>2731</v>
      </c>
      <c r="B963" s="27"/>
      <c r="C963" s="28"/>
      <c r="D963" s="27"/>
      <c r="E963" s="27" t="s">
        <v>2732</v>
      </c>
      <c r="F963" s="29" t="s">
        <v>2733</v>
      </c>
      <c r="G963" s="27" t="s">
        <v>1008</v>
      </c>
      <c r="H963" s="27" t="s">
        <v>19</v>
      </c>
      <c r="I963" s="27">
        <v>1</v>
      </c>
      <c r="J963" s="30">
        <v>45111589</v>
      </c>
      <c r="K963" s="26" t="s">
        <v>20</v>
      </c>
      <c r="L963" s="26" t="s">
        <v>233</v>
      </c>
      <c r="M963" s="31"/>
      <c r="N963" s="2"/>
      <c r="O963" s="2"/>
      <c r="P963" s="2"/>
      <c r="Q963" s="2"/>
      <c r="R963" s="2"/>
      <c r="S963" s="2"/>
      <c r="T963" s="2"/>
      <c r="U963" s="2"/>
      <c r="V963" s="2"/>
      <c r="W963" s="2"/>
      <c r="X963" s="2"/>
      <c r="Y963" s="2"/>
      <c r="Z963" s="2"/>
    </row>
    <row r="964" spans="1:26" ht="12.75" hidden="1" customHeight="1">
      <c r="A964" s="26" t="s">
        <v>2734</v>
      </c>
      <c r="B964" s="27"/>
      <c r="C964" s="28"/>
      <c r="D964" s="27"/>
      <c r="E964" s="27" t="s">
        <v>2735</v>
      </c>
      <c r="F964" s="29" t="s">
        <v>2736</v>
      </c>
      <c r="G964" s="27" t="s">
        <v>1008</v>
      </c>
      <c r="H964" s="27" t="s">
        <v>19</v>
      </c>
      <c r="I964" s="27">
        <v>1</v>
      </c>
      <c r="J964" s="30">
        <v>69815555</v>
      </c>
      <c r="K964" s="26" t="s">
        <v>20</v>
      </c>
      <c r="L964" s="26" t="s">
        <v>233</v>
      </c>
      <c r="M964" s="31"/>
      <c r="N964" s="2"/>
      <c r="O964" s="2"/>
      <c r="P964" s="2"/>
      <c r="Q964" s="2"/>
      <c r="R964" s="2"/>
      <c r="S964" s="2"/>
      <c r="T964" s="2"/>
      <c r="U964" s="2"/>
      <c r="V964" s="2"/>
      <c r="W964" s="2"/>
      <c r="X964" s="2"/>
      <c r="Y964" s="2"/>
      <c r="Z964" s="2"/>
    </row>
    <row r="965" spans="1:26" ht="12.75" hidden="1" customHeight="1">
      <c r="A965" s="26" t="s">
        <v>2738</v>
      </c>
      <c r="B965" s="27"/>
      <c r="C965" s="28"/>
      <c r="D965" s="27"/>
      <c r="E965" s="27" t="s">
        <v>2739</v>
      </c>
      <c r="F965" s="29" t="s">
        <v>2740</v>
      </c>
      <c r="G965" s="27" t="s">
        <v>248</v>
      </c>
      <c r="H965" s="27" t="s">
        <v>19</v>
      </c>
      <c r="I965" s="27">
        <v>1</v>
      </c>
      <c r="J965" s="30">
        <v>73037811</v>
      </c>
      <c r="K965" s="26" t="s">
        <v>20</v>
      </c>
      <c r="L965" s="26" t="s">
        <v>233</v>
      </c>
      <c r="M965" s="31"/>
      <c r="N965" s="2"/>
      <c r="O965" s="2"/>
      <c r="P965" s="2"/>
      <c r="Q965" s="2"/>
      <c r="R965" s="2"/>
      <c r="S965" s="2"/>
      <c r="T965" s="2"/>
      <c r="U965" s="2"/>
      <c r="V965" s="2"/>
      <c r="W965" s="2"/>
      <c r="X965" s="2"/>
      <c r="Y965" s="2"/>
      <c r="Z965" s="2"/>
    </row>
    <row r="966" spans="1:26" ht="12.75" hidden="1" customHeight="1">
      <c r="A966" s="26" t="s">
        <v>2742</v>
      </c>
      <c r="B966" s="27"/>
      <c r="C966" s="28"/>
      <c r="D966" s="27"/>
      <c r="E966" s="27" t="s">
        <v>2743</v>
      </c>
      <c r="F966" s="29" t="s">
        <v>2744</v>
      </c>
      <c r="G966" s="27" t="s">
        <v>1008</v>
      </c>
      <c r="H966" s="27" t="s">
        <v>19</v>
      </c>
      <c r="I966" s="27">
        <v>1</v>
      </c>
      <c r="J966" s="30">
        <v>23227858</v>
      </c>
      <c r="K966" s="26" t="s">
        <v>20</v>
      </c>
      <c r="L966" s="26" t="s">
        <v>233</v>
      </c>
      <c r="M966" s="31"/>
      <c r="N966" s="2"/>
      <c r="O966" s="2"/>
      <c r="P966" s="2"/>
      <c r="Q966" s="2"/>
      <c r="R966" s="2"/>
      <c r="S966" s="2"/>
      <c r="T966" s="2"/>
      <c r="U966" s="2"/>
      <c r="V966" s="2"/>
      <c r="W966" s="2"/>
      <c r="X966" s="2"/>
      <c r="Y966" s="2"/>
      <c r="Z966" s="2"/>
    </row>
    <row r="967" spans="1:26" ht="12.75" hidden="1" customHeight="1">
      <c r="A967" s="26" t="s">
        <v>2746</v>
      </c>
      <c r="B967" s="27"/>
      <c r="C967" s="28"/>
      <c r="D967" s="27"/>
      <c r="E967" s="27" t="s">
        <v>2747</v>
      </c>
      <c r="F967" s="29" t="s">
        <v>2748</v>
      </c>
      <c r="G967" s="27" t="s">
        <v>248</v>
      </c>
      <c r="H967" s="27" t="s">
        <v>249</v>
      </c>
      <c r="I967" s="27">
        <v>1</v>
      </c>
      <c r="J967" s="30">
        <v>0</v>
      </c>
      <c r="K967" s="26" t="s">
        <v>20</v>
      </c>
      <c r="L967" s="26" t="s">
        <v>233</v>
      </c>
      <c r="M967" s="31"/>
      <c r="N967" s="2"/>
      <c r="O967" s="2"/>
      <c r="P967" s="2"/>
      <c r="Q967" s="2"/>
      <c r="R967" s="2"/>
      <c r="S967" s="2"/>
      <c r="T967" s="2"/>
      <c r="U967" s="2"/>
      <c r="V967" s="2"/>
      <c r="W967" s="2"/>
      <c r="X967" s="2"/>
      <c r="Y967" s="2"/>
      <c r="Z967" s="2"/>
    </row>
    <row r="968" spans="1:26" ht="12.75" hidden="1" customHeight="1">
      <c r="A968" s="26" t="s">
        <v>2749</v>
      </c>
      <c r="B968" s="27"/>
      <c r="C968" s="28"/>
      <c r="D968" s="27"/>
      <c r="E968" s="27" t="s">
        <v>2750</v>
      </c>
      <c r="F968" s="29" t="s">
        <v>2751</v>
      </c>
      <c r="G968" s="27" t="s">
        <v>1008</v>
      </c>
      <c r="H968" s="27" t="s">
        <v>249</v>
      </c>
      <c r="I968" s="27">
        <v>1</v>
      </c>
      <c r="J968" s="30">
        <v>131500000</v>
      </c>
      <c r="K968" s="26" t="s">
        <v>20</v>
      </c>
      <c r="L968" s="26" t="s">
        <v>233</v>
      </c>
      <c r="M968" s="31"/>
      <c r="N968" s="2"/>
      <c r="O968" s="2"/>
      <c r="P968" s="2"/>
      <c r="Q968" s="2"/>
      <c r="R968" s="2"/>
      <c r="S968" s="2"/>
      <c r="T968" s="2"/>
      <c r="U968" s="2"/>
      <c r="V968" s="2"/>
      <c r="W968" s="2"/>
      <c r="X968" s="2"/>
      <c r="Y968" s="2"/>
      <c r="Z968" s="2"/>
    </row>
    <row r="969" spans="1:26" ht="12.75" hidden="1" customHeight="1">
      <c r="A969" s="26">
        <v>619</v>
      </c>
      <c r="B969" s="27" t="s">
        <v>909</v>
      </c>
      <c r="C969" s="28">
        <v>41999</v>
      </c>
      <c r="D969" s="27"/>
      <c r="E969" s="27" t="s">
        <v>2753</v>
      </c>
      <c r="F969" s="29" t="s">
        <v>2754</v>
      </c>
      <c r="G969" s="27" t="s">
        <v>1008</v>
      </c>
      <c r="H969" s="27" t="s">
        <v>19</v>
      </c>
      <c r="I969" s="27">
        <v>1</v>
      </c>
      <c r="J969" s="30">
        <v>823004165</v>
      </c>
      <c r="K969" s="26" t="s">
        <v>20</v>
      </c>
      <c r="L969" s="26" t="s">
        <v>233</v>
      </c>
      <c r="M969" s="31" t="s">
        <v>2183</v>
      </c>
      <c r="N969" s="2"/>
      <c r="O969" s="2"/>
      <c r="P969" s="2"/>
      <c r="Q969" s="2"/>
      <c r="R969" s="2"/>
      <c r="S969" s="2"/>
      <c r="T969" s="2"/>
      <c r="U969" s="2"/>
      <c r="V969" s="2"/>
      <c r="W969" s="2"/>
      <c r="X969" s="2"/>
      <c r="Y969" s="2"/>
      <c r="Z969" s="2"/>
    </row>
    <row r="970" spans="1:26" ht="12.75" hidden="1" customHeight="1">
      <c r="A970" s="26" t="s">
        <v>2756</v>
      </c>
      <c r="B970" s="27"/>
      <c r="C970" s="28"/>
      <c r="D970" s="27"/>
      <c r="E970" s="27" t="s">
        <v>2757</v>
      </c>
      <c r="F970" s="29" t="s">
        <v>2733</v>
      </c>
      <c r="G970" s="27" t="s">
        <v>1008</v>
      </c>
      <c r="H970" s="27" t="s">
        <v>19</v>
      </c>
      <c r="I970" s="27">
        <v>1</v>
      </c>
      <c r="J970" s="30">
        <v>45111589</v>
      </c>
      <c r="K970" s="26" t="s">
        <v>20</v>
      </c>
      <c r="L970" s="26" t="s">
        <v>233</v>
      </c>
      <c r="M970" s="31"/>
      <c r="N970" s="2"/>
      <c r="O970" s="2"/>
      <c r="P970" s="2"/>
      <c r="Q970" s="2"/>
      <c r="R970" s="2"/>
      <c r="S970" s="2"/>
      <c r="T970" s="2"/>
      <c r="U970" s="2"/>
      <c r="V970" s="2"/>
      <c r="W970" s="2"/>
      <c r="X970" s="2"/>
      <c r="Y970" s="2"/>
      <c r="Z970" s="2"/>
    </row>
    <row r="971" spans="1:26" ht="12.75" hidden="1" customHeight="1">
      <c r="A971" s="26" t="s">
        <v>2758</v>
      </c>
      <c r="B971" s="27"/>
      <c r="C971" s="28"/>
      <c r="D971" s="27"/>
      <c r="E971" s="27" t="s">
        <v>2759</v>
      </c>
      <c r="F971" s="29" t="s">
        <v>2760</v>
      </c>
      <c r="G971" s="27" t="s">
        <v>1008</v>
      </c>
      <c r="H971" s="27" t="s">
        <v>19</v>
      </c>
      <c r="I971" s="27">
        <v>1</v>
      </c>
      <c r="J971" s="30">
        <v>69815555</v>
      </c>
      <c r="K971" s="26" t="s">
        <v>20</v>
      </c>
      <c r="L971" s="26" t="s">
        <v>233</v>
      </c>
      <c r="M971" s="31"/>
      <c r="N971" s="2"/>
      <c r="O971" s="2"/>
      <c r="P971" s="2"/>
      <c r="Q971" s="2"/>
      <c r="R971" s="2"/>
      <c r="S971" s="2"/>
      <c r="T971" s="2"/>
      <c r="U971" s="2"/>
      <c r="V971" s="2"/>
      <c r="W971" s="2"/>
      <c r="X971" s="2"/>
      <c r="Y971" s="2"/>
      <c r="Z971" s="2"/>
    </row>
    <row r="972" spans="1:26" ht="12.75" hidden="1" customHeight="1">
      <c r="A972" s="26" t="s">
        <v>2762</v>
      </c>
      <c r="B972" s="27"/>
      <c r="C972" s="28"/>
      <c r="D972" s="27"/>
      <c r="E972" s="27" t="s">
        <v>2763</v>
      </c>
      <c r="F972" s="29" t="s">
        <v>2764</v>
      </c>
      <c r="G972" s="27" t="s">
        <v>248</v>
      </c>
      <c r="H972" s="27" t="s">
        <v>19</v>
      </c>
      <c r="I972" s="27">
        <v>1</v>
      </c>
      <c r="J972" s="30">
        <v>73037811</v>
      </c>
      <c r="K972" s="26" t="s">
        <v>20</v>
      </c>
      <c r="L972" s="26" t="s">
        <v>233</v>
      </c>
      <c r="M972" s="31"/>
      <c r="N972" s="2"/>
      <c r="O972" s="2"/>
      <c r="P972" s="2"/>
      <c r="Q972" s="2"/>
      <c r="R972" s="2"/>
      <c r="S972" s="2"/>
      <c r="T972" s="2"/>
      <c r="U972" s="2"/>
      <c r="V972" s="2"/>
      <c r="W972" s="2"/>
      <c r="X972" s="2"/>
      <c r="Y972" s="2"/>
      <c r="Z972" s="2"/>
    </row>
    <row r="973" spans="1:26" ht="12.75" hidden="1" customHeight="1">
      <c r="A973" s="26" t="s">
        <v>2766</v>
      </c>
      <c r="B973" s="27"/>
      <c r="C973" s="28"/>
      <c r="D973" s="27"/>
      <c r="E973" s="27" t="s">
        <v>2767</v>
      </c>
      <c r="F973" s="29" t="s">
        <v>2768</v>
      </c>
      <c r="G973" s="27" t="s">
        <v>1008</v>
      </c>
      <c r="H973" s="27" t="s">
        <v>19</v>
      </c>
      <c r="I973" s="27">
        <v>1</v>
      </c>
      <c r="J973" s="30">
        <v>23227858</v>
      </c>
      <c r="K973" s="26" t="s">
        <v>20</v>
      </c>
      <c r="L973" s="26" t="s">
        <v>233</v>
      </c>
      <c r="M973" s="31"/>
      <c r="N973" s="2"/>
      <c r="O973" s="2"/>
      <c r="P973" s="2"/>
      <c r="Q973" s="2"/>
      <c r="R973" s="2"/>
      <c r="S973" s="2"/>
      <c r="T973" s="2"/>
      <c r="U973" s="2"/>
      <c r="V973" s="2"/>
      <c r="W973" s="2"/>
      <c r="X973" s="2"/>
      <c r="Y973" s="2"/>
      <c r="Z973" s="2"/>
    </row>
    <row r="974" spans="1:26" ht="12.75" hidden="1" customHeight="1">
      <c r="A974" s="26" t="s">
        <v>2769</v>
      </c>
      <c r="B974" s="27"/>
      <c r="C974" s="28"/>
      <c r="D974" s="27"/>
      <c r="E974" s="27" t="s">
        <v>2770</v>
      </c>
      <c r="F974" s="29" t="s">
        <v>2771</v>
      </c>
      <c r="G974" s="27" t="s">
        <v>248</v>
      </c>
      <c r="H974" s="27" t="s">
        <v>249</v>
      </c>
      <c r="I974" s="27">
        <v>1</v>
      </c>
      <c r="J974" s="30">
        <v>0</v>
      </c>
      <c r="K974" s="26" t="s">
        <v>20</v>
      </c>
      <c r="L974" s="26" t="s">
        <v>233</v>
      </c>
      <c r="M974" s="31"/>
      <c r="N974" s="2"/>
      <c r="O974" s="2"/>
      <c r="P974" s="2"/>
      <c r="Q974" s="2"/>
      <c r="R974" s="2"/>
      <c r="S974" s="2"/>
      <c r="T974" s="2"/>
      <c r="U974" s="2"/>
      <c r="V974" s="2"/>
      <c r="W974" s="2"/>
      <c r="X974" s="2"/>
      <c r="Y974" s="2"/>
      <c r="Z974" s="2"/>
    </row>
    <row r="975" spans="1:26" ht="12.75" hidden="1" customHeight="1">
      <c r="A975" s="26">
        <v>620</v>
      </c>
      <c r="B975" s="27" t="s">
        <v>909</v>
      </c>
      <c r="C975" s="28">
        <v>41999</v>
      </c>
      <c r="D975" s="27"/>
      <c r="E975" s="27" t="s">
        <v>2772</v>
      </c>
      <c r="F975" s="29" t="s">
        <v>2773</v>
      </c>
      <c r="G975" s="27" t="s">
        <v>1008</v>
      </c>
      <c r="H975" s="27" t="s">
        <v>19</v>
      </c>
      <c r="I975" s="27">
        <v>1</v>
      </c>
      <c r="J975" s="30">
        <v>1162876746</v>
      </c>
      <c r="K975" s="26" t="s">
        <v>20</v>
      </c>
      <c r="L975" s="26" t="s">
        <v>233</v>
      </c>
      <c r="M975" s="31" t="s">
        <v>2183</v>
      </c>
      <c r="N975" s="2"/>
      <c r="O975" s="2"/>
      <c r="P975" s="2"/>
      <c r="Q975" s="2"/>
      <c r="R975" s="2"/>
      <c r="S975" s="2"/>
      <c r="T975" s="2"/>
      <c r="U975" s="2"/>
      <c r="V975" s="2"/>
      <c r="W975" s="2"/>
      <c r="X975" s="2"/>
      <c r="Y975" s="2"/>
      <c r="Z975" s="2"/>
    </row>
    <row r="976" spans="1:26" ht="12.75" hidden="1" customHeight="1">
      <c r="A976" s="26" t="s">
        <v>2775</v>
      </c>
      <c r="B976" s="27"/>
      <c r="C976" s="28"/>
      <c r="D976" s="27"/>
      <c r="E976" s="27" t="s">
        <v>2776</v>
      </c>
      <c r="F976" s="29" t="s">
        <v>2777</v>
      </c>
      <c r="G976" s="27" t="s">
        <v>1008</v>
      </c>
      <c r="H976" s="27" t="s">
        <v>19</v>
      </c>
      <c r="I976" s="27">
        <v>1</v>
      </c>
      <c r="J976" s="30">
        <v>69815555</v>
      </c>
      <c r="K976" s="26" t="s">
        <v>20</v>
      </c>
      <c r="L976" s="26" t="s">
        <v>233</v>
      </c>
      <c r="M976" s="31"/>
      <c r="N976" s="2"/>
      <c r="O976" s="2"/>
      <c r="P976" s="2"/>
      <c r="Q976" s="2"/>
      <c r="R976" s="2"/>
      <c r="S976" s="2"/>
      <c r="T976" s="2"/>
      <c r="U976" s="2"/>
      <c r="V976" s="2"/>
      <c r="W976" s="2"/>
      <c r="X976" s="2"/>
      <c r="Y976" s="2"/>
      <c r="Z976" s="2"/>
    </row>
    <row r="977" spans="1:26" ht="12.75" hidden="1" customHeight="1">
      <c r="A977" s="26" t="s">
        <v>2778</v>
      </c>
      <c r="B977" s="27"/>
      <c r="C977" s="28"/>
      <c r="D977" s="27"/>
      <c r="E977" s="27" t="s">
        <v>2779</v>
      </c>
      <c r="F977" s="29" t="s">
        <v>2780</v>
      </c>
      <c r="G977" s="27" t="s">
        <v>248</v>
      </c>
      <c r="H977" s="27" t="s">
        <v>19</v>
      </c>
      <c r="I977" s="27">
        <v>1</v>
      </c>
      <c r="J977" s="30">
        <v>73037811</v>
      </c>
      <c r="K977" s="26" t="s">
        <v>20</v>
      </c>
      <c r="L977" s="26" t="s">
        <v>233</v>
      </c>
      <c r="M977" s="31"/>
      <c r="N977" s="2"/>
      <c r="O977" s="2"/>
      <c r="P977" s="2"/>
      <c r="Q977" s="2"/>
      <c r="R977" s="2"/>
      <c r="S977" s="2"/>
      <c r="T977" s="2"/>
      <c r="U977" s="2"/>
      <c r="V977" s="2"/>
      <c r="W977" s="2"/>
      <c r="X977" s="2"/>
      <c r="Y977" s="2"/>
      <c r="Z977" s="2"/>
    </row>
    <row r="978" spans="1:26" ht="12.75" hidden="1" customHeight="1">
      <c r="A978" s="26" t="s">
        <v>2781</v>
      </c>
      <c r="B978" s="27"/>
      <c r="C978" s="28"/>
      <c r="D978" s="27"/>
      <c r="E978" s="27" t="s">
        <v>2782</v>
      </c>
      <c r="F978" s="29" t="s">
        <v>2783</v>
      </c>
      <c r="G978" s="27" t="s">
        <v>1008</v>
      </c>
      <c r="H978" s="27" t="s">
        <v>19</v>
      </c>
      <c r="I978" s="27">
        <v>1</v>
      </c>
      <c r="J978" s="30">
        <v>23227858</v>
      </c>
      <c r="K978" s="26" t="s">
        <v>20</v>
      </c>
      <c r="L978" s="26" t="s">
        <v>233</v>
      </c>
      <c r="M978" s="31"/>
      <c r="N978" s="2"/>
      <c r="O978" s="2"/>
      <c r="P978" s="2"/>
      <c r="Q978" s="2"/>
      <c r="R978" s="2"/>
      <c r="S978" s="2"/>
      <c r="T978" s="2"/>
      <c r="U978" s="2"/>
      <c r="V978" s="2"/>
      <c r="W978" s="2"/>
      <c r="X978" s="2"/>
      <c r="Y978" s="2"/>
      <c r="Z978" s="2"/>
    </row>
    <row r="979" spans="1:26" ht="12.75" hidden="1" customHeight="1">
      <c r="A979" s="26" t="s">
        <v>2784</v>
      </c>
      <c r="B979" s="27"/>
      <c r="C979" s="28"/>
      <c r="D979" s="27"/>
      <c r="E979" s="27" t="s">
        <v>2785</v>
      </c>
      <c r="F979" s="29" t="s">
        <v>2786</v>
      </c>
      <c r="G979" s="27" t="s">
        <v>1008</v>
      </c>
      <c r="H979" s="27" t="s">
        <v>19</v>
      </c>
      <c r="I979" s="27">
        <v>1</v>
      </c>
      <c r="J979" s="30">
        <v>317929297</v>
      </c>
      <c r="K979" s="26" t="s">
        <v>20</v>
      </c>
      <c r="L979" s="26" t="s">
        <v>233</v>
      </c>
      <c r="M979" s="31"/>
      <c r="N979" s="2"/>
      <c r="O979" s="2"/>
      <c r="P979" s="2"/>
      <c r="Q979" s="2"/>
      <c r="R979" s="2"/>
      <c r="S979" s="2"/>
      <c r="T979" s="2"/>
      <c r="U979" s="2"/>
      <c r="V979" s="2"/>
      <c r="W979" s="2"/>
      <c r="X979" s="2"/>
      <c r="Y979" s="2"/>
      <c r="Z979" s="2"/>
    </row>
    <row r="980" spans="1:26" ht="12.75" hidden="1" customHeight="1">
      <c r="A980" s="26" t="s">
        <v>2788</v>
      </c>
      <c r="B980" s="27"/>
      <c r="C980" s="28"/>
      <c r="D980" s="27"/>
      <c r="E980" s="27" t="s">
        <v>2789</v>
      </c>
      <c r="F980" s="29" t="s">
        <v>2790</v>
      </c>
      <c r="G980" s="27" t="s">
        <v>1008</v>
      </c>
      <c r="H980" s="27" t="s">
        <v>249</v>
      </c>
      <c r="I980" s="27">
        <v>1</v>
      </c>
      <c r="J980" s="30">
        <v>131500000</v>
      </c>
      <c r="K980" s="26" t="s">
        <v>20</v>
      </c>
      <c r="L980" s="26" t="s">
        <v>233</v>
      </c>
      <c r="M980" s="31"/>
      <c r="N980" s="2"/>
      <c r="O980" s="2"/>
      <c r="P980" s="2"/>
      <c r="Q980" s="2"/>
      <c r="R980" s="2"/>
      <c r="S980" s="2"/>
      <c r="T980" s="2"/>
      <c r="U980" s="2"/>
      <c r="V980" s="2"/>
      <c r="W980" s="2"/>
      <c r="X980" s="2"/>
      <c r="Y980" s="2"/>
      <c r="Z980" s="2"/>
    </row>
    <row r="981" spans="1:26" ht="12.75" hidden="1" customHeight="1">
      <c r="A981" s="26">
        <v>621</v>
      </c>
      <c r="B981" s="27" t="s">
        <v>1668</v>
      </c>
      <c r="C981" s="28">
        <v>41982</v>
      </c>
      <c r="D981" s="27"/>
      <c r="E981" s="27" t="s">
        <v>2791</v>
      </c>
      <c r="F981" s="29" t="s">
        <v>2792</v>
      </c>
      <c r="G981" s="27" t="s">
        <v>45</v>
      </c>
      <c r="H981" s="27" t="s">
        <v>19</v>
      </c>
      <c r="I981" s="27">
        <v>1</v>
      </c>
      <c r="J981" s="30">
        <v>416658000</v>
      </c>
      <c r="K981" s="26" t="s">
        <v>20</v>
      </c>
      <c r="L981" s="26" t="s">
        <v>423</v>
      </c>
      <c r="M981" s="31" t="s">
        <v>5414</v>
      </c>
      <c r="N981" s="2"/>
      <c r="O981" s="2"/>
      <c r="P981" s="2"/>
      <c r="Q981" s="2"/>
      <c r="R981" s="2"/>
      <c r="S981" s="2"/>
      <c r="T981" s="2"/>
      <c r="U981" s="2"/>
      <c r="V981" s="2"/>
      <c r="W981" s="2"/>
      <c r="X981" s="2"/>
      <c r="Y981" s="2"/>
      <c r="Z981" s="2"/>
    </row>
    <row r="982" spans="1:26" ht="12.75" hidden="1" customHeight="1">
      <c r="A982" s="26">
        <v>622</v>
      </c>
      <c r="B982" s="27" t="s">
        <v>470</v>
      </c>
      <c r="C982" s="28">
        <v>41983</v>
      </c>
      <c r="D982" s="27"/>
      <c r="E982" s="27" t="s">
        <v>2793</v>
      </c>
      <c r="F982" s="29" t="s">
        <v>2794</v>
      </c>
      <c r="G982" s="27" t="s">
        <v>1008</v>
      </c>
      <c r="H982" s="27" t="s">
        <v>19</v>
      </c>
      <c r="I982" s="27">
        <v>1</v>
      </c>
      <c r="J982" s="30">
        <v>1695382089</v>
      </c>
      <c r="K982" s="26" t="s">
        <v>20</v>
      </c>
      <c r="L982" s="26" t="s">
        <v>423</v>
      </c>
      <c r="M982" s="31" t="s">
        <v>2145</v>
      </c>
      <c r="N982" s="2"/>
      <c r="O982" s="2"/>
      <c r="P982" s="2"/>
      <c r="Q982" s="2"/>
      <c r="R982" s="2"/>
      <c r="S982" s="2"/>
      <c r="T982" s="2"/>
      <c r="U982" s="2"/>
      <c r="V982" s="2"/>
      <c r="W982" s="2"/>
      <c r="X982" s="2"/>
      <c r="Y982" s="2"/>
      <c r="Z982" s="2"/>
    </row>
    <row r="983" spans="1:26" ht="25.5" hidden="1" customHeight="1">
      <c r="A983" s="26" t="s">
        <v>2796</v>
      </c>
      <c r="B983" s="27"/>
      <c r="C983" s="28"/>
      <c r="D983" s="27"/>
      <c r="E983" s="27" t="s">
        <v>2797</v>
      </c>
      <c r="F983" s="29" t="s">
        <v>2798</v>
      </c>
      <c r="G983" s="27" t="s">
        <v>1008</v>
      </c>
      <c r="H983" s="27" t="s">
        <v>249</v>
      </c>
      <c r="I983" s="27">
        <v>1</v>
      </c>
      <c r="J983" s="30">
        <v>490488854</v>
      </c>
      <c r="K983" s="26" t="s">
        <v>20</v>
      </c>
      <c r="L983" s="26" t="s">
        <v>423</v>
      </c>
      <c r="M983" s="31"/>
      <c r="N983" s="2"/>
      <c r="O983" s="2"/>
      <c r="P983" s="2"/>
      <c r="Q983" s="2"/>
      <c r="R983" s="2"/>
      <c r="S983" s="2"/>
      <c r="T983" s="2"/>
      <c r="U983" s="2"/>
      <c r="V983" s="2"/>
      <c r="W983" s="2"/>
      <c r="X983" s="2"/>
      <c r="Y983" s="2"/>
      <c r="Z983" s="2"/>
    </row>
    <row r="984" spans="1:26" ht="12.75" hidden="1" customHeight="1">
      <c r="A984" s="26" t="s">
        <v>2800</v>
      </c>
      <c r="B984" s="27"/>
      <c r="C984" s="28"/>
      <c r="D984" s="27"/>
      <c r="E984" s="27" t="s">
        <v>2801</v>
      </c>
      <c r="F984" s="29" t="s">
        <v>2802</v>
      </c>
      <c r="G984" s="27" t="s">
        <v>1008</v>
      </c>
      <c r="H984" s="27" t="s">
        <v>249</v>
      </c>
      <c r="I984" s="27">
        <v>1</v>
      </c>
      <c r="J984" s="30">
        <v>127568319</v>
      </c>
      <c r="K984" s="26" t="s">
        <v>20</v>
      </c>
      <c r="L984" s="26" t="s">
        <v>423</v>
      </c>
      <c r="M984" s="31"/>
      <c r="N984" s="2"/>
      <c r="O984" s="2"/>
      <c r="P984" s="2"/>
      <c r="Q984" s="2"/>
      <c r="R984" s="2"/>
      <c r="S984" s="2"/>
      <c r="T984" s="2"/>
      <c r="U984" s="2"/>
      <c r="V984" s="2"/>
      <c r="W984" s="2"/>
      <c r="X984" s="2"/>
      <c r="Y984" s="2"/>
      <c r="Z984" s="2"/>
    </row>
    <row r="985" spans="1:26" ht="12.75" hidden="1" customHeight="1">
      <c r="A985" s="26" t="s">
        <v>2804</v>
      </c>
      <c r="B985" s="27"/>
      <c r="C985" s="28"/>
      <c r="D985" s="27"/>
      <c r="E985" s="27" t="s">
        <v>2805</v>
      </c>
      <c r="F985" s="29" t="s">
        <v>2806</v>
      </c>
      <c r="G985" s="27" t="s">
        <v>1008</v>
      </c>
      <c r="H985" s="27" t="s">
        <v>249</v>
      </c>
      <c r="I985" s="27">
        <v>1</v>
      </c>
      <c r="J985" s="30">
        <v>148872641</v>
      </c>
      <c r="K985" s="26" t="s">
        <v>20</v>
      </c>
      <c r="L985" s="26" t="s">
        <v>423</v>
      </c>
      <c r="M985" s="31"/>
      <c r="N985" s="2"/>
      <c r="O985" s="2"/>
      <c r="P985" s="2"/>
      <c r="Q985" s="2"/>
      <c r="R985" s="2"/>
      <c r="S985" s="2"/>
      <c r="T985" s="2"/>
      <c r="U985" s="2"/>
      <c r="V985" s="2"/>
      <c r="W985" s="2"/>
      <c r="X985" s="2"/>
      <c r="Y985" s="2"/>
      <c r="Z985" s="2"/>
    </row>
    <row r="986" spans="1:26" ht="12.75" hidden="1" customHeight="1">
      <c r="A986" s="26">
        <v>623</v>
      </c>
      <c r="B986" s="27" t="s">
        <v>470</v>
      </c>
      <c r="C986" s="28">
        <v>41983</v>
      </c>
      <c r="D986" s="27"/>
      <c r="E986" s="27" t="s">
        <v>2808</v>
      </c>
      <c r="F986" s="29" t="s">
        <v>2809</v>
      </c>
      <c r="G986" s="27" t="s">
        <v>1008</v>
      </c>
      <c r="H986" s="27" t="s">
        <v>19</v>
      </c>
      <c r="I986" s="27">
        <v>1</v>
      </c>
      <c r="J986" s="30">
        <v>1557657847</v>
      </c>
      <c r="K986" s="26" t="s">
        <v>20</v>
      </c>
      <c r="L986" s="26" t="s">
        <v>423</v>
      </c>
      <c r="M986" s="31" t="s">
        <v>2145</v>
      </c>
      <c r="N986" s="2"/>
      <c r="O986" s="2"/>
      <c r="P986" s="2"/>
      <c r="Q986" s="2"/>
      <c r="R986" s="2"/>
      <c r="S986" s="2"/>
      <c r="T986" s="2"/>
      <c r="U986" s="2"/>
      <c r="V986" s="2"/>
      <c r="W986" s="2"/>
      <c r="X986" s="2"/>
      <c r="Y986" s="2"/>
      <c r="Z986" s="2"/>
    </row>
    <row r="987" spans="1:26" ht="12.75" hidden="1" customHeight="1">
      <c r="A987" s="26" t="s">
        <v>2810</v>
      </c>
      <c r="B987" s="27"/>
      <c r="C987" s="28"/>
      <c r="D987" s="27"/>
      <c r="E987" s="27" t="s">
        <v>2811</v>
      </c>
      <c r="F987" s="29" t="s">
        <v>2812</v>
      </c>
      <c r="G987" s="27" t="s">
        <v>1008</v>
      </c>
      <c r="H987" s="27" t="s">
        <v>249</v>
      </c>
      <c r="I987" s="27">
        <v>1</v>
      </c>
      <c r="J987" s="30">
        <v>148872641</v>
      </c>
      <c r="K987" s="26" t="s">
        <v>20</v>
      </c>
      <c r="L987" s="26" t="s">
        <v>423</v>
      </c>
      <c r="M987" s="31"/>
      <c r="N987" s="2"/>
      <c r="O987" s="2"/>
      <c r="P987" s="2"/>
      <c r="Q987" s="2"/>
      <c r="R987" s="2"/>
      <c r="S987" s="2"/>
      <c r="T987" s="2"/>
      <c r="U987" s="2"/>
      <c r="V987" s="2"/>
      <c r="W987" s="2"/>
      <c r="X987" s="2"/>
      <c r="Y987" s="2"/>
      <c r="Z987" s="2"/>
    </row>
    <row r="988" spans="1:26" ht="12.75" hidden="1" customHeight="1">
      <c r="A988" s="26" t="s">
        <v>2814</v>
      </c>
      <c r="B988" s="27"/>
      <c r="C988" s="28"/>
      <c r="D988" s="27"/>
      <c r="E988" s="27" t="s">
        <v>2815</v>
      </c>
      <c r="F988" s="29" t="s">
        <v>2816</v>
      </c>
      <c r="G988" s="27" t="s">
        <v>1008</v>
      </c>
      <c r="H988" s="27" t="s">
        <v>249</v>
      </c>
      <c r="I988" s="27">
        <v>1</v>
      </c>
      <c r="J988" s="30">
        <v>490488854</v>
      </c>
      <c r="K988" s="26" t="s">
        <v>20</v>
      </c>
      <c r="L988" s="26" t="s">
        <v>423</v>
      </c>
      <c r="M988" s="31"/>
      <c r="N988" s="2"/>
      <c r="O988" s="2"/>
      <c r="P988" s="2"/>
      <c r="Q988" s="2"/>
      <c r="R988" s="2"/>
      <c r="S988" s="2"/>
      <c r="T988" s="2"/>
      <c r="U988" s="2"/>
      <c r="V988" s="2"/>
      <c r="W988" s="2"/>
      <c r="X988" s="2"/>
      <c r="Y988" s="2"/>
      <c r="Z988" s="2"/>
    </row>
    <row r="989" spans="1:26" ht="12.75" hidden="1" customHeight="1">
      <c r="A989" s="26">
        <v>624</v>
      </c>
      <c r="B989" s="27" t="s">
        <v>470</v>
      </c>
      <c r="C989" s="28">
        <v>41983</v>
      </c>
      <c r="D989" s="27"/>
      <c r="E989" s="27" t="s">
        <v>2818</v>
      </c>
      <c r="F989" s="29" t="s">
        <v>2819</v>
      </c>
      <c r="G989" s="27" t="s">
        <v>1008</v>
      </c>
      <c r="H989" s="27" t="s">
        <v>19</v>
      </c>
      <c r="I989" s="27">
        <v>1</v>
      </c>
      <c r="J989" s="30">
        <v>1557657847</v>
      </c>
      <c r="K989" s="26" t="s">
        <v>20</v>
      </c>
      <c r="L989" s="26" t="s">
        <v>423</v>
      </c>
      <c r="M989" s="31" t="s">
        <v>2145</v>
      </c>
      <c r="N989" s="2"/>
      <c r="O989" s="2"/>
      <c r="P989" s="2"/>
      <c r="Q989" s="2"/>
      <c r="R989" s="2"/>
      <c r="S989" s="2"/>
      <c r="T989" s="2"/>
      <c r="U989" s="2"/>
      <c r="V989" s="2"/>
      <c r="W989" s="2"/>
      <c r="X989" s="2"/>
      <c r="Y989" s="2"/>
      <c r="Z989" s="2"/>
    </row>
    <row r="990" spans="1:26" ht="12.75" hidden="1" customHeight="1">
      <c r="A990" s="26" t="s">
        <v>2820</v>
      </c>
      <c r="B990" s="27"/>
      <c r="C990" s="28"/>
      <c r="D990" s="27"/>
      <c r="E990" s="27" t="s">
        <v>2821</v>
      </c>
      <c r="F990" s="29" t="s">
        <v>2822</v>
      </c>
      <c r="G990" s="27" t="s">
        <v>1008</v>
      </c>
      <c r="H990" s="27" t="s">
        <v>249</v>
      </c>
      <c r="I990" s="27">
        <v>1</v>
      </c>
      <c r="J990" s="30">
        <v>148872641</v>
      </c>
      <c r="K990" s="26" t="s">
        <v>20</v>
      </c>
      <c r="L990" s="26" t="s">
        <v>423</v>
      </c>
      <c r="M990" s="31"/>
      <c r="N990" s="2"/>
      <c r="O990" s="2"/>
      <c r="P990" s="2"/>
      <c r="Q990" s="2"/>
      <c r="R990" s="2"/>
      <c r="S990" s="2"/>
      <c r="T990" s="2"/>
      <c r="U990" s="2"/>
      <c r="V990" s="2"/>
      <c r="W990" s="2"/>
      <c r="X990" s="2"/>
      <c r="Y990" s="2"/>
      <c r="Z990" s="2"/>
    </row>
    <row r="991" spans="1:26" ht="12.75" hidden="1" customHeight="1">
      <c r="A991" s="26" t="s">
        <v>2823</v>
      </c>
      <c r="B991" s="27"/>
      <c r="C991" s="28"/>
      <c r="D991" s="27"/>
      <c r="E991" s="27" t="s">
        <v>2824</v>
      </c>
      <c r="F991" s="29" t="s">
        <v>2825</v>
      </c>
      <c r="G991" s="27" t="s">
        <v>1008</v>
      </c>
      <c r="H991" s="27" t="s">
        <v>249</v>
      </c>
      <c r="I991" s="27">
        <v>1</v>
      </c>
      <c r="J991" s="30">
        <v>490488854</v>
      </c>
      <c r="K991" s="26" t="s">
        <v>20</v>
      </c>
      <c r="L991" s="26" t="s">
        <v>423</v>
      </c>
      <c r="M991" s="31"/>
      <c r="N991" s="2"/>
      <c r="O991" s="2"/>
      <c r="P991" s="2"/>
      <c r="Q991" s="2"/>
      <c r="R991" s="2"/>
      <c r="S991" s="2"/>
      <c r="T991" s="2"/>
      <c r="U991" s="2"/>
      <c r="V991" s="2"/>
      <c r="W991" s="2"/>
      <c r="X991" s="2"/>
      <c r="Y991" s="2"/>
      <c r="Z991" s="2"/>
    </row>
    <row r="992" spans="1:26" ht="12.75" hidden="1" customHeight="1">
      <c r="A992" s="26">
        <v>625</v>
      </c>
      <c r="B992" s="27" t="s">
        <v>470</v>
      </c>
      <c r="C992" s="28">
        <v>41983</v>
      </c>
      <c r="D992" s="27"/>
      <c r="E992" s="27" t="s">
        <v>2826</v>
      </c>
      <c r="F992" s="29" t="s">
        <v>2827</v>
      </c>
      <c r="G992" s="27" t="s">
        <v>1008</v>
      </c>
      <c r="H992" s="27" t="s">
        <v>19</v>
      </c>
      <c r="I992" s="27">
        <v>1</v>
      </c>
      <c r="J992" s="30">
        <v>1028120370</v>
      </c>
      <c r="K992" s="26" t="s">
        <v>20</v>
      </c>
      <c r="L992" s="26" t="s">
        <v>423</v>
      </c>
      <c r="M992" s="31" t="s">
        <v>2145</v>
      </c>
      <c r="N992" s="2"/>
      <c r="O992" s="2"/>
      <c r="P992" s="2"/>
      <c r="Q992" s="2"/>
      <c r="R992" s="2"/>
      <c r="S992" s="2"/>
      <c r="T992" s="2"/>
      <c r="U992" s="2"/>
      <c r="V992" s="2"/>
      <c r="W992" s="2"/>
      <c r="X992" s="2"/>
      <c r="Y992" s="2"/>
      <c r="Z992" s="2"/>
    </row>
    <row r="993" spans="1:26" ht="12.75" hidden="1" customHeight="1">
      <c r="A993" s="26" t="s">
        <v>2828</v>
      </c>
      <c r="B993" s="27"/>
      <c r="C993" s="28"/>
      <c r="D993" s="27"/>
      <c r="E993" s="27" t="s">
        <v>2829</v>
      </c>
      <c r="F993" s="29" t="s">
        <v>2830</v>
      </c>
      <c r="G993" s="27" t="s">
        <v>1008</v>
      </c>
      <c r="H993" s="27" t="s">
        <v>249</v>
      </c>
      <c r="I993" s="27">
        <v>1</v>
      </c>
      <c r="J993" s="30">
        <v>148872641</v>
      </c>
      <c r="K993" s="26" t="s">
        <v>20</v>
      </c>
      <c r="L993" s="26" t="s">
        <v>423</v>
      </c>
      <c r="M993" s="31"/>
      <c r="N993" s="2"/>
      <c r="O993" s="2"/>
      <c r="P993" s="2"/>
      <c r="Q993" s="2"/>
      <c r="R993" s="2"/>
      <c r="S993" s="2"/>
      <c r="T993" s="2"/>
      <c r="U993" s="2"/>
      <c r="V993" s="2"/>
      <c r="W993" s="2"/>
      <c r="X993" s="2"/>
      <c r="Y993" s="2"/>
      <c r="Z993" s="2"/>
    </row>
    <row r="994" spans="1:26" ht="12.75" hidden="1" customHeight="1">
      <c r="A994" s="26">
        <v>626</v>
      </c>
      <c r="B994" s="27" t="s">
        <v>470</v>
      </c>
      <c r="C994" s="28">
        <v>41983</v>
      </c>
      <c r="D994" s="27"/>
      <c r="E994" s="27" t="s">
        <v>2831</v>
      </c>
      <c r="F994" s="29" t="s">
        <v>2832</v>
      </c>
      <c r="G994" s="27" t="s">
        <v>1008</v>
      </c>
      <c r="H994" s="27" t="s">
        <v>19</v>
      </c>
      <c r="I994" s="27">
        <v>1</v>
      </c>
      <c r="J994" s="30">
        <v>272885947</v>
      </c>
      <c r="K994" s="26" t="s">
        <v>20</v>
      </c>
      <c r="L994" s="26" t="s">
        <v>423</v>
      </c>
      <c r="M994" s="31" t="s">
        <v>5268</v>
      </c>
      <c r="N994" s="2"/>
      <c r="O994" s="2"/>
      <c r="P994" s="2"/>
      <c r="Q994" s="2"/>
      <c r="R994" s="2"/>
      <c r="S994" s="2"/>
      <c r="T994" s="2"/>
      <c r="U994" s="2"/>
      <c r="V994" s="2"/>
      <c r="W994" s="2"/>
      <c r="X994" s="2"/>
      <c r="Y994" s="2"/>
      <c r="Z994" s="2"/>
    </row>
    <row r="995" spans="1:26" ht="12.75" hidden="1" customHeight="1">
      <c r="A995" s="26">
        <v>627</v>
      </c>
      <c r="B995" s="27" t="s">
        <v>470</v>
      </c>
      <c r="C995" s="28">
        <v>41983</v>
      </c>
      <c r="D995" s="27"/>
      <c r="E995" s="27" t="s">
        <v>2834</v>
      </c>
      <c r="F995" s="29" t="s">
        <v>2835</v>
      </c>
      <c r="G995" s="27" t="s">
        <v>1008</v>
      </c>
      <c r="H995" s="27" t="s">
        <v>19</v>
      </c>
      <c r="I995" s="27">
        <v>1</v>
      </c>
      <c r="J995" s="30">
        <v>272885947</v>
      </c>
      <c r="K995" s="26" t="s">
        <v>20</v>
      </c>
      <c r="L995" s="26" t="s">
        <v>423</v>
      </c>
      <c r="M995" s="31" t="s">
        <v>5415</v>
      </c>
      <c r="N995" s="2"/>
      <c r="O995" s="2"/>
      <c r="P995" s="2"/>
      <c r="Q995" s="2"/>
      <c r="R995" s="2"/>
      <c r="S995" s="2"/>
      <c r="T995" s="2"/>
      <c r="U995" s="2"/>
      <c r="V995" s="2"/>
      <c r="W995" s="2"/>
      <c r="X995" s="2"/>
      <c r="Y995" s="2"/>
      <c r="Z995" s="2"/>
    </row>
    <row r="996" spans="1:26" ht="12.75" hidden="1" customHeight="1">
      <c r="A996" s="26">
        <v>628</v>
      </c>
      <c r="B996" s="27" t="s">
        <v>470</v>
      </c>
      <c r="C996" s="28">
        <v>41983</v>
      </c>
      <c r="D996" s="27"/>
      <c r="E996" s="27" t="s">
        <v>2837</v>
      </c>
      <c r="F996" s="29" t="s">
        <v>2838</v>
      </c>
      <c r="G996" s="27" t="s">
        <v>1008</v>
      </c>
      <c r="H996" s="27" t="s">
        <v>19</v>
      </c>
      <c r="I996" s="27">
        <v>1</v>
      </c>
      <c r="J996" s="30">
        <v>272885947</v>
      </c>
      <c r="K996" s="26" t="s">
        <v>20</v>
      </c>
      <c r="L996" s="26" t="s">
        <v>423</v>
      </c>
      <c r="M996" s="31" t="s">
        <v>2145</v>
      </c>
      <c r="N996" s="2"/>
      <c r="O996" s="2"/>
      <c r="P996" s="2"/>
      <c r="Q996" s="2"/>
      <c r="R996" s="2"/>
      <c r="S996" s="2"/>
      <c r="T996" s="2"/>
      <c r="U996" s="2"/>
      <c r="V996" s="2"/>
      <c r="W996" s="2"/>
      <c r="X996" s="2"/>
      <c r="Y996" s="2"/>
      <c r="Z996" s="2"/>
    </row>
    <row r="997" spans="1:26" ht="12.75" hidden="1" customHeight="1">
      <c r="A997" s="26">
        <v>629</v>
      </c>
      <c r="B997" s="27" t="s">
        <v>470</v>
      </c>
      <c r="C997" s="28">
        <v>41983</v>
      </c>
      <c r="D997" s="27"/>
      <c r="E997" s="27" t="s">
        <v>2840</v>
      </c>
      <c r="F997" s="29" t="s">
        <v>2841</v>
      </c>
      <c r="G997" s="27" t="s">
        <v>1008</v>
      </c>
      <c r="H997" s="27" t="s">
        <v>19</v>
      </c>
      <c r="I997" s="27">
        <v>1</v>
      </c>
      <c r="J997" s="30">
        <v>272885947</v>
      </c>
      <c r="K997" s="26" t="s">
        <v>20</v>
      </c>
      <c r="L997" s="26" t="s">
        <v>423</v>
      </c>
      <c r="M997" s="31" t="s">
        <v>2145</v>
      </c>
      <c r="N997" s="2"/>
      <c r="O997" s="2"/>
      <c r="P997" s="2"/>
      <c r="Q997" s="2"/>
      <c r="R997" s="2"/>
      <c r="S997" s="2"/>
      <c r="T997" s="2"/>
      <c r="U997" s="2"/>
      <c r="V997" s="2"/>
      <c r="W997" s="2"/>
      <c r="X997" s="2"/>
      <c r="Y997" s="2"/>
      <c r="Z997" s="2"/>
    </row>
    <row r="998" spans="1:26" ht="25.5" hidden="1" customHeight="1">
      <c r="A998" s="26">
        <v>630</v>
      </c>
      <c r="B998" s="27" t="s">
        <v>909</v>
      </c>
      <c r="C998" s="28">
        <v>41999</v>
      </c>
      <c r="D998" s="27"/>
      <c r="E998" s="27" t="s">
        <v>2843</v>
      </c>
      <c r="F998" s="29" t="s">
        <v>2844</v>
      </c>
      <c r="G998" s="27" t="s">
        <v>2726</v>
      </c>
      <c r="H998" s="27" t="s">
        <v>19</v>
      </c>
      <c r="I998" s="27">
        <v>1</v>
      </c>
      <c r="J998" s="30">
        <v>478617211</v>
      </c>
      <c r="K998" s="26" t="s">
        <v>20</v>
      </c>
      <c r="L998" s="26" t="s">
        <v>233</v>
      </c>
      <c r="M998" s="31" t="s">
        <v>5416</v>
      </c>
      <c r="N998" s="2"/>
      <c r="O998" s="2"/>
      <c r="P998" s="2"/>
      <c r="Q998" s="2"/>
      <c r="R998" s="2"/>
      <c r="S998" s="2"/>
      <c r="T998" s="2"/>
      <c r="U998" s="2"/>
      <c r="V998" s="2"/>
      <c r="W998" s="2"/>
      <c r="X998" s="2"/>
      <c r="Y998" s="2"/>
      <c r="Z998" s="2"/>
    </row>
    <row r="999" spans="1:26" ht="25.5" hidden="1" customHeight="1">
      <c r="A999" s="26">
        <v>631</v>
      </c>
      <c r="B999" s="27" t="s">
        <v>909</v>
      </c>
      <c r="C999" s="28">
        <v>41999</v>
      </c>
      <c r="D999" s="27"/>
      <c r="E999" s="27" t="s">
        <v>2846</v>
      </c>
      <c r="F999" s="29" t="s">
        <v>2847</v>
      </c>
      <c r="G999" s="27" t="s">
        <v>2726</v>
      </c>
      <c r="H999" s="27" t="s">
        <v>19</v>
      </c>
      <c r="I999" s="27">
        <v>1</v>
      </c>
      <c r="J999" s="30">
        <v>478617211</v>
      </c>
      <c r="K999" s="26" t="s">
        <v>20</v>
      </c>
      <c r="L999" s="26" t="s">
        <v>233</v>
      </c>
      <c r="M999" s="31" t="s">
        <v>5416</v>
      </c>
      <c r="N999" s="2"/>
      <c r="O999" s="2"/>
      <c r="P999" s="2"/>
      <c r="Q999" s="2"/>
      <c r="R999" s="2"/>
      <c r="S999" s="2"/>
      <c r="T999" s="2"/>
      <c r="U999" s="2"/>
      <c r="V999" s="2"/>
      <c r="W999" s="2"/>
      <c r="X999" s="2"/>
      <c r="Y999" s="2"/>
      <c r="Z999" s="2"/>
    </row>
    <row r="1000" spans="1:26" ht="25.5" hidden="1" customHeight="1">
      <c r="A1000" s="26">
        <v>632</v>
      </c>
      <c r="B1000" s="27" t="s">
        <v>909</v>
      </c>
      <c r="C1000" s="28">
        <v>41999</v>
      </c>
      <c r="D1000" s="27"/>
      <c r="E1000" s="27" t="s">
        <v>2849</v>
      </c>
      <c r="F1000" s="29" t="s">
        <v>2850</v>
      </c>
      <c r="G1000" s="27" t="s">
        <v>2726</v>
      </c>
      <c r="H1000" s="27" t="s">
        <v>19</v>
      </c>
      <c r="I1000" s="27">
        <v>1</v>
      </c>
      <c r="J1000" s="30">
        <v>478617212</v>
      </c>
      <c r="K1000" s="26" t="s">
        <v>20</v>
      </c>
      <c r="L1000" s="26" t="s">
        <v>233</v>
      </c>
      <c r="M1000" s="31" t="s">
        <v>5416</v>
      </c>
      <c r="N1000" s="2"/>
      <c r="O1000" s="2"/>
      <c r="P1000" s="2"/>
      <c r="Q1000" s="2"/>
      <c r="R1000" s="2"/>
      <c r="S1000" s="2"/>
      <c r="T1000" s="2"/>
      <c r="U1000" s="2"/>
      <c r="V1000" s="2"/>
      <c r="W1000" s="2"/>
      <c r="X1000" s="2"/>
      <c r="Y1000" s="2"/>
      <c r="Z1000" s="2"/>
    </row>
    <row r="1001" spans="1:26" ht="25.5" hidden="1" customHeight="1">
      <c r="A1001" s="26">
        <v>633</v>
      </c>
      <c r="B1001" s="27" t="s">
        <v>2852</v>
      </c>
      <c r="C1001" s="28">
        <v>42216</v>
      </c>
      <c r="D1001" s="27"/>
      <c r="E1001" s="27" t="s">
        <v>2853</v>
      </c>
      <c r="F1001" s="29" t="s">
        <v>2854</v>
      </c>
      <c r="G1001" s="27" t="s">
        <v>2726</v>
      </c>
      <c r="H1001" s="27" t="s">
        <v>19</v>
      </c>
      <c r="I1001" s="27">
        <v>1</v>
      </c>
      <c r="J1001" s="30">
        <v>115063355</v>
      </c>
      <c r="K1001" s="26" t="s">
        <v>20</v>
      </c>
      <c r="L1001" s="26" t="s">
        <v>233</v>
      </c>
      <c r="M1001" s="31" t="s">
        <v>5416</v>
      </c>
      <c r="N1001" s="2"/>
      <c r="O1001" s="2"/>
      <c r="P1001" s="2"/>
      <c r="Q1001" s="2"/>
      <c r="R1001" s="2"/>
      <c r="S1001" s="2"/>
      <c r="T1001" s="2"/>
      <c r="U1001" s="2"/>
      <c r="V1001" s="2"/>
      <c r="W1001" s="2"/>
      <c r="X1001" s="2"/>
      <c r="Y1001" s="2"/>
      <c r="Z1001" s="2"/>
    </row>
    <row r="1002" spans="1:26" ht="25.5" hidden="1" customHeight="1">
      <c r="A1002" s="26">
        <v>634</v>
      </c>
      <c r="B1002" s="27" t="s">
        <v>2852</v>
      </c>
      <c r="C1002" s="28">
        <v>42216</v>
      </c>
      <c r="D1002" s="27"/>
      <c r="E1002" s="27" t="s">
        <v>2855</v>
      </c>
      <c r="F1002" s="29" t="s">
        <v>2856</v>
      </c>
      <c r="G1002" s="27" t="s">
        <v>2726</v>
      </c>
      <c r="H1002" s="27" t="s">
        <v>19</v>
      </c>
      <c r="I1002" s="27">
        <v>1</v>
      </c>
      <c r="J1002" s="30">
        <v>115063355</v>
      </c>
      <c r="K1002" s="26" t="s">
        <v>20</v>
      </c>
      <c r="L1002" s="26" t="s">
        <v>233</v>
      </c>
      <c r="M1002" s="31" t="s">
        <v>5416</v>
      </c>
      <c r="N1002" s="2"/>
      <c r="O1002" s="2"/>
      <c r="P1002" s="2"/>
      <c r="Q1002" s="2"/>
      <c r="R1002" s="2"/>
      <c r="S1002" s="2"/>
      <c r="T1002" s="2"/>
      <c r="U1002" s="2"/>
      <c r="V1002" s="2"/>
      <c r="W1002" s="2"/>
      <c r="X1002" s="2"/>
      <c r="Y1002" s="2"/>
      <c r="Z1002" s="2"/>
    </row>
    <row r="1003" spans="1:26" ht="25.5" hidden="1" customHeight="1">
      <c r="A1003" s="26">
        <v>635</v>
      </c>
      <c r="B1003" s="27" t="s">
        <v>2852</v>
      </c>
      <c r="C1003" s="28">
        <v>42216</v>
      </c>
      <c r="D1003" s="27"/>
      <c r="E1003" s="27" t="s">
        <v>2857</v>
      </c>
      <c r="F1003" s="29" t="s">
        <v>2858</v>
      </c>
      <c r="G1003" s="27" t="s">
        <v>2726</v>
      </c>
      <c r="H1003" s="27" t="s">
        <v>19</v>
      </c>
      <c r="I1003" s="27">
        <v>1</v>
      </c>
      <c r="J1003" s="30">
        <v>115063355</v>
      </c>
      <c r="K1003" s="26" t="s">
        <v>20</v>
      </c>
      <c r="L1003" s="26" t="s">
        <v>233</v>
      </c>
      <c r="M1003" s="31" t="s">
        <v>5416</v>
      </c>
      <c r="N1003" s="2"/>
      <c r="O1003" s="2"/>
      <c r="P1003" s="2"/>
      <c r="Q1003" s="2"/>
      <c r="R1003" s="2"/>
      <c r="S1003" s="2"/>
      <c r="T1003" s="2"/>
      <c r="U1003" s="2"/>
      <c r="V1003" s="2"/>
      <c r="W1003" s="2"/>
      <c r="X1003" s="2"/>
      <c r="Y1003" s="2"/>
      <c r="Z1003" s="2"/>
    </row>
    <row r="1004" spans="1:26" ht="25.5" hidden="1" customHeight="1">
      <c r="A1004" s="26">
        <v>636</v>
      </c>
      <c r="B1004" s="27" t="s">
        <v>973</v>
      </c>
      <c r="C1004" s="28">
        <v>43799</v>
      </c>
      <c r="D1004" s="27"/>
      <c r="E1004" s="27" t="s">
        <v>2859</v>
      </c>
      <c r="F1004" s="29" t="s">
        <v>2860</v>
      </c>
      <c r="G1004" s="27" t="s">
        <v>55</v>
      </c>
      <c r="H1004" s="27" t="s">
        <v>19</v>
      </c>
      <c r="I1004" s="27">
        <v>1</v>
      </c>
      <c r="J1004" s="30">
        <v>8062243572</v>
      </c>
      <c r="K1004" s="26" t="s">
        <v>20</v>
      </c>
      <c r="L1004" s="26" t="s">
        <v>295</v>
      </c>
      <c r="M1004" s="31" t="s">
        <v>2861</v>
      </c>
      <c r="N1004" s="2"/>
      <c r="O1004" s="2"/>
      <c r="P1004" s="2"/>
      <c r="Q1004" s="2"/>
      <c r="R1004" s="2"/>
      <c r="S1004" s="2"/>
      <c r="T1004" s="2"/>
      <c r="U1004" s="2"/>
      <c r="V1004" s="2"/>
      <c r="W1004" s="2"/>
      <c r="X1004" s="2"/>
      <c r="Y1004" s="2"/>
      <c r="Z1004" s="2"/>
    </row>
    <row r="1005" spans="1:26" ht="12.75" hidden="1" customHeight="1">
      <c r="A1005" s="26" t="s">
        <v>2862</v>
      </c>
      <c r="B1005" s="27"/>
      <c r="C1005" s="28"/>
      <c r="D1005" s="27"/>
      <c r="E1005" s="27" t="s">
        <v>2863</v>
      </c>
      <c r="F1005" s="29" t="s">
        <v>2864</v>
      </c>
      <c r="G1005" s="27"/>
      <c r="H1005" s="27" t="s">
        <v>249</v>
      </c>
      <c r="I1005" s="27">
        <v>1</v>
      </c>
      <c r="J1005" s="30">
        <v>0</v>
      </c>
      <c r="K1005" s="26" t="s">
        <v>20</v>
      </c>
      <c r="L1005" s="26" t="s">
        <v>295</v>
      </c>
      <c r="M1005" s="31"/>
      <c r="N1005" s="2"/>
      <c r="O1005" s="2"/>
      <c r="P1005" s="2"/>
      <c r="Q1005" s="2"/>
      <c r="R1005" s="2"/>
      <c r="S1005" s="2"/>
      <c r="T1005" s="2"/>
      <c r="U1005" s="2"/>
      <c r="V1005" s="2"/>
      <c r="W1005" s="2"/>
      <c r="X1005" s="2"/>
      <c r="Y1005" s="2"/>
      <c r="Z1005" s="2"/>
    </row>
    <row r="1006" spans="1:26" ht="12.75" hidden="1" customHeight="1">
      <c r="A1006" s="26" t="s">
        <v>2865</v>
      </c>
      <c r="B1006" s="27"/>
      <c r="C1006" s="28"/>
      <c r="D1006" s="27"/>
      <c r="E1006" s="27" t="s">
        <v>2866</v>
      </c>
      <c r="F1006" s="29" t="s">
        <v>2867</v>
      </c>
      <c r="G1006" s="27"/>
      <c r="H1006" s="27" t="s">
        <v>249</v>
      </c>
      <c r="I1006" s="27">
        <v>1</v>
      </c>
      <c r="J1006" s="30">
        <v>0</v>
      </c>
      <c r="K1006" s="26" t="s">
        <v>20</v>
      </c>
      <c r="L1006" s="26" t="s">
        <v>295</v>
      </c>
      <c r="M1006" s="31"/>
      <c r="N1006" s="2"/>
      <c r="O1006" s="2"/>
      <c r="P1006" s="2"/>
      <c r="Q1006" s="2"/>
      <c r="R1006" s="2"/>
      <c r="S1006" s="2"/>
      <c r="T1006" s="2"/>
      <c r="U1006" s="2"/>
      <c r="V1006" s="2"/>
      <c r="W1006" s="2"/>
      <c r="X1006" s="2"/>
      <c r="Y1006" s="2"/>
      <c r="Z1006" s="2"/>
    </row>
    <row r="1007" spans="1:26" ht="12.75" hidden="1" customHeight="1">
      <c r="A1007" s="26" t="s">
        <v>2868</v>
      </c>
      <c r="B1007" s="27"/>
      <c r="C1007" s="28"/>
      <c r="D1007" s="27"/>
      <c r="E1007" s="27" t="s">
        <v>2869</v>
      </c>
      <c r="F1007" s="29" t="s">
        <v>2870</v>
      </c>
      <c r="G1007" s="27"/>
      <c r="H1007" s="27" t="s">
        <v>249</v>
      </c>
      <c r="I1007" s="27">
        <v>1</v>
      </c>
      <c r="J1007" s="30">
        <v>0</v>
      </c>
      <c r="K1007" s="26" t="s">
        <v>20</v>
      </c>
      <c r="L1007" s="26" t="s">
        <v>295</v>
      </c>
      <c r="M1007" s="31"/>
      <c r="N1007" s="2"/>
      <c r="O1007" s="2"/>
      <c r="P1007" s="2"/>
      <c r="Q1007" s="2"/>
      <c r="R1007" s="2"/>
      <c r="S1007" s="2"/>
      <c r="T1007" s="2"/>
      <c r="U1007" s="2"/>
      <c r="V1007" s="2"/>
      <c r="W1007" s="2"/>
      <c r="X1007" s="2"/>
      <c r="Y1007" s="2"/>
      <c r="Z1007" s="2"/>
    </row>
    <row r="1008" spans="1:26" ht="12.75" hidden="1" customHeight="1">
      <c r="A1008" s="26" t="s">
        <v>2871</v>
      </c>
      <c r="B1008" s="27"/>
      <c r="C1008" s="28"/>
      <c r="D1008" s="27"/>
      <c r="E1008" s="27" t="s">
        <v>2872</v>
      </c>
      <c r="F1008" s="29" t="s">
        <v>2873</v>
      </c>
      <c r="G1008" s="27"/>
      <c r="H1008" s="27" t="s">
        <v>249</v>
      </c>
      <c r="I1008" s="27">
        <v>1</v>
      </c>
      <c r="J1008" s="30">
        <v>0</v>
      </c>
      <c r="K1008" s="26" t="s">
        <v>20</v>
      </c>
      <c r="L1008" s="26" t="s">
        <v>295</v>
      </c>
      <c r="M1008" s="31"/>
      <c r="N1008" s="2"/>
      <c r="O1008" s="2"/>
      <c r="P1008" s="2"/>
      <c r="Q1008" s="2"/>
      <c r="R1008" s="2"/>
      <c r="S1008" s="2"/>
      <c r="T1008" s="2"/>
      <c r="U1008" s="2"/>
      <c r="V1008" s="2"/>
      <c r="W1008" s="2"/>
      <c r="X1008" s="2"/>
      <c r="Y1008" s="2"/>
      <c r="Z1008" s="2"/>
    </row>
    <row r="1009" spans="1:26" ht="12.75" hidden="1" customHeight="1">
      <c r="A1009" s="26" t="s">
        <v>2874</v>
      </c>
      <c r="B1009" s="27"/>
      <c r="C1009" s="28"/>
      <c r="D1009" s="27"/>
      <c r="E1009" s="27" t="s">
        <v>2875</v>
      </c>
      <c r="F1009" s="29" t="s">
        <v>2876</v>
      </c>
      <c r="G1009" s="27"/>
      <c r="H1009" s="27" t="s">
        <v>249</v>
      </c>
      <c r="I1009" s="27">
        <v>1</v>
      </c>
      <c r="J1009" s="30">
        <v>0</v>
      </c>
      <c r="K1009" s="26" t="s">
        <v>20</v>
      </c>
      <c r="L1009" s="26" t="s">
        <v>295</v>
      </c>
      <c r="M1009" s="31"/>
      <c r="N1009" s="2"/>
      <c r="O1009" s="2"/>
      <c r="P1009" s="2"/>
      <c r="Q1009" s="2"/>
      <c r="R1009" s="2"/>
      <c r="S1009" s="2"/>
      <c r="T1009" s="2"/>
      <c r="U1009" s="2"/>
      <c r="V1009" s="2"/>
      <c r="W1009" s="2"/>
      <c r="X1009" s="2"/>
      <c r="Y1009" s="2"/>
      <c r="Z1009" s="2"/>
    </row>
    <row r="1010" spans="1:26" ht="25.5" hidden="1" customHeight="1">
      <c r="A1010" s="26">
        <v>637</v>
      </c>
      <c r="B1010" s="27" t="s">
        <v>2012</v>
      </c>
      <c r="C1010" s="28">
        <v>43798</v>
      </c>
      <c r="D1010" s="27"/>
      <c r="E1010" s="27" t="s">
        <v>2877</v>
      </c>
      <c r="F1010" s="29" t="s">
        <v>2878</v>
      </c>
      <c r="G1010" s="27" t="s">
        <v>307</v>
      </c>
      <c r="H1010" s="27" t="s">
        <v>249</v>
      </c>
      <c r="I1010" s="27">
        <v>1</v>
      </c>
      <c r="J1010" s="30">
        <v>78660000</v>
      </c>
      <c r="K1010" s="26" t="s">
        <v>20</v>
      </c>
      <c r="L1010" s="36" t="s">
        <v>229</v>
      </c>
      <c r="M1010" s="31" t="s">
        <v>5417</v>
      </c>
      <c r="N1010" s="2"/>
      <c r="O1010" s="2"/>
      <c r="P1010" s="2"/>
      <c r="Q1010" s="2"/>
      <c r="R1010" s="2"/>
      <c r="S1010" s="2"/>
      <c r="T1010" s="2"/>
      <c r="U1010" s="2"/>
      <c r="V1010" s="2"/>
      <c r="W1010" s="2"/>
      <c r="X1010" s="2"/>
      <c r="Y1010" s="2"/>
      <c r="Z1010" s="2"/>
    </row>
    <row r="1011" spans="1:26" ht="12.75" hidden="1" customHeight="1">
      <c r="A1011" s="26" t="s">
        <v>2879</v>
      </c>
      <c r="B1011" s="27"/>
      <c r="C1011" s="28"/>
      <c r="D1011" s="27"/>
      <c r="E1011" s="27" t="s">
        <v>2880</v>
      </c>
      <c r="F1011" s="29" t="s">
        <v>2881</v>
      </c>
      <c r="G1011" s="27" t="s">
        <v>1008</v>
      </c>
      <c r="H1011" s="27" t="s">
        <v>249</v>
      </c>
      <c r="I1011" s="27">
        <v>1</v>
      </c>
      <c r="J1011" s="30">
        <v>27560000</v>
      </c>
      <c r="K1011" s="26" t="s">
        <v>20</v>
      </c>
      <c r="L1011" s="36" t="s">
        <v>229</v>
      </c>
      <c r="M1011" s="31"/>
      <c r="N1011" s="2"/>
      <c r="O1011" s="2"/>
      <c r="P1011" s="2"/>
      <c r="Q1011" s="2"/>
      <c r="R1011" s="2"/>
      <c r="S1011" s="2"/>
      <c r="T1011" s="2"/>
      <c r="U1011" s="2"/>
      <c r="V1011" s="2"/>
      <c r="W1011" s="2"/>
      <c r="X1011" s="2"/>
      <c r="Y1011" s="2"/>
      <c r="Z1011" s="2"/>
    </row>
    <row r="1012" spans="1:26" ht="25.5" hidden="1" customHeight="1">
      <c r="A1012" s="26">
        <v>638</v>
      </c>
      <c r="B1012" s="27" t="s">
        <v>2012</v>
      </c>
      <c r="C1012" s="28">
        <v>43798</v>
      </c>
      <c r="D1012" s="27"/>
      <c r="E1012" s="27" t="s">
        <v>2882</v>
      </c>
      <c r="F1012" s="29" t="s">
        <v>2883</v>
      </c>
      <c r="G1012" s="27" t="s">
        <v>307</v>
      </c>
      <c r="H1012" s="27" t="s">
        <v>249</v>
      </c>
      <c r="I1012" s="27">
        <v>1</v>
      </c>
      <c r="J1012" s="30">
        <v>71490000</v>
      </c>
      <c r="K1012" s="26" t="s">
        <v>20</v>
      </c>
      <c r="L1012" s="36" t="s">
        <v>229</v>
      </c>
      <c r="M1012" s="31" t="s">
        <v>5415</v>
      </c>
      <c r="N1012" s="2"/>
      <c r="O1012" s="2"/>
      <c r="P1012" s="2"/>
      <c r="Q1012" s="2"/>
      <c r="R1012" s="2"/>
      <c r="S1012" s="2"/>
      <c r="T1012" s="2"/>
      <c r="U1012" s="2"/>
      <c r="V1012" s="2"/>
      <c r="W1012" s="2"/>
      <c r="X1012" s="2"/>
      <c r="Y1012" s="2"/>
      <c r="Z1012" s="2"/>
    </row>
    <row r="1013" spans="1:26" ht="12.75" hidden="1" customHeight="1">
      <c r="A1013" s="26" t="s">
        <v>2884</v>
      </c>
      <c r="B1013" s="27"/>
      <c r="C1013" s="28"/>
      <c r="D1013" s="27"/>
      <c r="E1013" s="27" t="s">
        <v>2885</v>
      </c>
      <c r="F1013" s="29" t="s">
        <v>2886</v>
      </c>
      <c r="G1013" s="27" t="s">
        <v>248</v>
      </c>
      <c r="H1013" s="27" t="s">
        <v>249</v>
      </c>
      <c r="I1013" s="27">
        <v>1</v>
      </c>
      <c r="J1013" s="30">
        <v>20390000</v>
      </c>
      <c r="K1013" s="26" t="s">
        <v>20</v>
      </c>
      <c r="L1013" s="36" t="s">
        <v>229</v>
      </c>
      <c r="M1013" s="31"/>
      <c r="N1013" s="2"/>
      <c r="O1013" s="2"/>
      <c r="P1013" s="2"/>
      <c r="Q1013" s="2"/>
      <c r="R1013" s="2"/>
      <c r="S1013" s="2"/>
      <c r="T1013" s="2"/>
      <c r="U1013" s="2"/>
      <c r="V1013" s="2"/>
      <c r="W1013" s="2"/>
      <c r="X1013" s="2"/>
      <c r="Y1013" s="2"/>
      <c r="Z1013" s="2"/>
    </row>
    <row r="1014" spans="1:26" ht="25.5" hidden="1" customHeight="1">
      <c r="A1014" s="26">
        <v>639</v>
      </c>
      <c r="B1014" s="27" t="s">
        <v>2012</v>
      </c>
      <c r="C1014" s="28">
        <v>43798</v>
      </c>
      <c r="D1014" s="27"/>
      <c r="E1014" s="27" t="s">
        <v>2887</v>
      </c>
      <c r="F1014" s="29" t="s">
        <v>2888</v>
      </c>
      <c r="G1014" s="27" t="s">
        <v>307</v>
      </c>
      <c r="H1014" s="27" t="s">
        <v>249</v>
      </c>
      <c r="I1014" s="27">
        <v>1</v>
      </c>
      <c r="J1014" s="30">
        <v>71490000</v>
      </c>
      <c r="K1014" s="26" t="s">
        <v>20</v>
      </c>
      <c r="L1014" s="36" t="s">
        <v>229</v>
      </c>
      <c r="M1014" s="31" t="s">
        <v>5415</v>
      </c>
      <c r="N1014" s="2"/>
      <c r="O1014" s="2"/>
      <c r="P1014" s="2"/>
      <c r="Q1014" s="2"/>
      <c r="R1014" s="2"/>
      <c r="S1014" s="2"/>
      <c r="T1014" s="2"/>
      <c r="U1014" s="2"/>
      <c r="V1014" s="2"/>
      <c r="W1014" s="2"/>
      <c r="X1014" s="2"/>
      <c r="Y1014" s="2"/>
      <c r="Z1014" s="2"/>
    </row>
    <row r="1015" spans="1:26" ht="12.75" hidden="1" customHeight="1">
      <c r="A1015" s="26" t="s">
        <v>2889</v>
      </c>
      <c r="B1015" s="27"/>
      <c r="C1015" s="28"/>
      <c r="D1015" s="27"/>
      <c r="E1015" s="27" t="s">
        <v>2890</v>
      </c>
      <c r="F1015" s="29" t="s">
        <v>2891</v>
      </c>
      <c r="G1015" s="27" t="s">
        <v>248</v>
      </c>
      <c r="H1015" s="27" t="s">
        <v>249</v>
      </c>
      <c r="I1015" s="27">
        <v>1</v>
      </c>
      <c r="J1015" s="30">
        <v>20390000</v>
      </c>
      <c r="K1015" s="26" t="s">
        <v>20</v>
      </c>
      <c r="L1015" s="36" t="s">
        <v>229</v>
      </c>
      <c r="M1015" s="31"/>
      <c r="N1015" s="2"/>
      <c r="O1015" s="2"/>
      <c r="P1015" s="2"/>
      <c r="Q1015" s="2"/>
      <c r="R1015" s="2"/>
      <c r="S1015" s="2"/>
      <c r="T1015" s="2"/>
      <c r="U1015" s="2"/>
      <c r="V1015" s="2"/>
      <c r="W1015" s="2"/>
      <c r="X1015" s="2"/>
      <c r="Y1015" s="2"/>
      <c r="Z1015" s="2"/>
    </row>
    <row r="1016" spans="1:26" ht="12.75" hidden="1" customHeight="1">
      <c r="A1016" s="26">
        <v>640</v>
      </c>
      <c r="B1016" s="27" t="s">
        <v>281</v>
      </c>
      <c r="C1016" s="28">
        <v>41044</v>
      </c>
      <c r="D1016" s="27"/>
      <c r="E1016" s="27" t="s">
        <v>2892</v>
      </c>
      <c r="F1016" s="29" t="s">
        <v>2893</v>
      </c>
      <c r="G1016" s="27" t="s">
        <v>35</v>
      </c>
      <c r="H1016" s="27" t="s">
        <v>19</v>
      </c>
      <c r="I1016" s="27">
        <v>1</v>
      </c>
      <c r="J1016" s="30">
        <v>229000000</v>
      </c>
      <c r="K1016" s="26" t="s">
        <v>20</v>
      </c>
      <c r="L1016" s="36" t="s">
        <v>229</v>
      </c>
      <c r="M1016" s="31" t="s">
        <v>5418</v>
      </c>
      <c r="N1016" s="2"/>
      <c r="O1016" s="2"/>
      <c r="P1016" s="2"/>
      <c r="Q1016" s="2"/>
      <c r="R1016" s="2"/>
      <c r="S1016" s="2"/>
      <c r="T1016" s="2"/>
      <c r="U1016" s="2"/>
      <c r="V1016" s="2"/>
      <c r="W1016" s="2"/>
      <c r="X1016" s="2"/>
      <c r="Y1016" s="2"/>
      <c r="Z1016" s="2"/>
    </row>
    <row r="1017" spans="1:26" ht="12.75" hidden="1" customHeight="1">
      <c r="A1017" s="26" t="s">
        <v>2894</v>
      </c>
      <c r="B1017" s="27"/>
      <c r="C1017" s="28"/>
      <c r="D1017" s="27"/>
      <c r="E1017" s="27" t="s">
        <v>2895</v>
      </c>
      <c r="F1017" s="29" t="s">
        <v>2896</v>
      </c>
      <c r="G1017" s="27"/>
      <c r="H1017" s="27"/>
      <c r="I1017" s="27">
        <v>1</v>
      </c>
      <c r="J1017" s="30">
        <v>0</v>
      </c>
      <c r="K1017" s="26" t="s">
        <v>20</v>
      </c>
      <c r="L1017" s="36" t="s">
        <v>229</v>
      </c>
      <c r="M1017" s="31" t="s">
        <v>5419</v>
      </c>
      <c r="N1017" s="2"/>
      <c r="O1017" s="2"/>
      <c r="P1017" s="2"/>
      <c r="Q1017" s="2"/>
      <c r="R1017" s="2"/>
      <c r="S1017" s="2"/>
      <c r="T1017" s="2"/>
      <c r="U1017" s="2"/>
      <c r="V1017" s="2"/>
      <c r="W1017" s="2"/>
      <c r="X1017" s="2"/>
      <c r="Y1017" s="2"/>
      <c r="Z1017" s="2"/>
    </row>
    <row r="1018" spans="1:26" ht="25.5" hidden="1" customHeight="1">
      <c r="A1018" s="26">
        <v>641</v>
      </c>
      <c r="B1018" s="27" t="s">
        <v>388</v>
      </c>
      <c r="C1018" s="28">
        <v>41576</v>
      </c>
      <c r="D1018" s="27"/>
      <c r="E1018" s="27" t="s">
        <v>2897</v>
      </c>
      <c r="F1018" s="29" t="s">
        <v>2898</v>
      </c>
      <c r="G1018" s="27" t="s">
        <v>307</v>
      </c>
      <c r="H1018" s="27" t="s">
        <v>249</v>
      </c>
      <c r="I1018" s="27">
        <v>1</v>
      </c>
      <c r="J1018" s="30">
        <v>338510737</v>
      </c>
      <c r="K1018" s="26" t="s">
        <v>36</v>
      </c>
      <c r="L1018" s="26" t="s">
        <v>169</v>
      </c>
      <c r="M1018" s="31" t="s">
        <v>2899</v>
      </c>
      <c r="N1018" s="2"/>
      <c r="O1018" s="2"/>
      <c r="P1018" s="2"/>
      <c r="Q1018" s="2"/>
      <c r="R1018" s="2"/>
      <c r="S1018" s="2"/>
      <c r="T1018" s="2"/>
      <c r="U1018" s="2"/>
      <c r="V1018" s="2"/>
      <c r="W1018" s="2"/>
      <c r="X1018" s="2"/>
      <c r="Y1018" s="2"/>
      <c r="Z1018" s="2"/>
    </row>
    <row r="1019" spans="1:26" ht="25.5" hidden="1" customHeight="1">
      <c r="A1019" s="26">
        <v>642</v>
      </c>
      <c r="B1019" s="27" t="s">
        <v>388</v>
      </c>
      <c r="C1019" s="28">
        <v>41576</v>
      </c>
      <c r="D1019" s="27"/>
      <c r="E1019" s="27" t="s">
        <v>2900</v>
      </c>
      <c r="F1019" s="29" t="s">
        <v>2901</v>
      </c>
      <c r="G1019" s="27" t="s">
        <v>307</v>
      </c>
      <c r="H1019" s="27" t="s">
        <v>249</v>
      </c>
      <c r="I1019" s="27">
        <v>1</v>
      </c>
      <c r="J1019" s="30">
        <v>338510737</v>
      </c>
      <c r="K1019" s="26" t="s">
        <v>36</v>
      </c>
      <c r="L1019" s="26" t="s">
        <v>169</v>
      </c>
      <c r="M1019" s="31" t="s">
        <v>2899</v>
      </c>
      <c r="N1019" s="2"/>
      <c r="O1019" s="2"/>
      <c r="P1019" s="2"/>
      <c r="Q1019" s="2"/>
      <c r="R1019" s="2"/>
      <c r="S1019" s="2"/>
      <c r="T1019" s="2"/>
      <c r="U1019" s="2"/>
      <c r="V1019" s="2"/>
      <c r="W1019" s="2"/>
      <c r="X1019" s="2"/>
      <c r="Y1019" s="2"/>
      <c r="Z1019" s="2"/>
    </row>
    <row r="1020" spans="1:26" ht="25.5" hidden="1" customHeight="1">
      <c r="A1020" s="26">
        <v>643</v>
      </c>
      <c r="B1020" s="27" t="s">
        <v>388</v>
      </c>
      <c r="C1020" s="28">
        <v>41576</v>
      </c>
      <c r="D1020" s="27"/>
      <c r="E1020" s="27" t="s">
        <v>2902</v>
      </c>
      <c r="F1020" s="29" t="s">
        <v>2903</v>
      </c>
      <c r="G1020" s="27" t="s">
        <v>307</v>
      </c>
      <c r="H1020" s="27" t="s">
        <v>249</v>
      </c>
      <c r="I1020" s="27">
        <v>1</v>
      </c>
      <c r="J1020" s="30">
        <v>338510737</v>
      </c>
      <c r="K1020" s="26" t="s">
        <v>36</v>
      </c>
      <c r="L1020" s="26" t="s">
        <v>169</v>
      </c>
      <c r="M1020" s="31" t="s">
        <v>2899</v>
      </c>
      <c r="N1020" s="2"/>
      <c r="O1020" s="2"/>
      <c r="P1020" s="2"/>
      <c r="Q1020" s="2"/>
      <c r="R1020" s="2"/>
      <c r="S1020" s="2"/>
      <c r="T1020" s="2"/>
      <c r="U1020" s="2"/>
      <c r="V1020" s="2"/>
      <c r="W1020" s="2"/>
      <c r="X1020" s="2"/>
      <c r="Y1020" s="2"/>
      <c r="Z1020" s="2"/>
    </row>
    <row r="1021" spans="1:26" ht="12.75" hidden="1" customHeight="1">
      <c r="A1021" s="38">
        <v>644</v>
      </c>
      <c r="B1021" s="27" t="s">
        <v>1005</v>
      </c>
      <c r="C1021" s="40">
        <v>39994</v>
      </c>
      <c r="D1021" s="27"/>
      <c r="E1021" s="39" t="s">
        <v>2904</v>
      </c>
      <c r="F1021" s="41" t="s">
        <v>2905</v>
      </c>
      <c r="G1021" s="27" t="s">
        <v>248</v>
      </c>
      <c r="H1021" s="27" t="s">
        <v>569</v>
      </c>
      <c r="I1021" s="27">
        <v>1</v>
      </c>
      <c r="J1021" s="42">
        <v>103101638</v>
      </c>
      <c r="K1021" s="38" t="s">
        <v>206</v>
      </c>
      <c r="L1021" s="38" t="s">
        <v>2906</v>
      </c>
      <c r="M1021" s="43" t="s">
        <v>2907</v>
      </c>
      <c r="N1021" s="2"/>
      <c r="O1021" s="2"/>
      <c r="P1021" s="2"/>
      <c r="Q1021" s="2"/>
      <c r="R1021" s="2"/>
      <c r="S1021" s="2"/>
      <c r="T1021" s="2"/>
      <c r="U1021" s="2"/>
      <c r="V1021" s="2"/>
      <c r="W1021" s="2"/>
      <c r="X1021" s="2"/>
      <c r="Y1021" s="2"/>
      <c r="Z1021" s="2"/>
    </row>
    <row r="1022" spans="1:26" ht="25.5" hidden="1" customHeight="1">
      <c r="A1022" s="26">
        <v>645</v>
      </c>
      <c r="B1022" s="27" t="s">
        <v>1005</v>
      </c>
      <c r="C1022" s="28">
        <v>39994</v>
      </c>
      <c r="D1022" s="27"/>
      <c r="E1022" s="27" t="s">
        <v>2908</v>
      </c>
      <c r="F1022" s="29" t="s">
        <v>2909</v>
      </c>
      <c r="G1022" s="27" t="s">
        <v>1008</v>
      </c>
      <c r="H1022" s="27" t="s">
        <v>569</v>
      </c>
      <c r="I1022" s="27">
        <v>1</v>
      </c>
      <c r="J1022" s="30">
        <v>103874900</v>
      </c>
      <c r="K1022" s="26" t="s">
        <v>20</v>
      </c>
      <c r="L1022" s="36" t="s">
        <v>229</v>
      </c>
      <c r="M1022" s="31" t="s">
        <v>5420</v>
      </c>
      <c r="N1022" s="2"/>
      <c r="O1022" s="2"/>
      <c r="P1022" s="2"/>
      <c r="Q1022" s="2"/>
      <c r="R1022" s="2"/>
      <c r="S1022" s="2"/>
      <c r="T1022" s="2"/>
      <c r="U1022" s="2"/>
      <c r="V1022" s="2"/>
      <c r="W1022" s="2"/>
      <c r="X1022" s="2"/>
      <c r="Y1022" s="2"/>
      <c r="Z1022" s="2"/>
    </row>
    <row r="1023" spans="1:26" ht="12.75" hidden="1" customHeight="1">
      <c r="A1023" s="26">
        <v>646</v>
      </c>
      <c r="B1023" s="27" t="s">
        <v>2910</v>
      </c>
      <c r="C1023" s="28">
        <v>40652</v>
      </c>
      <c r="D1023" s="27"/>
      <c r="E1023" s="27" t="s">
        <v>2911</v>
      </c>
      <c r="F1023" s="29" t="s">
        <v>2912</v>
      </c>
      <c r="G1023" s="27" t="s">
        <v>248</v>
      </c>
      <c r="H1023" s="27" t="s">
        <v>249</v>
      </c>
      <c r="I1023" s="27">
        <v>1</v>
      </c>
      <c r="J1023" s="30">
        <v>105977357</v>
      </c>
      <c r="K1023" s="26" t="s">
        <v>20</v>
      </c>
      <c r="L1023" s="26" t="s">
        <v>233</v>
      </c>
      <c r="M1023" s="31" t="s">
        <v>5421</v>
      </c>
      <c r="N1023" s="2"/>
      <c r="O1023" s="2"/>
      <c r="P1023" s="2"/>
      <c r="Q1023" s="2"/>
      <c r="R1023" s="2"/>
      <c r="S1023" s="2"/>
      <c r="T1023" s="2"/>
      <c r="U1023" s="2"/>
      <c r="V1023" s="2"/>
      <c r="W1023" s="2"/>
      <c r="X1023" s="2"/>
      <c r="Y1023" s="2"/>
      <c r="Z1023" s="2"/>
    </row>
    <row r="1024" spans="1:26" ht="12.75" hidden="1" customHeight="1">
      <c r="A1024" s="26">
        <v>647</v>
      </c>
      <c r="B1024" s="27" t="s">
        <v>2910</v>
      </c>
      <c r="C1024" s="28">
        <v>40652</v>
      </c>
      <c r="D1024" s="27"/>
      <c r="E1024" s="27" t="s">
        <v>2914</v>
      </c>
      <c r="F1024" s="29" t="s">
        <v>2915</v>
      </c>
      <c r="G1024" s="27" t="s">
        <v>248</v>
      </c>
      <c r="H1024" s="27" t="s">
        <v>249</v>
      </c>
      <c r="I1024" s="27">
        <v>1</v>
      </c>
      <c r="J1024" s="30">
        <v>105977357</v>
      </c>
      <c r="K1024" s="26" t="s">
        <v>20</v>
      </c>
      <c r="L1024" s="26" t="s">
        <v>423</v>
      </c>
      <c r="M1024" s="31" t="s">
        <v>5274</v>
      </c>
      <c r="N1024" s="2"/>
      <c r="O1024" s="2"/>
      <c r="P1024" s="2"/>
      <c r="Q1024" s="2"/>
      <c r="R1024" s="2"/>
      <c r="S1024" s="2"/>
      <c r="T1024" s="2"/>
      <c r="U1024" s="2"/>
      <c r="V1024" s="2"/>
      <c r="W1024" s="2"/>
      <c r="X1024" s="2"/>
      <c r="Y1024" s="2"/>
      <c r="Z1024" s="2"/>
    </row>
    <row r="1025" spans="1:26" ht="25.5" hidden="1" customHeight="1">
      <c r="A1025" s="26">
        <v>648</v>
      </c>
      <c r="B1025" s="27" t="s">
        <v>42</v>
      </c>
      <c r="C1025" s="28">
        <v>40702</v>
      </c>
      <c r="D1025" s="27"/>
      <c r="E1025" s="27" t="s">
        <v>2917</v>
      </c>
      <c r="F1025" s="29" t="s">
        <v>2918</v>
      </c>
      <c r="G1025" s="27" t="s">
        <v>1008</v>
      </c>
      <c r="H1025" s="27" t="s">
        <v>249</v>
      </c>
      <c r="I1025" s="27">
        <v>1</v>
      </c>
      <c r="J1025" s="30">
        <v>107941512</v>
      </c>
      <c r="K1025" s="26" t="s">
        <v>20</v>
      </c>
      <c r="L1025" s="26" t="s">
        <v>233</v>
      </c>
      <c r="M1025" s="31" t="s">
        <v>2919</v>
      </c>
      <c r="N1025" s="2"/>
      <c r="O1025" s="2"/>
      <c r="P1025" s="2"/>
      <c r="Q1025" s="2"/>
      <c r="R1025" s="2"/>
      <c r="S1025" s="2"/>
      <c r="T1025" s="2"/>
      <c r="U1025" s="2"/>
      <c r="V1025" s="2"/>
      <c r="W1025" s="2"/>
      <c r="X1025" s="2"/>
      <c r="Y1025" s="2"/>
      <c r="Z1025" s="2"/>
    </row>
    <row r="1026" spans="1:26" ht="25.5" hidden="1" customHeight="1">
      <c r="A1026" s="26">
        <v>649</v>
      </c>
      <c r="B1026" s="27" t="s">
        <v>42</v>
      </c>
      <c r="C1026" s="28">
        <v>40702</v>
      </c>
      <c r="D1026" s="27"/>
      <c r="E1026" s="27" t="s">
        <v>2920</v>
      </c>
      <c r="F1026" s="29" t="s">
        <v>2921</v>
      </c>
      <c r="G1026" s="27" t="s">
        <v>1008</v>
      </c>
      <c r="H1026" s="27" t="s">
        <v>249</v>
      </c>
      <c r="I1026" s="27">
        <v>1</v>
      </c>
      <c r="J1026" s="30">
        <v>107941512</v>
      </c>
      <c r="K1026" s="26" t="s">
        <v>20</v>
      </c>
      <c r="L1026" s="26" t="s">
        <v>295</v>
      </c>
      <c r="M1026" s="31" t="s">
        <v>2183</v>
      </c>
      <c r="N1026" s="2"/>
      <c r="O1026" s="2"/>
      <c r="P1026" s="2"/>
      <c r="Q1026" s="2"/>
      <c r="R1026" s="2"/>
      <c r="S1026" s="2"/>
      <c r="T1026" s="2"/>
      <c r="U1026" s="2"/>
      <c r="V1026" s="2"/>
      <c r="W1026" s="2"/>
      <c r="X1026" s="2"/>
      <c r="Y1026" s="2"/>
      <c r="Z1026" s="2"/>
    </row>
    <row r="1027" spans="1:26" ht="12.75" hidden="1" customHeight="1">
      <c r="A1027" s="26">
        <v>650</v>
      </c>
      <c r="B1027" s="27" t="s">
        <v>2041</v>
      </c>
      <c r="C1027" s="28">
        <v>42184</v>
      </c>
      <c r="D1027" s="27"/>
      <c r="E1027" s="27" t="s">
        <v>2923</v>
      </c>
      <c r="F1027" s="29" t="s">
        <v>2924</v>
      </c>
      <c r="G1027" s="27" t="s">
        <v>55</v>
      </c>
      <c r="H1027" s="27" t="s">
        <v>19</v>
      </c>
      <c r="I1027" s="27">
        <v>1</v>
      </c>
      <c r="J1027" s="30">
        <v>133099518</v>
      </c>
      <c r="K1027" s="26" t="s">
        <v>20</v>
      </c>
      <c r="L1027" s="36" t="s">
        <v>229</v>
      </c>
      <c r="M1027" s="31" t="s">
        <v>5422</v>
      </c>
      <c r="N1027" s="2"/>
      <c r="O1027" s="2"/>
      <c r="P1027" s="2"/>
      <c r="Q1027" s="2"/>
      <c r="R1027" s="2"/>
      <c r="S1027" s="2"/>
      <c r="T1027" s="2"/>
      <c r="U1027" s="2"/>
      <c r="V1027" s="2"/>
      <c r="W1027" s="2"/>
      <c r="X1027" s="2"/>
      <c r="Y1027" s="2"/>
      <c r="Z1027" s="2"/>
    </row>
    <row r="1028" spans="1:26" ht="12.75" hidden="1" customHeight="1">
      <c r="A1028" s="26">
        <v>651</v>
      </c>
      <c r="B1028" s="27" t="s">
        <v>2041</v>
      </c>
      <c r="C1028" s="28">
        <v>42184</v>
      </c>
      <c r="D1028" s="27"/>
      <c r="E1028" s="27" t="s">
        <v>2925</v>
      </c>
      <c r="F1028" s="29" t="s">
        <v>2926</v>
      </c>
      <c r="G1028" s="27" t="s">
        <v>55</v>
      </c>
      <c r="H1028" s="27" t="s">
        <v>19</v>
      </c>
      <c r="I1028" s="27">
        <v>1</v>
      </c>
      <c r="J1028" s="30">
        <v>133099518</v>
      </c>
      <c r="K1028" s="26" t="s">
        <v>20</v>
      </c>
      <c r="L1028" s="26" t="s">
        <v>233</v>
      </c>
      <c r="M1028" s="31" t="s">
        <v>2927</v>
      </c>
      <c r="N1028" s="2"/>
      <c r="O1028" s="2"/>
      <c r="P1028" s="2"/>
      <c r="Q1028" s="2"/>
      <c r="R1028" s="2"/>
      <c r="S1028" s="2"/>
      <c r="T1028" s="2"/>
      <c r="U1028" s="2"/>
      <c r="V1028" s="2"/>
      <c r="W1028" s="2"/>
      <c r="X1028" s="2"/>
      <c r="Y1028" s="2"/>
      <c r="Z1028" s="2"/>
    </row>
    <row r="1029" spans="1:26" ht="25.5" hidden="1" customHeight="1">
      <c r="A1029" s="26">
        <v>652</v>
      </c>
      <c r="B1029" s="27" t="s">
        <v>938</v>
      </c>
      <c r="C1029" s="28">
        <v>42368</v>
      </c>
      <c r="D1029" s="27"/>
      <c r="E1029" s="27" t="s">
        <v>2928</v>
      </c>
      <c r="F1029" s="29" t="s">
        <v>2929</v>
      </c>
      <c r="G1029" s="27" t="s">
        <v>45</v>
      </c>
      <c r="H1029" s="27" t="s">
        <v>19</v>
      </c>
      <c r="I1029" s="27">
        <v>1</v>
      </c>
      <c r="J1029" s="30">
        <v>237768948</v>
      </c>
      <c r="K1029" s="26" t="s">
        <v>20</v>
      </c>
      <c r="L1029" s="26" t="s">
        <v>233</v>
      </c>
      <c r="M1029" s="31" t="s">
        <v>5277</v>
      </c>
      <c r="N1029" s="2"/>
      <c r="O1029" s="2"/>
      <c r="P1029" s="2"/>
      <c r="Q1029" s="2"/>
      <c r="R1029" s="2"/>
      <c r="S1029" s="2"/>
      <c r="T1029" s="2"/>
      <c r="U1029" s="2"/>
      <c r="V1029" s="2"/>
      <c r="W1029" s="2"/>
      <c r="X1029" s="2"/>
      <c r="Y1029" s="2"/>
      <c r="Z1029" s="2"/>
    </row>
    <row r="1030" spans="1:26" ht="25.5" hidden="1" customHeight="1">
      <c r="A1030" s="26">
        <v>653</v>
      </c>
      <c r="B1030" s="27" t="s">
        <v>938</v>
      </c>
      <c r="C1030" s="28">
        <v>42368</v>
      </c>
      <c r="D1030" s="27"/>
      <c r="E1030" s="27" t="s">
        <v>2931</v>
      </c>
      <c r="F1030" s="29" t="s">
        <v>2932</v>
      </c>
      <c r="G1030" s="27" t="s">
        <v>45</v>
      </c>
      <c r="H1030" s="27" t="s">
        <v>19</v>
      </c>
      <c r="I1030" s="27">
        <v>1</v>
      </c>
      <c r="J1030" s="30">
        <v>237768948</v>
      </c>
      <c r="K1030" s="26" t="s">
        <v>20</v>
      </c>
      <c r="L1030" s="26" t="s">
        <v>233</v>
      </c>
      <c r="M1030" s="31" t="s">
        <v>5278</v>
      </c>
      <c r="N1030" s="2"/>
      <c r="O1030" s="2"/>
      <c r="P1030" s="2"/>
      <c r="Q1030" s="2"/>
      <c r="R1030" s="2"/>
      <c r="S1030" s="2"/>
      <c r="T1030" s="2"/>
      <c r="U1030" s="2"/>
      <c r="V1030" s="2"/>
      <c r="W1030" s="2"/>
      <c r="X1030" s="2"/>
      <c r="Y1030" s="2"/>
      <c r="Z1030" s="2"/>
    </row>
    <row r="1031" spans="1:26" ht="25.5" hidden="1" customHeight="1">
      <c r="A1031" s="26">
        <v>654</v>
      </c>
      <c r="B1031" s="27" t="s">
        <v>599</v>
      </c>
      <c r="C1031" s="28">
        <v>42671</v>
      </c>
      <c r="D1031" s="27"/>
      <c r="E1031" s="27" t="s">
        <v>2934</v>
      </c>
      <c r="F1031" s="29" t="s">
        <v>2935</v>
      </c>
      <c r="G1031" s="27" t="s">
        <v>248</v>
      </c>
      <c r="H1031" s="27" t="s">
        <v>249</v>
      </c>
      <c r="I1031" s="27">
        <v>1</v>
      </c>
      <c r="J1031" s="30">
        <v>83104056</v>
      </c>
      <c r="K1031" s="26" t="s">
        <v>36</v>
      </c>
      <c r="L1031" s="26" t="s">
        <v>169</v>
      </c>
      <c r="M1031" s="31" t="s">
        <v>2936</v>
      </c>
      <c r="N1031" s="2"/>
      <c r="O1031" s="2"/>
      <c r="P1031" s="2"/>
      <c r="Q1031" s="2"/>
      <c r="R1031" s="2"/>
      <c r="S1031" s="2"/>
      <c r="T1031" s="2"/>
      <c r="U1031" s="2"/>
      <c r="V1031" s="2"/>
      <c r="W1031" s="2"/>
      <c r="X1031" s="2"/>
      <c r="Y1031" s="2"/>
      <c r="Z1031" s="2"/>
    </row>
    <row r="1032" spans="1:26" ht="25.5" hidden="1" customHeight="1">
      <c r="A1032" s="26">
        <v>655</v>
      </c>
      <c r="B1032" s="27" t="s">
        <v>599</v>
      </c>
      <c r="C1032" s="28">
        <v>42671</v>
      </c>
      <c r="D1032" s="27"/>
      <c r="E1032" s="27" t="s">
        <v>2937</v>
      </c>
      <c r="F1032" s="29" t="s">
        <v>2938</v>
      </c>
      <c r="G1032" s="27" t="s">
        <v>248</v>
      </c>
      <c r="H1032" s="27" t="s">
        <v>249</v>
      </c>
      <c r="I1032" s="27">
        <v>1</v>
      </c>
      <c r="J1032" s="30">
        <v>83104056</v>
      </c>
      <c r="K1032" s="26" t="s">
        <v>36</v>
      </c>
      <c r="L1032" s="45" t="s">
        <v>169</v>
      </c>
      <c r="M1032" s="46" t="s">
        <v>2939</v>
      </c>
      <c r="N1032" s="2"/>
      <c r="O1032" s="2"/>
      <c r="P1032" s="2"/>
      <c r="Q1032" s="2"/>
      <c r="R1032" s="2"/>
      <c r="S1032" s="2"/>
      <c r="T1032" s="2"/>
      <c r="U1032" s="2"/>
      <c r="V1032" s="2"/>
      <c r="W1032" s="2"/>
      <c r="X1032" s="2"/>
      <c r="Y1032" s="2"/>
      <c r="Z1032" s="2"/>
    </row>
    <row r="1033" spans="1:26" ht="25.5" hidden="1" customHeight="1">
      <c r="A1033" s="26">
        <v>656</v>
      </c>
      <c r="B1033" s="27" t="s">
        <v>599</v>
      </c>
      <c r="C1033" s="28">
        <v>42671</v>
      </c>
      <c r="D1033" s="27"/>
      <c r="E1033" s="27" t="s">
        <v>2940</v>
      </c>
      <c r="F1033" s="29" t="s">
        <v>2941</v>
      </c>
      <c r="G1033" s="27" t="s">
        <v>248</v>
      </c>
      <c r="H1033" s="27" t="s">
        <v>249</v>
      </c>
      <c r="I1033" s="27">
        <v>1</v>
      </c>
      <c r="J1033" s="30">
        <v>83104056</v>
      </c>
      <c r="K1033" s="26" t="s">
        <v>36</v>
      </c>
      <c r="L1033" s="26" t="s">
        <v>169</v>
      </c>
      <c r="M1033" s="31" t="s">
        <v>2942</v>
      </c>
      <c r="N1033" s="2"/>
      <c r="O1033" s="2"/>
      <c r="P1033" s="2"/>
      <c r="Q1033" s="2"/>
      <c r="R1033" s="2"/>
      <c r="S1033" s="2"/>
      <c r="T1033" s="2"/>
      <c r="U1033" s="2"/>
      <c r="V1033" s="2"/>
      <c r="W1033" s="2"/>
      <c r="X1033" s="2"/>
      <c r="Y1033" s="2"/>
      <c r="Z1033" s="2"/>
    </row>
    <row r="1034" spans="1:26" ht="25.5" hidden="1" customHeight="1">
      <c r="A1034" s="26">
        <v>657</v>
      </c>
      <c r="B1034" s="27" t="s">
        <v>599</v>
      </c>
      <c r="C1034" s="28">
        <v>42671</v>
      </c>
      <c r="D1034" s="27"/>
      <c r="E1034" s="27" t="s">
        <v>2943</v>
      </c>
      <c r="F1034" s="29" t="s">
        <v>2944</v>
      </c>
      <c r="G1034" s="27" t="s">
        <v>248</v>
      </c>
      <c r="H1034" s="27" t="s">
        <v>249</v>
      </c>
      <c r="I1034" s="27">
        <v>1</v>
      </c>
      <c r="J1034" s="30">
        <v>83104057</v>
      </c>
      <c r="K1034" s="26" t="s">
        <v>36</v>
      </c>
      <c r="L1034" s="45" t="s">
        <v>169</v>
      </c>
      <c r="M1034" s="46" t="s">
        <v>2939</v>
      </c>
      <c r="N1034" s="2"/>
      <c r="O1034" s="2"/>
      <c r="P1034" s="2"/>
      <c r="Q1034" s="2"/>
      <c r="R1034" s="2"/>
      <c r="S1034" s="2"/>
      <c r="T1034" s="2"/>
      <c r="U1034" s="2"/>
      <c r="V1034" s="2"/>
      <c r="W1034" s="2"/>
      <c r="X1034" s="2"/>
      <c r="Y1034" s="2"/>
      <c r="Z1034" s="2"/>
    </row>
    <row r="1035" spans="1:26" ht="25.5" hidden="1" customHeight="1">
      <c r="A1035" s="26">
        <v>658</v>
      </c>
      <c r="B1035" s="27" t="s">
        <v>599</v>
      </c>
      <c r="C1035" s="28">
        <v>42671</v>
      </c>
      <c r="D1035" s="27"/>
      <c r="E1035" s="27" t="s">
        <v>2945</v>
      </c>
      <c r="F1035" s="29" t="s">
        <v>2946</v>
      </c>
      <c r="G1035" s="27" t="s">
        <v>1754</v>
      </c>
      <c r="H1035" s="27" t="s">
        <v>249</v>
      </c>
      <c r="I1035" s="27">
        <v>1</v>
      </c>
      <c r="J1035" s="30">
        <v>87259259</v>
      </c>
      <c r="K1035" s="26" t="s">
        <v>36</v>
      </c>
      <c r="L1035" s="26" t="s">
        <v>169</v>
      </c>
      <c r="M1035" s="31" t="s">
        <v>2947</v>
      </c>
      <c r="N1035" s="2"/>
      <c r="O1035" s="2"/>
      <c r="P1035" s="2"/>
      <c r="Q1035" s="2"/>
      <c r="R1035" s="2"/>
      <c r="S1035" s="2"/>
      <c r="T1035" s="2"/>
      <c r="U1035" s="2"/>
      <c r="V1035" s="2"/>
      <c r="W1035" s="2"/>
      <c r="X1035" s="2"/>
      <c r="Y1035" s="2"/>
      <c r="Z1035" s="2"/>
    </row>
    <row r="1036" spans="1:26" ht="25.5" hidden="1" customHeight="1">
      <c r="A1036" s="26">
        <v>659</v>
      </c>
      <c r="B1036" s="27" t="s">
        <v>599</v>
      </c>
      <c r="C1036" s="28">
        <v>42671</v>
      </c>
      <c r="D1036" s="27"/>
      <c r="E1036" s="27" t="s">
        <v>2948</v>
      </c>
      <c r="F1036" s="29" t="s">
        <v>2949</v>
      </c>
      <c r="G1036" s="27" t="s">
        <v>1754</v>
      </c>
      <c r="H1036" s="27" t="s">
        <v>249</v>
      </c>
      <c r="I1036" s="27">
        <v>1</v>
      </c>
      <c r="J1036" s="30">
        <v>87259259</v>
      </c>
      <c r="K1036" s="26" t="s">
        <v>36</v>
      </c>
      <c r="L1036" s="26" t="s">
        <v>169</v>
      </c>
      <c r="M1036" s="31" t="s">
        <v>2950</v>
      </c>
      <c r="N1036" s="2"/>
      <c r="O1036" s="2"/>
      <c r="P1036" s="2"/>
      <c r="Q1036" s="2"/>
      <c r="R1036" s="2"/>
      <c r="S1036" s="2"/>
      <c r="T1036" s="2"/>
      <c r="U1036" s="2"/>
      <c r="V1036" s="2"/>
      <c r="W1036" s="2"/>
      <c r="X1036" s="2"/>
      <c r="Y1036" s="2"/>
      <c r="Z1036" s="2"/>
    </row>
    <row r="1037" spans="1:26" ht="25.5" hidden="1" customHeight="1">
      <c r="A1037" s="26">
        <v>660</v>
      </c>
      <c r="B1037" s="27" t="s">
        <v>599</v>
      </c>
      <c r="C1037" s="28">
        <v>42671</v>
      </c>
      <c r="D1037" s="27"/>
      <c r="E1037" s="27" t="s">
        <v>2951</v>
      </c>
      <c r="F1037" s="29" t="s">
        <v>2952</v>
      </c>
      <c r="G1037" s="27" t="s">
        <v>1754</v>
      </c>
      <c r="H1037" s="27" t="s">
        <v>249</v>
      </c>
      <c r="I1037" s="27">
        <v>1</v>
      </c>
      <c r="J1037" s="30">
        <v>87259259</v>
      </c>
      <c r="K1037" s="26" t="s">
        <v>36</v>
      </c>
      <c r="L1037" s="26" t="s">
        <v>169</v>
      </c>
      <c r="M1037" s="31" t="s">
        <v>2953</v>
      </c>
      <c r="N1037" s="2"/>
      <c r="O1037" s="2"/>
      <c r="P1037" s="2"/>
      <c r="Q1037" s="2"/>
      <c r="R1037" s="2"/>
      <c r="S1037" s="2"/>
      <c r="T1037" s="2"/>
      <c r="U1037" s="2"/>
      <c r="V1037" s="2"/>
      <c r="W1037" s="2"/>
      <c r="X1037" s="2"/>
      <c r="Y1037" s="2"/>
      <c r="Z1037" s="2"/>
    </row>
    <row r="1038" spans="1:26" ht="25.5" hidden="1" customHeight="1">
      <c r="A1038" s="26">
        <v>661</v>
      </c>
      <c r="B1038" s="27" t="s">
        <v>599</v>
      </c>
      <c r="C1038" s="28">
        <v>42671</v>
      </c>
      <c r="D1038" s="27"/>
      <c r="E1038" s="27" t="s">
        <v>2954</v>
      </c>
      <c r="F1038" s="29" t="s">
        <v>2955</v>
      </c>
      <c r="G1038" s="27" t="s">
        <v>1754</v>
      </c>
      <c r="H1038" s="27" t="s">
        <v>249</v>
      </c>
      <c r="I1038" s="27">
        <v>1</v>
      </c>
      <c r="J1038" s="30">
        <v>87259259</v>
      </c>
      <c r="K1038" s="26" t="s">
        <v>36</v>
      </c>
      <c r="L1038" s="26" t="s">
        <v>169</v>
      </c>
      <c r="M1038" s="31" t="s">
        <v>2956</v>
      </c>
      <c r="N1038" s="2"/>
      <c r="O1038" s="2"/>
      <c r="P1038" s="2"/>
      <c r="Q1038" s="2"/>
      <c r="R1038" s="2"/>
      <c r="S1038" s="2"/>
      <c r="T1038" s="2"/>
      <c r="U1038" s="2"/>
      <c r="V1038" s="2"/>
      <c r="W1038" s="2"/>
      <c r="X1038" s="2"/>
      <c r="Y1038" s="2"/>
      <c r="Z1038" s="2"/>
    </row>
    <row r="1039" spans="1:26" ht="25.5" hidden="1" customHeight="1">
      <c r="A1039" s="26">
        <v>662</v>
      </c>
      <c r="B1039" s="27" t="s">
        <v>797</v>
      </c>
      <c r="C1039" s="28">
        <v>42671</v>
      </c>
      <c r="D1039" s="27"/>
      <c r="E1039" s="27" t="s">
        <v>2957</v>
      </c>
      <c r="F1039" s="29" t="s">
        <v>2958</v>
      </c>
      <c r="G1039" s="27" t="s">
        <v>248</v>
      </c>
      <c r="H1039" s="27" t="s">
        <v>249</v>
      </c>
      <c r="I1039" s="27">
        <v>1</v>
      </c>
      <c r="J1039" s="30">
        <v>82266183</v>
      </c>
      <c r="K1039" s="26" t="s">
        <v>206</v>
      </c>
      <c r="L1039" s="45" t="s">
        <v>2906</v>
      </c>
      <c r="M1039" s="46" t="s">
        <v>2959</v>
      </c>
      <c r="N1039" s="2"/>
      <c r="O1039" s="2"/>
      <c r="P1039" s="2"/>
      <c r="Q1039" s="2"/>
      <c r="R1039" s="2"/>
      <c r="S1039" s="2"/>
      <c r="T1039" s="2"/>
      <c r="U1039" s="2"/>
      <c r="V1039" s="2"/>
      <c r="W1039" s="2"/>
      <c r="X1039" s="2"/>
      <c r="Y1039" s="2"/>
      <c r="Z1039" s="2"/>
    </row>
    <row r="1040" spans="1:26" ht="25.5" hidden="1" customHeight="1">
      <c r="A1040" s="26">
        <v>663</v>
      </c>
      <c r="B1040" s="27" t="s">
        <v>797</v>
      </c>
      <c r="C1040" s="28">
        <v>42671</v>
      </c>
      <c r="D1040" s="27"/>
      <c r="E1040" s="27" t="s">
        <v>2960</v>
      </c>
      <c r="F1040" s="29" t="s">
        <v>2961</v>
      </c>
      <c r="G1040" s="27" t="s">
        <v>248</v>
      </c>
      <c r="H1040" s="27" t="s">
        <v>249</v>
      </c>
      <c r="I1040" s="27">
        <v>1</v>
      </c>
      <c r="J1040" s="30">
        <v>82266183</v>
      </c>
      <c r="K1040" s="26" t="s">
        <v>206</v>
      </c>
      <c r="L1040" s="26" t="s">
        <v>2906</v>
      </c>
      <c r="M1040" s="31" t="s">
        <v>1041</v>
      </c>
      <c r="N1040" s="2"/>
      <c r="O1040" s="2"/>
      <c r="P1040" s="2"/>
      <c r="Q1040" s="2"/>
      <c r="R1040" s="2"/>
      <c r="S1040" s="2"/>
      <c r="T1040" s="2"/>
      <c r="U1040" s="2"/>
      <c r="V1040" s="2"/>
      <c r="W1040" s="2"/>
      <c r="X1040" s="2"/>
      <c r="Y1040" s="2"/>
      <c r="Z1040" s="2"/>
    </row>
    <row r="1041" spans="1:26" ht="25.5" hidden="1" customHeight="1">
      <c r="A1041" s="26">
        <v>664</v>
      </c>
      <c r="B1041" s="27" t="s">
        <v>797</v>
      </c>
      <c r="C1041" s="28">
        <v>42671</v>
      </c>
      <c r="D1041" s="27"/>
      <c r="E1041" s="27" t="s">
        <v>2962</v>
      </c>
      <c r="F1041" s="29" t="s">
        <v>2963</v>
      </c>
      <c r="G1041" s="27" t="s">
        <v>248</v>
      </c>
      <c r="H1041" s="27" t="s">
        <v>249</v>
      </c>
      <c r="I1041" s="27">
        <v>1</v>
      </c>
      <c r="J1041" s="30">
        <v>82266183</v>
      </c>
      <c r="K1041" s="26" t="s">
        <v>206</v>
      </c>
      <c r="L1041" s="26" t="s">
        <v>2906</v>
      </c>
      <c r="M1041" s="31" t="s">
        <v>1041</v>
      </c>
      <c r="N1041" s="2"/>
      <c r="O1041" s="2"/>
      <c r="P1041" s="2"/>
      <c r="Q1041" s="2"/>
      <c r="R1041" s="2"/>
      <c r="S1041" s="2"/>
      <c r="T1041" s="2"/>
      <c r="U1041" s="2"/>
      <c r="V1041" s="2"/>
      <c r="W1041" s="2"/>
      <c r="X1041" s="2"/>
      <c r="Y1041" s="2"/>
      <c r="Z1041" s="2"/>
    </row>
    <row r="1042" spans="1:26" ht="25.5" hidden="1" customHeight="1">
      <c r="A1042" s="26">
        <v>665</v>
      </c>
      <c r="B1042" s="27" t="s">
        <v>797</v>
      </c>
      <c r="C1042" s="28">
        <v>42671</v>
      </c>
      <c r="D1042" s="27"/>
      <c r="E1042" s="27" t="s">
        <v>2964</v>
      </c>
      <c r="F1042" s="29" t="s">
        <v>2965</v>
      </c>
      <c r="G1042" s="27" t="s">
        <v>248</v>
      </c>
      <c r="H1042" s="27" t="s">
        <v>249</v>
      </c>
      <c r="I1042" s="27">
        <v>1</v>
      </c>
      <c r="J1042" s="30">
        <v>82266183</v>
      </c>
      <c r="K1042" s="26" t="s">
        <v>206</v>
      </c>
      <c r="L1042" s="26" t="s">
        <v>2906</v>
      </c>
      <c r="M1042" s="31" t="s">
        <v>1041</v>
      </c>
      <c r="N1042" s="2"/>
      <c r="O1042" s="2"/>
      <c r="P1042" s="2"/>
      <c r="Q1042" s="2"/>
      <c r="R1042" s="2"/>
      <c r="S1042" s="2"/>
      <c r="T1042" s="2"/>
      <c r="U1042" s="2"/>
      <c r="V1042" s="2"/>
      <c r="W1042" s="2"/>
      <c r="X1042" s="2"/>
      <c r="Y1042" s="2"/>
      <c r="Z1042" s="2"/>
    </row>
    <row r="1043" spans="1:26" ht="25.5" hidden="1" customHeight="1">
      <c r="A1043" s="26">
        <v>666</v>
      </c>
      <c r="B1043" s="27" t="s">
        <v>797</v>
      </c>
      <c r="C1043" s="28">
        <v>42671</v>
      </c>
      <c r="D1043" s="27"/>
      <c r="E1043" s="27" t="s">
        <v>2966</v>
      </c>
      <c r="F1043" s="29" t="s">
        <v>2967</v>
      </c>
      <c r="G1043" s="27" t="s">
        <v>248</v>
      </c>
      <c r="H1043" s="27" t="s">
        <v>249</v>
      </c>
      <c r="I1043" s="27">
        <v>1</v>
      </c>
      <c r="J1043" s="30">
        <v>82266183</v>
      </c>
      <c r="K1043" s="26" t="s">
        <v>206</v>
      </c>
      <c r="L1043" s="26" t="s">
        <v>2906</v>
      </c>
      <c r="M1043" s="31" t="s">
        <v>1265</v>
      </c>
      <c r="N1043" s="2"/>
      <c r="O1043" s="2"/>
      <c r="P1043" s="2"/>
      <c r="Q1043" s="2"/>
      <c r="R1043" s="2"/>
      <c r="S1043" s="2"/>
      <c r="T1043" s="2"/>
      <c r="U1043" s="2"/>
      <c r="V1043" s="2"/>
      <c r="W1043" s="2"/>
      <c r="X1043" s="2"/>
      <c r="Y1043" s="2"/>
      <c r="Z1043" s="2"/>
    </row>
    <row r="1044" spans="1:26" ht="25.5" hidden="1" customHeight="1">
      <c r="A1044" s="26">
        <v>667</v>
      </c>
      <c r="B1044" s="27" t="s">
        <v>797</v>
      </c>
      <c r="C1044" s="28">
        <v>42671</v>
      </c>
      <c r="D1044" s="27"/>
      <c r="E1044" s="27" t="s">
        <v>2968</v>
      </c>
      <c r="F1044" s="29" t="s">
        <v>2969</v>
      </c>
      <c r="G1044" s="27" t="s">
        <v>248</v>
      </c>
      <c r="H1044" s="27" t="s">
        <v>249</v>
      </c>
      <c r="I1044" s="27">
        <v>1</v>
      </c>
      <c r="J1044" s="30">
        <v>82266183</v>
      </c>
      <c r="K1044" s="26" t="s">
        <v>206</v>
      </c>
      <c r="L1044" s="26" t="s">
        <v>2906</v>
      </c>
      <c r="M1044" s="31" t="s">
        <v>1041</v>
      </c>
      <c r="N1044" s="2"/>
      <c r="O1044" s="2"/>
      <c r="P1044" s="2"/>
      <c r="Q1044" s="2"/>
      <c r="R1044" s="2"/>
      <c r="S1044" s="2"/>
      <c r="T1044" s="2"/>
      <c r="U1044" s="2"/>
      <c r="V1044" s="2"/>
      <c r="W1044" s="2"/>
      <c r="X1044" s="2"/>
      <c r="Y1044" s="2"/>
      <c r="Z1044" s="2"/>
    </row>
    <row r="1045" spans="1:26" ht="25.5" hidden="1" customHeight="1">
      <c r="A1045" s="26">
        <v>668</v>
      </c>
      <c r="B1045" s="27" t="s">
        <v>797</v>
      </c>
      <c r="C1045" s="28">
        <v>42671</v>
      </c>
      <c r="D1045" s="27"/>
      <c r="E1045" s="27" t="s">
        <v>2970</v>
      </c>
      <c r="F1045" s="29" t="s">
        <v>2971</v>
      </c>
      <c r="G1045" s="27" t="s">
        <v>1754</v>
      </c>
      <c r="H1045" s="27" t="s">
        <v>249</v>
      </c>
      <c r="I1045" s="27">
        <v>1</v>
      </c>
      <c r="J1045" s="30">
        <v>86379493</v>
      </c>
      <c r="K1045" s="26" t="s">
        <v>206</v>
      </c>
      <c r="L1045" s="45" t="s">
        <v>2906</v>
      </c>
      <c r="M1045" s="46" t="s">
        <v>2972</v>
      </c>
      <c r="N1045" s="2"/>
      <c r="O1045" s="2"/>
      <c r="P1045" s="2"/>
      <c r="Q1045" s="2"/>
      <c r="R1045" s="2"/>
      <c r="S1045" s="2"/>
      <c r="T1045" s="2"/>
      <c r="U1045" s="2"/>
      <c r="V1045" s="2"/>
      <c r="W1045" s="2"/>
      <c r="X1045" s="2"/>
      <c r="Y1045" s="2"/>
      <c r="Z1045" s="2"/>
    </row>
    <row r="1046" spans="1:26" ht="25.5" hidden="1" customHeight="1">
      <c r="A1046" s="26">
        <v>669</v>
      </c>
      <c r="B1046" s="27" t="s">
        <v>797</v>
      </c>
      <c r="C1046" s="28">
        <v>42671</v>
      </c>
      <c r="D1046" s="27"/>
      <c r="E1046" s="27" t="s">
        <v>2973</v>
      </c>
      <c r="F1046" s="29" t="s">
        <v>2974</v>
      </c>
      <c r="G1046" s="27" t="s">
        <v>1754</v>
      </c>
      <c r="H1046" s="27" t="s">
        <v>249</v>
      </c>
      <c r="I1046" s="27">
        <v>1</v>
      </c>
      <c r="J1046" s="30">
        <v>86379493</v>
      </c>
      <c r="K1046" s="26" t="s">
        <v>206</v>
      </c>
      <c r="L1046" s="45" t="s">
        <v>2906</v>
      </c>
      <c r="M1046" s="46" t="s">
        <v>2975</v>
      </c>
      <c r="N1046" s="2"/>
      <c r="O1046" s="2"/>
      <c r="P1046" s="2"/>
      <c r="Q1046" s="2"/>
      <c r="R1046" s="2"/>
      <c r="S1046" s="2"/>
      <c r="T1046" s="2"/>
      <c r="U1046" s="2"/>
      <c r="V1046" s="2"/>
      <c r="W1046" s="2"/>
      <c r="X1046" s="2"/>
      <c r="Y1046" s="2"/>
      <c r="Z1046" s="2"/>
    </row>
    <row r="1047" spans="1:26" ht="25.5" hidden="1" customHeight="1">
      <c r="A1047" s="26">
        <v>670</v>
      </c>
      <c r="B1047" s="27" t="s">
        <v>797</v>
      </c>
      <c r="C1047" s="28">
        <v>42671</v>
      </c>
      <c r="D1047" s="27"/>
      <c r="E1047" s="27" t="s">
        <v>2976</v>
      </c>
      <c r="F1047" s="29" t="s">
        <v>2977</v>
      </c>
      <c r="G1047" s="27" t="s">
        <v>307</v>
      </c>
      <c r="H1047" s="27" t="s">
        <v>249</v>
      </c>
      <c r="I1047" s="27">
        <v>1</v>
      </c>
      <c r="J1047" s="30">
        <v>34316751</v>
      </c>
      <c r="K1047" s="26" t="s">
        <v>206</v>
      </c>
      <c r="L1047" s="45" t="s">
        <v>2906</v>
      </c>
      <c r="M1047" s="46" t="s">
        <v>2978</v>
      </c>
      <c r="N1047" s="2"/>
      <c r="O1047" s="2"/>
      <c r="P1047" s="2"/>
      <c r="Q1047" s="2"/>
      <c r="R1047" s="2"/>
      <c r="S1047" s="2"/>
      <c r="T1047" s="2"/>
      <c r="U1047" s="2"/>
      <c r="V1047" s="2"/>
      <c r="W1047" s="2"/>
      <c r="X1047" s="2"/>
      <c r="Y1047" s="2"/>
      <c r="Z1047" s="2"/>
    </row>
    <row r="1048" spans="1:26" ht="25.5" hidden="1" customHeight="1">
      <c r="A1048" s="26">
        <v>671</v>
      </c>
      <c r="B1048" s="27" t="s">
        <v>797</v>
      </c>
      <c r="C1048" s="28">
        <v>42671</v>
      </c>
      <c r="D1048" s="27"/>
      <c r="E1048" s="27" t="s">
        <v>2979</v>
      </c>
      <c r="F1048" s="29" t="s">
        <v>2980</v>
      </c>
      <c r="G1048" s="27" t="s">
        <v>307</v>
      </c>
      <c r="H1048" s="27" t="s">
        <v>249</v>
      </c>
      <c r="I1048" s="27">
        <v>1</v>
      </c>
      <c r="J1048" s="30">
        <v>34316751</v>
      </c>
      <c r="K1048" s="26" t="s">
        <v>206</v>
      </c>
      <c r="L1048" s="26" t="s">
        <v>2906</v>
      </c>
      <c r="M1048" s="31" t="s">
        <v>2981</v>
      </c>
      <c r="N1048" s="2"/>
      <c r="O1048" s="2"/>
      <c r="P1048" s="2"/>
      <c r="Q1048" s="2"/>
      <c r="R1048" s="2"/>
      <c r="S1048" s="2"/>
      <c r="T1048" s="2"/>
      <c r="U1048" s="2"/>
      <c r="V1048" s="2"/>
      <c r="W1048" s="2"/>
      <c r="X1048" s="2"/>
      <c r="Y1048" s="2"/>
      <c r="Z1048" s="2"/>
    </row>
    <row r="1049" spans="1:26" ht="12.75" hidden="1" customHeight="1">
      <c r="A1049" s="26">
        <v>672</v>
      </c>
      <c r="B1049" s="27" t="s">
        <v>1993</v>
      </c>
      <c r="C1049" s="28">
        <v>42956</v>
      </c>
      <c r="D1049" s="27"/>
      <c r="E1049" s="27" t="s">
        <v>2982</v>
      </c>
      <c r="F1049" s="29" t="s">
        <v>2983</v>
      </c>
      <c r="G1049" s="27" t="s">
        <v>2426</v>
      </c>
      <c r="H1049" s="27" t="s">
        <v>19</v>
      </c>
      <c r="I1049" s="27">
        <v>1</v>
      </c>
      <c r="J1049" s="30">
        <v>90000000</v>
      </c>
      <c r="K1049" s="26" t="s">
        <v>36</v>
      </c>
      <c r="L1049" s="26" t="s">
        <v>37</v>
      </c>
      <c r="M1049" s="31" t="s">
        <v>2984</v>
      </c>
      <c r="N1049" s="2"/>
      <c r="O1049" s="2"/>
      <c r="P1049" s="2"/>
      <c r="Q1049" s="2"/>
      <c r="R1049" s="2"/>
      <c r="S1049" s="2"/>
      <c r="T1049" s="2"/>
      <c r="U1049" s="2"/>
      <c r="V1049" s="2"/>
      <c r="W1049" s="2"/>
      <c r="X1049" s="2"/>
      <c r="Y1049" s="2"/>
      <c r="Z1049" s="2"/>
    </row>
    <row r="1050" spans="1:26" ht="25.5" hidden="1" customHeight="1">
      <c r="A1050" s="26">
        <v>673</v>
      </c>
      <c r="B1050" s="27" t="s">
        <v>1143</v>
      </c>
      <c r="C1050" s="28">
        <v>43343</v>
      </c>
      <c r="D1050" s="27"/>
      <c r="E1050" s="27" t="s">
        <v>2985</v>
      </c>
      <c r="F1050" s="29" t="s">
        <v>2986</v>
      </c>
      <c r="G1050" s="27" t="s">
        <v>248</v>
      </c>
      <c r="H1050" s="27" t="s">
        <v>19</v>
      </c>
      <c r="I1050" s="27">
        <v>1</v>
      </c>
      <c r="J1050" s="30">
        <v>33500000</v>
      </c>
      <c r="K1050" s="26" t="s">
        <v>20</v>
      </c>
      <c r="L1050" s="36" t="s">
        <v>229</v>
      </c>
      <c r="M1050" s="57" t="s">
        <v>5423</v>
      </c>
      <c r="N1050" s="2"/>
      <c r="O1050" s="2"/>
      <c r="P1050" s="2"/>
      <c r="Q1050" s="2"/>
      <c r="R1050" s="2"/>
      <c r="S1050" s="2"/>
      <c r="T1050" s="2"/>
      <c r="U1050" s="2"/>
      <c r="V1050" s="2"/>
      <c r="W1050" s="2"/>
      <c r="X1050" s="2"/>
      <c r="Y1050" s="2"/>
      <c r="Z1050" s="2"/>
    </row>
    <row r="1051" spans="1:26" ht="25.5" hidden="1" customHeight="1">
      <c r="A1051" s="26">
        <v>674</v>
      </c>
      <c r="B1051" s="27" t="s">
        <v>1143</v>
      </c>
      <c r="C1051" s="28">
        <v>43343</v>
      </c>
      <c r="D1051" s="27"/>
      <c r="E1051" s="27" t="s">
        <v>2987</v>
      </c>
      <c r="F1051" s="29" t="s">
        <v>2988</v>
      </c>
      <c r="G1051" s="27" t="s">
        <v>248</v>
      </c>
      <c r="H1051" s="27" t="s">
        <v>19</v>
      </c>
      <c r="I1051" s="27">
        <v>1</v>
      </c>
      <c r="J1051" s="30">
        <v>33500000</v>
      </c>
      <c r="K1051" s="26" t="s">
        <v>20</v>
      </c>
      <c r="L1051" s="36" t="s">
        <v>229</v>
      </c>
      <c r="M1051" s="57" t="s">
        <v>5424</v>
      </c>
      <c r="N1051" s="2"/>
      <c r="O1051" s="2"/>
      <c r="P1051" s="2"/>
      <c r="Q1051" s="2"/>
      <c r="R1051" s="2"/>
      <c r="S1051" s="2"/>
      <c r="T1051" s="2"/>
      <c r="U1051" s="2"/>
      <c r="V1051" s="2"/>
      <c r="W1051" s="2"/>
      <c r="X1051" s="2"/>
      <c r="Y1051" s="2"/>
      <c r="Z1051" s="2"/>
    </row>
    <row r="1052" spans="1:26" ht="25.5" hidden="1" customHeight="1">
      <c r="A1052" s="26">
        <v>675</v>
      </c>
      <c r="B1052" s="27" t="s">
        <v>1143</v>
      </c>
      <c r="C1052" s="28">
        <v>43343</v>
      </c>
      <c r="D1052" s="27"/>
      <c r="E1052" s="27" t="s">
        <v>2989</v>
      </c>
      <c r="F1052" s="29" t="s">
        <v>2990</v>
      </c>
      <c r="G1052" s="27" t="s">
        <v>248</v>
      </c>
      <c r="H1052" s="27" t="s">
        <v>19</v>
      </c>
      <c r="I1052" s="27">
        <v>1</v>
      </c>
      <c r="J1052" s="30">
        <v>33500000</v>
      </c>
      <c r="K1052" s="26" t="s">
        <v>20</v>
      </c>
      <c r="L1052" s="26" t="s">
        <v>233</v>
      </c>
      <c r="M1052" s="31" t="s">
        <v>5425</v>
      </c>
      <c r="N1052" s="2"/>
      <c r="O1052" s="2"/>
      <c r="P1052" s="2"/>
      <c r="Q1052" s="2"/>
      <c r="R1052" s="2"/>
      <c r="S1052" s="2"/>
      <c r="T1052" s="2"/>
      <c r="U1052" s="2"/>
      <c r="V1052" s="2"/>
      <c r="W1052" s="2"/>
      <c r="X1052" s="2"/>
      <c r="Y1052" s="2"/>
      <c r="Z1052" s="2"/>
    </row>
    <row r="1053" spans="1:26" ht="51" hidden="1" customHeight="1">
      <c r="A1053" s="26">
        <v>676</v>
      </c>
      <c r="B1053" s="27" t="s">
        <v>1037</v>
      </c>
      <c r="C1053" s="28">
        <v>43799</v>
      </c>
      <c r="D1053" s="27"/>
      <c r="E1053" s="27" t="s">
        <v>2992</v>
      </c>
      <c r="F1053" s="29" t="s">
        <v>2993</v>
      </c>
      <c r="G1053" s="27" t="s">
        <v>2070</v>
      </c>
      <c r="H1053" s="27" t="s">
        <v>19</v>
      </c>
      <c r="I1053" s="27">
        <v>1</v>
      </c>
      <c r="J1053" s="30">
        <v>5347432468</v>
      </c>
      <c r="K1053" s="26" t="s">
        <v>20</v>
      </c>
      <c r="L1053" s="26" t="s">
        <v>295</v>
      </c>
      <c r="M1053" s="31" t="s">
        <v>5426</v>
      </c>
      <c r="N1053" s="2"/>
      <c r="O1053" s="2"/>
      <c r="P1053" s="2"/>
      <c r="Q1053" s="2"/>
      <c r="R1053" s="2"/>
      <c r="S1053" s="2"/>
      <c r="T1053" s="2"/>
      <c r="U1053" s="2"/>
      <c r="V1053" s="2"/>
      <c r="W1053" s="2"/>
      <c r="X1053" s="2"/>
      <c r="Y1053" s="2"/>
      <c r="Z1053" s="2"/>
    </row>
    <row r="1054" spans="1:26" ht="12.75" hidden="1" customHeight="1">
      <c r="A1054" s="26">
        <v>677</v>
      </c>
      <c r="B1054" s="27" t="s">
        <v>2995</v>
      </c>
      <c r="C1054" s="28">
        <v>40941</v>
      </c>
      <c r="D1054" s="27"/>
      <c r="E1054" s="27" t="s">
        <v>2996</v>
      </c>
      <c r="F1054" s="29" t="s">
        <v>2997</v>
      </c>
      <c r="G1054" s="27" t="s">
        <v>1435</v>
      </c>
      <c r="H1054" s="27" t="s">
        <v>249</v>
      </c>
      <c r="I1054" s="27">
        <v>1</v>
      </c>
      <c r="J1054" s="30">
        <v>40827273</v>
      </c>
      <c r="K1054" s="26" t="s">
        <v>20</v>
      </c>
      <c r="L1054" s="36" t="s">
        <v>229</v>
      </c>
      <c r="M1054" s="31" t="s">
        <v>5427</v>
      </c>
      <c r="N1054" s="2"/>
      <c r="O1054" s="2"/>
      <c r="P1054" s="2"/>
      <c r="Q1054" s="2"/>
      <c r="R1054" s="2"/>
      <c r="S1054" s="2"/>
      <c r="T1054" s="2"/>
      <c r="U1054" s="2"/>
      <c r="V1054" s="2"/>
      <c r="W1054" s="2"/>
      <c r="X1054" s="2"/>
      <c r="Y1054" s="2"/>
      <c r="Z1054" s="2"/>
    </row>
    <row r="1055" spans="1:26" ht="12.75" hidden="1" customHeight="1">
      <c r="A1055" s="26">
        <v>678</v>
      </c>
      <c r="B1055" s="27" t="s">
        <v>281</v>
      </c>
      <c r="C1055" s="28">
        <v>41044</v>
      </c>
      <c r="D1055" s="27"/>
      <c r="E1055" s="27" t="s">
        <v>2998</v>
      </c>
      <c r="F1055" s="29" t="s">
        <v>2999</v>
      </c>
      <c r="G1055" s="27" t="s">
        <v>1435</v>
      </c>
      <c r="H1055" s="27" t="s">
        <v>249</v>
      </c>
      <c r="I1055" s="27">
        <v>1</v>
      </c>
      <c r="J1055" s="30">
        <v>51460000</v>
      </c>
      <c r="K1055" s="26" t="s">
        <v>206</v>
      </c>
      <c r="L1055" s="45" t="s">
        <v>2906</v>
      </c>
      <c r="M1055" s="46" t="s">
        <v>3000</v>
      </c>
      <c r="N1055" s="2"/>
      <c r="O1055" s="2"/>
      <c r="P1055" s="2"/>
      <c r="Q1055" s="2"/>
      <c r="R1055" s="2"/>
      <c r="S1055" s="2"/>
      <c r="T1055" s="2"/>
      <c r="U1055" s="2"/>
      <c r="V1055" s="2"/>
      <c r="W1055" s="2"/>
      <c r="X1055" s="2"/>
      <c r="Y1055" s="2"/>
      <c r="Z1055" s="2"/>
    </row>
    <row r="1056" spans="1:26" ht="12.75" hidden="1" customHeight="1">
      <c r="A1056" s="26">
        <v>679</v>
      </c>
      <c r="B1056" s="27" t="s">
        <v>281</v>
      </c>
      <c r="C1056" s="28">
        <v>41044</v>
      </c>
      <c r="D1056" s="27"/>
      <c r="E1056" s="27" t="s">
        <v>5428</v>
      </c>
      <c r="F1056" s="29" t="s">
        <v>5429</v>
      </c>
      <c r="G1056" s="27" t="s">
        <v>1435</v>
      </c>
      <c r="H1056" s="27" t="s">
        <v>249</v>
      </c>
      <c r="I1056" s="27">
        <v>1</v>
      </c>
      <c r="J1056" s="30">
        <v>51460000</v>
      </c>
      <c r="K1056" s="26" t="s">
        <v>206</v>
      </c>
      <c r="L1056" s="45" t="s">
        <v>2906</v>
      </c>
      <c r="M1056" s="46" t="s">
        <v>5430</v>
      </c>
      <c r="N1056" s="2"/>
      <c r="O1056" s="2"/>
      <c r="P1056" s="2"/>
      <c r="Q1056" s="2"/>
      <c r="R1056" s="2"/>
      <c r="S1056" s="2"/>
      <c r="T1056" s="2"/>
      <c r="U1056" s="2"/>
      <c r="V1056" s="2"/>
      <c r="W1056" s="2"/>
      <c r="X1056" s="2"/>
      <c r="Y1056" s="2"/>
      <c r="Z1056" s="2"/>
    </row>
    <row r="1057" spans="1:26" ht="12.75" hidden="1" customHeight="1">
      <c r="A1057" s="26">
        <v>680</v>
      </c>
      <c r="B1057" s="27" t="s">
        <v>470</v>
      </c>
      <c r="C1057" s="28">
        <v>41983</v>
      </c>
      <c r="D1057" s="27"/>
      <c r="E1057" s="27" t="s">
        <v>3001</v>
      </c>
      <c r="F1057" s="29" t="s">
        <v>3002</v>
      </c>
      <c r="G1057" s="27" t="s">
        <v>1435</v>
      </c>
      <c r="H1057" s="27" t="s">
        <v>249</v>
      </c>
      <c r="I1057" s="27">
        <v>1</v>
      </c>
      <c r="J1057" s="30">
        <v>51215395</v>
      </c>
      <c r="K1057" s="26" t="s">
        <v>20</v>
      </c>
      <c r="L1057" s="26" t="s">
        <v>423</v>
      </c>
      <c r="M1057" s="31" t="s">
        <v>2145</v>
      </c>
      <c r="N1057" s="2"/>
      <c r="O1057" s="2"/>
      <c r="P1057" s="2"/>
      <c r="Q1057" s="2"/>
      <c r="R1057" s="2"/>
      <c r="S1057" s="2"/>
      <c r="T1057" s="2"/>
      <c r="U1057" s="2"/>
      <c r="V1057" s="2"/>
      <c r="W1057" s="2"/>
      <c r="X1057" s="2"/>
      <c r="Y1057" s="2"/>
      <c r="Z1057" s="2"/>
    </row>
    <row r="1058" spans="1:26" ht="12.75" hidden="1" customHeight="1">
      <c r="A1058" s="26">
        <v>681</v>
      </c>
      <c r="B1058" s="27" t="s">
        <v>470</v>
      </c>
      <c r="C1058" s="28">
        <v>41983</v>
      </c>
      <c r="D1058" s="27"/>
      <c r="E1058" s="27" t="s">
        <v>3004</v>
      </c>
      <c r="F1058" s="29" t="s">
        <v>3005</v>
      </c>
      <c r="G1058" s="27" t="s">
        <v>1435</v>
      </c>
      <c r="H1058" s="27" t="s">
        <v>249</v>
      </c>
      <c r="I1058" s="27">
        <v>1</v>
      </c>
      <c r="J1058" s="30">
        <v>51215395</v>
      </c>
      <c r="K1058" s="26" t="s">
        <v>20</v>
      </c>
      <c r="L1058" s="26" t="s">
        <v>423</v>
      </c>
      <c r="M1058" s="31" t="s">
        <v>2145</v>
      </c>
      <c r="N1058" s="2"/>
      <c r="O1058" s="2"/>
      <c r="P1058" s="2"/>
      <c r="Q1058" s="2"/>
      <c r="R1058" s="2"/>
      <c r="S1058" s="2"/>
      <c r="T1058" s="2"/>
      <c r="U1058" s="2"/>
      <c r="V1058" s="2"/>
      <c r="W1058" s="2"/>
      <c r="X1058" s="2"/>
      <c r="Y1058" s="2"/>
      <c r="Z1058" s="2"/>
    </row>
    <row r="1059" spans="1:26" ht="12.75" hidden="1" customHeight="1">
      <c r="A1059" s="26">
        <v>682</v>
      </c>
      <c r="B1059" s="27" t="s">
        <v>909</v>
      </c>
      <c r="C1059" s="28">
        <v>41999</v>
      </c>
      <c r="D1059" s="27"/>
      <c r="E1059" s="27" t="s">
        <v>3007</v>
      </c>
      <c r="F1059" s="29" t="s">
        <v>3008</v>
      </c>
      <c r="G1059" s="27" t="s">
        <v>1076</v>
      </c>
      <c r="H1059" s="27" t="s">
        <v>19</v>
      </c>
      <c r="I1059" s="27">
        <v>1</v>
      </c>
      <c r="J1059" s="30">
        <v>81372812</v>
      </c>
      <c r="K1059" s="26" t="s">
        <v>20</v>
      </c>
      <c r="L1059" s="26" t="s">
        <v>233</v>
      </c>
      <c r="M1059" s="31" t="s">
        <v>3299</v>
      </c>
      <c r="N1059" s="2"/>
      <c r="O1059" s="2"/>
      <c r="P1059" s="2"/>
      <c r="Q1059" s="2"/>
      <c r="R1059" s="2"/>
      <c r="S1059" s="2"/>
      <c r="T1059" s="2"/>
      <c r="U1059" s="2"/>
      <c r="V1059" s="2"/>
      <c r="W1059" s="2"/>
      <c r="X1059" s="2"/>
      <c r="Y1059" s="2"/>
      <c r="Z1059" s="2"/>
    </row>
    <row r="1060" spans="1:26" ht="12.75" hidden="1" customHeight="1">
      <c r="A1060" s="26">
        <v>683</v>
      </c>
      <c r="B1060" s="27" t="s">
        <v>909</v>
      </c>
      <c r="C1060" s="28">
        <v>41999</v>
      </c>
      <c r="D1060" s="27"/>
      <c r="E1060" s="27" t="s">
        <v>3010</v>
      </c>
      <c r="F1060" s="29" t="s">
        <v>3011</v>
      </c>
      <c r="G1060" s="27" t="s">
        <v>1076</v>
      </c>
      <c r="H1060" s="27" t="s">
        <v>19</v>
      </c>
      <c r="I1060" s="27">
        <v>1</v>
      </c>
      <c r="J1060" s="30">
        <v>81372812</v>
      </c>
      <c r="K1060" s="26" t="s">
        <v>20</v>
      </c>
      <c r="L1060" s="26" t="s">
        <v>233</v>
      </c>
      <c r="M1060" s="31" t="s">
        <v>3299</v>
      </c>
      <c r="N1060" s="2"/>
      <c r="O1060" s="2"/>
      <c r="P1060" s="2"/>
      <c r="Q1060" s="2"/>
      <c r="R1060" s="2"/>
      <c r="S1060" s="2"/>
      <c r="T1060" s="2"/>
      <c r="U1060" s="2"/>
      <c r="V1060" s="2"/>
      <c r="W1060" s="2"/>
      <c r="X1060" s="2"/>
      <c r="Y1060" s="2"/>
      <c r="Z1060" s="2"/>
    </row>
    <row r="1061" spans="1:26" ht="12.75" hidden="1" customHeight="1">
      <c r="A1061" s="26">
        <v>684</v>
      </c>
      <c r="B1061" s="27" t="s">
        <v>1198</v>
      </c>
      <c r="C1061" s="28">
        <v>36160</v>
      </c>
      <c r="D1061" s="27" t="s">
        <v>3012</v>
      </c>
      <c r="E1061" s="27" t="s">
        <v>3013</v>
      </c>
      <c r="F1061" s="29" t="s">
        <v>3014</v>
      </c>
      <c r="G1061" s="27"/>
      <c r="H1061" s="27" t="s">
        <v>19</v>
      </c>
      <c r="I1061" s="27">
        <v>1</v>
      </c>
      <c r="J1061" s="30">
        <v>80054700</v>
      </c>
      <c r="K1061" s="26" t="s">
        <v>20</v>
      </c>
      <c r="L1061" s="36" t="s">
        <v>229</v>
      </c>
      <c r="M1061" s="31" t="s">
        <v>5394</v>
      </c>
      <c r="N1061" s="2"/>
      <c r="O1061" s="2"/>
      <c r="P1061" s="2"/>
      <c r="Q1061" s="2"/>
      <c r="R1061" s="2"/>
      <c r="S1061" s="2"/>
      <c r="T1061" s="2"/>
      <c r="U1061" s="2"/>
      <c r="V1061" s="2"/>
      <c r="W1061" s="2"/>
      <c r="X1061" s="2"/>
      <c r="Y1061" s="2"/>
      <c r="Z1061" s="2"/>
    </row>
    <row r="1062" spans="1:26" ht="12.75" hidden="1" customHeight="1">
      <c r="A1062" s="26" t="s">
        <v>3015</v>
      </c>
      <c r="B1062" s="27"/>
      <c r="C1062" s="28"/>
      <c r="D1062" s="27"/>
      <c r="E1062" s="27" t="s">
        <v>3016</v>
      </c>
      <c r="F1062" s="29" t="s">
        <v>3017</v>
      </c>
      <c r="G1062" s="27"/>
      <c r="H1062" s="27"/>
      <c r="I1062" s="27">
        <v>1</v>
      </c>
      <c r="J1062" s="30"/>
      <c r="K1062" s="26" t="s">
        <v>20</v>
      </c>
      <c r="L1062" s="36" t="s">
        <v>229</v>
      </c>
      <c r="M1062" s="31"/>
      <c r="N1062" s="2"/>
      <c r="O1062" s="2"/>
      <c r="P1062" s="2"/>
      <c r="Q1062" s="2"/>
      <c r="R1062" s="2"/>
      <c r="S1062" s="2"/>
      <c r="T1062" s="2"/>
      <c r="U1062" s="2"/>
      <c r="V1062" s="2"/>
      <c r="W1062" s="2"/>
      <c r="X1062" s="2"/>
      <c r="Y1062" s="2"/>
      <c r="Z1062" s="2"/>
    </row>
    <row r="1063" spans="1:26" ht="12.75" hidden="1" customHeight="1">
      <c r="A1063" s="26" t="s">
        <v>3018</v>
      </c>
      <c r="B1063" s="27"/>
      <c r="C1063" s="28"/>
      <c r="D1063" s="27"/>
      <c r="E1063" s="27" t="s">
        <v>3019</v>
      </c>
      <c r="F1063" s="29" t="s">
        <v>3020</v>
      </c>
      <c r="G1063" s="27"/>
      <c r="H1063" s="27"/>
      <c r="I1063" s="27">
        <v>1</v>
      </c>
      <c r="J1063" s="30"/>
      <c r="K1063" s="26" t="s">
        <v>20</v>
      </c>
      <c r="L1063" s="36" t="s">
        <v>229</v>
      </c>
      <c r="M1063" s="31"/>
      <c r="N1063" s="2"/>
      <c r="O1063" s="2"/>
      <c r="P1063" s="2"/>
      <c r="Q1063" s="2"/>
      <c r="R1063" s="2"/>
      <c r="S1063" s="2"/>
      <c r="T1063" s="2"/>
      <c r="U1063" s="2"/>
      <c r="V1063" s="2"/>
      <c r="W1063" s="2"/>
      <c r="X1063" s="2"/>
      <c r="Y1063" s="2"/>
      <c r="Z1063" s="2"/>
    </row>
    <row r="1064" spans="1:26" ht="12.75" hidden="1" customHeight="1">
      <c r="A1064" s="26" t="s">
        <v>3021</v>
      </c>
      <c r="B1064" s="27"/>
      <c r="C1064" s="28"/>
      <c r="D1064" s="27"/>
      <c r="E1064" s="27" t="s">
        <v>3022</v>
      </c>
      <c r="F1064" s="29" t="s">
        <v>3023</v>
      </c>
      <c r="G1064" s="27"/>
      <c r="H1064" s="27"/>
      <c r="I1064" s="27">
        <v>1</v>
      </c>
      <c r="J1064" s="30"/>
      <c r="K1064" s="26" t="s">
        <v>20</v>
      </c>
      <c r="L1064" s="36" t="s">
        <v>229</v>
      </c>
      <c r="M1064" s="31"/>
      <c r="N1064" s="2"/>
      <c r="O1064" s="2"/>
      <c r="P1064" s="2"/>
      <c r="Q1064" s="2"/>
      <c r="R1064" s="2"/>
      <c r="S1064" s="2"/>
      <c r="T1064" s="2"/>
      <c r="U1064" s="2"/>
      <c r="V1064" s="2"/>
      <c r="W1064" s="2"/>
      <c r="X1064" s="2"/>
      <c r="Y1064" s="2"/>
      <c r="Z1064" s="2"/>
    </row>
    <row r="1065" spans="1:26" ht="25.5" hidden="1" customHeight="1">
      <c r="A1065" s="26">
        <v>685</v>
      </c>
      <c r="B1065" s="27" t="s">
        <v>1683</v>
      </c>
      <c r="C1065" s="28">
        <v>42733</v>
      </c>
      <c r="D1065" s="27"/>
      <c r="E1065" s="27" t="s">
        <v>3024</v>
      </c>
      <c r="F1065" s="29" t="s">
        <v>3025</v>
      </c>
      <c r="G1065" s="27" t="s">
        <v>248</v>
      </c>
      <c r="H1065" s="27" t="s">
        <v>19</v>
      </c>
      <c r="I1065" s="27">
        <v>1</v>
      </c>
      <c r="J1065" s="30">
        <v>50000000</v>
      </c>
      <c r="K1065" s="26" t="s">
        <v>36</v>
      </c>
      <c r="L1065" s="26" t="s">
        <v>37</v>
      </c>
      <c r="M1065" s="31" t="s">
        <v>3026</v>
      </c>
      <c r="N1065" s="2"/>
      <c r="O1065" s="2"/>
      <c r="P1065" s="2"/>
      <c r="Q1065" s="2"/>
      <c r="R1065" s="2"/>
      <c r="S1065" s="2"/>
      <c r="T1065" s="2"/>
      <c r="U1065" s="2"/>
      <c r="V1065" s="2"/>
      <c r="W1065" s="2"/>
      <c r="X1065" s="2"/>
      <c r="Y1065" s="2"/>
      <c r="Z1065" s="2"/>
    </row>
    <row r="1066" spans="1:26" ht="38.25" hidden="1" customHeight="1">
      <c r="A1066" s="26">
        <v>686</v>
      </c>
      <c r="B1066" s="27" t="s">
        <v>3027</v>
      </c>
      <c r="C1066" s="28">
        <v>43099</v>
      </c>
      <c r="D1066" s="27"/>
      <c r="E1066" s="27" t="s">
        <v>3028</v>
      </c>
      <c r="F1066" s="29" t="s">
        <v>3029</v>
      </c>
      <c r="G1066" s="27" t="s">
        <v>35</v>
      </c>
      <c r="H1066" s="27" t="s">
        <v>19</v>
      </c>
      <c r="I1066" s="27">
        <v>1</v>
      </c>
      <c r="J1066" s="30">
        <v>67401250</v>
      </c>
      <c r="K1066" s="26"/>
      <c r="L1066" s="26" t="s">
        <v>3030</v>
      </c>
      <c r="M1066" s="31" t="s">
        <v>3031</v>
      </c>
      <c r="N1066" s="2"/>
      <c r="O1066" s="2"/>
      <c r="P1066" s="2"/>
      <c r="Q1066" s="2"/>
      <c r="R1066" s="2"/>
      <c r="S1066" s="2"/>
      <c r="T1066" s="2"/>
      <c r="U1066" s="2"/>
      <c r="V1066" s="2"/>
      <c r="W1066" s="2"/>
      <c r="X1066" s="2"/>
      <c r="Y1066" s="2"/>
      <c r="Z1066" s="2"/>
    </row>
    <row r="1067" spans="1:26" ht="12.75" hidden="1" customHeight="1">
      <c r="A1067" s="26">
        <v>687</v>
      </c>
      <c r="B1067" s="27" t="s">
        <v>3032</v>
      </c>
      <c r="C1067" s="28">
        <v>40640</v>
      </c>
      <c r="D1067" s="27"/>
      <c r="E1067" s="27" t="s">
        <v>3033</v>
      </c>
      <c r="F1067" s="29" t="s">
        <v>3034</v>
      </c>
      <c r="G1067" s="27" t="s">
        <v>248</v>
      </c>
      <c r="H1067" s="27" t="s">
        <v>249</v>
      </c>
      <c r="I1067" s="27">
        <v>1</v>
      </c>
      <c r="J1067" s="30">
        <v>72914838</v>
      </c>
      <c r="K1067" s="26" t="s">
        <v>206</v>
      </c>
      <c r="L1067" s="26" t="s">
        <v>2906</v>
      </c>
      <c r="M1067" s="31" t="s">
        <v>3035</v>
      </c>
      <c r="N1067" s="2"/>
      <c r="O1067" s="2"/>
      <c r="P1067" s="2"/>
      <c r="Q1067" s="2"/>
      <c r="R1067" s="2"/>
      <c r="S1067" s="2"/>
      <c r="T1067" s="2"/>
      <c r="U1067" s="2"/>
      <c r="V1067" s="2"/>
      <c r="W1067" s="2"/>
      <c r="X1067" s="2"/>
      <c r="Y1067" s="2"/>
      <c r="Z1067" s="2"/>
    </row>
    <row r="1068" spans="1:26" ht="12.75" hidden="1" customHeight="1">
      <c r="A1068" s="26">
        <v>688</v>
      </c>
      <c r="B1068" s="27" t="s">
        <v>197</v>
      </c>
      <c r="C1068" s="28">
        <v>40948</v>
      </c>
      <c r="D1068" s="27"/>
      <c r="E1068" s="27" t="s">
        <v>3036</v>
      </c>
      <c r="F1068" s="29" t="s">
        <v>3037</v>
      </c>
      <c r="G1068" s="27" t="s">
        <v>1435</v>
      </c>
      <c r="H1068" s="27" t="s">
        <v>249</v>
      </c>
      <c r="I1068" s="27">
        <v>1</v>
      </c>
      <c r="J1068" s="30">
        <v>75050674</v>
      </c>
      <c r="K1068" s="26" t="s">
        <v>20</v>
      </c>
      <c r="L1068" s="36" t="s">
        <v>229</v>
      </c>
      <c r="M1068" s="31" t="s">
        <v>5431</v>
      </c>
      <c r="N1068" s="2"/>
      <c r="O1068" s="2"/>
      <c r="P1068" s="2"/>
      <c r="Q1068" s="2"/>
      <c r="R1068" s="2"/>
      <c r="S1068" s="2"/>
      <c r="T1068" s="2"/>
      <c r="U1068" s="2"/>
      <c r="V1068" s="2"/>
      <c r="W1068" s="2"/>
      <c r="X1068" s="2"/>
      <c r="Y1068" s="2"/>
      <c r="Z1068" s="2"/>
    </row>
    <row r="1069" spans="1:26" ht="12.75" hidden="1" customHeight="1">
      <c r="A1069" s="26">
        <v>689</v>
      </c>
      <c r="B1069" s="27" t="s">
        <v>197</v>
      </c>
      <c r="C1069" s="28">
        <v>40948</v>
      </c>
      <c r="D1069" s="27"/>
      <c r="E1069" s="27" t="s">
        <v>3038</v>
      </c>
      <c r="F1069" s="29" t="s">
        <v>3039</v>
      </c>
      <c r="G1069" s="27" t="s">
        <v>1435</v>
      </c>
      <c r="H1069" s="27" t="s">
        <v>249</v>
      </c>
      <c r="I1069" s="27">
        <v>1</v>
      </c>
      <c r="J1069" s="30">
        <v>75050674</v>
      </c>
      <c r="K1069" s="26" t="s">
        <v>20</v>
      </c>
      <c r="L1069" s="36" t="s">
        <v>229</v>
      </c>
      <c r="M1069" s="31" t="s">
        <v>5432</v>
      </c>
      <c r="N1069" s="2"/>
      <c r="O1069" s="2"/>
      <c r="P1069" s="2"/>
      <c r="Q1069" s="2"/>
      <c r="R1069" s="2"/>
      <c r="S1069" s="2"/>
      <c r="T1069" s="2"/>
      <c r="U1069" s="2"/>
      <c r="V1069" s="2"/>
      <c r="W1069" s="2"/>
      <c r="X1069" s="2"/>
      <c r="Y1069" s="2"/>
      <c r="Z1069" s="2"/>
    </row>
    <row r="1070" spans="1:26" ht="38.25" hidden="1" customHeight="1">
      <c r="A1070" s="26">
        <v>690</v>
      </c>
      <c r="B1070" s="27" t="s">
        <v>3040</v>
      </c>
      <c r="C1070" s="28">
        <v>41915</v>
      </c>
      <c r="D1070" s="27"/>
      <c r="E1070" s="27" t="s">
        <v>3041</v>
      </c>
      <c r="F1070" s="29" t="s">
        <v>3042</v>
      </c>
      <c r="G1070" s="27" t="s">
        <v>1435</v>
      </c>
      <c r="H1070" s="27" t="s">
        <v>249</v>
      </c>
      <c r="I1070" s="27">
        <v>1</v>
      </c>
      <c r="J1070" s="30">
        <v>32000000</v>
      </c>
      <c r="K1070" s="26"/>
      <c r="L1070" s="26" t="s">
        <v>1196</v>
      </c>
      <c r="M1070" s="31" t="s">
        <v>3043</v>
      </c>
      <c r="N1070" s="2"/>
      <c r="O1070" s="2"/>
      <c r="P1070" s="2"/>
      <c r="Q1070" s="2"/>
      <c r="R1070" s="2"/>
      <c r="S1070" s="2"/>
      <c r="T1070" s="2"/>
      <c r="U1070" s="2"/>
      <c r="V1070" s="2"/>
      <c r="W1070" s="2"/>
      <c r="X1070" s="2"/>
      <c r="Y1070" s="2"/>
      <c r="Z1070" s="2"/>
    </row>
    <row r="1071" spans="1:26" ht="38.25" hidden="1" customHeight="1">
      <c r="A1071" s="26">
        <v>691</v>
      </c>
      <c r="B1071" s="27" t="s">
        <v>3040</v>
      </c>
      <c r="C1071" s="28">
        <v>41915</v>
      </c>
      <c r="D1071" s="27"/>
      <c r="E1071" s="27" t="s">
        <v>3044</v>
      </c>
      <c r="F1071" s="29" t="s">
        <v>3045</v>
      </c>
      <c r="G1071" s="27" t="s">
        <v>1435</v>
      </c>
      <c r="H1071" s="27" t="s">
        <v>249</v>
      </c>
      <c r="I1071" s="27">
        <v>1</v>
      </c>
      <c r="J1071" s="30">
        <v>32000000</v>
      </c>
      <c r="K1071" s="26"/>
      <c r="L1071" s="26" t="s">
        <v>1196</v>
      </c>
      <c r="M1071" s="31" t="s">
        <v>3043</v>
      </c>
      <c r="N1071" s="2"/>
      <c r="O1071" s="2"/>
      <c r="P1071" s="2"/>
      <c r="Q1071" s="2"/>
      <c r="R1071" s="2"/>
      <c r="S1071" s="2"/>
      <c r="T1071" s="2"/>
      <c r="U1071" s="2"/>
      <c r="V1071" s="2"/>
      <c r="W1071" s="2"/>
      <c r="X1071" s="2"/>
      <c r="Y1071" s="2"/>
      <c r="Z1071" s="2"/>
    </row>
    <row r="1072" spans="1:26" ht="12.75" hidden="1" customHeight="1">
      <c r="A1072" s="26">
        <v>692</v>
      </c>
      <c r="B1072" s="27" t="s">
        <v>3040</v>
      </c>
      <c r="C1072" s="28">
        <v>41915</v>
      </c>
      <c r="D1072" s="27"/>
      <c r="E1072" s="27" t="s">
        <v>3046</v>
      </c>
      <c r="F1072" s="29" t="s">
        <v>3047</v>
      </c>
      <c r="G1072" s="27" t="s">
        <v>1435</v>
      </c>
      <c r="H1072" s="27" t="s">
        <v>249</v>
      </c>
      <c r="I1072" s="27">
        <v>1</v>
      </c>
      <c r="J1072" s="30">
        <v>32000000</v>
      </c>
      <c r="K1072" s="26" t="s">
        <v>20</v>
      </c>
      <c r="L1072" s="26" t="s">
        <v>295</v>
      </c>
      <c r="M1072" s="31" t="s">
        <v>5217</v>
      </c>
      <c r="N1072" s="2"/>
      <c r="O1072" s="2"/>
      <c r="P1072" s="2"/>
      <c r="Q1072" s="2"/>
      <c r="R1072" s="2"/>
      <c r="S1072" s="2"/>
      <c r="T1072" s="2"/>
      <c r="U1072" s="2"/>
      <c r="V1072" s="2"/>
      <c r="W1072" s="2"/>
      <c r="X1072" s="2"/>
      <c r="Y1072" s="2"/>
      <c r="Z1072" s="2"/>
    </row>
    <row r="1073" spans="1:26" ht="12.75" hidden="1" customHeight="1">
      <c r="A1073" s="26">
        <v>693</v>
      </c>
      <c r="B1073" s="27" t="s">
        <v>3040</v>
      </c>
      <c r="C1073" s="28">
        <v>41915</v>
      </c>
      <c r="D1073" s="27"/>
      <c r="E1073" s="27" t="s">
        <v>3049</v>
      </c>
      <c r="F1073" s="29" t="s">
        <v>3050</v>
      </c>
      <c r="G1073" s="27" t="s">
        <v>1435</v>
      </c>
      <c r="H1073" s="27" t="s">
        <v>249</v>
      </c>
      <c r="I1073" s="27">
        <v>1</v>
      </c>
      <c r="J1073" s="30">
        <v>32000000</v>
      </c>
      <c r="K1073" s="26" t="s">
        <v>20</v>
      </c>
      <c r="L1073" s="26" t="s">
        <v>295</v>
      </c>
      <c r="M1073" s="31" t="s">
        <v>3051</v>
      </c>
      <c r="N1073" s="2"/>
      <c r="O1073" s="2"/>
      <c r="P1073" s="2"/>
      <c r="Q1073" s="2"/>
      <c r="R1073" s="2"/>
      <c r="S1073" s="2"/>
      <c r="T1073" s="2"/>
      <c r="U1073" s="2"/>
      <c r="V1073" s="2"/>
      <c r="W1073" s="2"/>
      <c r="X1073" s="2"/>
      <c r="Y1073" s="2"/>
      <c r="Z1073" s="2"/>
    </row>
    <row r="1074" spans="1:26" ht="12.75" hidden="1" customHeight="1">
      <c r="A1074" s="26">
        <v>694</v>
      </c>
      <c r="B1074" s="27" t="s">
        <v>2723</v>
      </c>
      <c r="C1074" s="28">
        <v>41502</v>
      </c>
      <c r="D1074" s="27"/>
      <c r="E1074" s="27" t="s">
        <v>3052</v>
      </c>
      <c r="F1074" s="29" t="s">
        <v>3053</v>
      </c>
      <c r="G1074" s="27" t="s">
        <v>55</v>
      </c>
      <c r="H1074" s="27" t="s">
        <v>569</v>
      </c>
      <c r="I1074" s="27">
        <v>1</v>
      </c>
      <c r="J1074" s="30">
        <v>494300000</v>
      </c>
      <c r="K1074" s="26" t="s">
        <v>20</v>
      </c>
      <c r="L1074" s="26" t="s">
        <v>423</v>
      </c>
      <c r="M1074" s="31" t="s">
        <v>2145</v>
      </c>
      <c r="N1074" s="2"/>
      <c r="O1074" s="2"/>
      <c r="P1074" s="2"/>
      <c r="Q1074" s="2"/>
      <c r="R1074" s="2"/>
      <c r="S1074" s="2"/>
      <c r="T1074" s="2"/>
      <c r="U1074" s="2"/>
      <c r="V1074" s="2"/>
      <c r="W1074" s="2"/>
      <c r="X1074" s="2"/>
      <c r="Y1074" s="2"/>
      <c r="Z1074" s="2"/>
    </row>
    <row r="1075" spans="1:26" ht="12.75" hidden="1" customHeight="1">
      <c r="A1075" s="26">
        <v>695</v>
      </c>
      <c r="B1075" s="27" t="s">
        <v>1005</v>
      </c>
      <c r="C1075" s="28">
        <v>39994</v>
      </c>
      <c r="D1075" s="27"/>
      <c r="E1075" s="27" t="s">
        <v>3055</v>
      </c>
      <c r="F1075" s="29" t="s">
        <v>3056</v>
      </c>
      <c r="G1075" s="27" t="s">
        <v>55</v>
      </c>
      <c r="H1075" s="27"/>
      <c r="I1075" s="27">
        <v>1</v>
      </c>
      <c r="J1075" s="30">
        <v>99228153</v>
      </c>
      <c r="K1075" s="26" t="s">
        <v>206</v>
      </c>
      <c r="L1075" s="26" t="s">
        <v>2906</v>
      </c>
      <c r="M1075" s="31" t="s">
        <v>3057</v>
      </c>
      <c r="N1075" s="2"/>
      <c r="O1075" s="2"/>
      <c r="P1075" s="2"/>
      <c r="Q1075" s="2"/>
      <c r="R1075" s="2"/>
      <c r="S1075" s="2"/>
      <c r="T1075" s="2"/>
      <c r="U1075" s="2"/>
      <c r="V1075" s="2"/>
      <c r="W1075" s="2"/>
      <c r="X1075" s="2"/>
      <c r="Y1075" s="2"/>
      <c r="Z1075" s="2"/>
    </row>
    <row r="1076" spans="1:26" ht="12.75" hidden="1" customHeight="1">
      <c r="A1076" s="26">
        <v>696</v>
      </c>
      <c r="B1076" s="27" t="s">
        <v>3058</v>
      </c>
      <c r="C1076" s="28">
        <v>41991</v>
      </c>
      <c r="D1076" s="27"/>
      <c r="E1076" s="27" t="s">
        <v>3059</v>
      </c>
      <c r="F1076" s="29" t="s">
        <v>3060</v>
      </c>
      <c r="G1076" s="27" t="s">
        <v>35</v>
      </c>
      <c r="H1076" s="27" t="s">
        <v>249</v>
      </c>
      <c r="I1076" s="27">
        <v>1</v>
      </c>
      <c r="J1076" s="30">
        <v>33500000</v>
      </c>
      <c r="K1076" s="26" t="s">
        <v>20</v>
      </c>
      <c r="L1076" s="26" t="s">
        <v>233</v>
      </c>
      <c r="M1076" s="31" t="s">
        <v>5283</v>
      </c>
      <c r="N1076" s="2"/>
      <c r="O1076" s="2"/>
      <c r="P1076" s="2"/>
      <c r="Q1076" s="2"/>
      <c r="R1076" s="2"/>
      <c r="S1076" s="2"/>
      <c r="T1076" s="2"/>
      <c r="U1076" s="2"/>
      <c r="V1076" s="2"/>
      <c r="W1076" s="2"/>
      <c r="X1076" s="2"/>
      <c r="Y1076" s="2"/>
      <c r="Z1076" s="2"/>
    </row>
    <row r="1077" spans="1:26" ht="25.5" hidden="1" customHeight="1">
      <c r="A1077" s="26">
        <v>697</v>
      </c>
      <c r="B1077" s="27" t="s">
        <v>3062</v>
      </c>
      <c r="C1077" s="28">
        <v>41274</v>
      </c>
      <c r="D1077" s="27"/>
      <c r="E1077" s="27" t="s">
        <v>3063</v>
      </c>
      <c r="F1077" s="29" t="s">
        <v>3064</v>
      </c>
      <c r="G1077" s="27" t="s">
        <v>35</v>
      </c>
      <c r="H1077" s="27" t="s">
        <v>157</v>
      </c>
      <c r="I1077" s="27">
        <v>1</v>
      </c>
      <c r="J1077" s="30">
        <v>48990000</v>
      </c>
      <c r="K1077" s="26" t="s">
        <v>20</v>
      </c>
      <c r="L1077" s="26" t="s">
        <v>233</v>
      </c>
      <c r="M1077" s="31" t="s">
        <v>2183</v>
      </c>
      <c r="N1077" s="2"/>
      <c r="O1077" s="2"/>
      <c r="P1077" s="2"/>
      <c r="Q1077" s="2"/>
      <c r="R1077" s="2"/>
      <c r="S1077" s="2"/>
      <c r="T1077" s="2"/>
      <c r="U1077" s="2"/>
      <c r="V1077" s="2"/>
      <c r="W1077" s="2"/>
      <c r="X1077" s="2"/>
      <c r="Y1077" s="2"/>
      <c r="Z1077" s="2"/>
    </row>
    <row r="1078" spans="1:26" ht="25.5" hidden="1" customHeight="1">
      <c r="A1078" s="26">
        <v>698</v>
      </c>
      <c r="B1078" s="27" t="s">
        <v>3065</v>
      </c>
      <c r="C1078" s="28">
        <v>41500</v>
      </c>
      <c r="D1078" s="27"/>
      <c r="E1078" s="27" t="s">
        <v>3066</v>
      </c>
      <c r="F1078" s="29" t="s">
        <v>3067</v>
      </c>
      <c r="G1078" s="27" t="s">
        <v>35</v>
      </c>
      <c r="H1078" s="27" t="s">
        <v>157</v>
      </c>
      <c r="I1078" s="27">
        <v>1</v>
      </c>
      <c r="J1078" s="30">
        <v>50295000</v>
      </c>
      <c r="K1078" s="26" t="s">
        <v>20</v>
      </c>
      <c r="L1078" s="36" t="s">
        <v>229</v>
      </c>
      <c r="M1078" s="31" t="s">
        <v>5433</v>
      </c>
      <c r="N1078" s="2"/>
      <c r="O1078" s="2"/>
      <c r="P1078" s="2"/>
      <c r="Q1078" s="2"/>
      <c r="R1078" s="2"/>
      <c r="S1078" s="2"/>
      <c r="T1078" s="2"/>
      <c r="U1078" s="2"/>
      <c r="V1078" s="2"/>
      <c r="W1078" s="2"/>
      <c r="X1078" s="2"/>
      <c r="Y1078" s="2"/>
      <c r="Z1078" s="2"/>
    </row>
    <row r="1079" spans="1:26" ht="12.75" hidden="1" customHeight="1">
      <c r="A1079" s="26">
        <v>699</v>
      </c>
      <c r="B1079" s="27" t="s">
        <v>470</v>
      </c>
      <c r="C1079" s="28">
        <v>41983</v>
      </c>
      <c r="D1079" s="27"/>
      <c r="E1079" s="27" t="s">
        <v>3068</v>
      </c>
      <c r="F1079" s="29" t="s">
        <v>3069</v>
      </c>
      <c r="G1079" s="27" t="s">
        <v>35</v>
      </c>
      <c r="H1079" s="27" t="s">
        <v>157</v>
      </c>
      <c r="I1079" s="27">
        <v>1</v>
      </c>
      <c r="J1079" s="30">
        <v>78569762</v>
      </c>
      <c r="K1079" s="26" t="s">
        <v>20</v>
      </c>
      <c r="L1079" s="26" t="s">
        <v>423</v>
      </c>
      <c r="M1079" s="31" t="s">
        <v>2145</v>
      </c>
      <c r="N1079" s="2"/>
      <c r="O1079" s="2"/>
      <c r="P1079" s="2"/>
      <c r="Q1079" s="2"/>
      <c r="R1079" s="2"/>
      <c r="S1079" s="2"/>
      <c r="T1079" s="2"/>
      <c r="U1079" s="2"/>
      <c r="V1079" s="2"/>
      <c r="W1079" s="2"/>
      <c r="X1079" s="2"/>
      <c r="Y1079" s="2"/>
      <c r="Z1079" s="2"/>
    </row>
    <row r="1080" spans="1:26" ht="12.75" hidden="1" customHeight="1">
      <c r="A1080" s="26">
        <v>700</v>
      </c>
      <c r="B1080" s="27" t="s">
        <v>599</v>
      </c>
      <c r="C1080" s="28">
        <v>42671</v>
      </c>
      <c r="D1080" s="27"/>
      <c r="E1080" s="27" t="s">
        <v>3071</v>
      </c>
      <c r="F1080" s="29" t="s">
        <v>3072</v>
      </c>
      <c r="G1080" s="27" t="s">
        <v>35</v>
      </c>
      <c r="H1080" s="27" t="s">
        <v>19</v>
      </c>
      <c r="I1080" s="27">
        <v>1</v>
      </c>
      <c r="J1080" s="30">
        <v>86626535</v>
      </c>
      <c r="K1080" s="26" t="s">
        <v>36</v>
      </c>
      <c r="L1080" s="26" t="s">
        <v>169</v>
      </c>
      <c r="M1080" s="31" t="s">
        <v>2956</v>
      </c>
      <c r="N1080" s="2"/>
      <c r="O1080" s="2"/>
      <c r="P1080" s="2"/>
      <c r="Q1080" s="2"/>
      <c r="R1080" s="2"/>
      <c r="S1080" s="2"/>
      <c r="T1080" s="2"/>
      <c r="U1080" s="2"/>
      <c r="V1080" s="2"/>
      <c r="W1080" s="2"/>
      <c r="X1080" s="2"/>
      <c r="Y1080" s="2"/>
      <c r="Z1080" s="2"/>
    </row>
    <row r="1081" spans="1:26" ht="12.75" hidden="1" customHeight="1">
      <c r="A1081" s="26">
        <v>701</v>
      </c>
      <c r="B1081" s="27" t="s">
        <v>599</v>
      </c>
      <c r="C1081" s="28">
        <v>42671</v>
      </c>
      <c r="D1081" s="27"/>
      <c r="E1081" s="27" t="s">
        <v>3073</v>
      </c>
      <c r="F1081" s="29" t="s">
        <v>3072</v>
      </c>
      <c r="G1081" s="27" t="s">
        <v>35</v>
      </c>
      <c r="H1081" s="27" t="s">
        <v>19</v>
      </c>
      <c r="I1081" s="27">
        <v>1</v>
      </c>
      <c r="J1081" s="30">
        <v>86626536</v>
      </c>
      <c r="K1081" s="26" t="s">
        <v>36</v>
      </c>
      <c r="L1081" s="26" t="s">
        <v>169</v>
      </c>
      <c r="M1081" s="31" t="s">
        <v>2956</v>
      </c>
      <c r="N1081" s="2"/>
      <c r="O1081" s="2"/>
      <c r="P1081" s="2"/>
      <c r="Q1081" s="2"/>
      <c r="R1081" s="2"/>
      <c r="S1081" s="2"/>
      <c r="T1081" s="2"/>
      <c r="U1081" s="2"/>
      <c r="V1081" s="2"/>
      <c r="W1081" s="2"/>
      <c r="X1081" s="2"/>
      <c r="Y1081" s="2"/>
      <c r="Z1081" s="2"/>
    </row>
    <row r="1082" spans="1:26" ht="25.5" hidden="1" customHeight="1">
      <c r="A1082" s="26">
        <v>702</v>
      </c>
      <c r="B1082" s="27" t="s">
        <v>797</v>
      </c>
      <c r="C1082" s="28">
        <v>42671</v>
      </c>
      <c r="D1082" s="27"/>
      <c r="E1082" s="27" t="s">
        <v>3074</v>
      </c>
      <c r="F1082" s="29" t="s">
        <v>3075</v>
      </c>
      <c r="G1082" s="27" t="s">
        <v>35</v>
      </c>
      <c r="H1082" s="27"/>
      <c r="I1082" s="27">
        <v>1</v>
      </c>
      <c r="J1082" s="30">
        <v>74039565</v>
      </c>
      <c r="K1082" s="26" t="s">
        <v>206</v>
      </c>
      <c r="L1082" s="26" t="s">
        <v>2906</v>
      </c>
      <c r="M1082" s="31" t="s">
        <v>1041</v>
      </c>
      <c r="N1082" s="2"/>
      <c r="O1082" s="2"/>
      <c r="P1082" s="2"/>
      <c r="Q1082" s="2"/>
      <c r="R1082" s="2"/>
      <c r="S1082" s="2"/>
      <c r="T1082" s="2"/>
      <c r="U1082" s="2"/>
      <c r="V1082" s="2"/>
      <c r="W1082" s="2"/>
      <c r="X1082" s="2"/>
      <c r="Y1082" s="2"/>
      <c r="Z1082" s="2"/>
    </row>
    <row r="1083" spans="1:26" ht="25.5" hidden="1" customHeight="1">
      <c r="A1083" s="26">
        <v>703</v>
      </c>
      <c r="B1083" s="27" t="s">
        <v>797</v>
      </c>
      <c r="C1083" s="28">
        <v>42671</v>
      </c>
      <c r="D1083" s="27"/>
      <c r="E1083" s="27" t="s">
        <v>3076</v>
      </c>
      <c r="F1083" s="29" t="s">
        <v>3077</v>
      </c>
      <c r="G1083" s="27" t="s">
        <v>35</v>
      </c>
      <c r="H1083" s="27" t="s">
        <v>19</v>
      </c>
      <c r="I1083" s="27">
        <v>1</v>
      </c>
      <c r="J1083" s="30">
        <v>75214796</v>
      </c>
      <c r="K1083" s="26" t="s">
        <v>206</v>
      </c>
      <c r="L1083" s="26" t="s">
        <v>2906</v>
      </c>
      <c r="M1083" s="31" t="s">
        <v>1041</v>
      </c>
      <c r="N1083" s="2"/>
      <c r="O1083" s="2"/>
      <c r="P1083" s="2"/>
      <c r="Q1083" s="2"/>
      <c r="R1083" s="2"/>
      <c r="S1083" s="2"/>
      <c r="T1083" s="2"/>
      <c r="U1083" s="2"/>
      <c r="V1083" s="2"/>
      <c r="W1083" s="2"/>
      <c r="X1083" s="2"/>
      <c r="Y1083" s="2"/>
      <c r="Z1083" s="2"/>
    </row>
    <row r="1084" spans="1:26" ht="25.5" hidden="1" customHeight="1">
      <c r="A1084" s="26">
        <v>704</v>
      </c>
      <c r="B1084" s="27" t="s">
        <v>797</v>
      </c>
      <c r="C1084" s="28">
        <v>42671</v>
      </c>
      <c r="D1084" s="27"/>
      <c r="E1084" s="27" t="s">
        <v>3078</v>
      </c>
      <c r="F1084" s="29" t="s">
        <v>3077</v>
      </c>
      <c r="G1084" s="27" t="s">
        <v>35</v>
      </c>
      <c r="H1084" s="27" t="s">
        <v>19</v>
      </c>
      <c r="I1084" s="27">
        <v>1</v>
      </c>
      <c r="J1084" s="30">
        <v>75214796</v>
      </c>
      <c r="K1084" s="26" t="s">
        <v>206</v>
      </c>
      <c r="L1084" s="26" t="s">
        <v>2906</v>
      </c>
      <c r="M1084" s="31" t="s">
        <v>1041</v>
      </c>
      <c r="N1084" s="2"/>
      <c r="O1084" s="2"/>
      <c r="P1084" s="2"/>
      <c r="Q1084" s="2"/>
      <c r="R1084" s="2"/>
      <c r="S1084" s="2"/>
      <c r="T1084" s="2"/>
      <c r="U1084" s="2"/>
      <c r="V1084" s="2"/>
      <c r="W1084" s="2"/>
      <c r="X1084" s="2"/>
      <c r="Y1084" s="2"/>
      <c r="Z1084" s="2"/>
    </row>
    <row r="1085" spans="1:26" ht="25.5" hidden="1" customHeight="1">
      <c r="A1085" s="26">
        <v>705</v>
      </c>
      <c r="B1085" s="27" t="s">
        <v>797</v>
      </c>
      <c r="C1085" s="28">
        <v>42671</v>
      </c>
      <c r="D1085" s="27"/>
      <c r="E1085" s="27" t="s">
        <v>3079</v>
      </c>
      <c r="F1085" s="29" t="s">
        <v>3077</v>
      </c>
      <c r="G1085" s="27" t="s">
        <v>35</v>
      </c>
      <c r="H1085" s="27" t="s">
        <v>19</v>
      </c>
      <c r="I1085" s="27">
        <v>1</v>
      </c>
      <c r="J1085" s="30">
        <v>75214796</v>
      </c>
      <c r="K1085" s="26" t="s">
        <v>206</v>
      </c>
      <c r="L1085" s="26" t="s">
        <v>2906</v>
      </c>
      <c r="M1085" s="31" t="s">
        <v>1041</v>
      </c>
      <c r="N1085" s="2"/>
      <c r="O1085" s="2"/>
      <c r="P1085" s="2"/>
      <c r="Q1085" s="2"/>
      <c r="R1085" s="2"/>
      <c r="S1085" s="2"/>
      <c r="T1085" s="2"/>
      <c r="U1085" s="2"/>
      <c r="V1085" s="2"/>
      <c r="W1085" s="2"/>
      <c r="X1085" s="2"/>
      <c r="Y1085" s="2"/>
      <c r="Z1085" s="2"/>
    </row>
    <row r="1086" spans="1:26" ht="25.5" hidden="1" customHeight="1">
      <c r="A1086" s="26">
        <v>706</v>
      </c>
      <c r="B1086" s="27" t="s">
        <v>797</v>
      </c>
      <c r="C1086" s="28">
        <v>42671</v>
      </c>
      <c r="D1086" s="27"/>
      <c r="E1086" s="27" t="s">
        <v>3080</v>
      </c>
      <c r="F1086" s="29" t="s">
        <v>3077</v>
      </c>
      <c r="G1086" s="27" t="s">
        <v>35</v>
      </c>
      <c r="H1086" s="27" t="s">
        <v>19</v>
      </c>
      <c r="I1086" s="27">
        <v>1</v>
      </c>
      <c r="J1086" s="30">
        <v>75214796</v>
      </c>
      <c r="K1086" s="26" t="s">
        <v>206</v>
      </c>
      <c r="L1086" s="26" t="s">
        <v>2906</v>
      </c>
      <c r="M1086" s="31" t="s">
        <v>1041</v>
      </c>
      <c r="N1086" s="2"/>
      <c r="O1086" s="2"/>
      <c r="P1086" s="2"/>
      <c r="Q1086" s="2"/>
      <c r="R1086" s="2"/>
      <c r="S1086" s="2"/>
      <c r="T1086" s="2"/>
      <c r="U1086" s="2"/>
      <c r="V1086" s="2"/>
      <c r="W1086" s="2"/>
      <c r="X1086" s="2"/>
      <c r="Y1086" s="2"/>
      <c r="Z1086" s="2"/>
    </row>
    <row r="1087" spans="1:26" ht="12.75" hidden="1" customHeight="1">
      <c r="A1087" s="26">
        <v>707</v>
      </c>
      <c r="B1087" s="27" t="s">
        <v>3081</v>
      </c>
      <c r="C1087" s="28">
        <v>43099</v>
      </c>
      <c r="D1087" s="27"/>
      <c r="E1087" s="27" t="s">
        <v>3082</v>
      </c>
      <c r="F1087" s="29" t="s">
        <v>3083</v>
      </c>
      <c r="G1087" s="27" t="s">
        <v>35</v>
      </c>
      <c r="H1087" s="27" t="s">
        <v>19</v>
      </c>
      <c r="I1087" s="27">
        <v>1</v>
      </c>
      <c r="J1087" s="30">
        <v>78527000</v>
      </c>
      <c r="K1087" s="26" t="s">
        <v>20</v>
      </c>
      <c r="L1087" s="26" t="s">
        <v>423</v>
      </c>
      <c r="M1087" s="31" t="s">
        <v>2145</v>
      </c>
      <c r="N1087" s="2"/>
      <c r="O1087" s="2"/>
      <c r="P1087" s="2"/>
      <c r="Q1087" s="2"/>
      <c r="R1087" s="2"/>
      <c r="S1087" s="2"/>
      <c r="T1087" s="2"/>
      <c r="U1087" s="2"/>
      <c r="V1087" s="2"/>
      <c r="W1087" s="2"/>
      <c r="X1087" s="2"/>
      <c r="Y1087" s="2"/>
      <c r="Z1087" s="2"/>
    </row>
    <row r="1088" spans="1:26" ht="12.75" hidden="1" customHeight="1">
      <c r="A1088" s="26">
        <v>708</v>
      </c>
      <c r="B1088" s="27" t="s">
        <v>52</v>
      </c>
      <c r="C1088" s="28">
        <v>40875</v>
      </c>
      <c r="D1088" s="27"/>
      <c r="E1088" s="27" t="s">
        <v>3084</v>
      </c>
      <c r="F1088" s="29" t="s">
        <v>3085</v>
      </c>
      <c r="G1088" s="27"/>
      <c r="H1088" s="27" t="s">
        <v>19</v>
      </c>
      <c r="I1088" s="27">
        <v>1</v>
      </c>
      <c r="J1088" s="30">
        <v>978360953</v>
      </c>
      <c r="K1088" s="26" t="s">
        <v>36</v>
      </c>
      <c r="L1088" s="26" t="s">
        <v>169</v>
      </c>
      <c r="M1088" s="31" t="s">
        <v>3086</v>
      </c>
      <c r="N1088" s="2"/>
      <c r="O1088" s="2"/>
      <c r="P1088" s="2"/>
      <c r="Q1088" s="2"/>
      <c r="R1088" s="2"/>
      <c r="S1088" s="2"/>
      <c r="T1088" s="2"/>
      <c r="U1088" s="2"/>
      <c r="V1088" s="2"/>
      <c r="W1088" s="2"/>
      <c r="X1088" s="2"/>
      <c r="Y1088" s="2"/>
      <c r="Z1088" s="2"/>
    </row>
    <row r="1089" spans="1:26" ht="25.5" hidden="1" customHeight="1">
      <c r="A1089" s="26">
        <v>709</v>
      </c>
      <c r="B1089" s="27" t="s">
        <v>52</v>
      </c>
      <c r="C1089" s="28">
        <v>40875</v>
      </c>
      <c r="D1089" s="27"/>
      <c r="E1089" s="27" t="s">
        <v>3087</v>
      </c>
      <c r="F1089" s="29" t="s">
        <v>3088</v>
      </c>
      <c r="G1089" s="27"/>
      <c r="H1089" s="27" t="s">
        <v>19</v>
      </c>
      <c r="I1089" s="27">
        <v>1</v>
      </c>
      <c r="J1089" s="30">
        <v>503971832</v>
      </c>
      <c r="K1089" s="26" t="s">
        <v>36</v>
      </c>
      <c r="L1089" s="26" t="s">
        <v>169</v>
      </c>
      <c r="M1089" s="31" t="s">
        <v>3089</v>
      </c>
      <c r="N1089" s="2"/>
      <c r="O1089" s="2"/>
      <c r="P1089" s="2"/>
      <c r="Q1089" s="2"/>
      <c r="R1089" s="2"/>
      <c r="S1089" s="2"/>
      <c r="T1089" s="2"/>
      <c r="U1089" s="2"/>
      <c r="V1089" s="2"/>
      <c r="W1089" s="2"/>
      <c r="X1089" s="2"/>
      <c r="Y1089" s="2"/>
      <c r="Z1089" s="2"/>
    </row>
    <row r="1090" spans="1:26" ht="12.75" hidden="1" customHeight="1">
      <c r="A1090" s="26">
        <v>710</v>
      </c>
      <c r="B1090" s="27" t="s">
        <v>52</v>
      </c>
      <c r="C1090" s="28">
        <v>40875</v>
      </c>
      <c r="D1090" s="27"/>
      <c r="E1090" s="27" t="s">
        <v>3090</v>
      </c>
      <c r="F1090" s="29" t="s">
        <v>3091</v>
      </c>
      <c r="G1090" s="27"/>
      <c r="H1090" s="27" t="s">
        <v>19</v>
      </c>
      <c r="I1090" s="27">
        <v>1</v>
      </c>
      <c r="J1090" s="30">
        <v>1277030857</v>
      </c>
      <c r="K1090" s="26" t="s">
        <v>36</v>
      </c>
      <c r="L1090" s="26" t="s">
        <v>169</v>
      </c>
      <c r="M1090" s="31" t="s">
        <v>3092</v>
      </c>
      <c r="N1090" s="2"/>
      <c r="O1090" s="2"/>
      <c r="P1090" s="2"/>
      <c r="Q1090" s="2"/>
      <c r="R1090" s="2"/>
      <c r="S1090" s="2"/>
      <c r="T1090" s="2"/>
      <c r="U1090" s="2"/>
      <c r="V1090" s="2"/>
      <c r="W1090" s="2"/>
      <c r="X1090" s="2"/>
      <c r="Y1090" s="2"/>
      <c r="Z1090" s="2"/>
    </row>
    <row r="1091" spans="1:26" ht="12.75" hidden="1" customHeight="1">
      <c r="A1091" s="26">
        <v>711</v>
      </c>
      <c r="B1091" s="27" t="s">
        <v>52</v>
      </c>
      <c r="C1091" s="28">
        <v>40875</v>
      </c>
      <c r="D1091" s="27"/>
      <c r="E1091" s="27" t="s">
        <v>3093</v>
      </c>
      <c r="F1091" s="29" t="s">
        <v>3094</v>
      </c>
      <c r="G1091" s="27"/>
      <c r="H1091" s="27" t="s">
        <v>157</v>
      </c>
      <c r="I1091" s="27">
        <v>1</v>
      </c>
      <c r="J1091" s="30">
        <v>4487033104</v>
      </c>
      <c r="K1091" s="26" t="s">
        <v>36</v>
      </c>
      <c r="L1091" s="26" t="s">
        <v>169</v>
      </c>
      <c r="M1091" s="31" t="s">
        <v>3092</v>
      </c>
      <c r="N1091" s="2"/>
      <c r="O1091" s="2"/>
      <c r="P1091" s="2"/>
      <c r="Q1091" s="2"/>
      <c r="R1091" s="2"/>
      <c r="S1091" s="2"/>
      <c r="T1091" s="2"/>
      <c r="U1091" s="2"/>
      <c r="V1091" s="2"/>
      <c r="W1091" s="2"/>
      <c r="X1091" s="2"/>
      <c r="Y1091" s="2"/>
      <c r="Z1091" s="2"/>
    </row>
    <row r="1092" spans="1:26" ht="12.75" hidden="1" customHeight="1">
      <c r="A1092" s="26">
        <v>712</v>
      </c>
      <c r="B1092" s="27" t="s">
        <v>52</v>
      </c>
      <c r="C1092" s="28">
        <v>40875</v>
      </c>
      <c r="D1092" s="27"/>
      <c r="E1092" s="27" t="s">
        <v>3095</v>
      </c>
      <c r="F1092" s="29" t="s">
        <v>3096</v>
      </c>
      <c r="G1092" s="27"/>
      <c r="H1092" s="27" t="s">
        <v>19</v>
      </c>
      <c r="I1092" s="27">
        <v>1</v>
      </c>
      <c r="J1092" s="30">
        <v>986599406</v>
      </c>
      <c r="K1092" s="26" t="s">
        <v>36</v>
      </c>
      <c r="L1092" s="26" t="s">
        <v>141</v>
      </c>
      <c r="M1092" s="31" t="s">
        <v>3097</v>
      </c>
      <c r="N1092" s="2"/>
      <c r="O1092" s="2"/>
      <c r="P1092" s="2"/>
      <c r="Q1092" s="2"/>
      <c r="R1092" s="2"/>
      <c r="S1092" s="2"/>
      <c r="T1092" s="2"/>
      <c r="U1092" s="2"/>
      <c r="V1092" s="2"/>
      <c r="W1092" s="2"/>
      <c r="X1092" s="2"/>
      <c r="Y1092" s="2"/>
      <c r="Z1092" s="2"/>
    </row>
    <row r="1093" spans="1:26" ht="25.5" hidden="1" customHeight="1">
      <c r="A1093" s="26">
        <v>713</v>
      </c>
      <c r="B1093" s="27" t="s">
        <v>599</v>
      </c>
      <c r="C1093" s="28">
        <v>42671</v>
      </c>
      <c r="D1093" s="27"/>
      <c r="E1093" s="27" t="s">
        <v>3098</v>
      </c>
      <c r="F1093" s="29" t="s">
        <v>3099</v>
      </c>
      <c r="G1093" s="27" t="s">
        <v>307</v>
      </c>
      <c r="H1093" s="27" t="s">
        <v>522</v>
      </c>
      <c r="I1093" s="27">
        <v>1</v>
      </c>
      <c r="J1093" s="30">
        <v>275668028</v>
      </c>
      <c r="K1093" s="26" t="s">
        <v>36</v>
      </c>
      <c r="L1093" s="26" t="s">
        <v>141</v>
      </c>
      <c r="M1093" s="31" t="s">
        <v>3100</v>
      </c>
      <c r="N1093" s="2"/>
      <c r="O1093" s="2"/>
      <c r="P1093" s="2"/>
      <c r="Q1093" s="2"/>
      <c r="R1093" s="2"/>
      <c r="S1093" s="2"/>
      <c r="T1093" s="2"/>
      <c r="U1093" s="2"/>
      <c r="V1093" s="2"/>
      <c r="W1093" s="2"/>
      <c r="X1093" s="2"/>
      <c r="Y1093" s="2"/>
      <c r="Z1093" s="2"/>
    </row>
    <row r="1094" spans="1:26" ht="25.5" hidden="1" customHeight="1">
      <c r="A1094" s="26">
        <v>714</v>
      </c>
      <c r="B1094" s="27" t="s">
        <v>599</v>
      </c>
      <c r="C1094" s="28">
        <v>42671</v>
      </c>
      <c r="D1094" s="27"/>
      <c r="E1094" s="27" t="s">
        <v>3101</v>
      </c>
      <c r="F1094" s="29" t="s">
        <v>3099</v>
      </c>
      <c r="G1094" s="27" t="s">
        <v>307</v>
      </c>
      <c r="H1094" s="27" t="s">
        <v>522</v>
      </c>
      <c r="I1094" s="27">
        <v>1</v>
      </c>
      <c r="J1094" s="30">
        <v>275668028</v>
      </c>
      <c r="K1094" s="26" t="s">
        <v>36</v>
      </c>
      <c r="L1094" s="26" t="s">
        <v>141</v>
      </c>
      <c r="M1094" s="31" t="s">
        <v>3100</v>
      </c>
      <c r="N1094" s="2"/>
      <c r="O1094" s="2"/>
      <c r="P1094" s="2"/>
      <c r="Q1094" s="2"/>
      <c r="R1094" s="2"/>
      <c r="S1094" s="2"/>
      <c r="T1094" s="2"/>
      <c r="U1094" s="2"/>
      <c r="V1094" s="2"/>
      <c r="W1094" s="2"/>
      <c r="X1094" s="2"/>
      <c r="Y1094" s="2"/>
      <c r="Z1094" s="2"/>
    </row>
    <row r="1095" spans="1:26" ht="25.5" hidden="1" customHeight="1">
      <c r="A1095" s="26">
        <v>715</v>
      </c>
      <c r="B1095" s="27" t="s">
        <v>599</v>
      </c>
      <c r="C1095" s="28">
        <v>42671</v>
      </c>
      <c r="D1095" s="27"/>
      <c r="E1095" s="27" t="s">
        <v>3102</v>
      </c>
      <c r="F1095" s="29" t="s">
        <v>3099</v>
      </c>
      <c r="G1095" s="27" t="s">
        <v>307</v>
      </c>
      <c r="H1095" s="27" t="s">
        <v>522</v>
      </c>
      <c r="I1095" s="27">
        <v>1</v>
      </c>
      <c r="J1095" s="30">
        <v>275668028</v>
      </c>
      <c r="K1095" s="26" t="s">
        <v>36</v>
      </c>
      <c r="L1095" s="26" t="s">
        <v>141</v>
      </c>
      <c r="M1095" s="31" t="s">
        <v>3100</v>
      </c>
      <c r="N1095" s="2"/>
      <c r="O1095" s="2"/>
      <c r="P1095" s="2"/>
      <c r="Q1095" s="2"/>
      <c r="R1095" s="2"/>
      <c r="S1095" s="2"/>
      <c r="T1095" s="2"/>
      <c r="U1095" s="2"/>
      <c r="V1095" s="2"/>
      <c r="W1095" s="2"/>
      <c r="X1095" s="2"/>
      <c r="Y1095" s="2"/>
      <c r="Z1095" s="2"/>
    </row>
    <row r="1096" spans="1:26" ht="25.5" hidden="1" customHeight="1">
      <c r="A1096" s="26">
        <v>716</v>
      </c>
      <c r="B1096" s="27" t="s">
        <v>599</v>
      </c>
      <c r="C1096" s="28">
        <v>42671</v>
      </c>
      <c r="D1096" s="27"/>
      <c r="E1096" s="27" t="s">
        <v>3103</v>
      </c>
      <c r="F1096" s="29" t="s">
        <v>3099</v>
      </c>
      <c r="G1096" s="27" t="s">
        <v>307</v>
      </c>
      <c r="H1096" s="27" t="s">
        <v>522</v>
      </c>
      <c r="I1096" s="27">
        <v>1</v>
      </c>
      <c r="J1096" s="30">
        <v>275668028</v>
      </c>
      <c r="K1096" s="26" t="s">
        <v>36</v>
      </c>
      <c r="L1096" s="26" t="s">
        <v>141</v>
      </c>
      <c r="M1096" s="31" t="s">
        <v>3100</v>
      </c>
      <c r="N1096" s="2"/>
      <c r="O1096" s="2"/>
      <c r="P1096" s="2"/>
      <c r="Q1096" s="2"/>
      <c r="R1096" s="2"/>
      <c r="S1096" s="2"/>
      <c r="T1096" s="2"/>
      <c r="U1096" s="2"/>
      <c r="V1096" s="2"/>
      <c r="W1096" s="2"/>
      <c r="X1096" s="2"/>
      <c r="Y1096" s="2"/>
      <c r="Z1096" s="2"/>
    </row>
    <row r="1097" spans="1:26" ht="25.5" hidden="1" customHeight="1">
      <c r="A1097" s="26">
        <v>717</v>
      </c>
      <c r="B1097" s="27" t="s">
        <v>599</v>
      </c>
      <c r="C1097" s="28">
        <v>42671</v>
      </c>
      <c r="D1097" s="27"/>
      <c r="E1097" s="27" t="s">
        <v>3104</v>
      </c>
      <c r="F1097" s="29" t="s">
        <v>3105</v>
      </c>
      <c r="G1097" s="27" t="s">
        <v>307</v>
      </c>
      <c r="H1097" s="27" t="s">
        <v>522</v>
      </c>
      <c r="I1097" s="27">
        <v>1</v>
      </c>
      <c r="J1097" s="30">
        <v>1838617889</v>
      </c>
      <c r="K1097" s="26" t="s">
        <v>36</v>
      </c>
      <c r="L1097" s="26" t="s">
        <v>141</v>
      </c>
      <c r="M1097" s="31" t="s">
        <v>3100</v>
      </c>
      <c r="N1097" s="2"/>
      <c r="O1097" s="2"/>
      <c r="P1097" s="2"/>
      <c r="Q1097" s="2"/>
      <c r="R1097" s="2"/>
      <c r="S1097" s="2"/>
      <c r="T1097" s="2"/>
      <c r="U1097" s="2"/>
      <c r="V1097" s="2"/>
      <c r="W1097" s="2"/>
      <c r="X1097" s="2"/>
      <c r="Y1097" s="2"/>
      <c r="Z1097" s="2"/>
    </row>
    <row r="1098" spans="1:26" ht="25.5" hidden="1" customHeight="1">
      <c r="A1098" s="26">
        <v>718</v>
      </c>
      <c r="B1098" s="27" t="s">
        <v>599</v>
      </c>
      <c r="C1098" s="28">
        <v>42671</v>
      </c>
      <c r="D1098" s="27"/>
      <c r="E1098" s="27" t="s">
        <v>3106</v>
      </c>
      <c r="F1098" s="29" t="s">
        <v>3107</v>
      </c>
      <c r="G1098" s="27" t="s">
        <v>307</v>
      </c>
      <c r="H1098" s="27" t="s">
        <v>522</v>
      </c>
      <c r="I1098" s="27">
        <v>1</v>
      </c>
      <c r="J1098" s="30">
        <v>76574452</v>
      </c>
      <c r="K1098" s="26" t="s">
        <v>36</v>
      </c>
      <c r="L1098" s="26" t="s">
        <v>141</v>
      </c>
      <c r="M1098" s="31" t="s">
        <v>3100</v>
      </c>
      <c r="N1098" s="2"/>
      <c r="O1098" s="2"/>
      <c r="P1098" s="2"/>
      <c r="Q1098" s="2"/>
      <c r="R1098" s="2"/>
      <c r="S1098" s="2"/>
      <c r="T1098" s="2"/>
      <c r="U1098" s="2"/>
      <c r="V1098" s="2"/>
      <c r="W1098" s="2"/>
      <c r="X1098" s="2"/>
      <c r="Y1098" s="2"/>
      <c r="Z1098" s="2"/>
    </row>
    <row r="1099" spans="1:26" ht="25.5" hidden="1" customHeight="1">
      <c r="A1099" s="26">
        <v>719</v>
      </c>
      <c r="B1099" s="27" t="s">
        <v>599</v>
      </c>
      <c r="C1099" s="28">
        <v>42671</v>
      </c>
      <c r="D1099" s="27"/>
      <c r="E1099" s="27" t="s">
        <v>3108</v>
      </c>
      <c r="F1099" s="29" t="s">
        <v>3107</v>
      </c>
      <c r="G1099" s="27" t="s">
        <v>307</v>
      </c>
      <c r="H1099" s="27" t="s">
        <v>522</v>
      </c>
      <c r="I1099" s="27">
        <v>1</v>
      </c>
      <c r="J1099" s="30">
        <v>76574452</v>
      </c>
      <c r="K1099" s="26" t="s">
        <v>36</v>
      </c>
      <c r="L1099" s="26" t="s">
        <v>141</v>
      </c>
      <c r="M1099" s="31" t="s">
        <v>3100</v>
      </c>
      <c r="N1099" s="2"/>
      <c r="O1099" s="2"/>
      <c r="P1099" s="2"/>
      <c r="Q1099" s="2"/>
      <c r="R1099" s="2"/>
      <c r="S1099" s="2"/>
      <c r="T1099" s="2"/>
      <c r="U1099" s="2"/>
      <c r="V1099" s="2"/>
      <c r="W1099" s="2"/>
      <c r="X1099" s="2"/>
      <c r="Y1099" s="2"/>
      <c r="Z1099" s="2"/>
    </row>
    <row r="1100" spans="1:26" ht="25.5" hidden="1" customHeight="1">
      <c r="A1100" s="26">
        <v>720</v>
      </c>
      <c r="B1100" s="27" t="s">
        <v>599</v>
      </c>
      <c r="C1100" s="28">
        <v>42671</v>
      </c>
      <c r="D1100" s="27"/>
      <c r="E1100" s="27" t="s">
        <v>3109</v>
      </c>
      <c r="F1100" s="29" t="s">
        <v>3107</v>
      </c>
      <c r="G1100" s="27" t="s">
        <v>307</v>
      </c>
      <c r="H1100" s="27" t="s">
        <v>522</v>
      </c>
      <c r="I1100" s="27">
        <v>1</v>
      </c>
      <c r="J1100" s="30">
        <v>76574453</v>
      </c>
      <c r="K1100" s="26" t="s">
        <v>36</v>
      </c>
      <c r="L1100" s="26" t="s">
        <v>141</v>
      </c>
      <c r="M1100" s="31" t="s">
        <v>3100</v>
      </c>
      <c r="N1100" s="2"/>
      <c r="O1100" s="2"/>
      <c r="P1100" s="2"/>
      <c r="Q1100" s="2"/>
      <c r="R1100" s="2"/>
      <c r="S1100" s="2"/>
      <c r="T1100" s="2"/>
      <c r="U1100" s="2"/>
      <c r="V1100" s="2"/>
      <c r="W1100" s="2"/>
      <c r="X1100" s="2"/>
      <c r="Y1100" s="2"/>
      <c r="Z1100" s="2"/>
    </row>
    <row r="1101" spans="1:26" ht="25.5" hidden="1" customHeight="1">
      <c r="A1101" s="26">
        <v>721</v>
      </c>
      <c r="B1101" s="27" t="s">
        <v>599</v>
      </c>
      <c r="C1101" s="28">
        <v>42671</v>
      </c>
      <c r="D1101" s="27"/>
      <c r="E1101" s="27" t="s">
        <v>3110</v>
      </c>
      <c r="F1101" s="29" t="s">
        <v>3111</v>
      </c>
      <c r="G1101" s="27" t="s">
        <v>307</v>
      </c>
      <c r="H1101" s="27" t="s">
        <v>522</v>
      </c>
      <c r="I1101" s="27">
        <v>1</v>
      </c>
      <c r="J1101" s="30">
        <v>140802015</v>
      </c>
      <c r="K1101" s="26" t="s">
        <v>36</v>
      </c>
      <c r="L1101" s="26" t="s">
        <v>141</v>
      </c>
      <c r="M1101" s="31" t="s">
        <v>3100</v>
      </c>
      <c r="N1101" s="2"/>
      <c r="O1101" s="2"/>
      <c r="P1101" s="2"/>
      <c r="Q1101" s="2"/>
      <c r="R1101" s="2"/>
      <c r="S1101" s="2"/>
      <c r="T1101" s="2"/>
      <c r="U1101" s="2"/>
      <c r="V1101" s="2"/>
      <c r="W1101" s="2"/>
      <c r="X1101" s="2"/>
      <c r="Y1101" s="2"/>
      <c r="Z1101" s="2"/>
    </row>
    <row r="1102" spans="1:26" ht="25.5" hidden="1" customHeight="1">
      <c r="A1102" s="26">
        <v>722</v>
      </c>
      <c r="B1102" s="27" t="s">
        <v>599</v>
      </c>
      <c r="C1102" s="28">
        <v>42671</v>
      </c>
      <c r="D1102" s="27"/>
      <c r="E1102" s="27" t="s">
        <v>3112</v>
      </c>
      <c r="F1102" s="29" t="s">
        <v>3111</v>
      </c>
      <c r="G1102" s="27" t="s">
        <v>307</v>
      </c>
      <c r="H1102" s="27" t="s">
        <v>522</v>
      </c>
      <c r="I1102" s="27">
        <v>1</v>
      </c>
      <c r="J1102" s="30">
        <v>140802016</v>
      </c>
      <c r="K1102" s="26" t="s">
        <v>36</v>
      </c>
      <c r="L1102" s="26" t="s">
        <v>141</v>
      </c>
      <c r="M1102" s="31" t="s">
        <v>3100</v>
      </c>
      <c r="N1102" s="2"/>
      <c r="O1102" s="2"/>
      <c r="P1102" s="2"/>
      <c r="Q1102" s="2"/>
      <c r="R1102" s="2"/>
      <c r="S1102" s="2"/>
      <c r="T1102" s="2"/>
      <c r="U1102" s="2"/>
      <c r="V1102" s="2"/>
      <c r="W1102" s="2"/>
      <c r="X1102" s="2"/>
      <c r="Y1102" s="2"/>
      <c r="Z1102" s="2"/>
    </row>
    <row r="1103" spans="1:26" ht="12.75" hidden="1" customHeight="1">
      <c r="A1103" s="26">
        <v>723</v>
      </c>
      <c r="B1103" s="27" t="s">
        <v>599</v>
      </c>
      <c r="C1103" s="28">
        <v>42671</v>
      </c>
      <c r="D1103" s="27"/>
      <c r="E1103" s="27" t="s">
        <v>3113</v>
      </c>
      <c r="F1103" s="29" t="s">
        <v>3114</v>
      </c>
      <c r="G1103" s="27" t="s">
        <v>307</v>
      </c>
      <c r="H1103" s="27" t="s">
        <v>522</v>
      </c>
      <c r="I1103" s="27">
        <v>1</v>
      </c>
      <c r="J1103" s="30">
        <v>50574754</v>
      </c>
      <c r="K1103" s="26" t="s">
        <v>36</v>
      </c>
      <c r="L1103" s="26" t="s">
        <v>141</v>
      </c>
      <c r="M1103" s="31" t="s">
        <v>3100</v>
      </c>
      <c r="N1103" s="2"/>
      <c r="O1103" s="2"/>
      <c r="P1103" s="2"/>
      <c r="Q1103" s="2"/>
      <c r="R1103" s="2"/>
      <c r="S1103" s="2"/>
      <c r="T1103" s="2"/>
      <c r="U1103" s="2"/>
      <c r="V1103" s="2"/>
      <c r="W1103" s="2"/>
      <c r="X1103" s="2"/>
      <c r="Y1103" s="2"/>
      <c r="Z1103" s="2"/>
    </row>
    <row r="1104" spans="1:26" ht="12.75" hidden="1" customHeight="1">
      <c r="A1104" s="26">
        <v>724</v>
      </c>
      <c r="B1104" s="27" t="s">
        <v>599</v>
      </c>
      <c r="C1104" s="28">
        <v>42671</v>
      </c>
      <c r="D1104" s="27"/>
      <c r="E1104" s="27" t="s">
        <v>3115</v>
      </c>
      <c r="F1104" s="29" t="s">
        <v>3114</v>
      </c>
      <c r="G1104" s="27" t="s">
        <v>307</v>
      </c>
      <c r="H1104" s="27" t="s">
        <v>522</v>
      </c>
      <c r="I1104" s="27">
        <v>1</v>
      </c>
      <c r="J1104" s="30">
        <v>50574756</v>
      </c>
      <c r="K1104" s="26" t="s">
        <v>36</v>
      </c>
      <c r="L1104" s="26" t="s">
        <v>141</v>
      </c>
      <c r="M1104" s="31" t="s">
        <v>3100</v>
      </c>
      <c r="N1104" s="2"/>
      <c r="O1104" s="2"/>
      <c r="P1104" s="2"/>
      <c r="Q1104" s="2"/>
      <c r="R1104" s="2"/>
      <c r="S1104" s="2"/>
      <c r="T1104" s="2"/>
      <c r="U1104" s="2"/>
      <c r="V1104" s="2"/>
      <c r="W1104" s="2"/>
      <c r="X1104" s="2"/>
      <c r="Y1104" s="2"/>
      <c r="Z1104" s="2"/>
    </row>
    <row r="1105" spans="1:26" ht="25.5" hidden="1" customHeight="1">
      <c r="A1105" s="26">
        <v>725</v>
      </c>
      <c r="B1105" s="27" t="s">
        <v>599</v>
      </c>
      <c r="C1105" s="28">
        <v>42671</v>
      </c>
      <c r="D1105" s="27"/>
      <c r="E1105" s="27" t="s">
        <v>3116</v>
      </c>
      <c r="F1105" s="29" t="s">
        <v>3117</v>
      </c>
      <c r="G1105" s="27" t="s">
        <v>307</v>
      </c>
      <c r="H1105" s="27" t="s">
        <v>522</v>
      </c>
      <c r="I1105" s="27">
        <v>1</v>
      </c>
      <c r="J1105" s="30">
        <v>234709599</v>
      </c>
      <c r="K1105" s="26" t="s">
        <v>36</v>
      </c>
      <c r="L1105" s="26" t="s">
        <v>141</v>
      </c>
      <c r="M1105" s="31" t="s">
        <v>3100</v>
      </c>
      <c r="N1105" s="2"/>
      <c r="O1105" s="2"/>
      <c r="P1105" s="2"/>
      <c r="Q1105" s="2"/>
      <c r="R1105" s="2"/>
      <c r="S1105" s="2"/>
      <c r="T1105" s="2"/>
      <c r="U1105" s="2"/>
      <c r="V1105" s="2"/>
      <c r="W1105" s="2"/>
      <c r="X1105" s="2"/>
      <c r="Y1105" s="2"/>
      <c r="Z1105" s="2"/>
    </row>
    <row r="1106" spans="1:26" ht="25.5" hidden="1" customHeight="1">
      <c r="A1106" s="26">
        <v>726</v>
      </c>
      <c r="B1106" s="27" t="s">
        <v>599</v>
      </c>
      <c r="C1106" s="28">
        <v>42671</v>
      </c>
      <c r="D1106" s="27"/>
      <c r="E1106" s="27" t="s">
        <v>3118</v>
      </c>
      <c r="F1106" s="29" t="s">
        <v>3117</v>
      </c>
      <c r="G1106" s="27" t="s">
        <v>307</v>
      </c>
      <c r="H1106" s="27" t="s">
        <v>522</v>
      </c>
      <c r="I1106" s="27">
        <v>1</v>
      </c>
      <c r="J1106" s="30">
        <v>234709599</v>
      </c>
      <c r="K1106" s="26" t="s">
        <v>36</v>
      </c>
      <c r="L1106" s="26" t="s">
        <v>141</v>
      </c>
      <c r="M1106" s="31" t="s">
        <v>3100</v>
      </c>
      <c r="N1106" s="2"/>
      <c r="O1106" s="2"/>
      <c r="P1106" s="2"/>
      <c r="Q1106" s="2"/>
      <c r="R1106" s="2"/>
      <c r="S1106" s="2"/>
      <c r="T1106" s="2"/>
      <c r="U1106" s="2"/>
      <c r="V1106" s="2"/>
      <c r="W1106" s="2"/>
      <c r="X1106" s="2"/>
      <c r="Y1106" s="2"/>
      <c r="Z1106" s="2"/>
    </row>
    <row r="1107" spans="1:26" ht="25.5" hidden="1" customHeight="1">
      <c r="A1107" s="26">
        <v>727</v>
      </c>
      <c r="B1107" s="27" t="s">
        <v>599</v>
      </c>
      <c r="C1107" s="28">
        <v>42671</v>
      </c>
      <c r="D1107" s="27"/>
      <c r="E1107" s="27" t="s">
        <v>3119</v>
      </c>
      <c r="F1107" s="29" t="s">
        <v>3117</v>
      </c>
      <c r="G1107" s="27" t="s">
        <v>307</v>
      </c>
      <c r="H1107" s="27" t="s">
        <v>522</v>
      </c>
      <c r="I1107" s="27">
        <v>1</v>
      </c>
      <c r="J1107" s="30">
        <v>234709601</v>
      </c>
      <c r="K1107" s="26" t="s">
        <v>36</v>
      </c>
      <c r="L1107" s="26" t="s">
        <v>141</v>
      </c>
      <c r="M1107" s="31" t="s">
        <v>3100</v>
      </c>
      <c r="N1107" s="2"/>
      <c r="O1107" s="2"/>
      <c r="P1107" s="2"/>
      <c r="Q1107" s="2"/>
      <c r="R1107" s="2"/>
      <c r="S1107" s="2"/>
      <c r="T1107" s="2"/>
      <c r="U1107" s="2"/>
      <c r="V1107" s="2"/>
      <c r="W1107" s="2"/>
      <c r="X1107" s="2"/>
      <c r="Y1107" s="2"/>
      <c r="Z1107" s="2"/>
    </row>
    <row r="1108" spans="1:26" ht="12.75" hidden="1" customHeight="1">
      <c r="A1108" s="26">
        <v>728</v>
      </c>
      <c r="B1108" s="27" t="s">
        <v>599</v>
      </c>
      <c r="C1108" s="28">
        <v>42671</v>
      </c>
      <c r="D1108" s="27"/>
      <c r="E1108" s="27" t="s">
        <v>3120</v>
      </c>
      <c r="F1108" s="29" t="s">
        <v>3121</v>
      </c>
      <c r="G1108" s="27" t="s">
        <v>307</v>
      </c>
      <c r="H1108" s="27" t="s">
        <v>522</v>
      </c>
      <c r="I1108" s="27">
        <v>1</v>
      </c>
      <c r="J1108" s="30">
        <v>80610934</v>
      </c>
      <c r="K1108" s="26" t="s">
        <v>36</v>
      </c>
      <c r="L1108" s="26" t="s">
        <v>141</v>
      </c>
      <c r="M1108" s="31" t="s">
        <v>3100</v>
      </c>
      <c r="N1108" s="2"/>
      <c r="O1108" s="2"/>
      <c r="P1108" s="2"/>
      <c r="Q1108" s="2"/>
      <c r="R1108" s="2"/>
      <c r="S1108" s="2"/>
      <c r="T1108" s="2"/>
      <c r="U1108" s="2"/>
      <c r="V1108" s="2"/>
      <c r="W1108" s="2"/>
      <c r="X1108" s="2"/>
      <c r="Y1108" s="2"/>
      <c r="Z1108" s="2"/>
    </row>
    <row r="1109" spans="1:26" ht="12.75" hidden="1" customHeight="1">
      <c r="A1109" s="26">
        <v>729</v>
      </c>
      <c r="B1109" s="27" t="s">
        <v>599</v>
      </c>
      <c r="C1109" s="28">
        <v>42671</v>
      </c>
      <c r="D1109" s="27"/>
      <c r="E1109" s="27" t="s">
        <v>3122</v>
      </c>
      <c r="F1109" s="29" t="s">
        <v>3121</v>
      </c>
      <c r="G1109" s="27" t="s">
        <v>307</v>
      </c>
      <c r="H1109" s="27" t="s">
        <v>522</v>
      </c>
      <c r="I1109" s="27">
        <v>1</v>
      </c>
      <c r="J1109" s="30">
        <v>80610935</v>
      </c>
      <c r="K1109" s="26" t="s">
        <v>36</v>
      </c>
      <c r="L1109" s="26" t="s">
        <v>141</v>
      </c>
      <c r="M1109" s="31" t="s">
        <v>3100</v>
      </c>
      <c r="N1109" s="2"/>
      <c r="O1109" s="2"/>
      <c r="P1109" s="2"/>
      <c r="Q1109" s="2"/>
      <c r="R1109" s="2"/>
      <c r="S1109" s="2"/>
      <c r="T1109" s="2"/>
      <c r="U1109" s="2"/>
      <c r="V1109" s="2"/>
      <c r="W1109" s="2"/>
      <c r="X1109" s="2"/>
      <c r="Y1109" s="2"/>
      <c r="Z1109" s="2"/>
    </row>
    <row r="1110" spans="1:26" ht="12.75" hidden="1" customHeight="1">
      <c r="A1110" s="26">
        <v>730</v>
      </c>
      <c r="B1110" s="27" t="s">
        <v>599</v>
      </c>
      <c r="C1110" s="28">
        <v>42671</v>
      </c>
      <c r="D1110" s="27"/>
      <c r="E1110" s="27" t="s">
        <v>3123</v>
      </c>
      <c r="F1110" s="29" t="s">
        <v>3124</v>
      </c>
      <c r="G1110" s="27" t="s">
        <v>307</v>
      </c>
      <c r="H1110" s="27" t="s">
        <v>522</v>
      </c>
      <c r="I1110" s="27">
        <v>1</v>
      </c>
      <c r="J1110" s="30">
        <v>62565483</v>
      </c>
      <c r="K1110" s="26" t="s">
        <v>36</v>
      </c>
      <c r="L1110" s="26" t="s">
        <v>141</v>
      </c>
      <c r="M1110" s="31" t="s">
        <v>3100</v>
      </c>
      <c r="N1110" s="2"/>
      <c r="O1110" s="2"/>
      <c r="P1110" s="2"/>
      <c r="Q1110" s="2"/>
      <c r="R1110" s="2"/>
      <c r="S1110" s="2"/>
      <c r="T1110" s="2"/>
      <c r="U1110" s="2"/>
      <c r="V1110" s="2"/>
      <c r="W1110" s="2"/>
      <c r="X1110" s="2"/>
      <c r="Y1110" s="2"/>
      <c r="Z1110" s="2"/>
    </row>
    <row r="1111" spans="1:26" ht="25.5" hidden="1" customHeight="1">
      <c r="A1111" s="26">
        <v>731</v>
      </c>
      <c r="B1111" s="27" t="s">
        <v>599</v>
      </c>
      <c r="C1111" s="28">
        <v>42671</v>
      </c>
      <c r="D1111" s="27"/>
      <c r="E1111" s="27" t="s">
        <v>3125</v>
      </c>
      <c r="F1111" s="29" t="s">
        <v>3126</v>
      </c>
      <c r="G1111" s="27" t="s">
        <v>307</v>
      </c>
      <c r="H1111" s="27" t="s">
        <v>522</v>
      </c>
      <c r="I1111" s="27">
        <v>1</v>
      </c>
      <c r="J1111" s="30">
        <v>620668581</v>
      </c>
      <c r="K1111" s="26" t="s">
        <v>36</v>
      </c>
      <c r="L1111" s="26" t="s">
        <v>141</v>
      </c>
      <c r="M1111" s="31" t="s">
        <v>3100</v>
      </c>
      <c r="N1111" s="2"/>
      <c r="O1111" s="2"/>
      <c r="P1111" s="2"/>
      <c r="Q1111" s="2"/>
      <c r="R1111" s="2"/>
      <c r="S1111" s="2"/>
      <c r="T1111" s="2"/>
      <c r="U1111" s="2"/>
      <c r="V1111" s="2"/>
      <c r="W1111" s="2"/>
      <c r="X1111" s="2"/>
      <c r="Y1111" s="2"/>
      <c r="Z1111" s="2"/>
    </row>
    <row r="1112" spans="1:26" ht="38.25" hidden="1" customHeight="1">
      <c r="A1112" s="26">
        <v>732</v>
      </c>
      <c r="B1112" s="27" t="s">
        <v>599</v>
      </c>
      <c r="C1112" s="28">
        <v>42671</v>
      </c>
      <c r="D1112" s="27"/>
      <c r="E1112" s="27" t="s">
        <v>3127</v>
      </c>
      <c r="F1112" s="29" t="s">
        <v>3128</v>
      </c>
      <c r="G1112" s="27" t="s">
        <v>338</v>
      </c>
      <c r="H1112" s="27" t="s">
        <v>522</v>
      </c>
      <c r="I1112" s="27">
        <v>1</v>
      </c>
      <c r="J1112" s="30">
        <v>310215570</v>
      </c>
      <c r="K1112" s="26" t="s">
        <v>36</v>
      </c>
      <c r="L1112" s="26" t="s">
        <v>141</v>
      </c>
      <c r="M1112" s="31" t="s">
        <v>3100</v>
      </c>
      <c r="N1112" s="2"/>
      <c r="O1112" s="2"/>
      <c r="P1112" s="2"/>
      <c r="Q1112" s="2"/>
      <c r="R1112" s="2"/>
      <c r="S1112" s="2"/>
      <c r="T1112" s="2"/>
      <c r="U1112" s="2"/>
      <c r="V1112" s="2"/>
      <c r="W1112" s="2"/>
      <c r="X1112" s="2"/>
      <c r="Y1112" s="2"/>
      <c r="Z1112" s="2"/>
    </row>
    <row r="1113" spans="1:26" ht="12.75" hidden="1" customHeight="1">
      <c r="A1113" s="26">
        <v>733</v>
      </c>
      <c r="B1113" s="27" t="s">
        <v>797</v>
      </c>
      <c r="C1113" s="28">
        <v>42671</v>
      </c>
      <c r="D1113" s="27"/>
      <c r="E1113" s="27" t="s">
        <v>3129</v>
      </c>
      <c r="F1113" s="29" t="s">
        <v>3130</v>
      </c>
      <c r="G1113" s="27"/>
      <c r="H1113" s="27" t="s">
        <v>522</v>
      </c>
      <c r="I1113" s="27">
        <v>1</v>
      </c>
      <c r="J1113" s="30">
        <v>49947322</v>
      </c>
      <c r="K1113" s="26" t="s">
        <v>206</v>
      </c>
      <c r="L1113" s="45" t="s">
        <v>2906</v>
      </c>
      <c r="M1113" s="46">
        <v>0</v>
      </c>
      <c r="N1113" s="2"/>
      <c r="O1113" s="2"/>
      <c r="P1113" s="2"/>
      <c r="Q1113" s="2"/>
      <c r="R1113" s="2"/>
      <c r="S1113" s="2"/>
      <c r="T1113" s="2"/>
      <c r="U1113" s="2"/>
      <c r="V1113" s="2"/>
      <c r="W1113" s="2"/>
      <c r="X1113" s="2"/>
      <c r="Y1113" s="2"/>
      <c r="Z1113" s="2"/>
    </row>
    <row r="1114" spans="1:26" ht="12.75" hidden="1" customHeight="1">
      <c r="A1114" s="26">
        <v>734</v>
      </c>
      <c r="B1114" s="27" t="s">
        <v>953</v>
      </c>
      <c r="C1114" s="28">
        <v>43256</v>
      </c>
      <c r="D1114" s="27"/>
      <c r="E1114" s="27" t="s">
        <v>3131</v>
      </c>
      <c r="F1114" s="29" t="s">
        <v>3132</v>
      </c>
      <c r="G1114" s="27" t="s">
        <v>2018</v>
      </c>
      <c r="H1114" s="27" t="s">
        <v>522</v>
      </c>
      <c r="I1114" s="27">
        <v>1</v>
      </c>
      <c r="J1114" s="30">
        <v>1007164447</v>
      </c>
      <c r="K1114" s="26" t="s">
        <v>20</v>
      </c>
      <c r="L1114" s="26" t="s">
        <v>284</v>
      </c>
      <c r="M1114" s="31" t="s">
        <v>5434</v>
      </c>
      <c r="N1114" s="2"/>
      <c r="O1114" s="2"/>
      <c r="P1114" s="2"/>
      <c r="Q1114" s="2"/>
      <c r="R1114" s="2"/>
      <c r="S1114" s="2"/>
      <c r="T1114" s="2"/>
      <c r="U1114" s="2"/>
      <c r="V1114" s="2"/>
      <c r="W1114" s="2"/>
      <c r="X1114" s="2"/>
      <c r="Y1114" s="2"/>
      <c r="Z1114" s="2"/>
    </row>
    <row r="1115" spans="1:26" ht="12.75" hidden="1" customHeight="1">
      <c r="A1115" s="26">
        <v>735</v>
      </c>
      <c r="B1115" s="27" t="s">
        <v>953</v>
      </c>
      <c r="C1115" s="28">
        <v>43256</v>
      </c>
      <c r="D1115" s="27"/>
      <c r="E1115" s="27" t="s">
        <v>3134</v>
      </c>
      <c r="F1115" s="29" t="s">
        <v>3132</v>
      </c>
      <c r="G1115" s="27" t="s">
        <v>2018</v>
      </c>
      <c r="H1115" s="27" t="s">
        <v>522</v>
      </c>
      <c r="I1115" s="27">
        <v>1</v>
      </c>
      <c r="J1115" s="30">
        <v>1007164447</v>
      </c>
      <c r="K1115" s="26" t="s">
        <v>20</v>
      </c>
      <c r="L1115" s="26" t="s">
        <v>284</v>
      </c>
      <c r="M1115" s="31" t="s">
        <v>5434</v>
      </c>
      <c r="N1115" s="2"/>
      <c r="O1115" s="2"/>
      <c r="P1115" s="2"/>
      <c r="Q1115" s="2"/>
      <c r="R1115" s="2"/>
      <c r="S1115" s="2"/>
      <c r="T1115" s="2"/>
      <c r="U1115" s="2"/>
      <c r="V1115" s="2"/>
      <c r="W1115" s="2"/>
      <c r="X1115" s="2"/>
      <c r="Y1115" s="2"/>
      <c r="Z1115" s="2"/>
    </row>
    <row r="1116" spans="1:26" ht="12.75" hidden="1" customHeight="1">
      <c r="A1116" s="26">
        <v>736</v>
      </c>
      <c r="B1116" s="27" t="s">
        <v>953</v>
      </c>
      <c r="C1116" s="28">
        <v>43256</v>
      </c>
      <c r="D1116" s="27"/>
      <c r="E1116" s="27" t="s">
        <v>3135</v>
      </c>
      <c r="F1116" s="29" t="s">
        <v>3136</v>
      </c>
      <c r="G1116" s="27" t="s">
        <v>2018</v>
      </c>
      <c r="H1116" s="27" t="s">
        <v>522</v>
      </c>
      <c r="I1116" s="27">
        <v>1</v>
      </c>
      <c r="J1116" s="30">
        <v>124836423</v>
      </c>
      <c r="K1116" s="26" t="s">
        <v>20</v>
      </c>
      <c r="L1116" s="26" t="s">
        <v>284</v>
      </c>
      <c r="M1116" s="31" t="s">
        <v>5434</v>
      </c>
      <c r="N1116" s="2"/>
      <c r="O1116" s="2"/>
      <c r="P1116" s="2"/>
      <c r="Q1116" s="2"/>
      <c r="R1116" s="2"/>
      <c r="S1116" s="2"/>
      <c r="T1116" s="2"/>
      <c r="U1116" s="2"/>
      <c r="V1116" s="2"/>
      <c r="W1116" s="2"/>
      <c r="X1116" s="2"/>
      <c r="Y1116" s="2"/>
      <c r="Z1116" s="2"/>
    </row>
    <row r="1117" spans="1:26" ht="25.5" hidden="1" customHeight="1">
      <c r="A1117" s="26">
        <v>737</v>
      </c>
      <c r="B1117" s="27" t="s">
        <v>1037</v>
      </c>
      <c r="C1117" s="28">
        <v>43799</v>
      </c>
      <c r="D1117" s="27"/>
      <c r="E1117" s="27" t="s">
        <v>3137</v>
      </c>
      <c r="F1117" s="29" t="s">
        <v>3138</v>
      </c>
      <c r="G1117" s="27" t="s">
        <v>2070</v>
      </c>
      <c r="H1117" s="27" t="s">
        <v>522</v>
      </c>
      <c r="I1117" s="27">
        <v>1</v>
      </c>
      <c r="J1117" s="30">
        <v>297000000</v>
      </c>
      <c r="K1117" s="26" t="s">
        <v>20</v>
      </c>
      <c r="L1117" s="26" t="s">
        <v>295</v>
      </c>
      <c r="M1117" s="31" t="s">
        <v>3139</v>
      </c>
      <c r="N1117" s="2"/>
      <c r="O1117" s="2"/>
      <c r="P1117" s="2"/>
      <c r="Q1117" s="2"/>
      <c r="R1117" s="2"/>
      <c r="S1117" s="2"/>
      <c r="T1117" s="2"/>
      <c r="U1117" s="2"/>
      <c r="V1117" s="2"/>
      <c r="W1117" s="2"/>
      <c r="X1117" s="2"/>
      <c r="Y1117" s="2"/>
      <c r="Z1117" s="2"/>
    </row>
    <row r="1118" spans="1:26" ht="25.5" hidden="1" customHeight="1">
      <c r="A1118" s="26">
        <v>738</v>
      </c>
      <c r="B1118" s="27" t="s">
        <v>973</v>
      </c>
      <c r="C1118" s="28">
        <v>43799</v>
      </c>
      <c r="D1118" s="27"/>
      <c r="E1118" s="27" t="s">
        <v>3140</v>
      </c>
      <c r="F1118" s="29" t="s">
        <v>3141</v>
      </c>
      <c r="G1118" s="27" t="s">
        <v>1088</v>
      </c>
      <c r="H1118" s="27" t="s">
        <v>522</v>
      </c>
      <c r="I1118" s="27">
        <v>1</v>
      </c>
      <c r="J1118" s="30">
        <v>906849170</v>
      </c>
      <c r="K1118" s="26" t="s">
        <v>20</v>
      </c>
      <c r="L1118" s="26" t="s">
        <v>295</v>
      </c>
      <c r="M1118" s="31" t="s">
        <v>3142</v>
      </c>
      <c r="N1118" s="2"/>
      <c r="O1118" s="2"/>
      <c r="P1118" s="2"/>
      <c r="Q1118" s="2"/>
      <c r="R1118" s="2"/>
      <c r="S1118" s="2"/>
      <c r="T1118" s="2"/>
      <c r="U1118" s="2"/>
      <c r="V1118" s="2"/>
      <c r="W1118" s="2"/>
      <c r="X1118" s="2"/>
      <c r="Y1118" s="2"/>
      <c r="Z1118" s="2"/>
    </row>
    <row r="1119" spans="1:26" ht="25.5" hidden="1" customHeight="1">
      <c r="A1119" s="26">
        <v>739</v>
      </c>
      <c r="B1119" s="27" t="s">
        <v>973</v>
      </c>
      <c r="C1119" s="28">
        <v>43799</v>
      </c>
      <c r="D1119" s="27"/>
      <c r="E1119" s="27" t="s">
        <v>3143</v>
      </c>
      <c r="F1119" s="29" t="s">
        <v>3141</v>
      </c>
      <c r="G1119" s="27" t="s">
        <v>1088</v>
      </c>
      <c r="H1119" s="27" t="s">
        <v>522</v>
      </c>
      <c r="I1119" s="27">
        <v>1</v>
      </c>
      <c r="J1119" s="30">
        <v>906849170</v>
      </c>
      <c r="K1119" s="26" t="s">
        <v>20</v>
      </c>
      <c r="L1119" s="26" t="s">
        <v>295</v>
      </c>
      <c r="M1119" s="31" t="s">
        <v>3142</v>
      </c>
      <c r="N1119" s="2"/>
      <c r="O1119" s="2"/>
      <c r="P1119" s="2"/>
      <c r="Q1119" s="2"/>
      <c r="R1119" s="2"/>
      <c r="S1119" s="2"/>
      <c r="T1119" s="2"/>
      <c r="U1119" s="2"/>
      <c r="V1119" s="2"/>
      <c r="W1119" s="2"/>
      <c r="X1119" s="2"/>
      <c r="Y1119" s="2"/>
      <c r="Z1119" s="2"/>
    </row>
    <row r="1120" spans="1:26" ht="25.5" hidden="1" customHeight="1">
      <c r="A1120" s="26">
        <v>740</v>
      </c>
      <c r="B1120" s="27" t="s">
        <v>973</v>
      </c>
      <c r="C1120" s="28">
        <v>43799</v>
      </c>
      <c r="D1120" s="27"/>
      <c r="E1120" s="27" t="s">
        <v>3144</v>
      </c>
      <c r="F1120" s="29" t="s">
        <v>3145</v>
      </c>
      <c r="G1120" s="27" t="s">
        <v>1088</v>
      </c>
      <c r="H1120" s="27" t="s">
        <v>522</v>
      </c>
      <c r="I1120" s="27">
        <v>1</v>
      </c>
      <c r="J1120" s="30">
        <v>1373141210</v>
      </c>
      <c r="K1120" s="26" t="s">
        <v>20</v>
      </c>
      <c r="L1120" s="26" t="s">
        <v>295</v>
      </c>
      <c r="M1120" s="31" t="s">
        <v>3142</v>
      </c>
      <c r="N1120" s="2"/>
      <c r="O1120" s="2"/>
      <c r="P1120" s="2"/>
      <c r="Q1120" s="2"/>
      <c r="R1120" s="2"/>
      <c r="S1120" s="2"/>
      <c r="T1120" s="2"/>
      <c r="U1120" s="2"/>
      <c r="V1120" s="2"/>
      <c r="W1120" s="2"/>
      <c r="X1120" s="2"/>
      <c r="Y1120" s="2"/>
      <c r="Z1120" s="2"/>
    </row>
    <row r="1121" spans="1:26" ht="25.5" hidden="1" customHeight="1">
      <c r="A1121" s="26">
        <v>741</v>
      </c>
      <c r="B1121" s="27" t="s">
        <v>973</v>
      </c>
      <c r="C1121" s="28">
        <v>43799</v>
      </c>
      <c r="D1121" s="27"/>
      <c r="E1121" s="27" t="s">
        <v>3146</v>
      </c>
      <c r="F1121" s="29" t="s">
        <v>3147</v>
      </c>
      <c r="G1121" s="27" t="s">
        <v>1088</v>
      </c>
      <c r="H1121" s="27" t="s">
        <v>522</v>
      </c>
      <c r="I1121" s="27">
        <v>1</v>
      </c>
      <c r="J1121" s="30">
        <v>972411915</v>
      </c>
      <c r="K1121" s="26" t="s">
        <v>20</v>
      </c>
      <c r="L1121" s="26" t="s">
        <v>295</v>
      </c>
      <c r="M1121" s="31" t="s">
        <v>3142</v>
      </c>
      <c r="N1121" s="2"/>
      <c r="O1121" s="2"/>
      <c r="P1121" s="2"/>
      <c r="Q1121" s="2"/>
      <c r="R1121" s="2"/>
      <c r="S1121" s="2"/>
      <c r="T1121" s="2"/>
      <c r="U1121" s="2"/>
      <c r="V1121" s="2"/>
      <c r="W1121" s="2"/>
      <c r="X1121" s="2"/>
      <c r="Y1121" s="2"/>
      <c r="Z1121" s="2"/>
    </row>
    <row r="1122" spans="1:26" ht="38.25" hidden="1" customHeight="1">
      <c r="A1122" s="26">
        <v>742</v>
      </c>
      <c r="B1122" s="27" t="s">
        <v>973</v>
      </c>
      <c r="C1122" s="28">
        <v>43799</v>
      </c>
      <c r="D1122" s="27"/>
      <c r="E1122" s="27" t="s">
        <v>3148</v>
      </c>
      <c r="F1122" s="29" t="s">
        <v>3149</v>
      </c>
      <c r="G1122" s="27" t="s">
        <v>1088</v>
      </c>
      <c r="H1122" s="27" t="s">
        <v>522</v>
      </c>
      <c r="I1122" s="27">
        <v>1</v>
      </c>
      <c r="J1122" s="30">
        <v>680627067</v>
      </c>
      <c r="K1122" s="26" t="s">
        <v>20</v>
      </c>
      <c r="L1122" s="26" t="s">
        <v>295</v>
      </c>
      <c r="M1122" s="31" t="s">
        <v>3142</v>
      </c>
      <c r="N1122" s="2"/>
      <c r="O1122" s="2"/>
      <c r="P1122" s="2"/>
      <c r="Q1122" s="2"/>
      <c r="R1122" s="2"/>
      <c r="S1122" s="2"/>
      <c r="T1122" s="2"/>
      <c r="U1122" s="2"/>
      <c r="V1122" s="2"/>
      <c r="W1122" s="2"/>
      <c r="X1122" s="2"/>
      <c r="Y1122" s="2"/>
      <c r="Z1122" s="2"/>
    </row>
    <row r="1123" spans="1:26" ht="25.5" hidden="1" customHeight="1">
      <c r="A1123" s="26">
        <v>743</v>
      </c>
      <c r="B1123" s="27" t="s">
        <v>973</v>
      </c>
      <c r="C1123" s="28">
        <v>43799</v>
      </c>
      <c r="D1123" s="27"/>
      <c r="E1123" s="27" t="s">
        <v>3150</v>
      </c>
      <c r="F1123" s="29" t="s">
        <v>3151</v>
      </c>
      <c r="G1123" s="27" t="s">
        <v>1088</v>
      </c>
      <c r="H1123" s="27" t="s">
        <v>522</v>
      </c>
      <c r="I1123" s="27">
        <v>1</v>
      </c>
      <c r="J1123" s="30">
        <v>2099846019</v>
      </c>
      <c r="K1123" s="26" t="s">
        <v>20</v>
      </c>
      <c r="L1123" s="26" t="s">
        <v>295</v>
      </c>
      <c r="M1123" s="31" t="s">
        <v>3142</v>
      </c>
      <c r="N1123" s="2"/>
      <c r="O1123" s="2"/>
      <c r="P1123" s="2"/>
      <c r="Q1123" s="2"/>
      <c r="R1123" s="2"/>
      <c r="S1123" s="2"/>
      <c r="T1123" s="2"/>
      <c r="U1123" s="2"/>
      <c r="V1123" s="2"/>
      <c r="W1123" s="2"/>
      <c r="X1123" s="2"/>
      <c r="Y1123" s="2"/>
      <c r="Z1123" s="2"/>
    </row>
    <row r="1124" spans="1:26" ht="25.5" hidden="1" customHeight="1">
      <c r="A1124" s="26">
        <v>744</v>
      </c>
      <c r="B1124" s="27" t="s">
        <v>973</v>
      </c>
      <c r="C1124" s="28">
        <v>43799</v>
      </c>
      <c r="D1124" s="27"/>
      <c r="E1124" s="27" t="s">
        <v>3152</v>
      </c>
      <c r="F1124" s="29" t="s">
        <v>3153</v>
      </c>
      <c r="G1124" s="27" t="s">
        <v>1088</v>
      </c>
      <c r="H1124" s="27" t="s">
        <v>522</v>
      </c>
      <c r="I1124" s="27">
        <v>1</v>
      </c>
      <c r="J1124" s="30">
        <v>209800781</v>
      </c>
      <c r="K1124" s="26" t="s">
        <v>20</v>
      </c>
      <c r="L1124" s="26" t="s">
        <v>295</v>
      </c>
      <c r="M1124" s="31" t="s">
        <v>3142</v>
      </c>
      <c r="N1124" s="2"/>
      <c r="O1124" s="2"/>
      <c r="P1124" s="2"/>
      <c r="Q1124" s="2"/>
      <c r="R1124" s="2"/>
      <c r="S1124" s="2"/>
      <c r="T1124" s="2"/>
      <c r="U1124" s="2"/>
      <c r="V1124" s="2"/>
      <c r="W1124" s="2"/>
      <c r="X1124" s="2"/>
      <c r="Y1124" s="2"/>
      <c r="Z1124" s="2"/>
    </row>
    <row r="1125" spans="1:26" ht="25.5" hidden="1" customHeight="1">
      <c r="A1125" s="26">
        <v>745</v>
      </c>
      <c r="B1125" s="27" t="s">
        <v>973</v>
      </c>
      <c r="C1125" s="28">
        <v>43799</v>
      </c>
      <c r="D1125" s="27"/>
      <c r="E1125" s="27" t="s">
        <v>3154</v>
      </c>
      <c r="F1125" s="29" t="s">
        <v>3153</v>
      </c>
      <c r="G1125" s="27" t="s">
        <v>1088</v>
      </c>
      <c r="H1125" s="27" t="s">
        <v>522</v>
      </c>
      <c r="I1125" s="27">
        <v>1</v>
      </c>
      <c r="J1125" s="30">
        <v>209800781</v>
      </c>
      <c r="K1125" s="26" t="s">
        <v>20</v>
      </c>
      <c r="L1125" s="26" t="s">
        <v>295</v>
      </c>
      <c r="M1125" s="31" t="s">
        <v>3142</v>
      </c>
      <c r="N1125" s="2"/>
      <c r="O1125" s="2"/>
      <c r="P1125" s="2"/>
      <c r="Q1125" s="2"/>
      <c r="R1125" s="2"/>
      <c r="S1125" s="2"/>
      <c r="T1125" s="2"/>
      <c r="U1125" s="2"/>
      <c r="V1125" s="2"/>
      <c r="W1125" s="2"/>
      <c r="X1125" s="2"/>
      <c r="Y1125" s="2"/>
      <c r="Z1125" s="2"/>
    </row>
    <row r="1126" spans="1:26" ht="25.5" hidden="1" customHeight="1">
      <c r="A1126" s="26">
        <v>746</v>
      </c>
      <c r="B1126" s="27" t="s">
        <v>973</v>
      </c>
      <c r="C1126" s="28">
        <v>43799</v>
      </c>
      <c r="D1126" s="27"/>
      <c r="E1126" s="27" t="s">
        <v>3155</v>
      </c>
      <c r="F1126" s="29" t="s">
        <v>3153</v>
      </c>
      <c r="G1126" s="27" t="s">
        <v>1088</v>
      </c>
      <c r="H1126" s="27" t="s">
        <v>522</v>
      </c>
      <c r="I1126" s="27">
        <v>1</v>
      </c>
      <c r="J1126" s="30">
        <v>209800781</v>
      </c>
      <c r="K1126" s="26" t="s">
        <v>20</v>
      </c>
      <c r="L1126" s="26" t="s">
        <v>295</v>
      </c>
      <c r="M1126" s="31" t="s">
        <v>3142</v>
      </c>
      <c r="N1126" s="2"/>
      <c r="O1126" s="2"/>
      <c r="P1126" s="2"/>
      <c r="Q1126" s="2"/>
      <c r="R1126" s="2"/>
      <c r="S1126" s="2"/>
      <c r="T1126" s="2"/>
      <c r="U1126" s="2"/>
      <c r="V1126" s="2"/>
      <c r="W1126" s="2"/>
      <c r="X1126" s="2"/>
      <c r="Y1126" s="2"/>
      <c r="Z1126" s="2"/>
    </row>
    <row r="1127" spans="1:26" ht="25.5" hidden="1" customHeight="1">
      <c r="A1127" s="26">
        <v>747</v>
      </c>
      <c r="B1127" s="27" t="s">
        <v>973</v>
      </c>
      <c r="C1127" s="28">
        <v>43799</v>
      </c>
      <c r="D1127" s="27"/>
      <c r="E1127" s="27" t="s">
        <v>3156</v>
      </c>
      <c r="F1127" s="29" t="s">
        <v>3157</v>
      </c>
      <c r="G1127" s="27" t="s">
        <v>1088</v>
      </c>
      <c r="H1127" s="27" t="s">
        <v>522</v>
      </c>
      <c r="I1127" s="27">
        <v>1</v>
      </c>
      <c r="J1127" s="30">
        <v>1805732774</v>
      </c>
      <c r="K1127" s="26" t="s">
        <v>20</v>
      </c>
      <c r="L1127" s="26" t="s">
        <v>295</v>
      </c>
      <c r="M1127" s="31" t="s">
        <v>3142</v>
      </c>
      <c r="N1127" s="2"/>
      <c r="O1127" s="2"/>
      <c r="P1127" s="2"/>
      <c r="Q1127" s="2"/>
      <c r="R1127" s="2"/>
      <c r="S1127" s="2"/>
      <c r="T1127" s="2"/>
      <c r="U1127" s="2"/>
      <c r="V1127" s="2"/>
      <c r="W1127" s="2"/>
      <c r="X1127" s="2"/>
      <c r="Y1127" s="2"/>
      <c r="Z1127" s="2"/>
    </row>
    <row r="1128" spans="1:26" ht="25.5" hidden="1" customHeight="1">
      <c r="A1128" s="26">
        <v>748</v>
      </c>
      <c r="B1128" s="27" t="s">
        <v>973</v>
      </c>
      <c r="C1128" s="28">
        <v>43799</v>
      </c>
      <c r="D1128" s="27"/>
      <c r="E1128" s="27" t="s">
        <v>3158</v>
      </c>
      <c r="F1128" s="29" t="s">
        <v>3157</v>
      </c>
      <c r="G1128" s="27" t="s">
        <v>1088</v>
      </c>
      <c r="H1128" s="27" t="s">
        <v>522</v>
      </c>
      <c r="I1128" s="27">
        <v>1</v>
      </c>
      <c r="J1128" s="30">
        <v>1805732774</v>
      </c>
      <c r="K1128" s="26" t="s">
        <v>20</v>
      </c>
      <c r="L1128" s="26" t="s">
        <v>295</v>
      </c>
      <c r="M1128" s="31" t="s">
        <v>3142</v>
      </c>
      <c r="N1128" s="2"/>
      <c r="O1128" s="2"/>
      <c r="P1128" s="2"/>
      <c r="Q1128" s="2"/>
      <c r="R1128" s="2"/>
      <c r="S1128" s="2"/>
      <c r="T1128" s="2"/>
      <c r="U1128" s="2"/>
      <c r="V1128" s="2"/>
      <c r="W1128" s="2"/>
      <c r="X1128" s="2"/>
      <c r="Y1128" s="2"/>
      <c r="Z1128" s="2"/>
    </row>
    <row r="1129" spans="1:26" ht="12.75" hidden="1" customHeight="1">
      <c r="A1129" s="26">
        <v>749</v>
      </c>
      <c r="B1129" s="27" t="s">
        <v>973</v>
      </c>
      <c r="C1129" s="28">
        <v>43799</v>
      </c>
      <c r="D1129" s="27"/>
      <c r="E1129" s="27" t="s">
        <v>3159</v>
      </c>
      <c r="F1129" s="29" t="s">
        <v>3160</v>
      </c>
      <c r="G1129" s="27" t="s">
        <v>1088</v>
      </c>
      <c r="H1129" s="27" t="s">
        <v>522</v>
      </c>
      <c r="I1129" s="27">
        <v>1</v>
      </c>
      <c r="J1129" s="30">
        <v>656240177</v>
      </c>
      <c r="K1129" s="26" t="s">
        <v>20</v>
      </c>
      <c r="L1129" s="26" t="s">
        <v>295</v>
      </c>
      <c r="M1129" s="31" t="s">
        <v>3142</v>
      </c>
      <c r="N1129" s="2"/>
      <c r="O1129" s="2"/>
      <c r="P1129" s="2"/>
      <c r="Q1129" s="2"/>
      <c r="R1129" s="2"/>
      <c r="S1129" s="2"/>
      <c r="T1129" s="2"/>
      <c r="U1129" s="2"/>
      <c r="V1129" s="2"/>
      <c r="W1129" s="2"/>
      <c r="X1129" s="2"/>
      <c r="Y1129" s="2"/>
      <c r="Z1129" s="2"/>
    </row>
    <row r="1130" spans="1:26" ht="25.5" hidden="1" customHeight="1">
      <c r="A1130" s="26">
        <v>750</v>
      </c>
      <c r="B1130" s="27" t="s">
        <v>973</v>
      </c>
      <c r="C1130" s="28">
        <v>43799</v>
      </c>
      <c r="D1130" s="27"/>
      <c r="E1130" s="27" t="s">
        <v>3161</v>
      </c>
      <c r="F1130" s="29" t="s">
        <v>3162</v>
      </c>
      <c r="G1130" s="27" t="s">
        <v>1088</v>
      </c>
      <c r="H1130" s="27" t="s">
        <v>522</v>
      </c>
      <c r="I1130" s="27">
        <v>1</v>
      </c>
      <c r="J1130" s="30">
        <v>972411915</v>
      </c>
      <c r="K1130" s="26" t="s">
        <v>20</v>
      </c>
      <c r="L1130" s="26" t="s">
        <v>295</v>
      </c>
      <c r="M1130" s="31" t="s">
        <v>3142</v>
      </c>
      <c r="N1130" s="2"/>
      <c r="O1130" s="2"/>
      <c r="P1130" s="2"/>
      <c r="Q1130" s="2"/>
      <c r="R1130" s="2"/>
      <c r="S1130" s="2"/>
      <c r="T1130" s="2"/>
      <c r="U1130" s="2"/>
      <c r="V1130" s="2"/>
      <c r="W1130" s="2"/>
      <c r="X1130" s="2"/>
      <c r="Y1130" s="2"/>
      <c r="Z1130" s="2"/>
    </row>
    <row r="1131" spans="1:26" ht="25.5" hidden="1" customHeight="1">
      <c r="A1131" s="26">
        <v>751</v>
      </c>
      <c r="B1131" s="27" t="s">
        <v>973</v>
      </c>
      <c r="C1131" s="28">
        <v>43799</v>
      </c>
      <c r="D1131" s="27"/>
      <c r="E1131" s="27" t="s">
        <v>3163</v>
      </c>
      <c r="F1131" s="29" t="s">
        <v>3162</v>
      </c>
      <c r="G1131" s="27" t="s">
        <v>1088</v>
      </c>
      <c r="H1131" s="27" t="s">
        <v>522</v>
      </c>
      <c r="I1131" s="27">
        <v>1</v>
      </c>
      <c r="J1131" s="30">
        <v>972411915</v>
      </c>
      <c r="K1131" s="26" t="s">
        <v>20</v>
      </c>
      <c r="L1131" s="26" t="s">
        <v>295</v>
      </c>
      <c r="M1131" s="31" t="s">
        <v>3142</v>
      </c>
      <c r="N1131" s="2"/>
      <c r="O1131" s="2"/>
      <c r="P1131" s="2"/>
      <c r="Q1131" s="2"/>
      <c r="R1131" s="2"/>
      <c r="S1131" s="2"/>
      <c r="T1131" s="2"/>
      <c r="U1131" s="2"/>
      <c r="V1131" s="2"/>
      <c r="W1131" s="2"/>
      <c r="X1131" s="2"/>
      <c r="Y1131" s="2"/>
      <c r="Z1131" s="2"/>
    </row>
    <row r="1132" spans="1:26" ht="25.5" hidden="1" customHeight="1">
      <c r="A1132" s="26">
        <v>752</v>
      </c>
      <c r="B1132" s="27" t="s">
        <v>973</v>
      </c>
      <c r="C1132" s="28">
        <v>43799</v>
      </c>
      <c r="D1132" s="27"/>
      <c r="E1132" s="27" t="s">
        <v>3164</v>
      </c>
      <c r="F1132" s="29" t="s">
        <v>3165</v>
      </c>
      <c r="G1132" s="27" t="s">
        <v>1088</v>
      </c>
      <c r="H1132" s="27" t="s">
        <v>522</v>
      </c>
      <c r="I1132" s="27">
        <v>1</v>
      </c>
      <c r="J1132" s="30">
        <v>233207293</v>
      </c>
      <c r="K1132" s="26" t="s">
        <v>20</v>
      </c>
      <c r="L1132" s="26" t="s">
        <v>295</v>
      </c>
      <c r="M1132" s="31" t="s">
        <v>3142</v>
      </c>
      <c r="N1132" s="2"/>
      <c r="O1132" s="2"/>
      <c r="P1132" s="2"/>
      <c r="Q1132" s="2"/>
      <c r="R1132" s="2"/>
      <c r="S1132" s="2"/>
      <c r="T1132" s="2"/>
      <c r="U1132" s="2"/>
      <c r="V1132" s="2"/>
      <c r="W1132" s="2"/>
      <c r="X1132" s="2"/>
      <c r="Y1132" s="2"/>
      <c r="Z1132" s="2"/>
    </row>
    <row r="1133" spans="1:26" ht="25.5" hidden="1" customHeight="1">
      <c r="A1133" s="26">
        <v>753</v>
      </c>
      <c r="B1133" s="27" t="s">
        <v>973</v>
      </c>
      <c r="C1133" s="28">
        <v>43799</v>
      </c>
      <c r="D1133" s="27"/>
      <c r="E1133" s="27" t="s">
        <v>3166</v>
      </c>
      <c r="F1133" s="29" t="s">
        <v>3165</v>
      </c>
      <c r="G1133" s="27" t="s">
        <v>1088</v>
      </c>
      <c r="H1133" s="27" t="s">
        <v>522</v>
      </c>
      <c r="I1133" s="27">
        <v>1</v>
      </c>
      <c r="J1133" s="30">
        <v>233207293</v>
      </c>
      <c r="K1133" s="26" t="s">
        <v>20</v>
      </c>
      <c r="L1133" s="26" t="s">
        <v>295</v>
      </c>
      <c r="M1133" s="31" t="s">
        <v>3142</v>
      </c>
      <c r="N1133" s="2"/>
      <c r="O1133" s="2"/>
      <c r="P1133" s="2"/>
      <c r="Q1133" s="2"/>
      <c r="R1133" s="2"/>
      <c r="S1133" s="2"/>
      <c r="T1133" s="2"/>
      <c r="U1133" s="2"/>
      <c r="V1133" s="2"/>
      <c r="W1133" s="2"/>
      <c r="X1133" s="2"/>
      <c r="Y1133" s="2"/>
      <c r="Z1133" s="2"/>
    </row>
    <row r="1134" spans="1:26" ht="25.5" hidden="1" customHeight="1">
      <c r="A1134" s="26">
        <v>754</v>
      </c>
      <c r="B1134" s="27" t="s">
        <v>973</v>
      </c>
      <c r="C1134" s="28">
        <v>43799</v>
      </c>
      <c r="D1134" s="27"/>
      <c r="E1134" s="27" t="s">
        <v>3167</v>
      </c>
      <c r="F1134" s="29" t="s">
        <v>3168</v>
      </c>
      <c r="G1134" s="27" t="s">
        <v>1088</v>
      </c>
      <c r="H1134" s="27" t="s">
        <v>522</v>
      </c>
      <c r="I1134" s="27">
        <v>1</v>
      </c>
      <c r="J1134" s="30">
        <v>777806985</v>
      </c>
      <c r="K1134" s="26" t="s">
        <v>20</v>
      </c>
      <c r="L1134" s="26" t="s">
        <v>295</v>
      </c>
      <c r="M1134" s="31" t="s">
        <v>3142</v>
      </c>
      <c r="N1134" s="2"/>
      <c r="O1134" s="2"/>
      <c r="P1134" s="2"/>
      <c r="Q1134" s="2"/>
      <c r="R1134" s="2"/>
      <c r="S1134" s="2"/>
      <c r="T1134" s="2"/>
      <c r="U1134" s="2"/>
      <c r="V1134" s="2"/>
      <c r="W1134" s="2"/>
      <c r="X1134" s="2"/>
      <c r="Y1134" s="2"/>
      <c r="Z1134" s="2"/>
    </row>
    <row r="1135" spans="1:26" ht="25.5" hidden="1" customHeight="1">
      <c r="A1135" s="26">
        <v>755</v>
      </c>
      <c r="B1135" s="27" t="s">
        <v>973</v>
      </c>
      <c r="C1135" s="28">
        <v>43799</v>
      </c>
      <c r="D1135" s="27"/>
      <c r="E1135" s="27" t="s">
        <v>3169</v>
      </c>
      <c r="F1135" s="29" t="s">
        <v>3170</v>
      </c>
      <c r="G1135" s="27" t="s">
        <v>1088</v>
      </c>
      <c r="H1135" s="27" t="s">
        <v>522</v>
      </c>
      <c r="I1135" s="27">
        <v>1</v>
      </c>
      <c r="J1135" s="30">
        <v>1049984291</v>
      </c>
      <c r="K1135" s="26" t="s">
        <v>20</v>
      </c>
      <c r="L1135" s="26" t="s">
        <v>295</v>
      </c>
      <c r="M1135" s="31" t="s">
        <v>3142</v>
      </c>
      <c r="N1135" s="2"/>
      <c r="O1135" s="2"/>
      <c r="P1135" s="2"/>
      <c r="Q1135" s="2"/>
      <c r="R1135" s="2"/>
      <c r="S1135" s="2"/>
      <c r="T1135" s="2"/>
      <c r="U1135" s="2"/>
      <c r="V1135" s="2"/>
      <c r="W1135" s="2"/>
      <c r="X1135" s="2"/>
      <c r="Y1135" s="2"/>
      <c r="Z1135" s="2"/>
    </row>
    <row r="1136" spans="1:26" ht="12.75" hidden="1" customHeight="1">
      <c r="A1136" s="26">
        <v>756</v>
      </c>
      <c r="B1136" s="27" t="s">
        <v>388</v>
      </c>
      <c r="C1136" s="28">
        <v>41576</v>
      </c>
      <c r="D1136" s="27"/>
      <c r="E1136" s="27" t="s">
        <v>3171</v>
      </c>
      <c r="F1136" s="29" t="s">
        <v>3172</v>
      </c>
      <c r="G1136" s="27" t="s">
        <v>573</v>
      </c>
      <c r="H1136" s="27" t="s">
        <v>522</v>
      </c>
      <c r="I1136" s="27">
        <v>1</v>
      </c>
      <c r="J1136" s="30">
        <v>1588901071</v>
      </c>
      <c r="K1136" s="26" t="s">
        <v>36</v>
      </c>
      <c r="L1136" s="26" t="s">
        <v>141</v>
      </c>
      <c r="M1136" s="31" t="s">
        <v>3086</v>
      </c>
      <c r="N1136" s="2"/>
      <c r="O1136" s="2"/>
      <c r="P1136" s="2"/>
      <c r="Q1136" s="2"/>
      <c r="R1136" s="2"/>
      <c r="S1136" s="2"/>
      <c r="T1136" s="2"/>
      <c r="U1136" s="2"/>
      <c r="V1136" s="2"/>
      <c r="W1136" s="2"/>
      <c r="X1136" s="2"/>
      <c r="Y1136" s="2"/>
      <c r="Z1136" s="2"/>
    </row>
    <row r="1137" spans="1:26" ht="12.75" hidden="1" customHeight="1">
      <c r="A1137" s="26">
        <v>757</v>
      </c>
      <c r="B1137" s="27" t="s">
        <v>470</v>
      </c>
      <c r="C1137" s="28">
        <v>41983</v>
      </c>
      <c r="D1137" s="27"/>
      <c r="E1137" s="27" t="s">
        <v>3173</v>
      </c>
      <c r="F1137" s="29" t="s">
        <v>3174</v>
      </c>
      <c r="G1137" s="27" t="s">
        <v>35</v>
      </c>
      <c r="H1137" s="27" t="s">
        <v>19</v>
      </c>
      <c r="I1137" s="27">
        <v>1</v>
      </c>
      <c r="J1137" s="30">
        <v>302191391</v>
      </c>
      <c r="K1137" s="26" t="s">
        <v>20</v>
      </c>
      <c r="L1137" s="26" t="s">
        <v>5288</v>
      </c>
      <c r="M1137" s="31" t="s">
        <v>2122</v>
      </c>
      <c r="N1137" s="2"/>
      <c r="O1137" s="2"/>
      <c r="P1137" s="2"/>
      <c r="Q1137" s="2"/>
      <c r="R1137" s="2"/>
      <c r="S1137" s="2"/>
      <c r="T1137" s="2"/>
      <c r="U1137" s="2"/>
      <c r="V1137" s="2"/>
      <c r="W1137" s="2"/>
      <c r="X1137" s="2"/>
      <c r="Y1137" s="2"/>
      <c r="Z1137" s="2"/>
    </row>
    <row r="1138" spans="1:26" ht="12.75" hidden="1" customHeight="1">
      <c r="A1138" s="26">
        <v>758</v>
      </c>
      <c r="B1138" s="27" t="s">
        <v>470</v>
      </c>
      <c r="C1138" s="28">
        <v>41983</v>
      </c>
      <c r="D1138" s="27"/>
      <c r="E1138" s="27" t="s">
        <v>3175</v>
      </c>
      <c r="F1138" s="29" t="s">
        <v>3174</v>
      </c>
      <c r="G1138" s="27" t="s">
        <v>35</v>
      </c>
      <c r="H1138" s="27" t="s">
        <v>19</v>
      </c>
      <c r="I1138" s="27">
        <v>1</v>
      </c>
      <c r="J1138" s="30">
        <v>302191391</v>
      </c>
      <c r="K1138" s="26" t="s">
        <v>20</v>
      </c>
      <c r="L1138" s="26" t="s">
        <v>5288</v>
      </c>
      <c r="M1138" s="31" t="s">
        <v>2122</v>
      </c>
      <c r="N1138" s="2"/>
      <c r="O1138" s="2"/>
      <c r="P1138" s="2"/>
      <c r="Q1138" s="2"/>
      <c r="R1138" s="2"/>
      <c r="S1138" s="2"/>
      <c r="T1138" s="2"/>
      <c r="U1138" s="2"/>
      <c r="V1138" s="2"/>
      <c r="W1138" s="2"/>
      <c r="X1138" s="2"/>
      <c r="Y1138" s="2"/>
      <c r="Z1138" s="2"/>
    </row>
    <row r="1139" spans="1:26" ht="12.75" customHeight="1">
      <c r="A1139" s="1"/>
      <c r="B1139" s="2"/>
      <c r="C1139" s="8"/>
      <c r="D1139" s="2"/>
      <c r="E1139" s="2"/>
      <c r="F1139" s="4"/>
      <c r="G1139" s="2"/>
      <c r="H1139" s="2"/>
      <c r="I1139" s="2"/>
      <c r="J1139" s="5"/>
      <c r="K1139" s="1"/>
      <c r="L1139" s="1"/>
      <c r="M1139" s="6"/>
      <c r="N1139" s="2"/>
      <c r="O1139" s="2"/>
      <c r="P1139" s="2"/>
      <c r="Q1139" s="2"/>
      <c r="R1139" s="2"/>
      <c r="S1139" s="2"/>
      <c r="T1139" s="2"/>
      <c r="U1139" s="2"/>
      <c r="V1139" s="2"/>
      <c r="W1139" s="2"/>
      <c r="X1139" s="2"/>
      <c r="Y1139" s="2"/>
      <c r="Z1139" s="2"/>
    </row>
    <row r="1140" spans="1:26" ht="12.75" customHeight="1">
      <c r="A1140" s="1"/>
      <c r="B1140" s="2"/>
      <c r="C1140" s="8"/>
      <c r="D1140" s="2"/>
      <c r="E1140" s="2"/>
      <c r="F1140" s="4"/>
      <c r="G1140" s="2"/>
      <c r="H1140" s="2"/>
      <c r="I1140" s="2"/>
      <c r="J1140" s="5"/>
      <c r="K1140" s="1"/>
      <c r="L1140" s="1"/>
      <c r="M1140" s="6"/>
      <c r="N1140" s="2"/>
      <c r="O1140" s="2"/>
      <c r="P1140" s="2"/>
      <c r="Q1140" s="2"/>
      <c r="R1140" s="2"/>
      <c r="S1140" s="2"/>
      <c r="T1140" s="2"/>
      <c r="U1140" s="2"/>
      <c r="V1140" s="2"/>
      <c r="W1140" s="2"/>
      <c r="X1140" s="2"/>
      <c r="Y1140" s="2"/>
      <c r="Z1140" s="2"/>
    </row>
    <row r="1141" spans="1:26" ht="12.75" customHeight="1">
      <c r="A1141" s="1"/>
      <c r="B1141" s="2"/>
      <c r="C1141" s="8"/>
      <c r="D1141" s="2"/>
      <c r="E1141" s="398" t="s">
        <v>3276</v>
      </c>
      <c r="F1141" s="4"/>
      <c r="G1141" s="2"/>
      <c r="H1141" s="2"/>
      <c r="I1141" s="2"/>
      <c r="J1141" s="2"/>
      <c r="K1141" s="121" t="s">
        <v>3277</v>
      </c>
      <c r="L1141" s="1"/>
      <c r="M1141" s="6"/>
      <c r="N1141" s="2"/>
      <c r="O1141" s="2"/>
      <c r="P1141" s="2"/>
      <c r="Q1141" s="2"/>
      <c r="R1141" s="2"/>
      <c r="S1141" s="2"/>
      <c r="T1141" s="2"/>
      <c r="U1141" s="2"/>
      <c r="V1141" s="2"/>
      <c r="W1141" s="2"/>
      <c r="X1141" s="2"/>
      <c r="Y1141" s="2"/>
      <c r="Z1141" s="2"/>
    </row>
    <row r="1142" spans="1:26" ht="12.75" customHeight="1">
      <c r="A1142" s="1"/>
      <c r="B1142" s="2"/>
      <c r="C1142" s="8"/>
      <c r="D1142" s="2"/>
      <c r="E1142" s="2"/>
      <c r="F1142" s="4"/>
      <c r="G1142" s="2"/>
      <c r="H1142" s="2"/>
      <c r="I1142" s="2"/>
      <c r="J1142" s="5"/>
      <c r="K1142" s="1"/>
      <c r="L1142" s="1"/>
      <c r="M1142" s="6"/>
      <c r="N1142" s="2"/>
      <c r="O1142" s="2"/>
      <c r="P1142" s="2"/>
      <c r="Q1142" s="2"/>
      <c r="R1142" s="2"/>
      <c r="S1142" s="2"/>
      <c r="T1142" s="2"/>
      <c r="U1142" s="2"/>
      <c r="V1142" s="2"/>
      <c r="W1142" s="2"/>
      <c r="X1142" s="2"/>
      <c r="Y1142" s="2"/>
      <c r="Z1142" s="2"/>
    </row>
    <row r="1143" spans="1:26" ht="12.75" customHeight="1">
      <c r="A1143" s="1"/>
      <c r="B1143" s="2"/>
      <c r="C1143" s="8"/>
      <c r="D1143" s="2"/>
      <c r="E1143" s="2"/>
      <c r="F1143" s="4"/>
      <c r="G1143" s="2"/>
      <c r="H1143" s="2"/>
      <c r="I1143" s="2"/>
      <c r="J1143" s="5"/>
      <c r="K1143" s="1"/>
      <c r="L1143" s="1"/>
      <c r="M1143" s="6"/>
      <c r="N1143" s="2"/>
      <c r="O1143" s="2"/>
      <c r="P1143" s="2"/>
      <c r="Q1143" s="2"/>
      <c r="R1143" s="2"/>
      <c r="S1143" s="2"/>
      <c r="T1143" s="2"/>
      <c r="U1143" s="2"/>
      <c r="V1143" s="2"/>
      <c r="W1143" s="2"/>
      <c r="X1143" s="2"/>
      <c r="Y1143" s="2"/>
      <c r="Z1143" s="2"/>
    </row>
    <row r="1144" spans="1:26" ht="12.75" customHeight="1">
      <c r="A1144" s="1"/>
      <c r="B1144" s="2"/>
      <c r="C1144" s="8"/>
      <c r="D1144" s="2"/>
      <c r="E1144" s="2"/>
      <c r="F1144" s="4"/>
      <c r="G1144" s="2"/>
      <c r="H1144" s="2"/>
      <c r="I1144" s="2"/>
      <c r="J1144" s="5"/>
      <c r="K1144" s="1"/>
      <c r="L1144" s="1"/>
      <c r="M1144" s="6"/>
      <c r="N1144" s="2"/>
      <c r="O1144" s="2"/>
      <c r="P1144" s="2"/>
      <c r="Q1144" s="2"/>
      <c r="R1144" s="2"/>
      <c r="S1144" s="2"/>
      <c r="T1144" s="2"/>
      <c r="U1144" s="2"/>
      <c r="V1144" s="2"/>
      <c r="W1144" s="2"/>
      <c r="X1144" s="2"/>
      <c r="Y1144" s="2"/>
      <c r="Z1144" s="2"/>
    </row>
    <row r="1145" spans="1:26" ht="12.75" customHeight="1">
      <c r="A1145" s="1"/>
      <c r="B1145" s="2"/>
      <c r="C1145" s="8"/>
      <c r="D1145" s="2"/>
      <c r="E1145" s="2"/>
      <c r="F1145" s="4"/>
      <c r="G1145" s="2"/>
      <c r="H1145" s="2"/>
      <c r="I1145" s="2"/>
      <c r="J1145" s="5"/>
      <c r="K1145" s="1"/>
      <c r="L1145" s="1"/>
      <c r="M1145" s="6"/>
      <c r="N1145" s="2"/>
      <c r="O1145" s="2"/>
      <c r="P1145" s="2"/>
      <c r="Q1145" s="2"/>
      <c r="R1145" s="2"/>
      <c r="S1145" s="2"/>
      <c r="T1145" s="2"/>
      <c r="U1145" s="2"/>
      <c r="V1145" s="2"/>
      <c r="W1145" s="2"/>
      <c r="X1145" s="2"/>
      <c r="Y1145" s="2"/>
      <c r="Z1145" s="2"/>
    </row>
    <row r="1146" spans="1:26" ht="12.75" customHeight="1">
      <c r="A1146" s="1"/>
      <c r="B1146" s="2"/>
      <c r="C1146" s="8"/>
      <c r="D1146" s="2"/>
      <c r="E1146" s="2"/>
      <c r="F1146" s="4"/>
      <c r="G1146" s="2"/>
      <c r="H1146" s="2"/>
      <c r="I1146" s="2"/>
      <c r="J1146" s="5"/>
      <c r="K1146" s="1"/>
      <c r="L1146" s="1"/>
      <c r="M1146" s="6"/>
      <c r="N1146" s="2"/>
      <c r="O1146" s="2"/>
      <c r="P1146" s="2"/>
      <c r="Q1146" s="2"/>
      <c r="R1146" s="2"/>
      <c r="S1146" s="2"/>
      <c r="T1146" s="2"/>
      <c r="U1146" s="2"/>
      <c r="V1146" s="2"/>
      <c r="W1146" s="2"/>
      <c r="X1146" s="2"/>
      <c r="Y1146" s="2"/>
      <c r="Z1146" s="2"/>
    </row>
    <row r="1147" spans="1:26" ht="12.75" customHeight="1">
      <c r="A1147" s="1"/>
      <c r="B1147" s="2"/>
      <c r="C1147" s="8"/>
      <c r="D1147" s="2"/>
      <c r="E1147" s="2"/>
      <c r="F1147" s="4"/>
      <c r="G1147" s="2"/>
      <c r="H1147" s="2"/>
      <c r="I1147" s="2"/>
      <c r="J1147" s="5"/>
      <c r="K1147" s="1"/>
      <c r="L1147" s="1"/>
      <c r="M1147" s="6"/>
      <c r="N1147" s="2"/>
      <c r="O1147" s="2"/>
      <c r="P1147" s="2"/>
      <c r="Q1147" s="2"/>
      <c r="R1147" s="2"/>
      <c r="S1147" s="2"/>
      <c r="T1147" s="2"/>
      <c r="U1147" s="2"/>
      <c r="V1147" s="2"/>
      <c r="W1147" s="2"/>
      <c r="X1147" s="2"/>
      <c r="Y1147" s="2"/>
      <c r="Z1147" s="2"/>
    </row>
    <row r="1148" spans="1:26" ht="12.75" customHeight="1">
      <c r="A1148" s="1"/>
      <c r="B1148" s="2"/>
      <c r="C1148" s="8"/>
      <c r="D1148" s="2"/>
      <c r="E1148" s="2"/>
      <c r="F1148" s="4"/>
      <c r="G1148" s="2"/>
      <c r="H1148" s="2"/>
      <c r="I1148" s="2"/>
      <c r="J1148" s="5"/>
      <c r="K1148" s="1"/>
      <c r="L1148" s="1"/>
      <c r="M1148" s="6"/>
      <c r="N1148" s="2"/>
      <c r="O1148" s="2"/>
      <c r="P1148" s="2"/>
      <c r="Q1148" s="2"/>
      <c r="R1148" s="2"/>
      <c r="S1148" s="2"/>
      <c r="T1148" s="2"/>
      <c r="U1148" s="2"/>
      <c r="V1148" s="2"/>
      <c r="W1148" s="2"/>
      <c r="X1148" s="2"/>
      <c r="Y1148" s="2"/>
      <c r="Z1148" s="2"/>
    </row>
    <row r="1149" spans="1:26" ht="12.75" customHeight="1">
      <c r="A1149" s="1"/>
      <c r="B1149" s="2"/>
      <c r="C1149" s="8"/>
      <c r="D1149" s="2"/>
      <c r="E1149" s="2"/>
      <c r="F1149" s="122" t="s">
        <v>3278</v>
      </c>
      <c r="G1149" s="2"/>
      <c r="H1149" s="2"/>
      <c r="I1149" s="2"/>
      <c r="J1149" s="5"/>
      <c r="K1149" s="1"/>
      <c r="L1149" s="1"/>
      <c r="M1149" s="6"/>
      <c r="N1149" s="2"/>
      <c r="O1149" s="2"/>
      <c r="P1149" s="2"/>
      <c r="Q1149" s="2"/>
      <c r="R1149" s="2"/>
      <c r="S1149" s="2"/>
      <c r="T1149" s="2"/>
      <c r="U1149" s="2"/>
      <c r="V1149" s="2"/>
      <c r="W1149" s="2"/>
      <c r="X1149" s="2"/>
      <c r="Y1149" s="2"/>
      <c r="Z1149" s="2"/>
    </row>
  </sheetData>
  <autoFilter ref="A6:M1138">
    <filterColumn colId="10">
      <filters>
        <filter val="MCR"/>
      </filters>
    </filterColumn>
    <filterColumn colId="11">
      <filters>
        <filter val="CUONG"/>
        <filter val="HA"/>
        <filter val="Hải"/>
        <filter val="HAN"/>
        <filter val="Hoàng Long"/>
        <filter val="Khanh"/>
        <filter val="Lam"/>
        <filter val="Lam+HA+Việt"/>
        <filter val="NQ"/>
        <filter val="QUAN"/>
        <filter val="Sếp Lâm"/>
        <filter val="Sương"/>
        <filter val="T.Long"/>
        <filter val="THANH"/>
        <filter val="Thảo"/>
        <filter val="Vũ"/>
        <filter val="Xuân"/>
      </filters>
    </filterColumn>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6328125" defaultRowHeight="15" customHeight="1"/>
  <cols>
    <col min="1" max="2" width="8" customWidth="1"/>
    <col min="3" max="3" width="14.453125" customWidth="1"/>
    <col min="4" max="4" width="8" customWidth="1"/>
    <col min="5" max="5" width="21" customWidth="1"/>
    <col min="6" max="6" width="10.08984375" customWidth="1"/>
    <col min="7" max="7" width="10.26953125" customWidth="1"/>
    <col min="8" max="9" width="8" customWidth="1"/>
    <col min="10" max="10" width="13.26953125" customWidth="1"/>
    <col min="11" max="26" width="8" customWidth="1"/>
  </cols>
  <sheetData>
    <row r="1" spans="1:26" ht="12.75" customHeight="1"/>
    <row r="2" spans="1:26" ht="12.75" customHeight="1"/>
    <row r="3" spans="1:26" ht="12.75" customHeight="1">
      <c r="A3" s="68">
        <v>679</v>
      </c>
      <c r="B3" s="399" t="s">
        <v>281</v>
      </c>
      <c r="C3" s="400">
        <v>41044</v>
      </c>
      <c r="D3" s="399"/>
      <c r="E3" s="399" t="s">
        <v>5428</v>
      </c>
      <c r="F3" s="401" t="s">
        <v>5429</v>
      </c>
      <c r="G3" s="399" t="s">
        <v>1435</v>
      </c>
      <c r="H3" s="399" t="s">
        <v>249</v>
      </c>
      <c r="I3" s="399">
        <v>1</v>
      </c>
      <c r="J3" s="402">
        <v>51460000</v>
      </c>
      <c r="K3" s="68" t="s">
        <v>206</v>
      </c>
      <c r="L3" s="68" t="s">
        <v>2906</v>
      </c>
      <c r="M3" s="69" t="s">
        <v>5430</v>
      </c>
      <c r="N3" s="2"/>
      <c r="O3" s="2" t="s">
        <v>5435</v>
      </c>
      <c r="P3" s="2"/>
      <c r="Q3" s="2"/>
      <c r="R3" s="2"/>
      <c r="S3" s="2"/>
      <c r="T3" s="2"/>
      <c r="U3" s="2"/>
      <c r="V3" s="2"/>
      <c r="W3" s="2"/>
      <c r="X3" s="2"/>
      <c r="Y3" s="2"/>
      <c r="Z3" s="2"/>
    </row>
    <row r="4" spans="1:26" ht="12.75" customHeight="1"/>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328125" defaultRowHeight="15" customHeight="1"/>
  <cols>
    <col min="1" max="6" width="8" customWidth="1"/>
    <col min="7" max="26" width="14.45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heetViews>
  <sheetFormatPr defaultColWidth="12.6328125" defaultRowHeight="15" customHeight="1"/>
  <cols>
    <col min="1" max="1" width="8.453125" customWidth="1"/>
    <col min="2" max="3" width="12" customWidth="1"/>
    <col min="4" max="4" width="12.453125" customWidth="1"/>
    <col min="5" max="5" width="17.08984375" customWidth="1"/>
    <col min="6" max="6" width="41.08984375" customWidth="1"/>
    <col min="7" max="9" width="8.453125" customWidth="1"/>
    <col min="10" max="10" width="13.453125" customWidth="1"/>
    <col min="11" max="26" width="8.453125" customWidth="1"/>
  </cols>
  <sheetData>
    <row r="1" spans="1:10" ht="12.75" customHeight="1">
      <c r="A1" s="96">
        <v>139</v>
      </c>
      <c r="B1" s="97" t="s">
        <v>3220</v>
      </c>
      <c r="C1" s="98">
        <v>44515</v>
      </c>
      <c r="D1" s="99"/>
      <c r="E1" s="97" t="s">
        <v>3221</v>
      </c>
      <c r="F1" s="97" t="s">
        <v>3222</v>
      </c>
      <c r="G1" s="100" t="s">
        <v>35</v>
      </c>
      <c r="H1" s="100" t="s">
        <v>19</v>
      </c>
      <c r="I1" s="101">
        <v>1</v>
      </c>
      <c r="J1" s="102">
        <v>272000000</v>
      </c>
    </row>
    <row r="2" spans="1:10" ht="12.75" customHeight="1">
      <c r="A2" s="96">
        <v>140</v>
      </c>
      <c r="B2" s="97" t="s">
        <v>3220</v>
      </c>
      <c r="C2" s="98">
        <v>44515</v>
      </c>
      <c r="D2" s="99"/>
      <c r="E2" s="97" t="s">
        <v>3223</v>
      </c>
      <c r="F2" s="97" t="s">
        <v>3224</v>
      </c>
      <c r="G2" s="100" t="s">
        <v>35</v>
      </c>
      <c r="H2" s="100" t="s">
        <v>19</v>
      </c>
      <c r="I2" s="101">
        <v>1</v>
      </c>
      <c r="J2" s="102">
        <v>272000000</v>
      </c>
    </row>
    <row r="3" spans="1:10" ht="12.75" customHeight="1">
      <c r="A3" s="96">
        <v>521</v>
      </c>
      <c r="B3" s="97" t="s">
        <v>3226</v>
      </c>
      <c r="C3" s="98">
        <v>44515</v>
      </c>
      <c r="D3" s="99"/>
      <c r="E3" s="97" t="s">
        <v>3227</v>
      </c>
      <c r="F3" s="97" t="s">
        <v>3228</v>
      </c>
      <c r="G3" s="100" t="s">
        <v>2070</v>
      </c>
      <c r="H3" s="100" t="s">
        <v>19</v>
      </c>
      <c r="I3" s="101">
        <v>1</v>
      </c>
      <c r="J3" s="102">
        <v>484545454</v>
      </c>
    </row>
    <row r="4" spans="1:10" ht="12.75" customHeight="1">
      <c r="A4" s="96">
        <v>522</v>
      </c>
      <c r="B4" s="97" t="s">
        <v>3226</v>
      </c>
      <c r="C4" s="98">
        <v>44515</v>
      </c>
      <c r="D4" s="99"/>
      <c r="E4" s="97" t="s">
        <v>3230</v>
      </c>
      <c r="F4" s="97" t="s">
        <v>3231</v>
      </c>
      <c r="G4" s="100" t="s">
        <v>2070</v>
      </c>
      <c r="H4" s="100" t="s">
        <v>19</v>
      </c>
      <c r="I4" s="101">
        <v>1</v>
      </c>
      <c r="J4" s="102">
        <v>484545455</v>
      </c>
    </row>
    <row r="5" spans="1:10" ht="12.75" customHeight="1"/>
    <row r="6" spans="1:10" ht="12.75" customHeight="1"/>
    <row r="7" spans="1:10" ht="12.75" customHeight="1"/>
    <row r="8" spans="1:10" ht="12.75" customHeight="1"/>
    <row r="9" spans="1:10" ht="12.75" customHeight="1"/>
    <row r="10" spans="1:10" ht="12.75" customHeight="1"/>
    <row r="11" spans="1:10" ht="12.75" customHeight="1"/>
    <row r="12" spans="1:10" ht="12.75" customHeight="1"/>
    <row r="13" spans="1:10" ht="12.75" customHeight="1"/>
    <row r="14" spans="1:10" ht="12.75" customHeight="1"/>
    <row r="15" spans="1:10" ht="12.75" customHeight="1"/>
    <row r="16" spans="1:10"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2.6328125" defaultRowHeight="15" customHeight="1"/>
  <cols>
    <col min="1" max="1" width="8.453125" customWidth="1"/>
    <col min="2" max="2" width="15.453125" customWidth="1"/>
    <col min="3" max="3" width="14" customWidth="1"/>
    <col min="4" max="4" width="40.453125" customWidth="1"/>
    <col min="5" max="5" width="13" customWidth="1"/>
    <col min="6" max="7" width="8.453125" customWidth="1"/>
    <col min="8" max="8" width="14" customWidth="1"/>
    <col min="9" max="10" width="8.453125" customWidth="1"/>
    <col min="11" max="11" width="23.26953125" customWidth="1"/>
    <col min="12" max="26" width="8.453125" customWidth="1"/>
  </cols>
  <sheetData>
    <row r="1" spans="1:11" ht="12.75" customHeight="1">
      <c r="A1" s="26">
        <v>2</v>
      </c>
      <c r="B1" s="28">
        <v>40178</v>
      </c>
      <c r="C1" s="60" t="s">
        <v>5291</v>
      </c>
      <c r="D1" s="29" t="s">
        <v>5292</v>
      </c>
      <c r="E1" s="27" t="s">
        <v>35</v>
      </c>
      <c r="F1" s="27" t="s">
        <v>19</v>
      </c>
      <c r="G1" s="27">
        <v>1</v>
      </c>
      <c r="H1" s="30">
        <v>224486622</v>
      </c>
      <c r="I1" s="26" t="s">
        <v>20</v>
      </c>
      <c r="J1" s="26" t="s">
        <v>233</v>
      </c>
      <c r="K1" s="31" t="s">
        <v>5436</v>
      </c>
    </row>
    <row r="2" spans="1:11" ht="12.75" customHeight="1">
      <c r="A2" s="26" t="s">
        <v>5293</v>
      </c>
      <c r="B2" s="28"/>
      <c r="C2" s="27" t="s">
        <v>5294</v>
      </c>
      <c r="D2" s="29" t="s">
        <v>5295</v>
      </c>
      <c r="E2" s="27"/>
      <c r="F2" s="27"/>
      <c r="G2" s="27">
        <v>1</v>
      </c>
      <c r="H2" s="30">
        <v>0</v>
      </c>
      <c r="I2" s="26" t="s">
        <v>20</v>
      </c>
      <c r="J2" s="26" t="s">
        <v>3375</v>
      </c>
      <c r="K2" s="31" t="s">
        <v>5437</v>
      </c>
    </row>
    <row r="3" spans="1:11" ht="12.75" customHeight="1">
      <c r="A3" s="26">
        <v>123</v>
      </c>
      <c r="B3" s="28">
        <v>39813</v>
      </c>
      <c r="C3" s="27" t="s">
        <v>5312</v>
      </c>
      <c r="D3" s="29" t="s">
        <v>5313</v>
      </c>
      <c r="E3" s="27" t="s">
        <v>35</v>
      </c>
      <c r="F3" s="27" t="s">
        <v>249</v>
      </c>
      <c r="G3" s="27">
        <v>1</v>
      </c>
      <c r="H3" s="30">
        <v>222056404</v>
      </c>
      <c r="I3" s="26" t="s">
        <v>36</v>
      </c>
      <c r="J3" s="26" t="s">
        <v>37</v>
      </c>
      <c r="K3" s="57" t="s">
        <v>5314</v>
      </c>
    </row>
    <row r="4" spans="1:11" ht="12.75" customHeight="1">
      <c r="A4" s="26" t="s">
        <v>5315</v>
      </c>
      <c r="B4" s="28"/>
      <c r="C4" s="27" t="s">
        <v>5316</v>
      </c>
      <c r="D4" s="29" t="s">
        <v>5317</v>
      </c>
      <c r="E4" s="27"/>
      <c r="F4" s="27"/>
      <c r="G4" s="27">
        <v>1</v>
      </c>
      <c r="H4" s="30">
        <v>0</v>
      </c>
      <c r="I4" s="26" t="s">
        <v>36</v>
      </c>
      <c r="J4" s="26" t="s">
        <v>3375</v>
      </c>
      <c r="K4" s="31" t="s">
        <v>5438</v>
      </c>
    </row>
    <row r="5" spans="1:11" ht="12.75" customHeight="1">
      <c r="A5" s="26">
        <v>614</v>
      </c>
      <c r="B5" s="28">
        <v>40543</v>
      </c>
      <c r="C5" s="27" t="s">
        <v>5396</v>
      </c>
      <c r="D5" s="29" t="s">
        <v>5397</v>
      </c>
      <c r="E5" s="27" t="s">
        <v>1008</v>
      </c>
      <c r="F5" s="27" t="s">
        <v>19</v>
      </c>
      <c r="G5" s="27">
        <v>1</v>
      </c>
      <c r="H5" s="30">
        <v>168110993</v>
      </c>
      <c r="I5" s="26" t="s">
        <v>20</v>
      </c>
      <c r="J5" s="36" t="s">
        <v>229</v>
      </c>
      <c r="K5" s="31" t="s">
        <v>5398</v>
      </c>
    </row>
    <row r="6" spans="1:11" ht="12.75" customHeight="1">
      <c r="A6" s="26" t="s">
        <v>5399</v>
      </c>
      <c r="B6" s="28"/>
      <c r="C6" s="27" t="s">
        <v>5400</v>
      </c>
      <c r="D6" s="29" t="s">
        <v>5401</v>
      </c>
      <c r="E6" s="27"/>
      <c r="F6" s="27"/>
      <c r="G6" s="27">
        <v>1</v>
      </c>
      <c r="H6" s="30">
        <v>10102957</v>
      </c>
      <c r="I6" s="26" t="s">
        <v>20</v>
      </c>
      <c r="J6" s="26" t="s">
        <v>3375</v>
      </c>
      <c r="K6" s="31" t="s">
        <v>5439</v>
      </c>
    </row>
    <row r="7" spans="1:11" ht="12.75" customHeight="1">
      <c r="A7" s="26" t="s">
        <v>5402</v>
      </c>
      <c r="B7" s="28"/>
      <c r="C7" s="27" t="s">
        <v>5403</v>
      </c>
      <c r="D7" s="29" t="s">
        <v>5404</v>
      </c>
      <c r="E7" s="27"/>
      <c r="F7" s="27"/>
      <c r="G7" s="27">
        <v>1</v>
      </c>
      <c r="H7" s="30">
        <v>11113156</v>
      </c>
      <c r="I7" s="26" t="s">
        <v>20</v>
      </c>
      <c r="J7" s="26" t="s">
        <v>3375</v>
      </c>
      <c r="K7" s="31" t="s">
        <v>5439</v>
      </c>
    </row>
    <row r="8" spans="1:11" ht="12.75" customHeight="1">
      <c r="A8" s="26">
        <v>615</v>
      </c>
      <c r="B8" s="28">
        <v>40543</v>
      </c>
      <c r="C8" s="27" t="s">
        <v>5405</v>
      </c>
      <c r="D8" s="29" t="s">
        <v>5406</v>
      </c>
      <c r="E8" s="27" t="s">
        <v>1008</v>
      </c>
      <c r="F8" s="27" t="s">
        <v>19</v>
      </c>
      <c r="G8" s="27">
        <v>1</v>
      </c>
      <c r="H8" s="30">
        <v>168110993</v>
      </c>
      <c r="I8" s="26" t="s">
        <v>20</v>
      </c>
      <c r="J8" s="36" t="s">
        <v>229</v>
      </c>
      <c r="K8" s="31" t="s">
        <v>5407</v>
      </c>
    </row>
    <row r="9" spans="1:11" ht="12.75" customHeight="1">
      <c r="A9" s="26" t="s">
        <v>5408</v>
      </c>
      <c r="B9" s="28"/>
      <c r="C9" s="60" t="s">
        <v>5440</v>
      </c>
      <c r="D9" s="29" t="s">
        <v>5410</v>
      </c>
      <c r="E9" s="27"/>
      <c r="F9" s="27"/>
      <c r="G9" s="27">
        <v>1</v>
      </c>
      <c r="H9" s="30">
        <v>10102957</v>
      </c>
      <c r="I9" s="26" t="s">
        <v>20</v>
      </c>
      <c r="J9" s="26" t="s">
        <v>3375</v>
      </c>
      <c r="K9" s="31" t="s">
        <v>5439</v>
      </c>
    </row>
    <row r="10" spans="1:11" ht="12.75" customHeight="1">
      <c r="A10" s="26" t="s">
        <v>5411</v>
      </c>
      <c r="B10" s="28"/>
      <c r="C10" s="27" t="s">
        <v>5412</v>
      </c>
      <c r="D10" s="29" t="s">
        <v>5413</v>
      </c>
      <c r="E10" s="27"/>
      <c r="F10" s="27"/>
      <c r="G10" s="27">
        <v>1</v>
      </c>
      <c r="H10" s="30">
        <v>11113156</v>
      </c>
      <c r="I10" s="26" t="s">
        <v>20</v>
      </c>
      <c r="J10" s="26" t="s">
        <v>3375</v>
      </c>
      <c r="K10" s="31" t="s">
        <v>5439</v>
      </c>
    </row>
    <row r="11" spans="1:11" ht="12.75" customHeight="1"/>
    <row r="12" spans="1:11" ht="12.75" customHeight="1"/>
    <row r="13" spans="1:11" ht="12.75" customHeight="1"/>
    <row r="14" spans="1:11" ht="12.75" customHeight="1"/>
    <row r="15" spans="1:11" ht="12.75" customHeight="1"/>
    <row r="16" spans="1: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2.6328125" defaultRowHeight="15" customHeight="1"/>
  <cols>
    <col min="1" max="2" width="8.453125" customWidth="1"/>
    <col min="3" max="3" width="9" customWidth="1"/>
    <col min="4" max="4" width="7.90625" customWidth="1"/>
    <col min="5" max="5" width="17" customWidth="1"/>
    <col min="6" max="6" width="38.7265625" customWidth="1"/>
    <col min="7" max="9" width="8.453125" customWidth="1"/>
    <col min="10" max="10" width="12" customWidth="1"/>
    <col min="11" max="11" width="10.453125" customWidth="1"/>
    <col min="12" max="26" width="8.453125" customWidth="1"/>
  </cols>
  <sheetData>
    <row r="1" spans="1:11" ht="12.75" customHeight="1">
      <c r="A1" s="416" t="s">
        <v>4645</v>
      </c>
      <c r="B1" s="406"/>
      <c r="C1" s="406"/>
      <c r="D1" s="7"/>
      <c r="E1" s="7"/>
      <c r="F1" s="7"/>
      <c r="G1" s="7"/>
      <c r="H1" s="7"/>
      <c r="I1" s="7"/>
      <c r="J1" s="7"/>
      <c r="K1" s="7"/>
    </row>
    <row r="2" spans="1:11" ht="12.75" customHeight="1">
      <c r="A2" s="7"/>
      <c r="B2" s="7"/>
      <c r="C2" s="7"/>
      <c r="D2" s="7"/>
      <c r="E2" s="7"/>
      <c r="F2" s="7"/>
      <c r="G2" s="7"/>
      <c r="H2" s="7"/>
      <c r="I2" s="7"/>
      <c r="J2" s="7"/>
      <c r="K2" s="7"/>
    </row>
    <row r="3" spans="1:11" ht="12.75" customHeight="1">
      <c r="A3" s="417" t="s">
        <v>5441</v>
      </c>
      <c r="B3" s="406"/>
      <c r="C3" s="406"/>
      <c r="D3" s="406"/>
      <c r="E3" s="406"/>
      <c r="F3" s="406"/>
      <c r="G3" s="406"/>
      <c r="H3" s="406"/>
      <c r="I3" s="406"/>
      <c r="J3" s="406"/>
      <c r="K3" s="7"/>
    </row>
    <row r="4" spans="1:11" ht="12.75" customHeight="1">
      <c r="A4" s="403" t="s">
        <v>3</v>
      </c>
      <c r="B4" s="404" t="s">
        <v>4</v>
      </c>
      <c r="C4" s="404" t="s">
        <v>5</v>
      </c>
      <c r="D4" s="404" t="s">
        <v>6</v>
      </c>
      <c r="E4" s="404" t="s">
        <v>7</v>
      </c>
      <c r="F4" s="404" t="s">
        <v>8</v>
      </c>
      <c r="G4" s="404" t="s">
        <v>9</v>
      </c>
      <c r="H4" s="404" t="s">
        <v>10</v>
      </c>
      <c r="I4" s="404" t="s">
        <v>11</v>
      </c>
      <c r="J4" s="404" t="s">
        <v>12</v>
      </c>
      <c r="K4" s="7"/>
    </row>
    <row r="5" spans="1:11" ht="12.75" customHeight="1">
      <c r="A5" s="418" t="s">
        <v>5442</v>
      </c>
      <c r="B5" s="412"/>
      <c r="C5" s="412"/>
      <c r="D5" s="412"/>
      <c r="E5" s="412"/>
      <c r="F5" s="412"/>
      <c r="G5" s="412"/>
      <c r="H5" s="412"/>
      <c r="I5" s="412"/>
      <c r="J5" s="413"/>
      <c r="K5" s="7"/>
    </row>
    <row r="6" spans="1:11" ht="12.75" customHeight="1">
      <c r="A6" s="96">
        <v>386</v>
      </c>
      <c r="B6" s="97" t="s">
        <v>3233</v>
      </c>
      <c r="C6" s="98">
        <v>44867</v>
      </c>
      <c r="D6" s="99"/>
      <c r="E6" s="97" t="s">
        <v>3234</v>
      </c>
      <c r="F6" s="97" t="s">
        <v>3235</v>
      </c>
      <c r="G6" s="100" t="s">
        <v>307</v>
      </c>
      <c r="H6" s="100" t="s">
        <v>19</v>
      </c>
      <c r="I6" s="101">
        <v>1</v>
      </c>
      <c r="J6" s="102">
        <v>283800000</v>
      </c>
      <c r="K6" s="7" t="str">
        <f>IF(ISERROR(MATCH(E6,'Chinh cho 3 phong'!E$7:E$1147,0)),"Mới","Đã có")</f>
        <v>Mới</v>
      </c>
    </row>
    <row r="7" spans="1:11" ht="12.75" customHeight="1">
      <c r="A7" s="96">
        <v>387</v>
      </c>
      <c r="B7" s="97" t="s">
        <v>3233</v>
      </c>
      <c r="C7" s="98">
        <v>44867</v>
      </c>
      <c r="D7" s="99"/>
      <c r="E7" s="97" t="s">
        <v>3236</v>
      </c>
      <c r="F7" s="97" t="s">
        <v>3237</v>
      </c>
      <c r="G7" s="100" t="s">
        <v>307</v>
      </c>
      <c r="H7" s="100" t="s">
        <v>19</v>
      </c>
      <c r="I7" s="101">
        <v>1</v>
      </c>
      <c r="J7" s="102">
        <v>283800000</v>
      </c>
      <c r="K7" s="7" t="str">
        <f>IF(ISERROR(MATCH(E7,'Chinh cho 3 phong'!E$7:E$1147,0)),"Mới","Đã có")</f>
        <v>Mới</v>
      </c>
    </row>
    <row r="8" spans="1:11" ht="12.75" customHeight="1">
      <c r="A8" s="96">
        <v>388</v>
      </c>
      <c r="B8" s="97" t="s">
        <v>3233</v>
      </c>
      <c r="C8" s="98">
        <v>44867</v>
      </c>
      <c r="D8" s="99"/>
      <c r="E8" s="97" t="s">
        <v>3238</v>
      </c>
      <c r="F8" s="97" t="s">
        <v>3239</v>
      </c>
      <c r="G8" s="100" t="s">
        <v>1088</v>
      </c>
      <c r="H8" s="100" t="s">
        <v>19</v>
      </c>
      <c r="I8" s="101">
        <v>1</v>
      </c>
      <c r="J8" s="102">
        <v>119680000</v>
      </c>
      <c r="K8" s="7" t="str">
        <f>IF(ISERROR(MATCH(E8,'Chinh cho 3 phong'!E$7:E$1147,0)),"Mới","Đã có")</f>
        <v>Mới</v>
      </c>
    </row>
    <row r="9" spans="1:11" ht="12.75" customHeight="1">
      <c r="A9" s="96">
        <v>389</v>
      </c>
      <c r="B9" s="97" t="s">
        <v>3241</v>
      </c>
      <c r="C9" s="98">
        <v>44916</v>
      </c>
      <c r="D9" s="99"/>
      <c r="E9" s="97" t="s">
        <v>3242</v>
      </c>
      <c r="F9" s="97" t="s">
        <v>3243</v>
      </c>
      <c r="G9" s="100" t="s">
        <v>2015</v>
      </c>
      <c r="H9" s="100" t="s">
        <v>249</v>
      </c>
      <c r="I9" s="101">
        <v>1</v>
      </c>
      <c r="J9" s="102">
        <v>45000000</v>
      </c>
      <c r="K9" s="7" t="str">
        <f>IF(ISERROR(MATCH(E9,'Chinh cho 3 phong'!E$7:E$1147,0)),"Mới","Đã có")</f>
        <v>Mới</v>
      </c>
    </row>
    <row r="10" spans="1:11" ht="12.75" customHeight="1">
      <c r="A10" s="96">
        <v>390</v>
      </c>
      <c r="B10" s="97" t="s">
        <v>3244</v>
      </c>
      <c r="C10" s="98">
        <v>44916</v>
      </c>
      <c r="D10" s="99"/>
      <c r="E10" s="97" t="s">
        <v>3245</v>
      </c>
      <c r="F10" s="97" t="s">
        <v>3246</v>
      </c>
      <c r="G10" s="100" t="s">
        <v>248</v>
      </c>
      <c r="H10" s="100" t="s">
        <v>19</v>
      </c>
      <c r="I10" s="101">
        <v>1</v>
      </c>
      <c r="J10" s="102">
        <v>43727273</v>
      </c>
      <c r="K10" s="7" t="str">
        <f>IF(ISERROR(MATCH(E10,'Chinh cho 3 phong'!E$7:E$1147,0)),"Mới","Đã có")</f>
        <v>Mới</v>
      </c>
    </row>
    <row r="11" spans="1:11" ht="12.75" customHeight="1">
      <c r="A11" s="96">
        <v>632</v>
      </c>
      <c r="B11" s="97" t="s">
        <v>3248</v>
      </c>
      <c r="C11" s="98">
        <v>41274</v>
      </c>
      <c r="D11" s="99"/>
      <c r="E11" s="97" t="s">
        <v>3249</v>
      </c>
      <c r="F11" s="97" t="s">
        <v>3250</v>
      </c>
      <c r="G11" s="100" t="s">
        <v>1008</v>
      </c>
      <c r="H11" s="100" t="s">
        <v>19</v>
      </c>
      <c r="I11" s="101">
        <v>1</v>
      </c>
      <c r="J11" s="102">
        <v>475585133</v>
      </c>
      <c r="K11" s="7" t="str">
        <f>IF(ISERROR(MATCH(E11,'Chinh cho 3 phong'!E$7:E$1147,0)),"Mới","Đã có")</f>
        <v>Mới</v>
      </c>
    </row>
    <row r="12" spans="1:11" ht="12.75" customHeight="1">
      <c r="A12" s="96">
        <v>633</v>
      </c>
      <c r="B12" s="97" t="s">
        <v>3248</v>
      </c>
      <c r="C12" s="98">
        <v>41274</v>
      </c>
      <c r="D12" s="99"/>
      <c r="E12" s="97" t="s">
        <v>3251</v>
      </c>
      <c r="F12" s="97" t="s">
        <v>3252</v>
      </c>
      <c r="G12" s="100" t="s">
        <v>1008</v>
      </c>
      <c r="H12" s="100" t="s">
        <v>19</v>
      </c>
      <c r="I12" s="101">
        <v>1</v>
      </c>
      <c r="J12" s="102">
        <v>475585133</v>
      </c>
      <c r="K12" s="7" t="str">
        <f>IF(ISERROR(MATCH(E12,'Chinh cho 3 phong'!E$7:E$1147,0)),"Mới","Đã có")</f>
        <v>Mới</v>
      </c>
    </row>
    <row r="13" spans="1:11" ht="12.75" customHeight="1">
      <c r="A13" s="96">
        <v>634</v>
      </c>
      <c r="B13" s="97" t="s">
        <v>3248</v>
      </c>
      <c r="C13" s="98">
        <v>41274</v>
      </c>
      <c r="D13" s="99"/>
      <c r="E13" s="97" t="s">
        <v>3253</v>
      </c>
      <c r="F13" s="97" t="s">
        <v>3254</v>
      </c>
      <c r="G13" s="100" t="s">
        <v>1008</v>
      </c>
      <c r="H13" s="100" t="s">
        <v>19</v>
      </c>
      <c r="I13" s="101">
        <v>1</v>
      </c>
      <c r="J13" s="102">
        <v>475585133</v>
      </c>
      <c r="K13" s="7" t="str">
        <f>IF(ISERROR(MATCH(E13,'Chinh cho 3 phong'!E$7:E$1147,0)),"Mới","Đã có")</f>
        <v>Mới</v>
      </c>
    </row>
    <row r="14" spans="1:11" ht="12.75" customHeight="1"/>
    <row r="15" spans="1:11" ht="12.75" customHeight="1"/>
    <row r="16" spans="1:11"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C1"/>
    <mergeCell ref="A3:J3"/>
    <mergeCell ref="A5:J5"/>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328125" defaultRowHeight="15" customHeight="1"/>
  <cols>
    <col min="1" max="26" width="8.45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000"/>
  <sheetViews>
    <sheetView workbookViewId="0"/>
  </sheetViews>
  <sheetFormatPr defaultColWidth="12.6328125" defaultRowHeight="15" customHeight="1"/>
  <cols>
    <col min="1" max="1" width="8.6328125" customWidth="1"/>
    <col min="2" max="2" width="21" customWidth="1"/>
    <col min="3" max="3" width="11.453125" customWidth="1"/>
    <col min="4" max="4" width="8.6328125" customWidth="1"/>
    <col min="5" max="5" width="16.7265625" customWidth="1"/>
    <col min="6" max="6" width="57.7265625" customWidth="1"/>
    <col min="7" max="26" width="8.6328125" customWidth="1"/>
  </cols>
  <sheetData>
    <row r="1" spans="1:11" ht="12" customHeight="1">
      <c r="A1" s="96">
        <v>121</v>
      </c>
      <c r="B1" s="97" t="s">
        <v>3255</v>
      </c>
      <c r="C1" s="98">
        <v>45247</v>
      </c>
      <c r="D1" s="99"/>
      <c r="E1" s="97" t="s">
        <v>3256</v>
      </c>
      <c r="F1" s="97" t="s">
        <v>3257</v>
      </c>
      <c r="G1" s="100" t="s">
        <v>1435</v>
      </c>
      <c r="H1" s="100" t="s">
        <v>249</v>
      </c>
      <c r="I1" s="101">
        <v>1</v>
      </c>
      <c r="J1" s="102">
        <v>88470000</v>
      </c>
      <c r="K1" s="108" t="s">
        <v>3258</v>
      </c>
    </row>
    <row r="2" spans="1:11" ht="12" customHeight="1">
      <c r="A2" s="96">
        <v>376</v>
      </c>
      <c r="B2" s="97" t="s">
        <v>3259</v>
      </c>
      <c r="C2" s="98">
        <v>45259</v>
      </c>
      <c r="D2" s="99"/>
      <c r="E2" s="97" t="s">
        <v>3260</v>
      </c>
      <c r="F2" s="97" t="s">
        <v>3261</v>
      </c>
      <c r="G2" s="100" t="s">
        <v>248</v>
      </c>
      <c r="H2" s="100" t="s">
        <v>19</v>
      </c>
      <c r="I2" s="101">
        <v>1</v>
      </c>
      <c r="J2" s="102">
        <v>80900000</v>
      </c>
      <c r="K2" s="108" t="s">
        <v>3258</v>
      </c>
    </row>
    <row r="3" spans="1:11" ht="12" customHeight="1">
      <c r="A3" s="96">
        <v>393</v>
      </c>
      <c r="B3" s="97" t="s">
        <v>3264</v>
      </c>
      <c r="C3" s="98">
        <v>45271</v>
      </c>
      <c r="D3" s="99"/>
      <c r="E3" s="97" t="s">
        <v>3265</v>
      </c>
      <c r="F3" s="97" t="s">
        <v>3266</v>
      </c>
      <c r="G3" s="101"/>
      <c r="H3" s="100" t="s">
        <v>19</v>
      </c>
      <c r="I3" s="101">
        <v>1</v>
      </c>
      <c r="J3" s="102">
        <v>1459545455</v>
      </c>
      <c r="K3" s="108" t="s">
        <v>3258</v>
      </c>
    </row>
    <row r="4" spans="1:11" ht="12" customHeight="1">
      <c r="A4" s="109" t="s">
        <v>5443</v>
      </c>
      <c r="B4" s="109"/>
      <c r="C4" s="109"/>
      <c r="D4" s="109"/>
      <c r="E4" s="110" t="s">
        <v>3268</v>
      </c>
      <c r="F4" s="110" t="s">
        <v>3269</v>
      </c>
      <c r="G4" s="112" t="s">
        <v>1008</v>
      </c>
      <c r="H4" s="112" t="s">
        <v>19</v>
      </c>
      <c r="I4" s="113">
        <v>1</v>
      </c>
      <c r="J4" s="114">
        <v>819545455</v>
      </c>
      <c r="K4" s="108" t="s">
        <v>3258</v>
      </c>
    </row>
    <row r="5" spans="1:11" ht="12" customHeight="1">
      <c r="A5" s="109" t="s">
        <v>5443</v>
      </c>
      <c r="B5" s="109"/>
      <c r="C5" s="109"/>
      <c r="D5" s="109"/>
      <c r="E5" s="110" t="s">
        <v>3271</v>
      </c>
      <c r="F5" s="110" t="s">
        <v>3272</v>
      </c>
      <c r="G5" s="112" t="s">
        <v>1008</v>
      </c>
      <c r="H5" s="112" t="s">
        <v>19</v>
      </c>
      <c r="I5" s="113">
        <v>1</v>
      </c>
      <c r="J5" s="114">
        <v>390000000</v>
      </c>
      <c r="K5" s="108" t="s">
        <v>3258</v>
      </c>
    </row>
    <row r="6" spans="1:11" ht="12" customHeight="1">
      <c r="A6" s="109" t="s">
        <v>5443</v>
      </c>
      <c r="B6" s="109"/>
      <c r="C6" s="109"/>
      <c r="D6" s="109"/>
      <c r="E6" s="110" t="s">
        <v>3274</v>
      </c>
      <c r="F6" s="110" t="s">
        <v>3275</v>
      </c>
      <c r="G6" s="112" t="s">
        <v>248</v>
      </c>
      <c r="H6" s="112" t="s">
        <v>19</v>
      </c>
      <c r="I6" s="113">
        <v>1</v>
      </c>
      <c r="J6" s="114">
        <v>250000000</v>
      </c>
      <c r="K6" s="108" t="s">
        <v>3258</v>
      </c>
    </row>
    <row r="7" spans="1:11" ht="12" customHeight="1"/>
    <row r="8" spans="1:11" ht="12" customHeight="1"/>
    <row r="9" spans="1:11" ht="12" customHeight="1"/>
    <row r="10" spans="1:11" ht="12" customHeight="1"/>
    <row r="11" spans="1:11" ht="12" customHeight="1"/>
    <row r="12" spans="1:11" ht="12" customHeight="1"/>
    <row r="13" spans="1:11" ht="12" customHeight="1"/>
    <row r="14" spans="1:11" ht="12" customHeight="1"/>
    <row r="15" spans="1:11" ht="12" customHeight="1"/>
    <row r="16" spans="1:11"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0" ht="12" customHeight="1"/>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Chinh cho 3 phong</vt:lpstr>
      <vt:lpstr>TSCD_XUAN</vt:lpstr>
      <vt:lpstr>CCDC_XUAN</vt:lpstr>
      <vt:lpstr>CCDC</vt:lpstr>
      <vt:lpstr>Sheet1</vt:lpstr>
      <vt:lpstr>Main-sau thanh ly</vt:lpstr>
      <vt:lpstr>Sheet1 (2)</vt:lpstr>
      <vt:lpstr>Tai san thanh ly den 31.12.2020</vt:lpstr>
      <vt:lpstr>TS them den 31.12.2020</vt:lpstr>
      <vt:lpstr>TS Thêm đến 31.12.2021</vt:lpstr>
      <vt:lpstr>TS Đã thanh lý 2021 vs 2020</vt:lpstr>
      <vt:lpstr>TS Co them 20032023</vt:lpstr>
      <vt:lpstr>DS Chuyen CChi</vt:lpstr>
      <vt:lpstr>TS Co them den 31122023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2026-05-28T14:44:06Z</dcterms:created>
  <dcterms:modified xsi:type="dcterms:W3CDTF">2026-05-28T14:44:07Z</dcterms:modified>
</cp:coreProperties>
</file>